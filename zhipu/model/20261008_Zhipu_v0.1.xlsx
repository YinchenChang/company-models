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SRC_ZP" sheetId="2" state="visible" r:id="rId4"/>
    <sheet name="TK_Link" sheetId="3" state="visible" r:id="rId5"/>
    <sheet name="OAI_Link" sheetId="4" state="visible" r:id="rId6"/>
    <sheet name="Inputs" sheetId="5" state="visible" r:id="rId7"/>
    <sheet name="Demand" sheetId="6" state="visible" r:id="rId8"/>
    <sheet name="Revenue" sheetId="7" state="visible" r:id="rId9"/>
    <sheet name="Compute" sheetId="8" state="visible" r:id="rId10"/>
    <sheet name="Cost" sheetId="9" state="visible" r:id="rId11"/>
    <sheet name="Funding" sheetId="10" state="visible" r:id="rId12"/>
    <sheet name="Reverse" sheetId="11" state="visible" r:id="rId13"/>
    <sheet name="Checks" sheetId="12" state="visible" r:id="rId14"/>
    <sheet name="_Defaults" sheetId="13" state="hidden" r:id="rId15"/>
  </sheets>
  <definedNames>
    <definedName function="false" hidden="false" name="CHK_Errors" vbProcedure="false">Checks!$C$100</definedName>
    <definedName function="false" hidden="false" name="CMP_CapFactor" vbProcedure="false">Compute!$D$125:$I$125</definedName>
    <definedName function="false" hidden="false" name="CMP_CapFlag" vbProcedure="false">Compute!$D$126:$I$126</definedName>
    <definedName function="false" hidden="false" name="CMP_CapFree" vbProcedure="false">Compute!$D$75:$I$75</definedName>
    <definedName function="false" hidden="false" name="CMP_CapPaid" vbProcedure="false">Compute!$D$71:$I$71</definedName>
    <definedName function="false" hidden="false" name="CMP_ChipGW" vbProcedure="false">Compute!$L$142</definedName>
    <definedName function="false" hidden="false" name="CMP_ChipGWGap" vbProcedure="false">Compute!$L$146</definedName>
    <definedName function="false" hidden="false" name="CMP_ComputeFee" vbProcedure="false">Compute!$D$87:$I$87</definedName>
    <definedName function="false" hidden="false" name="CMP_DemandGW" vbProcedure="false">Compute!$D$128:$I$128</definedName>
    <definedName function="false" hidden="false" name="CMP_DomesticGW" vbProcedure="false">Compute!$D$144:$I$144</definedName>
    <definedName function="false" hidden="false" name="CMP_Eta" vbProcedure="false">Compute!$D$110:$I$110</definedName>
    <definedName function="false" hidden="false" name="CMP_Eta1H26" vbProcedure="false">Compute!$K$108</definedName>
    <definedName function="false" hidden="false" name="CMP_Eta2025" vbProcedure="false">Compute!$D$107</definedName>
    <definedName function="false" hidden="false" name="CMP_EtaD8r" vbProcedure="false">Compute!$D$220:$I$220</definedName>
    <definedName function="false" hidden="false" name="CMP_EtaOld" vbProcedure="false">Compute!$D$109:$I$109</definedName>
    <definedName function="false" hidden="false" name="CMP_InfAvailGW" vbProcedure="false">Compute!$D$123:$I$123</definedName>
    <definedName function="false" hidden="false" name="CMP_InfFee" vbProcedure="false">Compute!$D$80:$I$80</definedName>
    <definedName function="false" hidden="false" name="CMP_InfGW" vbProcedure="false">Compute!$D$124:$I$124</definedName>
    <definedName function="false" hidden="false" name="CMP_InfGW_Eff" vbProcedure="false">Compute!$D$111:$I$111</definedName>
    <definedName function="false" hidden="false" name="CMP_InfGW_VReq" vbProcedure="false">Compute!$D$138:$I$138</definedName>
    <definedName function="false" hidden="false" name="CMP_OwnedAmort" vbProcedure="false">Compute!$D$202:$I$202</definedName>
    <definedName function="false" hidden="false" name="CMP_OwnedCapex" vbProcedure="false">Compute!$D$117:$I$117</definedName>
    <definedName function="false" hidden="false" name="CMP_OwnedOpex" vbProcedure="false">Compute!$D$200:$I$200</definedName>
    <definedName function="false" hidden="false" name="CMP_PricePerGW" vbProcedure="false">Compute!$D$102:$I$102</definedName>
    <definedName function="false" hidden="false" name="CMP_R4Mult" vbProcedure="false">Compute!$D$154:$I$154</definedName>
    <definedName function="false" hidden="false" name="CMP_RDFee" vbProcedure="false">Compute!$D$84:$I$84</definedName>
    <definedName function="false" hidden="false" name="CMP_RDGW" vbProcedure="false">Compute!$D$127:$I$127</definedName>
    <definedName function="false" hidden="false" name="CMP_RDGW_VReq" vbProcedure="false">Compute!$D$139:$I$139</definedName>
    <definedName function="false" hidden="false" name="CMP_RDShare" vbProcedure="false">Compute!$D$113:$I$113</definedName>
    <definedName function="false" hidden="false" name="CMP_Share_Domestic" vbProcedure="false">Compute!$D$23:$I$23</definedName>
    <definedName function="false" hidden="false" name="CMP_Share_H20" vbProcedure="false">Compute!$D$24:$I$24</definedName>
    <definedName function="false" hidden="false" name="CMP_Share_Hopper" vbProcedure="false">Compute!$D$25:$I$25</definedName>
    <definedName function="false" hidden="false" name="CMP_SpendGW" vbProcedure="false">Compute!$D$105:$I$105</definedName>
    <definedName function="false" hidden="false" name="CMP_SupplyGW" vbProcedure="false">Compute!$D$119:$I$119</definedName>
    <definedName function="false" hidden="false" name="CMP_SupplyRentGW" vbProcedure="false">Compute!$D$120:$I$120</definedName>
    <definedName function="false" hidden="false" name="CMP_Supply_Owned" vbProcedure="false">Compute!$D$118:$I$118</definedName>
    <definedName function="false" hidden="false" name="CMP_Supply_VReq" vbProcedure="false">Compute!$D$137:$I$137</definedName>
    <definedName function="false" hidden="false" name="CMP_TokGW" vbProcedure="false">Compute!$D$65:$I$65</definedName>
    <definedName function="false" hidden="false" name="CMP_TokGW_Free" vbProcedure="false">Compute!$D$64:$I$64</definedName>
    <definedName function="false" hidden="false" name="CMP_TokGW_Old" vbProcedure="false">Compute!$D$76:$I$76</definedName>
    <definedName function="false" hidden="false" name="CMP_TokGW_Paid" vbProcedure="false">Compute!$D$63:$I$63</definedName>
    <definedName function="false" hidden="false" name="CMP_VReqFactor" vbProcedure="false">Compute!$D$136:$I$136</definedName>
    <definedName function="false" hidden="false" name="COST_CloudGM" vbProcedure="false">Cost!$D$23:$I$23</definedName>
    <definedName function="false" hidden="false" name="COST_CloudGMPct" vbProcedure="false">Cost!$D$24:$I$24</definedName>
    <definedName function="false" hidden="false" name="COST_CloudRevCapped" vbProcedure="false">Cost!$D$47:$I$47</definedName>
    <definedName function="false" hidden="false" name="COST_Compute" vbProcedure="false">Cost!$D$12:$I$12</definedName>
    <definedName function="false" hidden="false" name="COST_ComputeRent" vbProcedure="false">Cost!$D$10:$I$10</definedName>
    <definedName function="false" hidden="false" name="COST_Coverage" vbProcedure="false">Cost!$D$63:$I$63</definedName>
    <definedName function="false" hidden="false" name="COST_CoverageCloud" vbProcedure="false">Cost!$D$64:$I$64</definedName>
    <definedName function="false" hidden="false" name="COST_Coverage_Amort" vbProcedure="false">Cost!$D$95:$I$95</definedName>
    <definedName function="false" hidden="false" name="COST_FullAmort" vbProcedure="false">Cost!$D$93:$I$93</definedName>
    <definedName function="false" hidden="false" name="COST_FullCash" vbProcedure="false">Cost!$D$43:$I$43</definedName>
    <definedName function="false" hidden="false" name="COST_FullExSBC" vbProcedure="false">Cost!$D$44:$I$44</definedName>
    <definedName function="false" hidden="false" name="COST_GapCash" vbProcedure="false">Cost!$D$48:$I$48</definedName>
    <definedName function="false" hidden="false" name="COST_GapCash_USD" vbProcedure="false">Cost!$D$75:$I$75</definedName>
    <definedName function="false" hidden="false" name="COST_Headcount" vbProcedure="false">Cost!$D$37:$I$37</definedName>
    <definedName function="false" hidden="false" name="COST_HoldW" vbProcedure="false">Cost!$D$21:$I$21</definedName>
    <definedName function="false" hidden="false" name="COST_InfCompute" vbProcedure="false">Cost!$D$13:$I$13</definedName>
    <definedName function="false" hidden="false" name="COST_NonCompExSBC" vbProcedure="false">Cost!$D$40:$I$40</definedName>
    <definedName function="false" hidden="false" name="COST_OnPremDelivery" vbProcedure="false">Cost!$D$28:$I$28</definedName>
    <definedName function="false" hidden="false" name="COST_PropCloudRev_VR" vbProcedure="false">Cost!$D$53:$I$53</definedName>
    <definedName function="false" hidden="false" name="COST_PropCompute_VR" vbProcedure="false">Cost!$D$54:$I$54</definedName>
    <definedName function="false" hidden="false" name="COST_PropCompute_VR_USD" vbProcedure="false">Cost!$D$68:$I$68</definedName>
    <definedName function="false" hidden="false" name="COST_PropFullExSBC_VR" vbProcedure="false">Cost!$D$59:$I$59</definedName>
    <definedName function="false" hidden="false" name="COST_PropFull_Phys" vbProcedure="false">Cost!$D$84:$I$84</definedName>
    <definedName function="false" hidden="false" name="COST_PropFull_Phys_USD" vbProcedure="false">Cost!$D$87:$I$87</definedName>
    <definedName function="false" hidden="false" name="COST_PropFull_VR" vbProcedure="false">Cost!$D$58:$I$58</definedName>
    <definedName function="false" hidden="false" name="COST_PropFull_VR_USD" vbProcedure="false">Cost!$D$69:$I$69</definedName>
    <definedName function="false" hidden="false" name="COST_PropGapExSBC_VR" vbProcedure="false">Cost!$D$61:$I$61</definedName>
    <definedName function="false" hidden="false" name="COST_PropGap_Phys" vbProcedure="false">Cost!$D$85:$I$85</definedName>
    <definedName function="false" hidden="false" name="COST_PropGap_Phys_USD" vbProcedure="false">Cost!$D$88:$I$88</definedName>
    <definedName function="false" hidden="false" name="COST_PropGap_VR" vbProcedure="false">Cost!$D$60:$I$60</definedName>
    <definedName function="false" hidden="false" name="COST_PropGap_VR_Amort" vbProcedure="false">Cost!$D$94:$I$94</definedName>
    <definedName function="false" hidden="false" name="COST_PropGap_VR_Cloud" vbProcedure="false">Cost!$D$62:$I$62</definedName>
    <definedName function="false" hidden="false" name="COST_PropGap_VR_Cloud_USD" vbProcedure="false">Cost!$D$72:$I$72</definedName>
    <definedName function="false" hidden="false" name="COST_PropGap_VR_USD" vbProcedure="false">Cost!$D$70:$I$70</definedName>
    <definedName function="false" hidden="false" name="COST_PropNonComp_VR" vbProcedure="false">Cost!$D$56:$I$56</definedName>
    <definedName function="false" hidden="false" name="COST_PropOnPrem_VR" vbProcedure="false">Cost!$D$55:$I$55</definedName>
    <definedName function="false" hidden="false" name="COST_PropRev_Phys" vbProcedure="false">Cost!$D$83:$I$83</definedName>
    <definedName function="false" hidden="false" name="COST_PropRev_Phys_USD" vbProcedure="false">Cost!$D$86:$I$86</definedName>
    <definedName function="false" hidden="false" name="COST_PropRev_VR" vbProcedure="false">Cost!$D$52:$I$52</definedName>
    <definedName function="false" hidden="false" name="COST_PropRev_VR_USD" vbProcedure="false">Cost!$D$66:$I$66</definedName>
    <definedName function="false" hidden="false" name="COST_PropSBC_VR" vbProcedure="false">Cost!$D$57:$I$57</definedName>
    <definedName function="false" hidden="false" name="COST_RDCompute" vbProcedure="false">Cost!$D$14:$I$14</definedName>
    <definedName function="false" hidden="false" name="COST_Recon" vbProcedure="false">Cost!$D$45:$I$45</definedName>
    <definedName function="false" hidden="false" name="COST_Reported" vbProcedure="false">Cost!$D$34:$I$34</definedName>
    <definedName function="false" hidden="false" name="COST_SBC" vbProcedure="false">Cost!$D$41:$I$41</definedName>
    <definedName function="false" hidden="false" name="COST_SupplierHold" vbProcedure="false">Cost!$D$22:$I$22</definedName>
    <definedName function="false" hidden="false" name="DEM_ApiBilledRatio2025" vbProcedure="false">Demand!$D$48</definedName>
    <definedName function="false" hidden="false" name="DEM_ImpliedVolGrowth" vbProcedure="false">Demand!$K$43</definedName>
    <definedName function="false" hidden="false" name="DEM_Subs_CP" vbProcedure="false">Demand!$D$16:$I$16</definedName>
    <definedName function="false" hidden="false" name="DEM_Subs_CP_H" vbProcedure="false">Demand!$K$16:$L$16</definedName>
    <definedName function="false" hidden="false" name="DEM_Subs_Lite" vbProcedure="false">Demand!$D$17:$I$17</definedName>
    <definedName function="false" hidden="false" name="DEM_Subs_Max" vbProcedure="false">Demand!$D$19:$I$19</definedName>
    <definedName function="false" hidden="false" name="DEM_Subs_Pro" vbProcedure="false">Demand!$D$18:$I$18</definedName>
    <definedName function="false" hidden="false" name="DEM_Tok_API" vbProcedure="false">Demand!$D$11:$I$11</definedName>
    <definedName function="false" hidden="false" name="DEM_Tok_APIFree" vbProcedure="false">Demand!$D$14:$I$14</definedName>
    <definedName function="false" hidden="false" name="DEM_Tok_API_H" vbProcedure="false">Demand!$K$11:$L$11</definedName>
    <definedName function="false" hidden="false" name="DEM_Tok_API_Luna" vbProcedure="false">Demand!$D$13:$I$13</definedName>
    <definedName function="false" hidden="false" name="DEM_Tok_API_Sol" vbProcedure="false">Demand!$D$12:$I$12</definedName>
    <definedName function="false" hidden="false" name="DEM_Tok_Consumer" vbProcedure="false">Demand!$D$31:$I$31</definedName>
    <definedName function="false" hidden="false" name="DEM_Tok_CP" vbProcedure="false">Demand!$D$26:$I$26</definedName>
    <definedName function="false" hidden="false" name="DEM_Tok_CP_H" vbProcedure="false">Demand!$K$26:$L$26</definedName>
    <definedName function="false" hidden="false" name="DEM_Tok_Free" vbProcedure="false">Demand!$D$40:$I$40</definedName>
    <definedName function="false" hidden="false" name="DEM_Tok_Free_Luna" vbProcedure="false">Demand!$D$38:$I$38</definedName>
    <definedName function="false" hidden="false" name="DEM_Tok_Free_Sol" vbProcedure="false">Demand!$D$37:$I$37</definedName>
    <definedName function="false" hidden="false" name="DEM_Tok_Paid" vbProcedure="false">Demand!$D$39:$I$39</definedName>
    <definedName function="false" hidden="false" name="DEM_Tok_Paid_Luna" vbProcedure="false">Demand!$D$36:$I$36</definedName>
    <definedName function="false" hidden="false" name="DEM_Tok_Paid_Sol" vbProcedure="false">Demand!$D$35:$I$35</definedName>
    <definedName function="false" hidden="false" name="DEM_Tok_Total" vbProcedure="false">Demand!$D$41:$I$41</definedName>
    <definedName function="false" hidden="false" name="DEM_Users_Consumer" vbProcedure="false">Demand!$D$30:$I$30</definedName>
    <definedName function="false" hidden="false" name="FND_BankLoans" vbProcedure="false">Funding!$D$29:$I$29</definedName>
    <definedName function="false" hidden="false" name="FND_CashEnd" vbProcedure="false">Funding!$D$39:$I$39</definedName>
    <definedName function="false" hidden="false" name="FND_CashEndConv" vbProcedure="false">Funding!$D$54:$I$54</definedName>
    <definedName function="false" hidden="false" name="FND_CashEndConv_USD" vbProcedure="false">Funding!$D$90:$I$90</definedName>
    <definedName function="false" hidden="false" name="FND_CashEnd_H" vbProcedure="false">Funding!$K$39:$L$39</definedName>
    <definedName function="false" hidden="false" name="FND_CashEnd_USD" vbProcedure="false">Funding!$D$88:$I$88</definedName>
    <definedName function="false" hidden="false" name="FND_CashNoExt" vbProcedure="false">Funding!$D$44:$I$44</definedName>
    <definedName function="false" hidden="false" name="FND_CashOpen" vbProcedure="false">Funding!$D$35:$I$35</definedName>
    <definedName function="false" hidden="false" name="FND_CashRecon" vbProcedure="false">Funding!$D$81:$I$81</definedName>
    <definedName function="false" hidden="false" name="FND_Committed" vbProcedure="false">Funding!$D$31:$I$31</definedName>
    <definedName function="false" hidden="false" name="FND_Committed_USD" vbProcedure="false">Funding!$D$85:$I$85</definedName>
    <definedName function="false" hidden="false" name="FND_Contingent" vbProcedure="false">Funding!$D$58</definedName>
    <definedName function="false" hidden="false" name="FND_DebtRepay" vbProcedure="false">Funding!$D$32:$I$32</definedName>
    <definedName function="false" hidden="false" name="FND_EquityIn" vbProcedure="false">Funding!$D$26:$I$26</definedName>
    <definedName function="false" hidden="false" name="FND_ExtNeed" vbProcedure="false">Funding!$D$38:$I$38</definedName>
    <definedName function="false" hidden="false" name="FND_ExtNeedCum" vbProcedure="false">Funding!$D$40:$I$40</definedName>
    <definedName function="false" hidden="false" name="FND_ExtNeedCumConv" vbProcedure="false">Funding!$D$55:$I$55</definedName>
    <definedName function="false" hidden="false" name="FND_ExtNeedCumConv_USD" vbProcedure="false">Funding!$D$89:$I$89</definedName>
    <definedName function="false" hidden="false" name="FND_ExtNeedCum_USD" vbProcedure="false">Funding!$D$87:$I$87</definedName>
    <definedName function="false" hidden="false" name="FND_ExtNeed_USD" vbProcedure="false">Funding!$D$86:$I$86</definedName>
    <definedName function="false" hidden="false" name="FND_FCF" vbProcedure="false">Funding!$D$16:$I$16</definedName>
    <definedName function="false" hidden="false" name="FND_FCF_H" vbProcedure="false">Funding!$K$16:$L$16</definedName>
    <definedName function="false" hidden="false" name="FND_FCF_USD" vbProcedure="false">Funding!$D$84:$I$84</definedName>
    <definedName function="false" hidden="false" name="FND_FirstGapYear" vbProcedure="false">Funding!$D$46</definedName>
    <definedName function="false" hidden="false" name="FND_Gap" vbProcedure="false">Funding!$D$13:$I$13</definedName>
    <definedName function="false" hidden="false" name="FND_GapFlag" vbProcedure="false">Funding!$D$41:$I$41</definedName>
    <definedName function="false" hidden="false" name="FND_Interest" vbProcedure="false">Funding!$D$15:$I$15</definedName>
    <definedName function="false" hidden="false" name="FND_MA" vbProcedure="false">Funding!$D$20:$I$20</definedName>
    <definedName function="false" hidden="false" name="FND_MinCash" vbProcedure="false">Funding!$D$34:$I$34</definedName>
    <definedName function="false" hidden="false" name="FND_NetOp" vbProcedure="false">Funding!$D$21:$I$21</definedName>
    <definedName function="false" hidden="false" name="FND_NoExtFailYear" vbProcedure="false">Funding!$D$49</definedName>
    <definedName function="false" hidden="false" name="FND_PeakExtNeed" vbProcedure="false">Funding!$D$48</definedName>
    <definedName function="false" hidden="false" name="FND_PeakYear" vbProcedure="false">Funding!$D$47</definedName>
    <definedName function="false" hidden="false" name="FND_RunwayAfter2030" vbProcedure="false">Funding!$D$50</definedName>
    <definedName function="false" hidden="false" name="FND_UseVsModel" vbProcedure="false">Funding!$L$67</definedName>
    <definedName function="false" hidden="false" name="INP_001" vbProcedure="false">Inputs!$F$5</definedName>
    <definedName function="false" hidden="false" name="INP_002" vbProcedure="false">Inputs!$F$6</definedName>
    <definedName function="false" hidden="false" name="INP_003" vbProcedure="false">Inputs!$F$7</definedName>
    <definedName function="false" hidden="false" name="INP_004" vbProcedure="false">Inputs!$F$8</definedName>
    <definedName function="false" hidden="false" name="INP_005" vbProcedure="false">Inputs!$F$9</definedName>
    <definedName function="false" hidden="false" name="INP_006" vbProcedure="false">Inputs!$F$10</definedName>
    <definedName function="false" hidden="false" name="INP_007" vbProcedure="false">Inputs!$F$11</definedName>
    <definedName function="false" hidden="false" name="INP_008" vbProcedure="false">Inputs!$F$12</definedName>
    <definedName function="false" hidden="false" name="INP_009" vbProcedure="false">Inputs!$F$13</definedName>
    <definedName function="false" hidden="false" name="INP_010" vbProcedure="false">Inputs!$F$14</definedName>
    <definedName function="false" hidden="false" name="INP_011" vbProcedure="false">Inputs!$F$15</definedName>
    <definedName function="false" hidden="false" name="INP_012" vbProcedure="false">Inputs!$F$16</definedName>
    <definedName function="false" hidden="false" name="INP_013" vbProcedure="false">Inputs!$F$17</definedName>
    <definedName function="false" hidden="false" name="INP_014" vbProcedure="false">Inputs!$F$18</definedName>
    <definedName function="false" hidden="false" name="INP_015" vbProcedure="false">Inputs!$F$19</definedName>
    <definedName function="false" hidden="false" name="INP_016" vbProcedure="false">Inputs!$F$20</definedName>
    <definedName function="false" hidden="false" name="INP_017" vbProcedure="false">Inputs!$F$21</definedName>
    <definedName function="false" hidden="false" name="INP_018" vbProcedure="false">Inputs!$F$22</definedName>
    <definedName function="false" hidden="false" name="INP_019" vbProcedure="false">Inputs!$F$23</definedName>
    <definedName function="false" hidden="false" name="INP_020" vbProcedure="false">Inputs!$F$24</definedName>
    <definedName function="false" hidden="false" name="INP_021" vbProcedure="false">Inputs!$F$25</definedName>
    <definedName function="false" hidden="false" name="INP_022" vbProcedure="false">Inputs!$F$26</definedName>
    <definedName function="false" hidden="false" name="INP_023" vbProcedure="false">Inputs!$F$27</definedName>
    <definedName function="false" hidden="false" name="INP_024" vbProcedure="false">Inputs!$F$28</definedName>
    <definedName function="false" hidden="false" name="INP_025" vbProcedure="false">Inputs!$F$29</definedName>
    <definedName function="false" hidden="false" name="INP_026" vbProcedure="false">Inputs!$F$30</definedName>
    <definedName function="false" hidden="false" name="INP_027" vbProcedure="false">Inputs!$F$31</definedName>
    <definedName function="false" hidden="false" name="INP_028" vbProcedure="false">Inputs!$F$32</definedName>
    <definedName function="false" hidden="false" name="INP_029" vbProcedure="false">Inputs!$F$33</definedName>
    <definedName function="false" hidden="false" name="INP_030" vbProcedure="false">Inputs!$F$34</definedName>
    <definedName function="false" hidden="false" name="INP_031" vbProcedure="false">Inputs!$F$35</definedName>
    <definedName function="false" hidden="false" name="INP_032" vbProcedure="false">Inputs!$F$36</definedName>
    <definedName function="false" hidden="false" name="INP_033" vbProcedure="false">Inputs!$F$37</definedName>
    <definedName function="false" hidden="false" name="INP_034" vbProcedure="false">Inputs!$F$38</definedName>
    <definedName function="false" hidden="false" name="INP_035" vbProcedure="false">Inputs!$F$39</definedName>
    <definedName function="false" hidden="false" name="INP_036" vbProcedure="false">Inputs!$F$40</definedName>
    <definedName function="false" hidden="false" name="INP_037" vbProcedure="false">Inputs!$F$41</definedName>
    <definedName function="false" hidden="false" name="INP_038" vbProcedure="false">Inputs!$F$42</definedName>
    <definedName function="false" hidden="false" name="INP_039" vbProcedure="false">Inputs!$F$43</definedName>
    <definedName function="false" hidden="false" name="INP_040" vbProcedure="false">Inputs!$F$44</definedName>
    <definedName function="false" hidden="false" name="INP_041" vbProcedure="false">Inputs!$F$45</definedName>
    <definedName function="false" hidden="false" name="INP_042" vbProcedure="false">Inputs!$F$46</definedName>
    <definedName function="false" hidden="false" name="INP_043" vbProcedure="false">Inputs!$F$47</definedName>
    <definedName function="false" hidden="false" name="INP_044" vbProcedure="false">Inputs!$F$48</definedName>
    <definedName function="false" hidden="false" name="INP_045" vbProcedure="false">Inputs!$F$49</definedName>
    <definedName function="false" hidden="false" name="INP_046" vbProcedure="false">Inputs!$F$50</definedName>
    <definedName function="false" hidden="false" name="INP_047" vbProcedure="false">Inputs!$F$51</definedName>
    <definedName function="false" hidden="false" name="INP_048" vbProcedure="false">Inputs!$F$52</definedName>
    <definedName function="false" hidden="false" name="INP_049" vbProcedure="false">Inputs!$F$53</definedName>
    <definedName function="false" hidden="false" name="INP_050" vbProcedure="false">Inputs!$F$54</definedName>
    <definedName function="false" hidden="false" name="INP_051" vbProcedure="false">Inputs!$F$55</definedName>
    <definedName function="false" hidden="false" name="INP_052" vbProcedure="false">Inputs!$F$56</definedName>
    <definedName function="false" hidden="false" name="INP_053" vbProcedure="false">Inputs!$F$57</definedName>
    <definedName function="false" hidden="false" name="INP_054" vbProcedure="false">Inputs!$F$58</definedName>
    <definedName function="false" hidden="false" name="INP_055" vbProcedure="false">Inputs!$F$59</definedName>
    <definedName function="false" hidden="false" name="INP_056" vbProcedure="false">Inputs!$F$60</definedName>
    <definedName function="false" hidden="false" name="INP_057" vbProcedure="false">Inputs!$F$61</definedName>
    <definedName function="false" hidden="false" name="INP_058" vbProcedure="false">Inputs!$F$62</definedName>
    <definedName function="false" hidden="false" name="INP_059" vbProcedure="false">Inputs!$F$63</definedName>
    <definedName function="false" hidden="false" name="INP_060" vbProcedure="false">Inputs!$F$64</definedName>
    <definedName function="false" hidden="false" name="INP_061" vbProcedure="false">Inputs!$F$65</definedName>
    <definedName function="false" hidden="false" name="INP_062" vbProcedure="false">Inputs!$F$66</definedName>
    <definedName function="false" hidden="false" name="INP_063" vbProcedure="false">Inputs!$F$67</definedName>
    <definedName function="false" hidden="false" name="INP_064" vbProcedure="false">Inputs!$F$68</definedName>
    <definedName function="false" hidden="false" name="INP_065" vbProcedure="false">Inputs!$F$69</definedName>
    <definedName function="false" hidden="false" name="INP_066" vbProcedure="false">Inputs!$F$70</definedName>
    <definedName function="false" hidden="false" name="INP_067" vbProcedure="false">Inputs!$F$71</definedName>
    <definedName function="false" hidden="false" name="INP_068" vbProcedure="false">Inputs!$F$72</definedName>
    <definedName function="false" hidden="false" name="INP_069" vbProcedure="false">Inputs!$F$73</definedName>
    <definedName function="false" hidden="false" name="INP_070" vbProcedure="false">Inputs!$F$74</definedName>
    <definedName function="false" hidden="false" name="INP_071" vbProcedure="false">Inputs!$F$75</definedName>
    <definedName function="false" hidden="false" name="INP_073" vbProcedure="false">Inputs!$F$76</definedName>
    <definedName function="false" hidden="false" name="INP_074" vbProcedure="false">Inputs!$F$77</definedName>
    <definedName function="false" hidden="false" name="INP_075" vbProcedure="false">Inputs!$F$78</definedName>
    <definedName function="false" hidden="false" name="INP_076" vbProcedure="false">Inputs!$F$79</definedName>
    <definedName function="false" hidden="false" name="INP_077" vbProcedure="false">Inputs!$F$80</definedName>
    <definedName function="false" hidden="false" name="INP_078" vbProcedure="false">Inputs!$F$81</definedName>
    <definedName function="false" hidden="false" name="INP_079" vbProcedure="false">Inputs!$F$82</definedName>
    <definedName function="false" hidden="false" name="INP_080" vbProcedure="false">Inputs!$F$83</definedName>
    <definedName function="false" hidden="false" name="INP_081" vbProcedure="false">Inputs!$F$84</definedName>
    <definedName function="false" hidden="false" name="INP_082" vbProcedure="false">Inputs!$F$85</definedName>
    <definedName function="false" hidden="false" name="INP_083" vbProcedure="false">Inputs!$F$86</definedName>
    <definedName function="false" hidden="false" name="INP_084" vbProcedure="false">Inputs!$F$87</definedName>
    <definedName function="false" hidden="false" name="INP_085" vbProcedure="false">Inputs!$F$88</definedName>
    <definedName function="false" hidden="false" name="INP_086" vbProcedure="false">Inputs!$F$89</definedName>
    <definedName function="false" hidden="false" name="INP_087" vbProcedure="false">Inputs!$F$90</definedName>
    <definedName function="false" hidden="false" name="INP_088" vbProcedure="false">Inputs!$F$91</definedName>
    <definedName function="false" hidden="false" name="INP_089" vbProcedure="false">Inputs!$F$92</definedName>
    <definedName function="false" hidden="false" name="INP_090" vbProcedure="false">Inputs!$F$93</definedName>
    <definedName function="false" hidden="false" name="INP_091" vbProcedure="false">Inputs!$F$94</definedName>
    <definedName function="false" hidden="false" name="INP_092" vbProcedure="false">Inputs!$F$95</definedName>
    <definedName function="false" hidden="false" name="INP_093" vbProcedure="false">Inputs!$F$96</definedName>
    <definedName function="false" hidden="false" name="INP_094" vbProcedure="false">Inputs!$F$97</definedName>
    <definedName function="false" hidden="false" name="INP_095" vbProcedure="false">Inputs!$F$98</definedName>
    <definedName function="false" hidden="false" name="INP_096" vbProcedure="false">Inputs!$F$99</definedName>
    <definedName function="false" hidden="false" name="INP_097" vbProcedure="false">Inputs!$F$100</definedName>
    <definedName function="false" hidden="false" name="INP_098" vbProcedure="false">Inputs!$F$101</definedName>
    <definedName function="false" hidden="false" name="INP_099" vbProcedure="false">Inputs!$F$102</definedName>
    <definedName function="false" hidden="false" name="INP_100" vbProcedure="false">Inputs!$F$103</definedName>
    <definedName function="false" hidden="false" name="INP_101" vbProcedure="false">Inputs!$F$104</definedName>
    <definedName function="false" hidden="false" name="INP_102" vbProcedure="false">Inputs!$F$105</definedName>
    <definedName function="false" hidden="false" name="INP_103" vbProcedure="false">Inputs!$F$106</definedName>
    <definedName function="false" hidden="false" name="INP_104" vbProcedure="false">Inputs!$F$107</definedName>
    <definedName function="false" hidden="false" name="INP_105" vbProcedure="false">Inputs!$F$108</definedName>
    <definedName function="false" hidden="false" name="INP_106" vbProcedure="false">Inputs!$F$110</definedName>
    <definedName function="false" hidden="false" name="INP_107" vbProcedure="false">Inputs!$F$111</definedName>
    <definedName function="false" hidden="false" name="INP_108" vbProcedure="false">Inputs!$F$112</definedName>
    <definedName function="false" hidden="false" name="INP_109" vbProcedure="false">Inputs!$F$113</definedName>
    <definedName function="false" hidden="false" name="INP_110" vbProcedure="false">Inputs!$F$115</definedName>
    <definedName function="false" hidden="false" name="INP_111" vbProcedure="false">Inputs!$F$116</definedName>
    <definedName function="false" hidden="false" name="INP_112" vbProcedure="false">Inputs!$F$117</definedName>
    <definedName function="false" hidden="false" name="INP_113" vbProcedure="false">Inputs!$F$118</definedName>
    <definedName function="false" hidden="false" name="INP_114" vbProcedure="false">Inputs!$F$119</definedName>
    <definedName function="false" hidden="false" name="INP_115" vbProcedure="false">Inputs!$F$120</definedName>
    <definedName function="false" hidden="false" name="INP_116" vbProcedure="false">Inputs!$F$121</definedName>
    <definedName function="false" hidden="false" name="INP_117" vbProcedure="false">Inputs!$F$122</definedName>
    <definedName function="false" hidden="false" name="INP_118" vbProcedure="false">Inputs!$F$123</definedName>
    <definedName function="false" hidden="false" name="INP_119" vbProcedure="false">Inputs!$F$124</definedName>
    <definedName function="false" hidden="false" name="INP_120" vbProcedure="false">Inputs!$F$114</definedName>
    <definedName function="false" hidden="false" name="INP_121" vbProcedure="false">Inputs!$F$109</definedName>
    <definedName function="false" hidden="false" name="INP_122" vbProcedure="false">Inputs!$F$125</definedName>
    <definedName function="false" hidden="false" name="INP_123" vbProcedure="false">Inputs!$F$126</definedName>
    <definedName function="false" hidden="false" name="INP_124" vbProcedure="false">Inputs!$F$127</definedName>
    <definedName function="false" hidden="false" name="INP_125" vbProcedure="false">Inputs!$F$128</definedName>
    <definedName function="false" hidden="false" name="INP_126" vbProcedure="false">Inputs!$F$129</definedName>
    <definedName function="false" hidden="false" name="INP_127" vbProcedure="false">Inputs!$F$130</definedName>
    <definedName function="false" hidden="false" name="INP_128" vbProcedure="false">Inputs!$F$131</definedName>
    <definedName function="false" hidden="false" name="INP_129" vbProcedure="false">Inputs!$F$132</definedName>
    <definedName function="false" hidden="false" name="INP_130" vbProcedure="false">Inputs!$F$133</definedName>
    <definedName function="false" hidden="false" name="INP_131" vbProcedure="false">Inputs!$F$134</definedName>
    <definedName function="false" hidden="false" name="INP_132" vbProcedure="false">Inputs!$F$135</definedName>
    <definedName function="false" hidden="false" name="INP_133" vbProcedure="false">Inputs!$F$136</definedName>
    <definedName function="false" hidden="false" name="INP_134" vbProcedure="false">Inputs!$F$137</definedName>
    <definedName function="false" hidden="false" name="INP_135" vbProcedure="false">Inputs!$F$138</definedName>
    <definedName function="false" hidden="false" name="INP_136" vbProcedure="false">Inputs!$F$139</definedName>
    <definedName function="false" hidden="false" name="INP_137" vbProcedure="false">Inputs!$F$140</definedName>
    <definedName function="false" hidden="false" name="INP_138" vbProcedure="false">Inputs!$F$141</definedName>
    <definedName function="false" hidden="false" name="INP_139" vbProcedure="false">Inputs!$F$142</definedName>
    <definedName function="false" hidden="false" name="INP_140" vbProcedure="false">Inputs!$F$143</definedName>
    <definedName function="false" hidden="false" name="OAI_CMP_InfGW_Eff" vbProcedure="false">OAI_Link!$F$13:$K$13</definedName>
    <definedName function="false" hidden="false" name="OAI_CMP_Supply_VReq" vbProcedure="false">OAI_Link!$F$14:$K$14</definedName>
    <definedName function="false" hidden="false" name="OAI_COST_Compute" vbProcedure="false">OAI_Link!$F$15:$K$15</definedName>
    <definedName function="false" hidden="false" name="OAI_COST_Coverage" vbProcedure="false">OAI_Link!$F$20:$K$20</definedName>
    <definedName function="false" hidden="false" name="OAI_COST_FullCash" vbProcedure="false">OAI_Link!$F$16:$K$16</definedName>
    <definedName function="false" hidden="false" name="OAI_COST_PropFull_VR" vbProcedure="false">OAI_Link!$F$18:$K$18</definedName>
    <definedName function="false" hidden="false" name="OAI_COST_PropGap_VR" vbProcedure="false">OAI_Link!$F$19:$K$19</definedName>
    <definedName function="false" hidden="false" name="OAI_COST_PropRev_VR" vbProcedure="false">OAI_Link!$F$17:$K$17</definedName>
    <definedName function="false" hidden="false" name="OAI_DEM_Tok_Total" vbProcedure="false">OAI_Link!$F$12:$K$12</definedName>
    <definedName function="false" hidden="false" name="OAI_File" vbProcedure="false">OAI_Link!$B$3</definedName>
    <definedName function="false" hidden="false" name="OAI_FND_CashEnd" vbProcedure="false">OAI_Link!$F$24:$K$24</definedName>
    <definedName function="false" hidden="false" name="OAI_FND_Committed" vbProcedure="false">OAI_Link!$F$25:$K$25</definedName>
    <definedName function="false" hidden="false" name="OAI_FND_ExtNeed" vbProcedure="false">OAI_Link!$F$22:$K$22</definedName>
    <definedName function="false" hidden="false" name="OAI_FND_ExtNeedCum" vbProcedure="false">OAI_Link!$F$23:$K$23</definedName>
    <definedName function="false" hidden="false" name="OAI_FND_FCF" vbProcedure="false">OAI_Link!$F$21:$K$21</definedName>
    <definedName function="false" hidden="false" name="OAI_ReadDate" vbProcedure="false">OAI_Link!$B$6</definedName>
    <definedName function="false" hidden="false" name="OAI_Ref" vbProcedure="false">OAI_Link!$B$5</definedName>
    <definedName function="false" hidden="false" name="OAI_REV_Gross" vbProcedure="false">OAI_Link!$F$10:$K$10</definedName>
    <definedName function="false" hidden="false" name="OAI_REV_NetCapped" vbProcedure="false">OAI_Link!$F$11:$K$11</definedName>
    <definedName function="false" hidden="false" name="OAI_RVS_ExtNeedCum" vbProcedure="false">OAI_Link!$F$26:$K$26</definedName>
    <definedName function="false" hidden="false" name="OAI_SHA256" vbProcedure="false">OAI_Link!$B$4</definedName>
    <definedName function="false" hidden="false" name="REV_Ads" vbProcedure="false">Revenue!$D$53:$I$53</definedName>
    <definedName function="false" hidden="false" name="REV_API" vbProcedure="false">Revenue!$D$48:$I$48</definedName>
    <definedName function="false" hidden="false" name="REV_ApiPrice" vbProcedure="false">Revenue!$D$24:$I$24</definedName>
    <definedName function="false" hidden="false" name="REV_ApiPrice_H" vbProcedure="false">Revenue!$K$24:$L$24</definedName>
    <definedName function="false" hidden="false" name="REV_API_H" vbProcedure="false">Revenue!$K$48:$L$48</definedName>
    <definedName function="false" hidden="false" name="REV_API_Luna" vbProcedure="false">Revenue!$D$46:$I$46</definedName>
    <definedName function="false" hidden="false" name="REV_API_PayGo" vbProcedure="false">Revenue!$D$47:$I$47</definedName>
    <definedName function="false" hidden="false" name="REV_API_Sol" vbProcedure="false">Revenue!$D$45:$I$45</definedName>
    <definedName function="false" hidden="false" name="REV_ARRGapMaaS" vbProcedure="false">Revenue!$L$84</definedName>
    <definedName function="false" hidden="false" name="REV_ARRGapTotal" vbProcedure="false">Revenue!$L$87</definedName>
    <definedName function="false" hidden="false" name="REV_CapFactor" vbProcedure="false">Revenue!$D$57:$I$57</definedName>
    <definedName function="false" hidden="false" name="REV_Cloud" vbProcedure="false">Revenue!$D$56:$I$56</definedName>
    <definedName function="false" hidden="false" name="REV_CP_ARPU" vbProcedure="false">Revenue!$D$38:$I$38</definedName>
    <definedName function="false" hidden="false" name="REV_EffPrice_Luna" vbProcedure="false">Revenue!$D$21:$I$21</definedName>
    <definedName function="false" hidden="false" name="REV_EffPrice_Sol" vbProcedure="false">Revenue!$D$20:$I$20</definedName>
    <definedName function="false" hidden="false" name="REV_Enterprise" vbProcedure="false">Revenue!$D$60:$I$60</definedName>
    <definedName function="false" hidden="false" name="REV_Gap1H26" vbProcedure="false">Revenue!$K$75</definedName>
    <definedName function="false" hidden="false" name="REV_Gap2025" vbProcedure="false">Revenue!$D$74</definedName>
    <definedName function="false" hidden="false" name="REV_GapUncal2025" vbProcedure="false">Revenue!$D$77</definedName>
    <definedName function="false" hidden="false" name="REV_Gross" vbProcedure="false">Revenue!$D$54:$I$54</definedName>
    <definedName function="false" hidden="false" name="REV_GrossCapped" vbProcedure="false">Revenue!$D$58:$I$58</definedName>
    <definedName function="false" hidden="false" name="REV_Gross_H" vbProcedure="false">Revenue!$K$54:$L$54</definedName>
    <definedName function="false" hidden="false" name="REV_Individual" vbProcedure="false">Revenue!$D$61:$I$61</definedName>
    <definedName function="false" hidden="false" name="REV_ListPrice_Luna_Cache" vbProcedure="false">Revenue!$D$17:$I$17</definedName>
    <definedName function="false" hidden="false" name="REV_ListPrice_Luna_In" vbProcedure="false">Revenue!$D$16:$I$16</definedName>
    <definedName function="false" hidden="false" name="REV_ListPrice_Luna_Out" vbProcedure="false">Revenue!$D$18:$I$18</definedName>
    <definedName function="false" hidden="false" name="REV_ListPrice_Sol_Cache" vbProcedure="false">Revenue!$D$14:$I$14</definedName>
    <definedName function="false" hidden="false" name="REV_ListPrice_Sol_In" vbProcedure="false">Revenue!$D$13:$I$13</definedName>
    <definedName function="false" hidden="false" name="REV_ListPrice_Sol_Out" vbProcedure="false">Revenue!$D$15:$I$15</definedName>
    <definedName function="false" hidden="false" name="REV_Net" vbProcedure="false">Revenue!$D$55:$I$55</definedName>
    <definedName function="false" hidden="false" name="REV_NetCapped" vbProcedure="false">Revenue!$D$59:$I$59</definedName>
    <definedName function="false" hidden="false" name="REV_OnPrem" vbProcedure="false">Revenue!$D$52:$I$52</definedName>
    <definedName function="false" hidden="false" name="REV_OnPrem_Agent" vbProcedure="false">Revenue!$D$49:$I$49</definedName>
    <definedName function="false" hidden="false" name="REV_OnPrem_GPLLM" vbProcedure="false">Revenue!$D$50:$I$50</definedName>
    <definedName function="false" hidden="false" name="REV_OnPrem_H" vbProcedure="false">Revenue!$K$52:$L$52</definedName>
    <definedName function="false" hidden="false" name="REV_Other" vbProcedure="false">Revenue!$D$51:$I$51</definedName>
    <definedName function="false" hidden="false" name="REV_Sub" vbProcedure="false">Revenue!$D$43:$I$43</definedName>
    <definedName function="false" hidden="false" name="REV_Sub_H" vbProcedure="false">Revenue!$K$43:$L$43</definedName>
    <definedName function="false" hidden="false" name="REV_Sub_Lite" vbProcedure="false">Revenue!$D$40:$I$40</definedName>
    <definedName function="false" hidden="false" name="REV_Sub_Max" vbProcedure="false">Revenue!$D$42:$I$42</definedName>
    <definedName function="false" hidden="false" name="REV_Sub_Pro" vbProcedure="false">Revenue!$D$41:$I$41</definedName>
    <definedName function="false" hidden="false" name="RVS_CashEnd" vbProcedure="false">Reverse!$D$47:$I$47</definedName>
    <definedName function="false" hidden="false" name="RVS_Coverage" vbProcedure="false">Reverse!$D$41:$I$41</definedName>
    <definedName function="false" hidden="false" name="RVS_EV" vbProcedure="false">Reverse!$D$56</definedName>
    <definedName function="false" hidden="false" name="RVS_ExtNeedCum" vbProcedure="false">Reverse!$D$48:$I$48</definedName>
    <definedName function="false" hidden="false" name="RVS_FCF" vbProcedure="false">Reverse!$D$43:$I$43</definedName>
    <definedName function="false" hidden="false" name="RVS_FwdOverImplied" vbProcedure="false">Reverse!$D$71:$I$71</definedName>
    <definedName function="false" hidden="false" name="RVS_Gap" vbProcedure="false">Reverse!$D$29:$I$29</definedName>
    <definedName function="false" hidden="false" name="RVS_MktCap" vbProcedure="false">Reverse!$D$53</definedName>
    <definedName function="false" hidden="false" name="RVS_MktImpliedRev" vbProcedure="false">Reverse!$D$65</definedName>
    <definedName function="false" hidden="false" name="RVS_MktImpliedRevHi" vbProcedure="false">Reverse!$D$66</definedName>
    <definedName function="false" hidden="false" name="RVS_MktImpliedRevLo" vbProcedure="false">Reverse!$D$67</definedName>
    <definedName function="false" hidden="false" name="RVS_MktImpliedYear" vbProcedure="false">Reverse!$D$73</definedName>
    <definedName function="false" hidden="false" name="RVS_MultAPI" vbProcedure="false">Reverse!$D$34:$I$34</definedName>
    <definedName function="false" hidden="false" name="RVS_MultProp" vbProcedure="false">Reverse!$D$36:$I$36</definedName>
    <definedName function="false" hidden="false" name="RVS_MultSub" vbProcedure="false">Reverse!$D$35:$I$35</definedName>
    <definedName function="false" hidden="false" name="RVS_NetCash" vbProcedure="false">Reverse!$D$54</definedName>
    <definedName function="false" hidden="false" name="RVS_PeerMult" vbProcedure="false">Reverse!$D$62</definedName>
    <definedName function="false" hidden="false" name="RVS_Ratio" vbProcedure="false">Reverse!$D$30:$I$30</definedName>
    <definedName function="false" hidden="false" name="RVS_Target" vbProcedure="false">Reverse!$D$21:$I$21</definedName>
    <definedName function="false" hidden="false" name="RVS_TargetHi" vbProcedure="false">Reverse!$D$23:$I$23</definedName>
    <definedName function="false" hidden="false" name="RVS_TargetLo" vbProcedure="false">Reverse!$D$22:$I$22</definedName>
    <definedName function="false" hidden="false" name="SRC_ZP_001" vbProcedure="false">SRC_ZP!$D$5</definedName>
    <definedName function="false" hidden="false" name="SRC_ZP_002" vbProcedure="false">SRC_ZP!$D$6</definedName>
    <definedName function="false" hidden="false" name="SRC_ZP_003" vbProcedure="false">SRC_ZP!$D$7</definedName>
    <definedName function="false" hidden="false" name="SRC_ZP_004" vbProcedure="false">SRC_ZP!$D$8</definedName>
    <definedName function="false" hidden="false" name="SRC_ZP_005" vbProcedure="false">SRC_ZP!$D$9</definedName>
    <definedName function="false" hidden="false" name="SRC_ZP_006" vbProcedure="false">SRC_ZP!$D$10</definedName>
    <definedName function="false" hidden="false" name="SRC_ZP_007" vbProcedure="false">SRC_ZP!$D$11</definedName>
    <definedName function="false" hidden="false" name="SRC_ZP_008" vbProcedure="false">SRC_ZP!$D$12</definedName>
    <definedName function="false" hidden="false" name="SRC_ZP_009" vbProcedure="false">SRC_ZP!$D$13</definedName>
    <definedName function="false" hidden="false" name="SRC_ZP_010" vbProcedure="false">SRC_ZP!$D$14</definedName>
    <definedName function="false" hidden="false" name="SRC_ZP_011" vbProcedure="false">SRC_ZP!$D$15</definedName>
    <definedName function="false" hidden="false" name="SRC_ZP_012" vbProcedure="false">SRC_ZP!$D$16</definedName>
    <definedName function="false" hidden="false" name="SRC_ZP_013" vbProcedure="false">SRC_ZP!$D$17</definedName>
    <definedName function="false" hidden="false" name="SRC_ZP_014" vbProcedure="false">SRC_ZP!$D$18</definedName>
    <definedName function="false" hidden="false" name="SRC_ZP_015" vbProcedure="false">SRC_ZP!$D$19</definedName>
    <definedName function="false" hidden="false" name="SRC_ZP_016" vbProcedure="false">SRC_ZP!$D$20</definedName>
    <definedName function="false" hidden="false" name="SRC_ZP_017" vbProcedure="false">SRC_ZP!$D$21</definedName>
    <definedName function="false" hidden="false" name="SRC_ZP_018" vbProcedure="false">SRC_ZP!$D$22</definedName>
    <definedName function="false" hidden="false" name="SRC_ZP_019" vbProcedure="false">SRC_ZP!$D$23</definedName>
    <definedName function="false" hidden="false" name="SRC_ZP_020" vbProcedure="false">SRC_ZP!$D$24</definedName>
    <definedName function="false" hidden="false" name="SRC_ZP_021" vbProcedure="false">SRC_ZP!$D$25</definedName>
    <definedName function="false" hidden="false" name="SRC_ZP_022" vbProcedure="false">SRC_ZP!$D$26</definedName>
    <definedName function="false" hidden="false" name="SRC_ZP_023" vbProcedure="false">SRC_ZP!$D$27</definedName>
    <definedName function="false" hidden="false" name="SRC_ZP_024" vbProcedure="false">SRC_ZP!$D$28</definedName>
    <definedName function="false" hidden="false" name="SRC_ZP_025" vbProcedure="false">SRC_ZP!$D$29</definedName>
    <definedName function="false" hidden="false" name="SRC_ZP_026" vbProcedure="false">SRC_ZP!$D$30</definedName>
    <definedName function="false" hidden="false" name="SRC_ZP_027" vbProcedure="false">SRC_ZP!$D$31</definedName>
    <definedName function="false" hidden="false" name="SRC_ZP_028" vbProcedure="false">SRC_ZP!$D$32</definedName>
    <definedName function="false" hidden="false" name="SRC_ZP_029" vbProcedure="false">SRC_ZP!$D$33</definedName>
    <definedName function="false" hidden="false" name="SRC_ZP_030" vbProcedure="false">SRC_ZP!$D$34</definedName>
    <definedName function="false" hidden="false" name="SRC_ZP_031" vbProcedure="false">SRC_ZP!$D$35</definedName>
    <definedName function="false" hidden="false" name="SRC_ZP_032" vbProcedure="false">SRC_ZP!$D$36</definedName>
    <definedName function="false" hidden="false" name="SRC_ZP_033" vbProcedure="false">SRC_ZP!$D$37</definedName>
    <definedName function="false" hidden="false" name="SRC_ZP_034" vbProcedure="false">SRC_ZP!$D$38</definedName>
    <definedName function="false" hidden="false" name="SRC_ZP_035" vbProcedure="false">SRC_ZP!$D$39</definedName>
    <definedName function="false" hidden="false" name="SRC_ZP_036" vbProcedure="false">SRC_ZP!$D$40</definedName>
    <definedName function="false" hidden="false" name="SRC_ZP_037" vbProcedure="false">SRC_ZP!$D$41</definedName>
    <definedName function="false" hidden="false" name="SRC_ZP_038" vbProcedure="false">SRC_ZP!$D$42</definedName>
    <definedName function="false" hidden="false" name="SRC_ZP_039" vbProcedure="false">SRC_ZP!$D$43</definedName>
    <definedName function="false" hidden="false" name="SRC_ZP_040" vbProcedure="false">SRC_ZP!$D$44</definedName>
    <definedName function="false" hidden="false" name="SRC_ZP_041" vbProcedure="false">SRC_ZP!$D$45</definedName>
    <definedName function="false" hidden="false" name="SRC_ZP_042" vbProcedure="false">SRC_ZP!$D$46</definedName>
    <definedName function="false" hidden="false" name="SRC_ZP_043" vbProcedure="false">SRC_ZP!$D$47</definedName>
    <definedName function="false" hidden="false" name="SRC_ZP_044" vbProcedure="false">SRC_ZP!$D$48</definedName>
    <definedName function="false" hidden="false" name="SRC_ZP_045" vbProcedure="false">SRC_ZP!$D$49</definedName>
    <definedName function="false" hidden="false" name="SRC_ZP_046" vbProcedure="false">SRC_ZP!$D$50</definedName>
    <definedName function="false" hidden="false" name="SRC_ZP_047" vbProcedure="false">SRC_ZP!$D$51</definedName>
    <definedName function="false" hidden="false" name="SRC_ZP_048" vbProcedure="false">SRC_ZP!$D$52</definedName>
    <definedName function="false" hidden="false" name="SRC_ZP_049" vbProcedure="false">SRC_ZP!$D$53</definedName>
    <definedName function="false" hidden="false" name="SRC_ZP_050" vbProcedure="false">SRC_ZP!$D$54</definedName>
    <definedName function="false" hidden="false" name="SRC_ZP_051" vbProcedure="false">SRC_ZP!$D$55</definedName>
    <definedName function="false" hidden="false" name="SRC_ZP_052" vbProcedure="false">SRC_ZP!$D$56</definedName>
    <definedName function="false" hidden="false" name="SRC_ZP_053" vbProcedure="false">SRC_ZP!$D$57</definedName>
    <definedName function="false" hidden="false" name="SRC_ZP_054" vbProcedure="false">SRC_ZP!$D$58</definedName>
    <definedName function="false" hidden="false" name="SRC_ZP_055" vbProcedure="false">SRC_ZP!$D$59</definedName>
    <definedName function="false" hidden="false" name="SRC_ZP_056" vbProcedure="false">SRC_ZP!$D$60</definedName>
    <definedName function="false" hidden="false" name="SRC_ZP_057" vbProcedure="false">SRC_ZP!$D$61</definedName>
    <definedName function="false" hidden="false" name="SRC_ZP_058" vbProcedure="false">SRC_ZP!$D$62</definedName>
    <definedName function="false" hidden="false" name="SRC_ZP_059" vbProcedure="false">SRC_ZP!$D$63</definedName>
    <definedName function="false" hidden="false" name="SRC_ZP_060" vbProcedure="false">SRC_ZP!$D$64</definedName>
    <definedName function="false" hidden="false" name="SRC_ZP_061" vbProcedure="false">SRC_ZP!$D$65</definedName>
    <definedName function="false" hidden="false" name="SRC_ZP_062" vbProcedure="false">SRC_ZP!$D$66</definedName>
    <definedName function="false" hidden="false" name="SRC_ZP_063" vbProcedure="false">SRC_ZP!$D$67</definedName>
    <definedName function="false" hidden="false" name="SRC_ZP_064" vbProcedure="false">SRC_ZP!$D$68</definedName>
    <definedName function="false" hidden="false" name="SRC_ZP_065" vbProcedure="false">SRC_ZP!$D$69</definedName>
    <definedName function="false" hidden="false" name="SRC_ZP_066" vbProcedure="false">SRC_ZP!$D$70</definedName>
    <definedName function="false" hidden="false" name="SRC_ZP_067" vbProcedure="false">SRC_ZP!$D$71</definedName>
    <definedName function="false" hidden="false" name="SRC_ZP_068" vbProcedure="false">SRC_ZP!$D$72</definedName>
    <definedName function="false" hidden="false" name="SRC_ZP_069" vbProcedure="false">SRC_ZP!$D$73</definedName>
    <definedName function="false" hidden="false" name="SRC_ZP_070" vbProcedure="false">SRC_ZP!$D$74</definedName>
    <definedName function="false" hidden="false" name="SRC_ZP_071" vbProcedure="false">SRC_ZP!$D$75</definedName>
    <definedName function="false" hidden="false" name="SRC_ZP_072" vbProcedure="false">SRC_ZP!$D$76</definedName>
    <definedName function="false" hidden="false" name="SRC_ZP_073" vbProcedure="false">SRC_ZP!$D$77</definedName>
    <definedName function="false" hidden="false" name="SRC_ZP_074" vbProcedure="false">SRC_ZP!$D$78</definedName>
    <definedName function="false" hidden="false" name="SRC_ZP_075" vbProcedure="false">SRC_ZP!$D$79</definedName>
    <definedName function="false" hidden="false" name="SRC_ZP_076" vbProcedure="false">SRC_ZP!$D$80</definedName>
    <definedName function="false" hidden="false" name="SRC_ZP_077" vbProcedure="false">SRC_ZP!$D$81</definedName>
    <definedName function="false" hidden="false" name="SRC_ZP_078" vbProcedure="false">SRC_ZP!$D$82</definedName>
    <definedName function="false" hidden="false" name="SRC_ZP_079" vbProcedure="false">SRC_ZP!$D$83</definedName>
    <definedName function="false" hidden="false" name="SRC_ZP_080" vbProcedure="false">SRC_ZP!$D$84</definedName>
    <definedName function="false" hidden="false" name="SRC_ZP_081" vbProcedure="false">SRC_ZP!$D$85</definedName>
    <definedName function="false" hidden="false" name="SRC_ZP_082" vbProcedure="false">SRC_ZP!$D$86</definedName>
    <definedName function="false" hidden="false" name="SRC_ZP_083" vbProcedure="false">SRC_ZP!$D$87</definedName>
    <definedName function="false" hidden="false" name="SRC_ZP_084" vbProcedure="false">SRC_ZP!$D$88</definedName>
    <definedName function="false" hidden="false" name="SRC_ZP_085" vbProcedure="false">SRC_ZP!$D$89</definedName>
    <definedName function="false" hidden="false" name="SRC_ZP_086" vbProcedure="false">SRC_ZP!$D$90</definedName>
    <definedName function="false" hidden="false" name="SRC_ZP_087" vbProcedure="false">SRC_ZP!$D$91</definedName>
    <definedName function="false" hidden="false" name="SRC_ZP_088" vbProcedure="false">SRC_ZP!$D$92</definedName>
    <definedName function="false" hidden="false" name="SRC_ZP_089" vbProcedure="false">SRC_ZP!$D$93</definedName>
    <definedName function="false" hidden="false" name="SRC_ZP_090" vbProcedure="false">SRC_ZP!$D$94</definedName>
    <definedName function="false" hidden="false" name="SRC_ZP_091" vbProcedure="false">SRC_ZP!$D$95</definedName>
    <definedName function="false" hidden="false" name="SRC_ZP_092" vbProcedure="false">SRC_ZP!$D$96</definedName>
    <definedName function="false" hidden="false" name="SRC_ZP_093" vbProcedure="false">SRC_ZP!$D$97</definedName>
    <definedName function="false" hidden="false" name="SRC_ZP_094" vbProcedure="false">SRC_ZP!$D$98</definedName>
    <definedName function="false" hidden="false" name="SRC_ZP_095" vbProcedure="false">SRC_ZP!$D$99</definedName>
    <definedName function="false" hidden="false" name="SRC_ZP_096" vbProcedure="false">SRC_ZP!$D$100</definedName>
    <definedName function="false" hidden="false" name="SRC_ZP_097" vbProcedure="false">SRC_ZP!$D$101</definedName>
    <definedName function="false" hidden="false" name="SRC_ZP_098" vbProcedure="false">SRC_ZP!$D$102</definedName>
    <definedName function="false" hidden="false" name="SRC_ZP_099" vbProcedure="false">SRC_ZP!$D$103</definedName>
    <definedName function="false" hidden="false" name="SRC_ZP_100" vbProcedure="false">SRC_ZP!$D$104</definedName>
    <definedName function="false" hidden="false" name="SRC_ZP_1000" vbProcedure="false">SRC_ZP!$D$1004</definedName>
    <definedName function="false" hidden="false" name="SRC_ZP_1001" vbProcedure="false">SRC_ZP!$D$1005</definedName>
    <definedName function="false" hidden="false" name="SRC_ZP_1002" vbProcedure="false">SRC_ZP!$D$1006</definedName>
    <definedName function="false" hidden="false" name="SRC_ZP_1003" vbProcedure="false">SRC_ZP!$D$1007</definedName>
    <definedName function="false" hidden="false" name="SRC_ZP_1004" vbProcedure="false">SRC_ZP!$D$1008</definedName>
    <definedName function="false" hidden="false" name="SRC_ZP_1005" vbProcedure="false">SRC_ZP!$D$1009</definedName>
    <definedName function="false" hidden="false" name="SRC_ZP_1006" vbProcedure="false">SRC_ZP!$D$1010</definedName>
    <definedName function="false" hidden="false" name="SRC_ZP_1007" vbProcedure="false">SRC_ZP!$D$1011</definedName>
    <definedName function="false" hidden="false" name="SRC_ZP_1008" vbProcedure="false">SRC_ZP!$D$1012</definedName>
    <definedName function="false" hidden="false" name="SRC_ZP_1009" vbProcedure="false">SRC_ZP!$D$1013</definedName>
    <definedName function="false" hidden="false" name="SRC_ZP_101" vbProcedure="false">SRC_ZP!$D$105</definedName>
    <definedName function="false" hidden="false" name="SRC_ZP_1010" vbProcedure="false">SRC_ZP!$D$1014</definedName>
    <definedName function="false" hidden="false" name="SRC_ZP_1011" vbProcedure="false">SRC_ZP!$D$1015</definedName>
    <definedName function="false" hidden="false" name="SRC_ZP_1012" vbProcedure="false">SRC_ZP!$D$1016</definedName>
    <definedName function="false" hidden="false" name="SRC_ZP_1013" vbProcedure="false">SRC_ZP!$D$1017</definedName>
    <definedName function="false" hidden="false" name="SRC_ZP_1014" vbProcedure="false">SRC_ZP!$D$1018</definedName>
    <definedName function="false" hidden="false" name="SRC_ZP_1015" vbProcedure="false">SRC_ZP!$D$1019</definedName>
    <definedName function="false" hidden="false" name="SRC_ZP_1016" vbProcedure="false">SRC_ZP!$D$1020</definedName>
    <definedName function="false" hidden="false" name="SRC_ZP_1018" vbProcedure="false">SRC_ZP!$D$1022</definedName>
    <definedName function="false" hidden="false" name="SRC_ZP_1019" vbProcedure="false">SRC_ZP!$D$1023</definedName>
    <definedName function="false" hidden="false" name="SRC_ZP_102" vbProcedure="false">SRC_ZP!$D$106</definedName>
    <definedName function="false" hidden="false" name="SRC_ZP_1020" vbProcedure="false">SRC_ZP!$D$1024</definedName>
    <definedName function="false" hidden="false" name="SRC_ZP_1021" vbProcedure="false">SRC_ZP!$D$1025</definedName>
    <definedName function="false" hidden="false" name="SRC_ZP_1022" vbProcedure="false">SRC_ZP!$D$1026</definedName>
    <definedName function="false" hidden="false" name="SRC_ZP_1023" vbProcedure="false">SRC_ZP!$D$1027</definedName>
    <definedName function="false" hidden="false" name="SRC_ZP_1024" vbProcedure="false">SRC_ZP!$D$1028</definedName>
    <definedName function="false" hidden="false" name="SRC_ZP_1025" vbProcedure="false">SRC_ZP!$D$1029</definedName>
    <definedName function="false" hidden="false" name="SRC_ZP_1026" vbProcedure="false">SRC_ZP!$D$1030</definedName>
    <definedName function="false" hidden="false" name="SRC_ZP_1027" vbProcedure="false">SRC_ZP!$D$1031</definedName>
    <definedName function="false" hidden="false" name="SRC_ZP_1028" vbProcedure="false">SRC_ZP!$D$1032</definedName>
    <definedName function="false" hidden="false" name="SRC_ZP_1029" vbProcedure="false">SRC_ZP!$D$1033</definedName>
    <definedName function="false" hidden="false" name="SRC_ZP_103" vbProcedure="false">SRC_ZP!$D$107</definedName>
    <definedName function="false" hidden="false" name="SRC_ZP_1030" vbProcedure="false">SRC_ZP!$D$1034</definedName>
    <definedName function="false" hidden="false" name="SRC_ZP_1031" vbProcedure="false">SRC_ZP!$D$1035</definedName>
    <definedName function="false" hidden="false" name="SRC_ZP_1032" vbProcedure="false">SRC_ZP!$D$1036</definedName>
    <definedName function="false" hidden="false" name="SRC_ZP_1032_Hi" vbProcedure="false">SRC_ZP!$F$1036</definedName>
    <definedName function="false" hidden="false" name="SRC_ZP_1032_Lo" vbProcedure="false">SRC_ZP!$E$1036</definedName>
    <definedName function="false" hidden="false" name="SRC_ZP_1033" vbProcedure="false">SRC_ZP!$D$1037</definedName>
    <definedName function="false" hidden="false" name="SRC_ZP_1034" vbProcedure="false">SRC_ZP!$D$1038</definedName>
    <definedName function="false" hidden="false" name="SRC_ZP_1035" vbProcedure="false">SRC_ZP!$D$1039</definedName>
    <definedName function="false" hidden="false" name="SRC_ZP_1036" vbProcedure="false">SRC_ZP!$D$1040</definedName>
    <definedName function="false" hidden="false" name="SRC_ZP_1037" vbProcedure="false">SRC_ZP!$D$1041</definedName>
    <definedName function="false" hidden="false" name="SRC_ZP_1038" vbProcedure="false">SRC_ZP!$D$1042</definedName>
    <definedName function="false" hidden="false" name="SRC_ZP_1039" vbProcedure="false">SRC_ZP!$D$1043</definedName>
    <definedName function="false" hidden="false" name="SRC_ZP_104" vbProcedure="false">SRC_ZP!$D$108</definedName>
    <definedName function="false" hidden="false" name="SRC_ZP_1040" vbProcedure="false">SRC_ZP!$D$1044</definedName>
    <definedName function="false" hidden="false" name="SRC_ZP_1041" vbProcedure="false">SRC_ZP!$D$1045</definedName>
    <definedName function="false" hidden="false" name="SRC_ZP_1042" vbProcedure="false">SRC_ZP!$D$1046</definedName>
    <definedName function="false" hidden="false" name="SRC_ZP_1043" vbProcedure="false">SRC_ZP!$D$1047</definedName>
    <definedName function="false" hidden="false" name="SRC_ZP_1044" vbProcedure="false">SRC_ZP!$D$1048</definedName>
    <definedName function="false" hidden="false" name="SRC_ZP_1045" vbProcedure="false">SRC_ZP!$D$1049</definedName>
    <definedName function="false" hidden="false" name="SRC_ZP_1046" vbProcedure="false">SRC_ZP!$D$1050</definedName>
    <definedName function="false" hidden="false" name="SRC_ZP_1047" vbProcedure="false">SRC_ZP!$D$1051</definedName>
    <definedName function="false" hidden="false" name="SRC_ZP_1048" vbProcedure="false">SRC_ZP!$D$1052</definedName>
    <definedName function="false" hidden="false" name="SRC_ZP_1049" vbProcedure="false">SRC_ZP!$D$1053</definedName>
    <definedName function="false" hidden="false" name="SRC_ZP_105" vbProcedure="false">SRC_ZP!$D$109</definedName>
    <definedName function="false" hidden="false" name="SRC_ZP_1051" vbProcedure="false">SRC_ZP!$D$1055</definedName>
    <definedName function="false" hidden="false" name="SRC_ZP_1052" vbProcedure="false">SRC_ZP!$D$1056</definedName>
    <definedName function="false" hidden="false" name="SRC_ZP_1053" vbProcedure="false">SRC_ZP!$D$1057</definedName>
    <definedName function="false" hidden="false" name="SRC_ZP_1054" vbProcedure="false">SRC_ZP!$D$1058</definedName>
    <definedName function="false" hidden="false" name="SRC_ZP_106" vbProcedure="false">SRC_ZP!$D$110</definedName>
    <definedName function="false" hidden="false" name="SRC_ZP_107" vbProcedure="false">SRC_ZP!$D$111</definedName>
    <definedName function="false" hidden="false" name="SRC_ZP_108" vbProcedure="false">SRC_ZP!$D$112</definedName>
    <definedName function="false" hidden="false" name="SRC_ZP_109" vbProcedure="false">SRC_ZP!$D$113</definedName>
    <definedName function="false" hidden="false" name="SRC_ZP_110" vbProcedure="false">SRC_ZP!$D$114</definedName>
    <definedName function="false" hidden="false" name="SRC_ZP_111" vbProcedure="false">SRC_ZP!$D$115</definedName>
    <definedName function="false" hidden="false" name="SRC_ZP_112" vbProcedure="false">SRC_ZP!$D$116</definedName>
    <definedName function="false" hidden="false" name="SRC_ZP_113" vbProcedure="false">SRC_ZP!$D$117</definedName>
    <definedName function="false" hidden="false" name="SRC_ZP_114" vbProcedure="false">SRC_ZP!$D$118</definedName>
    <definedName function="false" hidden="false" name="SRC_ZP_115" vbProcedure="false">SRC_ZP!$D$119</definedName>
    <definedName function="false" hidden="false" name="SRC_ZP_116" vbProcedure="false">SRC_ZP!$D$120</definedName>
    <definedName function="false" hidden="false" name="SRC_ZP_117" vbProcedure="false">SRC_ZP!$D$121</definedName>
    <definedName function="false" hidden="false" name="SRC_ZP_118" vbProcedure="false">SRC_ZP!$D$122</definedName>
    <definedName function="false" hidden="false" name="SRC_ZP_119" vbProcedure="false">SRC_ZP!$D$123</definedName>
    <definedName function="false" hidden="false" name="SRC_ZP_120" vbProcedure="false">SRC_ZP!$D$124</definedName>
    <definedName function="false" hidden="false" name="SRC_ZP_121" vbProcedure="false">SRC_ZP!$D$125</definedName>
    <definedName function="false" hidden="false" name="SRC_ZP_122" vbProcedure="false">SRC_ZP!$D$126</definedName>
    <definedName function="false" hidden="false" name="SRC_ZP_123" vbProcedure="false">SRC_ZP!$D$127</definedName>
    <definedName function="false" hidden="false" name="SRC_ZP_124" vbProcedure="false">SRC_ZP!$D$128</definedName>
    <definedName function="false" hidden="false" name="SRC_ZP_125" vbProcedure="false">SRC_ZP!$D$129</definedName>
    <definedName function="false" hidden="false" name="SRC_ZP_126" vbProcedure="false">SRC_ZP!$D$130</definedName>
    <definedName function="false" hidden="false" name="SRC_ZP_127" vbProcedure="false">SRC_ZP!$D$131</definedName>
    <definedName function="false" hidden="false" name="SRC_ZP_128" vbProcedure="false">SRC_ZP!$D$132</definedName>
    <definedName function="false" hidden="false" name="SRC_ZP_129" vbProcedure="false">SRC_ZP!$D$133</definedName>
    <definedName function="false" hidden="false" name="SRC_ZP_130" vbProcedure="false">SRC_ZP!$D$134</definedName>
    <definedName function="false" hidden="false" name="SRC_ZP_131" vbProcedure="false">SRC_ZP!$D$135</definedName>
    <definedName function="false" hidden="false" name="SRC_ZP_132" vbProcedure="false">SRC_ZP!$D$136</definedName>
    <definedName function="false" hidden="false" name="SRC_ZP_133" vbProcedure="false">SRC_ZP!$D$137</definedName>
    <definedName function="false" hidden="false" name="SRC_ZP_134" vbProcedure="false">SRC_ZP!$D$138</definedName>
    <definedName function="false" hidden="false" name="SRC_ZP_135" vbProcedure="false">SRC_ZP!$D$139</definedName>
    <definedName function="false" hidden="false" name="SRC_ZP_136" vbProcedure="false">SRC_ZP!$D$140</definedName>
    <definedName function="false" hidden="false" name="SRC_ZP_137" vbProcedure="false">SRC_ZP!$D$141</definedName>
    <definedName function="false" hidden="false" name="SRC_ZP_138" vbProcedure="false">SRC_ZP!$D$142</definedName>
    <definedName function="false" hidden="false" name="SRC_ZP_139" vbProcedure="false">SRC_ZP!$D$143</definedName>
    <definedName function="false" hidden="false" name="SRC_ZP_140" vbProcedure="false">SRC_ZP!$D$144</definedName>
    <definedName function="false" hidden="false" name="SRC_ZP_141" vbProcedure="false">SRC_ZP!$D$145</definedName>
    <definedName function="false" hidden="false" name="SRC_ZP_142" vbProcedure="false">SRC_ZP!$D$146</definedName>
    <definedName function="false" hidden="false" name="SRC_ZP_143" vbProcedure="false">SRC_ZP!$D$147</definedName>
    <definedName function="false" hidden="false" name="SRC_ZP_144" vbProcedure="false">SRC_ZP!$D$148</definedName>
    <definedName function="false" hidden="false" name="SRC_ZP_145" vbProcedure="false">SRC_ZP!$D$149</definedName>
    <definedName function="false" hidden="false" name="SRC_ZP_146" vbProcedure="false">SRC_ZP!$D$150</definedName>
    <definedName function="false" hidden="false" name="SRC_ZP_147" vbProcedure="false">SRC_ZP!$D$151</definedName>
    <definedName function="false" hidden="false" name="SRC_ZP_148" vbProcedure="false">SRC_ZP!$D$152</definedName>
    <definedName function="false" hidden="false" name="SRC_ZP_149" vbProcedure="false">SRC_ZP!$D$153</definedName>
    <definedName function="false" hidden="false" name="SRC_ZP_150" vbProcedure="false">SRC_ZP!$D$154</definedName>
    <definedName function="false" hidden="false" name="SRC_ZP_151" vbProcedure="false">SRC_ZP!$D$155</definedName>
    <definedName function="false" hidden="false" name="SRC_ZP_152" vbProcedure="false">SRC_ZP!$D$156</definedName>
    <definedName function="false" hidden="false" name="SRC_ZP_153" vbProcedure="false">SRC_ZP!$D$157</definedName>
    <definedName function="false" hidden="false" name="SRC_ZP_154" vbProcedure="false">SRC_ZP!$D$158</definedName>
    <definedName function="false" hidden="false" name="SRC_ZP_155" vbProcedure="false">SRC_ZP!$D$159</definedName>
    <definedName function="false" hidden="false" name="SRC_ZP_156" vbProcedure="false">SRC_ZP!$D$160</definedName>
    <definedName function="false" hidden="false" name="SRC_ZP_157" vbProcedure="false">SRC_ZP!$D$161</definedName>
    <definedName function="false" hidden="false" name="SRC_ZP_158" vbProcedure="false">SRC_ZP!$D$162</definedName>
    <definedName function="false" hidden="false" name="SRC_ZP_159" vbProcedure="false">SRC_ZP!$D$163</definedName>
    <definedName function="false" hidden="false" name="SRC_ZP_160" vbProcedure="false">SRC_ZP!$D$164</definedName>
    <definedName function="false" hidden="false" name="SRC_ZP_161" vbProcedure="false">SRC_ZP!$D$165</definedName>
    <definedName function="false" hidden="false" name="SRC_ZP_162" vbProcedure="false">SRC_ZP!$D$166</definedName>
    <definedName function="false" hidden="false" name="SRC_ZP_163" vbProcedure="false">SRC_ZP!$D$167</definedName>
    <definedName function="false" hidden="false" name="SRC_ZP_164" vbProcedure="false">SRC_ZP!$D$168</definedName>
    <definedName function="false" hidden="false" name="SRC_ZP_166" vbProcedure="false">SRC_ZP!$D$170</definedName>
    <definedName function="false" hidden="false" name="SRC_ZP_168" vbProcedure="false">SRC_ZP!$D$172</definedName>
    <definedName function="false" hidden="false" name="SRC_ZP_168_Lo" vbProcedure="false">SRC_ZP!$E$172</definedName>
    <definedName function="false" hidden="false" name="SRC_ZP_169" vbProcedure="false">SRC_ZP!$D$173</definedName>
    <definedName function="false" hidden="false" name="SRC_ZP_170" vbProcedure="false">SRC_ZP!$D$174</definedName>
    <definedName function="false" hidden="false" name="SRC_ZP_171" vbProcedure="false">SRC_ZP!$D$175</definedName>
    <definedName function="false" hidden="false" name="SRC_ZP_172" vbProcedure="false">SRC_ZP!$D$176</definedName>
    <definedName function="false" hidden="false" name="SRC_ZP_173" vbProcedure="false">SRC_ZP!$D$177</definedName>
    <definedName function="false" hidden="false" name="SRC_ZP_174" vbProcedure="false">SRC_ZP!$D$178</definedName>
    <definedName function="false" hidden="false" name="SRC_ZP_175" vbProcedure="false">SRC_ZP!$D$179</definedName>
    <definedName function="false" hidden="false" name="SRC_ZP_176" vbProcedure="false">SRC_ZP!$D$180</definedName>
    <definedName function="false" hidden="false" name="SRC_ZP_177" vbProcedure="false">SRC_ZP!$D$181</definedName>
    <definedName function="false" hidden="false" name="SRC_ZP_178" vbProcedure="false">SRC_ZP!$D$182</definedName>
    <definedName function="false" hidden="false" name="SRC_ZP_179" vbProcedure="false">SRC_ZP!$D$183</definedName>
    <definedName function="false" hidden="false" name="SRC_ZP_180" vbProcedure="false">SRC_ZP!$D$184</definedName>
    <definedName function="false" hidden="false" name="SRC_ZP_181" vbProcedure="false">SRC_ZP!$D$185</definedName>
    <definedName function="false" hidden="false" name="SRC_ZP_182" vbProcedure="false">SRC_ZP!$D$186</definedName>
    <definedName function="false" hidden="false" name="SRC_ZP_183" vbProcedure="false">SRC_ZP!$D$187</definedName>
    <definedName function="false" hidden="false" name="SRC_ZP_184" vbProcedure="false">SRC_ZP!$D$188</definedName>
    <definedName function="false" hidden="false" name="SRC_ZP_185" vbProcedure="false">SRC_ZP!$D$189</definedName>
    <definedName function="false" hidden="false" name="SRC_ZP_186" vbProcedure="false">SRC_ZP!$D$190</definedName>
    <definedName function="false" hidden="false" name="SRC_ZP_187" vbProcedure="false">SRC_ZP!$D$191</definedName>
    <definedName function="false" hidden="false" name="SRC_ZP_188" vbProcedure="false">SRC_ZP!$D$192</definedName>
    <definedName function="false" hidden="false" name="SRC_ZP_189" vbProcedure="false">SRC_ZP!$D$193</definedName>
    <definedName function="false" hidden="false" name="SRC_ZP_190" vbProcedure="false">SRC_ZP!$D$194</definedName>
    <definedName function="false" hidden="false" name="SRC_ZP_191" vbProcedure="false">SRC_ZP!$D$195</definedName>
    <definedName function="false" hidden="false" name="SRC_ZP_192" vbProcedure="false">SRC_ZP!$D$196</definedName>
    <definedName function="false" hidden="false" name="SRC_ZP_193" vbProcedure="false">SRC_ZP!$D$197</definedName>
    <definedName function="false" hidden="false" name="SRC_ZP_194" vbProcedure="false">SRC_ZP!$D$198</definedName>
    <definedName function="false" hidden="false" name="SRC_ZP_195" vbProcedure="false">SRC_ZP!$D$199</definedName>
    <definedName function="false" hidden="false" name="SRC_ZP_196" vbProcedure="false">SRC_ZP!$D$200</definedName>
    <definedName function="false" hidden="false" name="SRC_ZP_197" vbProcedure="false">SRC_ZP!$D$201</definedName>
    <definedName function="false" hidden="false" name="SRC_ZP_198" vbProcedure="false">SRC_ZP!$D$202</definedName>
    <definedName function="false" hidden="false" name="SRC_ZP_199" vbProcedure="false">SRC_ZP!$D$203</definedName>
    <definedName function="false" hidden="false" name="SRC_ZP_200" vbProcedure="false">SRC_ZP!$D$204</definedName>
    <definedName function="false" hidden="false" name="SRC_ZP_201" vbProcedure="false">SRC_ZP!$D$205</definedName>
    <definedName function="false" hidden="false" name="SRC_ZP_202" vbProcedure="false">SRC_ZP!$D$206</definedName>
    <definedName function="false" hidden="false" name="SRC_ZP_203" vbProcedure="false">SRC_ZP!$D$207</definedName>
    <definedName function="false" hidden="false" name="SRC_ZP_204" vbProcedure="false">SRC_ZP!$D$208</definedName>
    <definedName function="false" hidden="false" name="SRC_ZP_205" vbProcedure="false">SRC_ZP!$D$209</definedName>
    <definedName function="false" hidden="false" name="SRC_ZP_206" vbProcedure="false">SRC_ZP!$D$210</definedName>
    <definedName function="false" hidden="false" name="SRC_ZP_207" vbProcedure="false">SRC_ZP!$D$211</definedName>
    <definedName function="false" hidden="false" name="SRC_ZP_208" vbProcedure="false">SRC_ZP!$D$212</definedName>
    <definedName function="false" hidden="false" name="SRC_ZP_209" vbProcedure="false">SRC_ZP!$D$213</definedName>
    <definedName function="false" hidden="false" name="SRC_ZP_210" vbProcedure="false">SRC_ZP!$D$214</definedName>
    <definedName function="false" hidden="false" name="SRC_ZP_211" vbProcedure="false">SRC_ZP!$D$215</definedName>
    <definedName function="false" hidden="false" name="SRC_ZP_212" vbProcedure="false">SRC_ZP!$D$216</definedName>
    <definedName function="false" hidden="false" name="SRC_ZP_213" vbProcedure="false">SRC_ZP!$D$217</definedName>
    <definedName function="false" hidden="false" name="SRC_ZP_214" vbProcedure="false">SRC_ZP!$D$218</definedName>
    <definedName function="false" hidden="false" name="SRC_ZP_215" vbProcedure="false">SRC_ZP!$D$219</definedName>
    <definedName function="false" hidden="false" name="SRC_ZP_216" vbProcedure="false">SRC_ZP!$D$220</definedName>
    <definedName function="false" hidden="false" name="SRC_ZP_217" vbProcedure="false">SRC_ZP!$D$221</definedName>
    <definedName function="false" hidden="false" name="SRC_ZP_218" vbProcedure="false">SRC_ZP!$D$222</definedName>
    <definedName function="false" hidden="false" name="SRC_ZP_219" vbProcedure="false">SRC_ZP!$D$223</definedName>
    <definedName function="false" hidden="false" name="SRC_ZP_220" vbProcedure="false">SRC_ZP!$D$224</definedName>
    <definedName function="false" hidden="false" name="SRC_ZP_221" vbProcedure="false">SRC_ZP!$D$225</definedName>
    <definedName function="false" hidden="false" name="SRC_ZP_222" vbProcedure="false">SRC_ZP!$D$226</definedName>
    <definedName function="false" hidden="false" name="SRC_ZP_223" vbProcedure="false">SRC_ZP!$D$227</definedName>
    <definedName function="false" hidden="false" name="SRC_ZP_224" vbProcedure="false">SRC_ZP!$D$228</definedName>
    <definedName function="false" hidden="false" name="SRC_ZP_225" vbProcedure="false">SRC_ZP!$D$229</definedName>
    <definedName function="false" hidden="false" name="SRC_ZP_226" vbProcedure="false">SRC_ZP!$D$230</definedName>
    <definedName function="false" hidden="false" name="SRC_ZP_227" vbProcedure="false">SRC_ZP!$D$231</definedName>
    <definedName function="false" hidden="false" name="SRC_ZP_229" vbProcedure="false">SRC_ZP!$D$233</definedName>
    <definedName function="false" hidden="false" name="SRC_ZP_229_Lo" vbProcedure="false">SRC_ZP!$E$233</definedName>
    <definedName function="false" hidden="false" name="SRC_ZP_230" vbProcedure="false">SRC_ZP!$D$234</definedName>
    <definedName function="false" hidden="false" name="SRC_ZP_231" vbProcedure="false">SRC_ZP!$D$235</definedName>
    <definedName function="false" hidden="false" name="SRC_ZP_232" vbProcedure="false">SRC_ZP!$D$236</definedName>
    <definedName function="false" hidden="false" name="SRC_ZP_233" vbProcedure="false">SRC_ZP!$D$237</definedName>
    <definedName function="false" hidden="false" name="SRC_ZP_234" vbProcedure="false">SRC_ZP!$D$238</definedName>
    <definedName function="false" hidden="false" name="SRC_ZP_234_Lo" vbProcedure="false">SRC_ZP!$E$238</definedName>
    <definedName function="false" hidden="false" name="SRC_ZP_235" vbProcedure="false">SRC_ZP!$D$239</definedName>
    <definedName function="false" hidden="false" name="SRC_ZP_236" vbProcedure="false">SRC_ZP!$D$240</definedName>
    <definedName function="false" hidden="false" name="SRC_ZP_237" vbProcedure="false">SRC_ZP!$D$241</definedName>
    <definedName function="false" hidden="false" name="SRC_ZP_238" vbProcedure="false">SRC_ZP!$D$242</definedName>
    <definedName function="false" hidden="false" name="SRC_ZP_239" vbProcedure="false">SRC_ZP!$D$243</definedName>
    <definedName function="false" hidden="false" name="SRC_ZP_240" vbProcedure="false">SRC_ZP!$D$244</definedName>
    <definedName function="false" hidden="false" name="SRC_ZP_241" vbProcedure="false">SRC_ZP!$D$245</definedName>
    <definedName function="false" hidden="false" name="SRC_ZP_242" vbProcedure="false">SRC_ZP!$D$246</definedName>
    <definedName function="false" hidden="false" name="SRC_ZP_243" vbProcedure="false">SRC_ZP!$D$247</definedName>
    <definedName function="false" hidden="false" name="SRC_ZP_244" vbProcedure="false">SRC_ZP!$D$248</definedName>
    <definedName function="false" hidden="false" name="SRC_ZP_245" vbProcedure="false">SRC_ZP!$D$249</definedName>
    <definedName function="false" hidden="false" name="SRC_ZP_246" vbProcedure="false">SRC_ZP!$D$250</definedName>
    <definedName function="false" hidden="false" name="SRC_ZP_247" vbProcedure="false">SRC_ZP!$D$251</definedName>
    <definedName function="false" hidden="false" name="SRC_ZP_248" vbProcedure="false">SRC_ZP!$D$252</definedName>
    <definedName function="false" hidden="false" name="SRC_ZP_249" vbProcedure="false">SRC_ZP!$D$253</definedName>
    <definedName function="false" hidden="false" name="SRC_ZP_250" vbProcedure="false">SRC_ZP!$D$254</definedName>
    <definedName function="false" hidden="false" name="SRC_ZP_251" vbProcedure="false">SRC_ZP!$D$255</definedName>
    <definedName function="false" hidden="false" name="SRC_ZP_252" vbProcedure="false">SRC_ZP!$D$256</definedName>
    <definedName function="false" hidden="false" name="SRC_ZP_253" vbProcedure="false">SRC_ZP!$D$257</definedName>
    <definedName function="false" hidden="false" name="SRC_ZP_254" vbProcedure="false">SRC_ZP!$D$258</definedName>
    <definedName function="false" hidden="false" name="SRC_ZP_255" vbProcedure="false">SRC_ZP!$D$259</definedName>
    <definedName function="false" hidden="false" name="SRC_ZP_256" vbProcedure="false">SRC_ZP!$D$260</definedName>
    <definedName function="false" hidden="false" name="SRC_ZP_257" vbProcedure="false">SRC_ZP!$D$261</definedName>
    <definedName function="false" hidden="false" name="SRC_ZP_258" vbProcedure="false">SRC_ZP!$D$262</definedName>
    <definedName function="false" hidden="false" name="SRC_ZP_259" vbProcedure="false">SRC_ZP!$D$263</definedName>
    <definedName function="false" hidden="false" name="SRC_ZP_260" vbProcedure="false">SRC_ZP!$D$264</definedName>
    <definedName function="false" hidden="false" name="SRC_ZP_261" vbProcedure="false">SRC_ZP!$D$265</definedName>
    <definedName function="false" hidden="false" name="SRC_ZP_262" vbProcedure="false">SRC_ZP!$D$266</definedName>
    <definedName function="false" hidden="false" name="SRC_ZP_263" vbProcedure="false">SRC_ZP!$D$267</definedName>
    <definedName function="false" hidden="false" name="SRC_ZP_264" vbProcedure="false">SRC_ZP!$D$268</definedName>
    <definedName function="false" hidden="false" name="SRC_ZP_265" vbProcedure="false">SRC_ZP!$D$269</definedName>
    <definedName function="false" hidden="false" name="SRC_ZP_266" vbProcedure="false">SRC_ZP!$D$270</definedName>
    <definedName function="false" hidden="false" name="SRC_ZP_267" vbProcedure="false">SRC_ZP!$D$271</definedName>
    <definedName function="false" hidden="false" name="SRC_ZP_268" vbProcedure="false">SRC_ZP!$D$272</definedName>
    <definedName function="false" hidden="false" name="SRC_ZP_269" vbProcedure="false">SRC_ZP!$D$273</definedName>
    <definedName function="false" hidden="false" name="SRC_ZP_270" vbProcedure="false">SRC_ZP!$D$274</definedName>
    <definedName function="false" hidden="false" name="SRC_ZP_271" vbProcedure="false">SRC_ZP!$D$275</definedName>
    <definedName function="false" hidden="false" name="SRC_ZP_272" vbProcedure="false">SRC_ZP!$D$276</definedName>
    <definedName function="false" hidden="false" name="SRC_ZP_273" vbProcedure="false">SRC_ZP!$D$277</definedName>
    <definedName function="false" hidden="false" name="SRC_ZP_274" vbProcedure="false">SRC_ZP!$D$278</definedName>
    <definedName function="false" hidden="false" name="SRC_ZP_275" vbProcedure="false">SRC_ZP!$D$279</definedName>
    <definedName function="false" hidden="false" name="SRC_ZP_276" vbProcedure="false">SRC_ZP!$D$280</definedName>
    <definedName function="false" hidden="false" name="SRC_ZP_277" vbProcedure="false">SRC_ZP!$D$281</definedName>
    <definedName function="false" hidden="false" name="SRC_ZP_278" vbProcedure="false">SRC_ZP!$D$282</definedName>
    <definedName function="false" hidden="false" name="SRC_ZP_279" vbProcedure="false">SRC_ZP!$D$283</definedName>
    <definedName function="false" hidden="false" name="SRC_ZP_280" vbProcedure="false">SRC_ZP!$D$284</definedName>
    <definedName function="false" hidden="false" name="SRC_ZP_281" vbProcedure="false">SRC_ZP!$D$285</definedName>
    <definedName function="false" hidden="false" name="SRC_ZP_282" vbProcedure="false">SRC_ZP!$D$286</definedName>
    <definedName function="false" hidden="false" name="SRC_ZP_283" vbProcedure="false">SRC_ZP!$D$287</definedName>
    <definedName function="false" hidden="false" name="SRC_ZP_284" vbProcedure="false">SRC_ZP!$D$288</definedName>
    <definedName function="false" hidden="false" name="SRC_ZP_285" vbProcedure="false">SRC_ZP!$D$289</definedName>
    <definedName function="false" hidden="false" name="SRC_ZP_286" vbProcedure="false">SRC_ZP!$D$290</definedName>
    <definedName function="false" hidden="false" name="SRC_ZP_287" vbProcedure="false">SRC_ZP!$D$291</definedName>
    <definedName function="false" hidden="false" name="SRC_ZP_288" vbProcedure="false">SRC_ZP!$D$292</definedName>
    <definedName function="false" hidden="false" name="SRC_ZP_289" vbProcedure="false">SRC_ZP!$D$293</definedName>
    <definedName function="false" hidden="false" name="SRC_ZP_290" vbProcedure="false">SRC_ZP!$D$294</definedName>
    <definedName function="false" hidden="false" name="SRC_ZP_291" vbProcedure="false">SRC_ZP!$D$295</definedName>
    <definedName function="false" hidden="false" name="SRC_ZP_292" vbProcedure="false">SRC_ZP!$D$296</definedName>
    <definedName function="false" hidden="false" name="SRC_ZP_293" vbProcedure="false">SRC_ZP!$D$297</definedName>
    <definedName function="false" hidden="false" name="SRC_ZP_294" vbProcedure="false">SRC_ZP!$D$298</definedName>
    <definedName function="false" hidden="false" name="SRC_ZP_295" vbProcedure="false">SRC_ZP!$D$299</definedName>
    <definedName function="false" hidden="false" name="SRC_ZP_296" vbProcedure="false">SRC_ZP!$D$300</definedName>
    <definedName function="false" hidden="false" name="SRC_ZP_297" vbProcedure="false">SRC_ZP!$D$301</definedName>
    <definedName function="false" hidden="false" name="SRC_ZP_298" vbProcedure="false">SRC_ZP!$D$302</definedName>
    <definedName function="false" hidden="false" name="SRC_ZP_299" vbProcedure="false">SRC_ZP!$D$303</definedName>
    <definedName function="false" hidden="false" name="SRC_ZP_300" vbProcedure="false">SRC_ZP!$D$304</definedName>
    <definedName function="false" hidden="false" name="SRC_ZP_301" vbProcedure="false">SRC_ZP!$D$305</definedName>
    <definedName function="false" hidden="false" name="SRC_ZP_302" vbProcedure="false">SRC_ZP!$D$306</definedName>
    <definedName function="false" hidden="false" name="SRC_ZP_303" vbProcedure="false">SRC_ZP!$D$307</definedName>
    <definedName function="false" hidden="false" name="SRC_ZP_304" vbProcedure="false">SRC_ZP!$D$308</definedName>
    <definedName function="false" hidden="false" name="SRC_ZP_305" vbProcedure="false">SRC_ZP!$D$309</definedName>
    <definedName function="false" hidden="false" name="SRC_ZP_306" vbProcedure="false">SRC_ZP!$D$310</definedName>
    <definedName function="false" hidden="false" name="SRC_ZP_307" vbProcedure="false">SRC_ZP!$D$311</definedName>
    <definedName function="false" hidden="false" name="SRC_ZP_308" vbProcedure="false">SRC_ZP!$D$312</definedName>
    <definedName function="false" hidden="false" name="SRC_ZP_309" vbProcedure="false">SRC_ZP!$D$313</definedName>
    <definedName function="false" hidden="false" name="SRC_ZP_310" vbProcedure="false">SRC_ZP!$D$314</definedName>
    <definedName function="false" hidden="false" name="SRC_ZP_311" vbProcedure="false">SRC_ZP!$D$315</definedName>
    <definedName function="false" hidden="false" name="SRC_ZP_312" vbProcedure="false">SRC_ZP!$D$316</definedName>
    <definedName function="false" hidden="false" name="SRC_ZP_313" vbProcedure="false">SRC_ZP!$D$317</definedName>
    <definedName function="false" hidden="false" name="SRC_ZP_314" vbProcedure="false">SRC_ZP!$D$318</definedName>
    <definedName function="false" hidden="false" name="SRC_ZP_315" vbProcedure="false">SRC_ZP!$D$319</definedName>
    <definedName function="false" hidden="false" name="SRC_ZP_316" vbProcedure="false">SRC_ZP!$D$320</definedName>
    <definedName function="false" hidden="false" name="SRC_ZP_317" vbProcedure="false">SRC_ZP!$D$321</definedName>
    <definedName function="false" hidden="false" name="SRC_ZP_318" vbProcedure="false">SRC_ZP!$D$322</definedName>
    <definedName function="false" hidden="false" name="SRC_ZP_319" vbProcedure="false">SRC_ZP!$D$323</definedName>
    <definedName function="false" hidden="false" name="SRC_ZP_320" vbProcedure="false">SRC_ZP!$D$324</definedName>
    <definedName function="false" hidden="false" name="SRC_ZP_321" vbProcedure="false">SRC_ZP!$D$325</definedName>
    <definedName function="false" hidden="false" name="SRC_ZP_322" vbProcedure="false">SRC_ZP!$D$326</definedName>
    <definedName function="false" hidden="false" name="SRC_ZP_323" vbProcedure="false">SRC_ZP!$D$327</definedName>
    <definedName function="false" hidden="false" name="SRC_ZP_324" vbProcedure="false">SRC_ZP!$D$328</definedName>
    <definedName function="false" hidden="false" name="SRC_ZP_325" vbProcedure="false">SRC_ZP!$D$329</definedName>
    <definedName function="false" hidden="false" name="SRC_ZP_326" vbProcedure="false">SRC_ZP!$D$330</definedName>
    <definedName function="false" hidden="false" name="SRC_ZP_327" vbProcedure="false">SRC_ZP!$D$331</definedName>
    <definedName function="false" hidden="false" name="SRC_ZP_328" vbProcedure="false">SRC_ZP!$D$332</definedName>
    <definedName function="false" hidden="false" name="SRC_ZP_329" vbProcedure="false">SRC_ZP!$D$333</definedName>
    <definedName function="false" hidden="false" name="SRC_ZP_330" vbProcedure="false">SRC_ZP!$D$334</definedName>
    <definedName function="false" hidden="false" name="SRC_ZP_331" vbProcedure="false">SRC_ZP!$D$335</definedName>
    <definedName function="false" hidden="false" name="SRC_ZP_332" vbProcedure="false">SRC_ZP!$D$336</definedName>
    <definedName function="false" hidden="false" name="SRC_ZP_333" vbProcedure="false">SRC_ZP!$D$337</definedName>
    <definedName function="false" hidden="false" name="SRC_ZP_334_Hi" vbProcedure="false">SRC_ZP!$F$338</definedName>
    <definedName function="false" hidden="false" name="SRC_ZP_334_Lo" vbProcedure="false">SRC_ZP!$E$338</definedName>
    <definedName function="false" hidden="false" name="SRC_ZP_335_Hi" vbProcedure="false">SRC_ZP!$F$339</definedName>
    <definedName function="false" hidden="false" name="SRC_ZP_335_Lo" vbProcedure="false">SRC_ZP!$E$339</definedName>
    <definedName function="false" hidden="false" name="SRC_ZP_336" vbProcedure="false">SRC_ZP!$D$340</definedName>
    <definedName function="false" hidden="false" name="SRC_ZP_337" vbProcedure="false">SRC_ZP!$D$341</definedName>
    <definedName function="false" hidden="false" name="SRC_ZP_338" vbProcedure="false">SRC_ZP!$D$342</definedName>
    <definedName function="false" hidden="false" name="SRC_ZP_339" vbProcedure="false">SRC_ZP!$D$343</definedName>
    <definedName function="false" hidden="false" name="SRC_ZP_339_Hi" vbProcedure="false">SRC_ZP!$F$343</definedName>
    <definedName function="false" hidden="false" name="SRC_ZP_339_Lo" vbProcedure="false">SRC_ZP!$E$343</definedName>
    <definedName function="false" hidden="false" name="SRC_ZP_340" vbProcedure="false">SRC_ZP!$D$344</definedName>
    <definedName function="false" hidden="false" name="SRC_ZP_340_Hi" vbProcedure="false">SRC_ZP!$F$344</definedName>
    <definedName function="false" hidden="false" name="SRC_ZP_340_Lo" vbProcedure="false">SRC_ZP!$E$344</definedName>
    <definedName function="false" hidden="false" name="SRC_ZP_341" vbProcedure="false">SRC_ZP!$D$345</definedName>
    <definedName function="false" hidden="false" name="SRC_ZP_342_Hi" vbProcedure="false">SRC_ZP!$F$346</definedName>
    <definedName function="false" hidden="false" name="SRC_ZP_342_Lo" vbProcedure="false">SRC_ZP!$E$346</definedName>
    <definedName function="false" hidden="false" name="SRC_ZP_343" vbProcedure="false">SRC_ZP!$D$347</definedName>
    <definedName function="false" hidden="false" name="SRC_ZP_344_Hi" vbProcedure="false">SRC_ZP!$F$348</definedName>
    <definedName function="false" hidden="false" name="SRC_ZP_344_Lo" vbProcedure="false">SRC_ZP!$E$348</definedName>
    <definedName function="false" hidden="false" name="SRC_ZP_345" vbProcedure="false">SRC_ZP!$D$349</definedName>
    <definedName function="false" hidden="false" name="SRC_ZP_346" vbProcedure="false">SRC_ZP!$D$350</definedName>
    <definedName function="false" hidden="false" name="SRC_ZP_347" vbProcedure="false">SRC_ZP!$D$351</definedName>
    <definedName function="false" hidden="false" name="SRC_ZP_348" vbProcedure="false">SRC_ZP!$D$352</definedName>
    <definedName function="false" hidden="false" name="SRC_ZP_349" vbProcedure="false">SRC_ZP!$D$353</definedName>
    <definedName function="false" hidden="false" name="SRC_ZP_349_Lo" vbProcedure="false">SRC_ZP!$E$353</definedName>
    <definedName function="false" hidden="false" name="SRC_ZP_350" vbProcedure="false">SRC_ZP!$D$354</definedName>
    <definedName function="false" hidden="false" name="SRC_ZP_351_Hi" vbProcedure="false">SRC_ZP!$F$355</definedName>
    <definedName function="false" hidden="false" name="SRC_ZP_351_Lo" vbProcedure="false">SRC_ZP!$E$355</definedName>
    <definedName function="false" hidden="false" name="SRC_ZP_352_Hi" vbProcedure="false">SRC_ZP!$F$356</definedName>
    <definedName function="false" hidden="false" name="SRC_ZP_352_Lo" vbProcedure="false">SRC_ZP!$E$356</definedName>
    <definedName function="false" hidden="false" name="SRC_ZP_354_Hi" vbProcedure="false">SRC_ZP!$F$358</definedName>
    <definedName function="false" hidden="false" name="SRC_ZP_354_Lo" vbProcedure="false">SRC_ZP!$E$358</definedName>
    <definedName function="false" hidden="false" name="SRC_ZP_355" vbProcedure="false">SRC_ZP!$D$359</definedName>
    <definedName function="false" hidden="false" name="SRC_ZP_355_Hi" vbProcedure="false">SRC_ZP!$F$359</definedName>
    <definedName function="false" hidden="false" name="SRC_ZP_355_Lo" vbProcedure="false">SRC_ZP!$E$359</definedName>
    <definedName function="false" hidden="false" name="SRC_ZP_356" vbProcedure="false">SRC_ZP!$D$360</definedName>
    <definedName function="false" hidden="false" name="SRC_ZP_357" vbProcedure="false">SRC_ZP!$D$361</definedName>
    <definedName function="false" hidden="false" name="SRC_ZP_358" vbProcedure="false">SRC_ZP!$D$362</definedName>
    <definedName function="false" hidden="false" name="SRC_ZP_359" vbProcedure="false">SRC_ZP!$D$363</definedName>
    <definedName function="false" hidden="false" name="SRC_ZP_360" vbProcedure="false">SRC_ZP!$D$364</definedName>
    <definedName function="false" hidden="false" name="SRC_ZP_361" vbProcedure="false">SRC_ZP!$D$365</definedName>
    <definedName function="false" hidden="false" name="SRC_ZP_362" vbProcedure="false">SRC_ZP!$D$366</definedName>
    <definedName function="false" hidden="false" name="SRC_ZP_363" vbProcedure="false">SRC_ZP!$D$367</definedName>
    <definedName function="false" hidden="false" name="SRC_ZP_364" vbProcedure="false">SRC_ZP!$D$368</definedName>
    <definedName function="false" hidden="false" name="SRC_ZP_365" vbProcedure="false">SRC_ZP!$D$369</definedName>
    <definedName function="false" hidden="false" name="SRC_ZP_366" vbProcedure="false">SRC_ZP!$D$370</definedName>
    <definedName function="false" hidden="false" name="SRC_ZP_367" vbProcedure="false">SRC_ZP!$D$371</definedName>
    <definedName function="false" hidden="false" name="SRC_ZP_368" vbProcedure="false">SRC_ZP!$D$372</definedName>
    <definedName function="false" hidden="false" name="SRC_ZP_369" vbProcedure="false">SRC_ZP!$D$373</definedName>
    <definedName function="false" hidden="false" name="SRC_ZP_370" vbProcedure="false">SRC_ZP!$D$374</definedName>
    <definedName function="false" hidden="false" name="SRC_ZP_371" vbProcedure="false">SRC_ZP!$D$375</definedName>
    <definedName function="false" hidden="false" name="SRC_ZP_372" vbProcedure="false">SRC_ZP!$D$376</definedName>
    <definedName function="false" hidden="false" name="SRC_ZP_373" vbProcedure="false">SRC_ZP!$D$377</definedName>
    <definedName function="false" hidden="false" name="SRC_ZP_374" vbProcedure="false">SRC_ZP!$D$378</definedName>
    <definedName function="false" hidden="false" name="SRC_ZP_375" vbProcedure="false">SRC_ZP!$D$379</definedName>
    <definedName function="false" hidden="false" name="SRC_ZP_376" vbProcedure="false">SRC_ZP!$D$380</definedName>
    <definedName function="false" hidden="false" name="SRC_ZP_377" vbProcedure="false">SRC_ZP!$D$381</definedName>
    <definedName function="false" hidden="false" name="SRC_ZP_378" vbProcedure="false">SRC_ZP!$D$382</definedName>
    <definedName function="false" hidden="false" name="SRC_ZP_379_Hi" vbProcedure="false">SRC_ZP!$F$383</definedName>
    <definedName function="false" hidden="false" name="SRC_ZP_379_Lo" vbProcedure="false">SRC_ZP!$E$383</definedName>
    <definedName function="false" hidden="false" name="SRC_ZP_380" vbProcedure="false">SRC_ZP!$D$384</definedName>
    <definedName function="false" hidden="false" name="SRC_ZP_381" vbProcedure="false">SRC_ZP!$D$385</definedName>
    <definedName function="false" hidden="false" name="SRC_ZP_382" vbProcedure="false">SRC_ZP!$D$386</definedName>
    <definedName function="false" hidden="false" name="SRC_ZP_383" vbProcedure="false">SRC_ZP!$D$387</definedName>
    <definedName function="false" hidden="false" name="SRC_ZP_384" vbProcedure="false">SRC_ZP!$D$388</definedName>
    <definedName function="false" hidden="false" name="SRC_ZP_385" vbProcedure="false">SRC_ZP!$D$389</definedName>
    <definedName function="false" hidden="false" name="SRC_ZP_397" vbProcedure="false">SRC_ZP!$D$401</definedName>
    <definedName function="false" hidden="false" name="SRC_ZP_398" vbProcedure="false">SRC_ZP!$D$402</definedName>
    <definedName function="false" hidden="false" name="SRC_ZP_399" vbProcedure="false">SRC_ZP!$D$403</definedName>
    <definedName function="false" hidden="false" name="SRC_ZP_400" vbProcedure="false">SRC_ZP!$D$404</definedName>
    <definedName function="false" hidden="false" name="SRC_ZP_401" vbProcedure="false">SRC_ZP!$D$405</definedName>
    <definedName function="false" hidden="false" name="SRC_ZP_402" vbProcedure="false">SRC_ZP!$D$406</definedName>
    <definedName function="false" hidden="false" name="SRC_ZP_403" vbProcedure="false">SRC_ZP!$D$407</definedName>
    <definedName function="false" hidden="false" name="SRC_ZP_404" vbProcedure="false">SRC_ZP!$D$408</definedName>
    <definedName function="false" hidden="false" name="SRC_ZP_405" vbProcedure="false">SRC_ZP!$D$409</definedName>
    <definedName function="false" hidden="false" name="SRC_ZP_406" vbProcedure="false">SRC_ZP!$D$410</definedName>
    <definedName function="false" hidden="false" name="SRC_ZP_407" vbProcedure="false">SRC_ZP!$D$411</definedName>
    <definedName function="false" hidden="false" name="SRC_ZP_408" vbProcedure="false">SRC_ZP!$D$412</definedName>
    <definedName function="false" hidden="false" name="SRC_ZP_409" vbProcedure="false">SRC_ZP!$D$413</definedName>
    <definedName function="false" hidden="false" name="SRC_ZP_410" vbProcedure="false">SRC_ZP!$D$414</definedName>
    <definedName function="false" hidden="false" name="SRC_ZP_411" vbProcedure="false">SRC_ZP!$D$415</definedName>
    <definedName function="false" hidden="false" name="SRC_ZP_412" vbProcedure="false">SRC_ZP!$D$416</definedName>
    <definedName function="false" hidden="false" name="SRC_ZP_413" vbProcedure="false">SRC_ZP!$D$417</definedName>
    <definedName function="false" hidden="false" name="SRC_ZP_414" vbProcedure="false">SRC_ZP!$D$418</definedName>
    <definedName function="false" hidden="false" name="SRC_ZP_415" vbProcedure="false">SRC_ZP!$D$419</definedName>
    <definedName function="false" hidden="false" name="SRC_ZP_416" vbProcedure="false">SRC_ZP!$D$420</definedName>
    <definedName function="false" hidden="false" name="SRC_ZP_417" vbProcedure="false">SRC_ZP!$D$421</definedName>
    <definedName function="false" hidden="false" name="SRC_ZP_418" vbProcedure="false">SRC_ZP!$D$422</definedName>
    <definedName function="false" hidden="false" name="SRC_ZP_419" vbProcedure="false">SRC_ZP!$D$423</definedName>
    <definedName function="false" hidden="false" name="SRC_ZP_420" vbProcedure="false">SRC_ZP!$D$424</definedName>
    <definedName function="false" hidden="false" name="SRC_ZP_421" vbProcedure="false">SRC_ZP!$D$425</definedName>
    <definedName function="false" hidden="false" name="SRC_ZP_423" vbProcedure="false">SRC_ZP!$D$427</definedName>
    <definedName function="false" hidden="false" name="SRC_ZP_424" vbProcedure="false">SRC_ZP!$D$428</definedName>
    <definedName function="false" hidden="false" name="SRC_ZP_425" vbProcedure="false">SRC_ZP!$D$429</definedName>
    <definedName function="false" hidden="false" name="SRC_ZP_426" vbProcedure="false">SRC_ZP!$D$430</definedName>
    <definedName function="false" hidden="false" name="SRC_ZP_427" vbProcedure="false">SRC_ZP!$D$431</definedName>
    <definedName function="false" hidden="false" name="SRC_ZP_428" vbProcedure="false">SRC_ZP!$D$432</definedName>
    <definedName function="false" hidden="false" name="SRC_ZP_429" vbProcedure="false">SRC_ZP!$D$433</definedName>
    <definedName function="false" hidden="false" name="SRC_ZP_430" vbProcedure="false">SRC_ZP!$D$434</definedName>
    <definedName function="false" hidden="false" name="SRC_ZP_431" vbProcedure="false">SRC_ZP!$D$435</definedName>
    <definedName function="false" hidden="false" name="SRC_ZP_432" vbProcedure="false">SRC_ZP!$D$436</definedName>
    <definedName function="false" hidden="false" name="SRC_ZP_433" vbProcedure="false">SRC_ZP!$D$437</definedName>
    <definedName function="false" hidden="false" name="SRC_ZP_435" vbProcedure="false">SRC_ZP!$D$439</definedName>
    <definedName function="false" hidden="false" name="SRC_ZP_435_Hi" vbProcedure="false">SRC_ZP!$F$439</definedName>
    <definedName function="false" hidden="false" name="SRC_ZP_435_Lo" vbProcedure="false">SRC_ZP!$E$439</definedName>
    <definedName function="false" hidden="false" name="SRC_ZP_436" vbProcedure="false">SRC_ZP!$D$440</definedName>
    <definedName function="false" hidden="false" name="SRC_ZP_436_Hi" vbProcedure="false">SRC_ZP!$F$440</definedName>
    <definedName function="false" hidden="false" name="SRC_ZP_436_Lo" vbProcedure="false">SRC_ZP!$E$440</definedName>
    <definedName function="false" hidden="false" name="SRC_ZP_437" vbProcedure="false">SRC_ZP!$D$441</definedName>
    <definedName function="false" hidden="false" name="SRC_ZP_437_Hi" vbProcedure="false">SRC_ZP!$F$441</definedName>
    <definedName function="false" hidden="false" name="SRC_ZP_437_Lo" vbProcedure="false">SRC_ZP!$E$441</definedName>
    <definedName function="false" hidden="false" name="SRC_ZP_438" vbProcedure="false">SRC_ZP!$D$442</definedName>
    <definedName function="false" hidden="false" name="SRC_ZP_438_Hi" vbProcedure="false">SRC_ZP!$F$442</definedName>
    <definedName function="false" hidden="false" name="SRC_ZP_438_Lo" vbProcedure="false">SRC_ZP!$E$442</definedName>
    <definedName function="false" hidden="false" name="SRC_ZP_439" vbProcedure="false">SRC_ZP!$D$443</definedName>
    <definedName function="false" hidden="false" name="SRC_ZP_440" vbProcedure="false">SRC_ZP!$D$444</definedName>
    <definedName function="false" hidden="false" name="SRC_ZP_441" vbProcedure="false">SRC_ZP!$D$445</definedName>
    <definedName function="false" hidden="false" name="SRC_ZP_442" vbProcedure="false">SRC_ZP!$D$446</definedName>
    <definedName function="false" hidden="false" name="SRC_ZP_443" vbProcedure="false">SRC_ZP!$D$447</definedName>
    <definedName function="false" hidden="false" name="SRC_ZP_444" vbProcedure="false">SRC_ZP!$D$448</definedName>
    <definedName function="false" hidden="false" name="SRC_ZP_445" vbProcedure="false">SRC_ZP!$D$449</definedName>
    <definedName function="false" hidden="false" name="SRC_ZP_446" vbProcedure="false">SRC_ZP!$D$450</definedName>
    <definedName function="false" hidden="false" name="SRC_ZP_447" vbProcedure="false">SRC_ZP!$D$451</definedName>
    <definedName function="false" hidden="false" name="SRC_ZP_448" vbProcedure="false">SRC_ZP!$D$452</definedName>
    <definedName function="false" hidden="false" name="SRC_ZP_449" vbProcedure="false">SRC_ZP!$D$453</definedName>
    <definedName function="false" hidden="false" name="SRC_ZP_450" vbProcedure="false">SRC_ZP!$D$454</definedName>
    <definedName function="false" hidden="false" name="SRC_ZP_451" vbProcedure="false">SRC_ZP!$D$455</definedName>
    <definedName function="false" hidden="false" name="SRC_ZP_452" vbProcedure="false">SRC_ZP!$D$456</definedName>
    <definedName function="false" hidden="false" name="SRC_ZP_453" vbProcedure="false">SRC_ZP!$D$457</definedName>
    <definedName function="false" hidden="false" name="SRC_ZP_454" vbProcedure="false">SRC_ZP!$D$458</definedName>
    <definedName function="false" hidden="false" name="SRC_ZP_455" vbProcedure="false">SRC_ZP!$D$459</definedName>
    <definedName function="false" hidden="false" name="SRC_ZP_456" vbProcedure="false">SRC_ZP!$D$460</definedName>
    <definedName function="false" hidden="false" name="SRC_ZP_457" vbProcedure="false">SRC_ZP!$D$461</definedName>
    <definedName function="false" hidden="false" name="SRC_ZP_458" vbProcedure="false">SRC_ZP!$D$462</definedName>
    <definedName function="false" hidden="false" name="SRC_ZP_460" vbProcedure="false">SRC_ZP!$D$464</definedName>
    <definedName function="false" hidden="false" name="SRC_ZP_461" vbProcedure="false">SRC_ZP!$D$465</definedName>
    <definedName function="false" hidden="false" name="SRC_ZP_462" vbProcedure="false">SRC_ZP!$D$466</definedName>
    <definedName function="false" hidden="false" name="SRC_ZP_462_Hi" vbProcedure="false">SRC_ZP!$F$466</definedName>
    <definedName function="false" hidden="false" name="SRC_ZP_462_Lo" vbProcedure="false">SRC_ZP!$E$466</definedName>
    <definedName function="false" hidden="false" name="SRC_ZP_463" vbProcedure="false">SRC_ZP!$D$467</definedName>
    <definedName function="false" hidden="false" name="SRC_ZP_463_Hi" vbProcedure="false">SRC_ZP!$F$467</definedName>
    <definedName function="false" hidden="false" name="SRC_ZP_463_Lo" vbProcedure="false">SRC_ZP!$E$467</definedName>
    <definedName function="false" hidden="false" name="SRC_ZP_464" vbProcedure="false">SRC_ZP!$D$468</definedName>
    <definedName function="false" hidden="false" name="SRC_ZP_464_Hi" vbProcedure="false">SRC_ZP!$F$468</definedName>
    <definedName function="false" hidden="false" name="SRC_ZP_464_Lo" vbProcedure="false">SRC_ZP!$E$468</definedName>
    <definedName function="false" hidden="false" name="SRC_ZP_465" vbProcedure="false">SRC_ZP!$D$469</definedName>
    <definedName function="false" hidden="false" name="SRC_ZP_465_Hi" vbProcedure="false">SRC_ZP!$F$469</definedName>
    <definedName function="false" hidden="false" name="SRC_ZP_465_Lo" vbProcedure="false">SRC_ZP!$E$469</definedName>
    <definedName function="false" hidden="false" name="SRC_ZP_466" vbProcedure="false">SRC_ZP!$D$470</definedName>
    <definedName function="false" hidden="false" name="SRC_ZP_466_Hi" vbProcedure="false">SRC_ZP!$F$470</definedName>
    <definedName function="false" hidden="false" name="SRC_ZP_466_Lo" vbProcedure="false">SRC_ZP!$E$470</definedName>
    <definedName function="false" hidden="false" name="SRC_ZP_467" vbProcedure="false">SRC_ZP!$D$471</definedName>
    <definedName function="false" hidden="false" name="SRC_ZP_467_Hi" vbProcedure="false">SRC_ZP!$F$471</definedName>
    <definedName function="false" hidden="false" name="SRC_ZP_467_Lo" vbProcedure="false">SRC_ZP!$E$471</definedName>
    <definedName function="false" hidden="false" name="SRC_ZP_468" vbProcedure="false">SRC_ZP!$D$472</definedName>
    <definedName function="false" hidden="false" name="SRC_ZP_468_Hi" vbProcedure="false">SRC_ZP!$F$472</definedName>
    <definedName function="false" hidden="false" name="SRC_ZP_468_Lo" vbProcedure="false">SRC_ZP!$E$472</definedName>
    <definedName function="false" hidden="false" name="SRC_ZP_469" vbProcedure="false">SRC_ZP!$D$473</definedName>
    <definedName function="false" hidden="false" name="SRC_ZP_469_Hi" vbProcedure="false">SRC_ZP!$F$473</definedName>
    <definedName function="false" hidden="false" name="SRC_ZP_469_Lo" vbProcedure="false">SRC_ZP!$E$473</definedName>
    <definedName function="false" hidden="false" name="SRC_ZP_470" vbProcedure="false">SRC_ZP!$D$474</definedName>
    <definedName function="false" hidden="false" name="SRC_ZP_470_Hi" vbProcedure="false">SRC_ZP!$F$474</definedName>
    <definedName function="false" hidden="false" name="SRC_ZP_470_Lo" vbProcedure="false">SRC_ZP!$E$474</definedName>
    <definedName function="false" hidden="false" name="SRC_ZP_471" vbProcedure="false">SRC_ZP!$D$475</definedName>
    <definedName function="false" hidden="false" name="SRC_ZP_471_Hi" vbProcedure="false">SRC_ZP!$F$475</definedName>
    <definedName function="false" hidden="false" name="SRC_ZP_471_Lo" vbProcedure="false">SRC_ZP!$E$475</definedName>
    <definedName function="false" hidden="false" name="SRC_ZP_472" vbProcedure="false">SRC_ZP!$D$476</definedName>
    <definedName function="false" hidden="false" name="SRC_ZP_472_Hi" vbProcedure="false">SRC_ZP!$F$476</definedName>
    <definedName function="false" hidden="false" name="SRC_ZP_472_Lo" vbProcedure="false">SRC_ZP!$E$476</definedName>
    <definedName function="false" hidden="false" name="SRC_ZP_473" vbProcedure="false">SRC_ZP!$D$477</definedName>
    <definedName function="false" hidden="false" name="SRC_ZP_473_Hi" vbProcedure="false">SRC_ZP!$F$477</definedName>
    <definedName function="false" hidden="false" name="SRC_ZP_473_Lo" vbProcedure="false">SRC_ZP!$E$477</definedName>
    <definedName function="false" hidden="false" name="SRC_ZP_474" vbProcedure="false">SRC_ZP!$D$478</definedName>
    <definedName function="false" hidden="false" name="SRC_ZP_475" vbProcedure="false">SRC_ZP!$D$479</definedName>
    <definedName function="false" hidden="false" name="SRC_ZP_476" vbProcedure="false">SRC_ZP!$D$480</definedName>
    <definedName function="false" hidden="false" name="SRC_ZP_477" vbProcedure="false">SRC_ZP!$D$481</definedName>
    <definedName function="false" hidden="false" name="SRC_ZP_478" vbProcedure="false">SRC_ZP!$D$482</definedName>
    <definedName function="false" hidden="false" name="SRC_ZP_478_Hi" vbProcedure="false">SRC_ZP!$F$482</definedName>
    <definedName function="false" hidden="false" name="SRC_ZP_478_Lo" vbProcedure="false">SRC_ZP!$E$482</definedName>
    <definedName function="false" hidden="false" name="SRC_ZP_479" vbProcedure="false">SRC_ZP!$D$483</definedName>
    <definedName function="false" hidden="false" name="SRC_ZP_479_Hi" vbProcedure="false">SRC_ZP!$F$483</definedName>
    <definedName function="false" hidden="false" name="SRC_ZP_479_Lo" vbProcedure="false">SRC_ZP!$E$483</definedName>
    <definedName function="false" hidden="false" name="SRC_ZP_480" vbProcedure="false">SRC_ZP!$D$484</definedName>
    <definedName function="false" hidden="false" name="SRC_ZP_480_Hi" vbProcedure="false">SRC_ZP!$F$484</definedName>
    <definedName function="false" hidden="false" name="SRC_ZP_480_Lo" vbProcedure="false">SRC_ZP!$E$484</definedName>
    <definedName function="false" hidden="false" name="SRC_ZP_481" vbProcedure="false">SRC_ZP!$D$485</definedName>
    <definedName function="false" hidden="false" name="SRC_ZP_481_Hi" vbProcedure="false">SRC_ZP!$F$485</definedName>
    <definedName function="false" hidden="false" name="SRC_ZP_481_Lo" vbProcedure="false">SRC_ZP!$E$485</definedName>
    <definedName function="false" hidden="false" name="SRC_ZP_482" vbProcedure="false">SRC_ZP!$D$486</definedName>
    <definedName function="false" hidden="false" name="SRC_ZP_482_Hi" vbProcedure="false">SRC_ZP!$F$486</definedName>
    <definedName function="false" hidden="false" name="SRC_ZP_482_Lo" vbProcedure="false">SRC_ZP!$E$486</definedName>
    <definedName function="false" hidden="false" name="SRC_ZP_483" vbProcedure="false">SRC_ZP!$D$487</definedName>
    <definedName function="false" hidden="false" name="SRC_ZP_483_Hi" vbProcedure="false">SRC_ZP!$F$487</definedName>
    <definedName function="false" hidden="false" name="SRC_ZP_483_Lo" vbProcedure="false">SRC_ZP!$E$487</definedName>
    <definedName function="false" hidden="false" name="SRC_ZP_484" vbProcedure="false">SRC_ZP!$D$488</definedName>
    <definedName function="false" hidden="false" name="SRC_ZP_484_Hi" vbProcedure="false">SRC_ZP!$F$488</definedName>
    <definedName function="false" hidden="false" name="SRC_ZP_484_Lo" vbProcedure="false">SRC_ZP!$E$488</definedName>
    <definedName function="false" hidden="false" name="SRC_ZP_485" vbProcedure="false">SRC_ZP!$D$489</definedName>
    <definedName function="false" hidden="false" name="SRC_ZP_486" vbProcedure="false">SRC_ZP!$D$490</definedName>
    <definedName function="false" hidden="false" name="SRC_ZP_487" vbProcedure="false">SRC_ZP!$D$491</definedName>
    <definedName function="false" hidden="false" name="SRC_ZP_488" vbProcedure="false">SRC_ZP!$D$492</definedName>
    <definedName function="false" hidden="false" name="SRC_ZP_489" vbProcedure="false">SRC_ZP!$D$493</definedName>
    <definedName function="false" hidden="false" name="SRC_ZP_490" vbProcedure="false">SRC_ZP!$D$494</definedName>
    <definedName function="false" hidden="false" name="SRC_ZP_490_Hi" vbProcedure="false">SRC_ZP!$F$494</definedName>
    <definedName function="false" hidden="false" name="SRC_ZP_490_Lo" vbProcedure="false">SRC_ZP!$E$494</definedName>
    <definedName function="false" hidden="false" name="SRC_ZP_491" vbProcedure="false">SRC_ZP!$D$495</definedName>
    <definedName function="false" hidden="false" name="SRC_ZP_491_Hi" vbProcedure="false">SRC_ZP!$F$495</definedName>
    <definedName function="false" hidden="false" name="SRC_ZP_491_Lo" vbProcedure="false">SRC_ZP!$E$495</definedName>
    <definedName function="false" hidden="false" name="SRC_ZP_492" vbProcedure="false">SRC_ZP!$D$496</definedName>
    <definedName function="false" hidden="false" name="SRC_ZP_493" vbProcedure="false">SRC_ZP!$D$497</definedName>
    <definedName function="false" hidden="false" name="SRC_ZP_493_Hi" vbProcedure="false">SRC_ZP!$F$497</definedName>
    <definedName function="false" hidden="false" name="SRC_ZP_493_Lo" vbProcedure="false">SRC_ZP!$E$497</definedName>
    <definedName function="false" hidden="false" name="SRC_ZP_494" vbProcedure="false">SRC_ZP!$D$498</definedName>
    <definedName function="false" hidden="false" name="SRC_ZP_495" vbProcedure="false">SRC_ZP!$D$499</definedName>
    <definedName function="false" hidden="false" name="SRC_ZP_496" vbProcedure="false">SRC_ZP!$D$500</definedName>
    <definedName function="false" hidden="false" name="SRC_ZP_497" vbProcedure="false">SRC_ZP!$D$501</definedName>
    <definedName function="false" hidden="false" name="SRC_ZP_498" vbProcedure="false">SRC_ZP!$D$502</definedName>
    <definedName function="false" hidden="false" name="SRC_ZP_499" vbProcedure="false">SRC_ZP!$D$503</definedName>
    <definedName function="false" hidden="false" name="SRC_ZP_500" vbProcedure="false">SRC_ZP!$D$504</definedName>
    <definedName function="false" hidden="false" name="SRC_ZP_501" vbProcedure="false">SRC_ZP!$D$505</definedName>
    <definedName function="false" hidden="false" name="SRC_ZP_502" vbProcedure="false">SRC_ZP!$D$506</definedName>
    <definedName function="false" hidden="false" name="SRC_ZP_503" vbProcedure="false">SRC_ZP!$D$507</definedName>
    <definedName function="false" hidden="false" name="SRC_ZP_504" vbProcedure="false">SRC_ZP!$D$508</definedName>
    <definedName function="false" hidden="false" name="SRC_ZP_505_Lo" vbProcedure="false">SRC_ZP!$E$509</definedName>
    <definedName function="false" hidden="false" name="SRC_ZP_506" vbProcedure="false">SRC_ZP!$D$510</definedName>
    <definedName function="false" hidden="false" name="SRC_ZP_507" vbProcedure="false">SRC_ZP!$D$511</definedName>
    <definedName function="false" hidden="false" name="SRC_ZP_508" vbProcedure="false">SRC_ZP!$D$512</definedName>
    <definedName function="false" hidden="false" name="SRC_ZP_509" vbProcedure="false">SRC_ZP!$D$513</definedName>
    <definedName function="false" hidden="false" name="SRC_ZP_510_Lo" vbProcedure="false">SRC_ZP!$E$514</definedName>
    <definedName function="false" hidden="false" name="SRC_ZP_511" vbProcedure="false">SRC_ZP!$D$515</definedName>
    <definedName function="false" hidden="false" name="SRC_ZP_512" vbProcedure="false">SRC_ZP!$D$516</definedName>
    <definedName function="false" hidden="false" name="SRC_ZP_513" vbProcedure="false">SRC_ZP!$D$517</definedName>
    <definedName function="false" hidden="false" name="SRC_ZP_514_Lo" vbProcedure="false">SRC_ZP!$E$518</definedName>
    <definedName function="false" hidden="false" name="SRC_ZP_515" vbProcedure="false">SRC_ZP!$D$519</definedName>
    <definedName function="false" hidden="false" name="SRC_ZP_516" vbProcedure="false">SRC_ZP!$D$520</definedName>
    <definedName function="false" hidden="false" name="SRC_ZP_517" vbProcedure="false">SRC_ZP!$D$521</definedName>
    <definedName function="false" hidden="false" name="SRC_ZP_518" vbProcedure="false">SRC_ZP!$D$522</definedName>
    <definedName function="false" hidden="false" name="SRC_ZP_519" vbProcedure="false">SRC_ZP!$D$523</definedName>
    <definedName function="false" hidden="false" name="SRC_ZP_520" vbProcedure="false">SRC_ZP!$D$524</definedName>
    <definedName function="false" hidden="false" name="SRC_ZP_521" vbProcedure="false">SRC_ZP!$D$525</definedName>
    <definedName function="false" hidden="false" name="SRC_ZP_522" vbProcedure="false">SRC_ZP!$D$526</definedName>
    <definedName function="false" hidden="false" name="SRC_ZP_523" vbProcedure="false">SRC_ZP!$D$527</definedName>
    <definedName function="false" hidden="false" name="SRC_ZP_524" vbProcedure="false">SRC_ZP!$D$528</definedName>
    <definedName function="false" hidden="false" name="SRC_ZP_525" vbProcedure="false">SRC_ZP!$D$529</definedName>
    <definedName function="false" hidden="false" name="SRC_ZP_526" vbProcedure="false">SRC_ZP!$D$530</definedName>
    <definedName function="false" hidden="false" name="SRC_ZP_527" vbProcedure="false">SRC_ZP!$D$531</definedName>
    <definedName function="false" hidden="false" name="SRC_ZP_528" vbProcedure="false">SRC_ZP!$D$532</definedName>
    <definedName function="false" hidden="false" name="SRC_ZP_529" vbProcedure="false">SRC_ZP!$D$533</definedName>
    <definedName function="false" hidden="false" name="SRC_ZP_530" vbProcedure="false">SRC_ZP!$D$534</definedName>
    <definedName function="false" hidden="false" name="SRC_ZP_531" vbProcedure="false">SRC_ZP!$D$535</definedName>
    <definedName function="false" hidden="false" name="SRC_ZP_532" vbProcedure="false">SRC_ZP!$D$536</definedName>
    <definedName function="false" hidden="false" name="SRC_ZP_533" vbProcedure="false">SRC_ZP!$D$537</definedName>
    <definedName function="false" hidden="false" name="SRC_ZP_534" vbProcedure="false">SRC_ZP!$D$538</definedName>
    <definedName function="false" hidden="false" name="SRC_ZP_535" vbProcedure="false">SRC_ZP!$D$539</definedName>
    <definedName function="false" hidden="false" name="SRC_ZP_536" vbProcedure="false">SRC_ZP!$D$540</definedName>
    <definedName function="false" hidden="false" name="SRC_ZP_538" vbProcedure="false">SRC_ZP!$D$542</definedName>
    <definedName function="false" hidden="false" name="SRC_ZP_539" vbProcedure="false">SRC_ZP!$D$543</definedName>
    <definedName function="false" hidden="false" name="SRC_ZP_540" vbProcedure="false">SRC_ZP!$D$544</definedName>
    <definedName function="false" hidden="false" name="SRC_ZP_541" vbProcedure="false">SRC_ZP!$D$545</definedName>
    <definedName function="false" hidden="false" name="SRC_ZP_542" vbProcedure="false">SRC_ZP!$D$546</definedName>
    <definedName function="false" hidden="false" name="SRC_ZP_543" vbProcedure="false">SRC_ZP!$D$547</definedName>
    <definedName function="false" hidden="false" name="SRC_ZP_544" vbProcedure="false">SRC_ZP!$D$548</definedName>
    <definedName function="false" hidden="false" name="SRC_ZP_545" vbProcedure="false">SRC_ZP!$D$549</definedName>
    <definedName function="false" hidden="false" name="SRC_ZP_546" vbProcedure="false">SRC_ZP!$D$550</definedName>
    <definedName function="false" hidden="false" name="SRC_ZP_547" vbProcedure="false">SRC_ZP!$D$551</definedName>
    <definedName function="false" hidden="false" name="SRC_ZP_548" vbProcedure="false">SRC_ZP!$D$552</definedName>
    <definedName function="false" hidden="false" name="SRC_ZP_549" vbProcedure="false">SRC_ZP!$D$553</definedName>
    <definedName function="false" hidden="false" name="SRC_ZP_550" vbProcedure="false">SRC_ZP!$D$554</definedName>
    <definedName function="false" hidden="false" name="SRC_ZP_551" vbProcedure="false">SRC_ZP!$D$555</definedName>
    <definedName function="false" hidden="false" name="SRC_ZP_552" vbProcedure="false">SRC_ZP!$D$556</definedName>
    <definedName function="false" hidden="false" name="SRC_ZP_553" vbProcedure="false">SRC_ZP!$D$557</definedName>
    <definedName function="false" hidden="false" name="SRC_ZP_554" vbProcedure="false">SRC_ZP!$D$558</definedName>
    <definedName function="false" hidden="false" name="SRC_ZP_555" vbProcedure="false">SRC_ZP!$D$559</definedName>
    <definedName function="false" hidden="false" name="SRC_ZP_556" vbProcedure="false">SRC_ZP!$D$560</definedName>
    <definedName function="false" hidden="false" name="SRC_ZP_557" vbProcedure="false">SRC_ZP!$D$561</definedName>
    <definedName function="false" hidden="false" name="SRC_ZP_558" vbProcedure="false">SRC_ZP!$D$562</definedName>
    <definedName function="false" hidden="false" name="SRC_ZP_560" vbProcedure="false">SRC_ZP!$D$564</definedName>
    <definedName function="false" hidden="false" name="SRC_ZP_561" vbProcedure="false">SRC_ZP!$D$565</definedName>
    <definedName function="false" hidden="false" name="SRC_ZP_562" vbProcedure="false">SRC_ZP!$D$566</definedName>
    <definedName function="false" hidden="false" name="SRC_ZP_563" vbProcedure="false">SRC_ZP!$D$567</definedName>
    <definedName function="false" hidden="false" name="SRC_ZP_564" vbProcedure="false">SRC_ZP!$D$568</definedName>
    <definedName function="false" hidden="false" name="SRC_ZP_565" vbProcedure="false">SRC_ZP!$D$569</definedName>
    <definedName function="false" hidden="false" name="SRC_ZP_566" vbProcedure="false">SRC_ZP!$D$570</definedName>
    <definedName function="false" hidden="false" name="SRC_ZP_567" vbProcedure="false">SRC_ZP!$D$571</definedName>
    <definedName function="false" hidden="false" name="SRC_ZP_568_Lo" vbProcedure="false">SRC_ZP!$E$572</definedName>
    <definedName function="false" hidden="false" name="SRC_ZP_569" vbProcedure="false">SRC_ZP!$D$573</definedName>
    <definedName function="false" hidden="false" name="SRC_ZP_570" vbProcedure="false">SRC_ZP!$D$574</definedName>
    <definedName function="false" hidden="false" name="SRC_ZP_571" vbProcedure="false">SRC_ZP!$D$575</definedName>
    <definedName function="false" hidden="false" name="SRC_ZP_572" vbProcedure="false">SRC_ZP!$D$576</definedName>
    <definedName function="false" hidden="false" name="SRC_ZP_573" vbProcedure="false">SRC_ZP!$D$577</definedName>
    <definedName function="false" hidden="false" name="SRC_ZP_574" vbProcedure="false">SRC_ZP!$D$578</definedName>
    <definedName function="false" hidden="false" name="SRC_ZP_575" vbProcedure="false">SRC_ZP!$D$579</definedName>
    <definedName function="false" hidden="false" name="SRC_ZP_576" vbProcedure="false">SRC_ZP!$D$580</definedName>
    <definedName function="false" hidden="false" name="SRC_ZP_577" vbProcedure="false">SRC_ZP!$D$581</definedName>
    <definedName function="false" hidden="false" name="SRC_ZP_578" vbProcedure="false">SRC_ZP!$D$582</definedName>
    <definedName function="false" hidden="false" name="SRC_ZP_579" vbProcedure="false">SRC_ZP!$D$583</definedName>
    <definedName function="false" hidden="false" name="SRC_ZP_579_Hi" vbProcedure="false">SRC_ZP!$F$583</definedName>
    <definedName function="false" hidden="false" name="SRC_ZP_580" vbProcedure="false">SRC_ZP!$D$584</definedName>
    <definedName function="false" hidden="false" name="SRC_ZP_582" vbProcedure="false">SRC_ZP!$D$586</definedName>
    <definedName function="false" hidden="false" name="SRC_ZP_583" vbProcedure="false">SRC_ZP!$D$587</definedName>
    <definedName function="false" hidden="false" name="SRC_ZP_584" vbProcedure="false">SRC_ZP!$D$588</definedName>
    <definedName function="false" hidden="false" name="SRC_ZP_585" vbProcedure="false">SRC_ZP!$D$589</definedName>
    <definedName function="false" hidden="false" name="SRC_ZP_586" vbProcedure="false">SRC_ZP!$D$590</definedName>
    <definedName function="false" hidden="false" name="SRC_ZP_587" vbProcedure="false">SRC_ZP!$D$591</definedName>
    <definedName function="false" hidden="false" name="SRC_ZP_588" vbProcedure="false">SRC_ZP!$D$592</definedName>
    <definedName function="false" hidden="false" name="SRC_ZP_588_Hi" vbProcedure="false">SRC_ZP!$F$592</definedName>
    <definedName function="false" hidden="false" name="SRC_ZP_588_Lo" vbProcedure="false">SRC_ZP!$E$592</definedName>
    <definedName function="false" hidden="false" name="SRC_ZP_589" vbProcedure="false">SRC_ZP!$D$593</definedName>
    <definedName function="false" hidden="false" name="SRC_ZP_590" vbProcedure="false">SRC_ZP!$D$594</definedName>
    <definedName function="false" hidden="false" name="SRC_ZP_591" vbProcedure="false">SRC_ZP!$D$595</definedName>
    <definedName function="false" hidden="false" name="SRC_ZP_592" vbProcedure="false">SRC_ZP!$D$596</definedName>
    <definedName function="false" hidden="false" name="SRC_ZP_593" vbProcedure="false">SRC_ZP!$D$597</definedName>
    <definedName function="false" hidden="false" name="SRC_ZP_594" vbProcedure="false">SRC_ZP!$D$598</definedName>
    <definedName function="false" hidden="false" name="SRC_ZP_595" vbProcedure="false">SRC_ZP!$D$599</definedName>
    <definedName function="false" hidden="false" name="SRC_ZP_596" vbProcedure="false">SRC_ZP!$D$600</definedName>
    <definedName function="false" hidden="false" name="SRC_ZP_597" vbProcedure="false">SRC_ZP!$D$601</definedName>
    <definedName function="false" hidden="false" name="SRC_ZP_598" vbProcedure="false">SRC_ZP!$D$602</definedName>
    <definedName function="false" hidden="false" name="SRC_ZP_599" vbProcedure="false">SRC_ZP!$D$603</definedName>
    <definedName function="false" hidden="false" name="SRC_ZP_600" vbProcedure="false">SRC_ZP!$D$604</definedName>
    <definedName function="false" hidden="false" name="SRC_ZP_601" vbProcedure="false">SRC_ZP!$D$605</definedName>
    <definedName function="false" hidden="false" name="SRC_ZP_602" vbProcedure="false">SRC_ZP!$D$606</definedName>
    <definedName function="false" hidden="false" name="SRC_ZP_603" vbProcedure="false">SRC_ZP!$D$607</definedName>
    <definedName function="false" hidden="false" name="SRC_ZP_605" vbProcedure="false">SRC_ZP!$D$609</definedName>
    <definedName function="false" hidden="false" name="SRC_ZP_606" vbProcedure="false">SRC_ZP!$D$610</definedName>
    <definedName function="false" hidden="false" name="SRC_ZP_607" vbProcedure="false">SRC_ZP!$D$611</definedName>
    <definedName function="false" hidden="false" name="SRC_ZP_608" vbProcedure="false">SRC_ZP!$D$612</definedName>
    <definedName function="false" hidden="false" name="SRC_ZP_609" vbProcedure="false">SRC_ZP!$D$613</definedName>
    <definedName function="false" hidden="false" name="SRC_ZP_610" vbProcedure="false">SRC_ZP!$D$614</definedName>
    <definedName function="false" hidden="false" name="SRC_ZP_611" vbProcedure="false">SRC_ZP!$D$615</definedName>
    <definedName function="false" hidden="false" name="SRC_ZP_612" vbProcedure="false">SRC_ZP!$D$616</definedName>
    <definedName function="false" hidden="false" name="SRC_ZP_613" vbProcedure="false">SRC_ZP!$D$617</definedName>
    <definedName function="false" hidden="false" name="SRC_ZP_614" vbProcedure="false">SRC_ZP!$D$618</definedName>
    <definedName function="false" hidden="false" name="SRC_ZP_615" vbProcedure="false">SRC_ZP!$D$619</definedName>
    <definedName function="false" hidden="false" name="SRC_ZP_616" vbProcedure="false">SRC_ZP!$D$620</definedName>
    <definedName function="false" hidden="false" name="SRC_ZP_617" vbProcedure="false">SRC_ZP!$D$621</definedName>
    <definedName function="false" hidden="false" name="SRC_ZP_618" vbProcedure="false">SRC_ZP!$D$622</definedName>
    <definedName function="false" hidden="false" name="SRC_ZP_619" vbProcedure="false">SRC_ZP!$D$623</definedName>
    <definedName function="false" hidden="false" name="SRC_ZP_620" vbProcedure="false">SRC_ZP!$D$624</definedName>
    <definedName function="false" hidden="false" name="SRC_ZP_621" vbProcedure="false">SRC_ZP!$D$625</definedName>
    <definedName function="false" hidden="false" name="SRC_ZP_622" vbProcedure="false">SRC_ZP!$D$626</definedName>
    <definedName function="false" hidden="false" name="SRC_ZP_623" vbProcedure="false">SRC_ZP!$D$627</definedName>
    <definedName function="false" hidden="false" name="SRC_ZP_624" vbProcedure="false">SRC_ZP!$D$628</definedName>
    <definedName function="false" hidden="false" name="SRC_ZP_625" vbProcedure="false">SRC_ZP!$D$629</definedName>
    <definedName function="false" hidden="false" name="SRC_ZP_626" vbProcedure="false">SRC_ZP!$D$630</definedName>
    <definedName function="false" hidden="false" name="SRC_ZP_627" vbProcedure="false">SRC_ZP!$D$631</definedName>
    <definedName function="false" hidden="false" name="SRC_ZP_628" vbProcedure="false">SRC_ZP!$D$632</definedName>
    <definedName function="false" hidden="false" name="SRC_ZP_629" vbProcedure="false">SRC_ZP!$D$633</definedName>
    <definedName function="false" hidden="false" name="SRC_ZP_630" vbProcedure="false">SRC_ZP!$D$634</definedName>
    <definedName function="false" hidden="false" name="SRC_ZP_631" vbProcedure="false">SRC_ZP!$D$635</definedName>
    <definedName function="false" hidden="false" name="SRC_ZP_632" vbProcedure="false">SRC_ZP!$D$636</definedName>
    <definedName function="false" hidden="false" name="SRC_ZP_633" vbProcedure="false">SRC_ZP!$D$637</definedName>
    <definedName function="false" hidden="false" name="SRC_ZP_634" vbProcedure="false">SRC_ZP!$D$638</definedName>
    <definedName function="false" hidden="false" name="SRC_ZP_635" vbProcedure="false">SRC_ZP!$D$639</definedName>
    <definedName function="false" hidden="false" name="SRC_ZP_636" vbProcedure="false">SRC_ZP!$D$640</definedName>
    <definedName function="false" hidden="false" name="SRC_ZP_637" vbProcedure="false">SRC_ZP!$D$641</definedName>
    <definedName function="false" hidden="false" name="SRC_ZP_638" vbProcedure="false">SRC_ZP!$D$642</definedName>
    <definedName function="false" hidden="false" name="SRC_ZP_639" vbProcedure="false">SRC_ZP!$D$643</definedName>
    <definedName function="false" hidden="false" name="SRC_ZP_640" vbProcedure="false">SRC_ZP!$D$644</definedName>
    <definedName function="false" hidden="false" name="SRC_ZP_641" vbProcedure="false">SRC_ZP!$D$645</definedName>
    <definedName function="false" hidden="false" name="SRC_ZP_642" vbProcedure="false">SRC_ZP!$D$646</definedName>
    <definedName function="false" hidden="false" name="SRC_ZP_643" vbProcedure="false">SRC_ZP!$D$647</definedName>
    <definedName function="false" hidden="false" name="SRC_ZP_644" vbProcedure="false">SRC_ZP!$D$648</definedName>
    <definedName function="false" hidden="false" name="SRC_ZP_645" vbProcedure="false">SRC_ZP!$D$649</definedName>
    <definedName function="false" hidden="false" name="SRC_ZP_648" vbProcedure="false">SRC_ZP!$D$652</definedName>
    <definedName function="false" hidden="false" name="SRC_ZP_649" vbProcedure="false">SRC_ZP!$D$653</definedName>
    <definedName function="false" hidden="false" name="SRC_ZP_650" vbProcedure="false">SRC_ZP!$D$654</definedName>
    <definedName function="false" hidden="false" name="SRC_ZP_651" vbProcedure="false">SRC_ZP!$D$655</definedName>
    <definedName function="false" hidden="false" name="SRC_ZP_652" vbProcedure="false">SRC_ZP!$D$656</definedName>
    <definedName function="false" hidden="false" name="SRC_ZP_653" vbProcedure="false">SRC_ZP!$D$657</definedName>
    <definedName function="false" hidden="false" name="SRC_ZP_654" vbProcedure="false">SRC_ZP!$D$658</definedName>
    <definedName function="false" hidden="false" name="SRC_ZP_655" vbProcedure="false">SRC_ZP!$D$659</definedName>
    <definedName function="false" hidden="false" name="SRC_ZP_656" vbProcedure="false">SRC_ZP!$D$660</definedName>
    <definedName function="false" hidden="false" name="SRC_ZP_657" vbProcedure="false">SRC_ZP!$D$661</definedName>
    <definedName function="false" hidden="false" name="SRC_ZP_658" vbProcedure="false">SRC_ZP!$D$662</definedName>
    <definedName function="false" hidden="false" name="SRC_ZP_659" vbProcedure="false">SRC_ZP!$D$663</definedName>
    <definedName function="false" hidden="false" name="SRC_ZP_660" vbProcedure="false">SRC_ZP!$D$664</definedName>
    <definedName function="false" hidden="false" name="SRC_ZP_661" vbProcedure="false">SRC_ZP!$D$665</definedName>
    <definedName function="false" hidden="false" name="SRC_ZP_662" vbProcedure="false">SRC_ZP!$D$666</definedName>
    <definedName function="false" hidden="false" name="SRC_ZP_663" vbProcedure="false">SRC_ZP!$D$667</definedName>
    <definedName function="false" hidden="false" name="SRC_ZP_664" vbProcedure="false">SRC_ZP!$D$668</definedName>
    <definedName function="false" hidden="false" name="SRC_ZP_665" vbProcedure="false">SRC_ZP!$D$669</definedName>
    <definedName function="false" hidden="false" name="SRC_ZP_666" vbProcedure="false">SRC_ZP!$D$670</definedName>
    <definedName function="false" hidden="false" name="SRC_ZP_667" vbProcedure="false">SRC_ZP!$D$671</definedName>
    <definedName function="false" hidden="false" name="SRC_ZP_668" vbProcedure="false">SRC_ZP!$D$672</definedName>
    <definedName function="false" hidden="false" name="SRC_ZP_669" vbProcedure="false">SRC_ZP!$D$673</definedName>
    <definedName function="false" hidden="false" name="SRC_ZP_670" vbProcedure="false">SRC_ZP!$D$674</definedName>
    <definedName function="false" hidden="false" name="SRC_ZP_671" vbProcedure="false">SRC_ZP!$D$675</definedName>
    <definedName function="false" hidden="false" name="SRC_ZP_672" vbProcedure="false">SRC_ZP!$D$676</definedName>
    <definedName function="false" hidden="false" name="SRC_ZP_673" vbProcedure="false">SRC_ZP!$D$677</definedName>
    <definedName function="false" hidden="false" name="SRC_ZP_674" vbProcedure="false">SRC_ZP!$D$678</definedName>
    <definedName function="false" hidden="false" name="SRC_ZP_675" vbProcedure="false">SRC_ZP!$D$679</definedName>
    <definedName function="false" hidden="false" name="SRC_ZP_676" vbProcedure="false">SRC_ZP!$D$680</definedName>
    <definedName function="false" hidden="false" name="SRC_ZP_677" vbProcedure="false">SRC_ZP!$D$681</definedName>
    <definedName function="false" hidden="false" name="SRC_ZP_678" vbProcedure="false">SRC_ZP!$D$682</definedName>
    <definedName function="false" hidden="false" name="SRC_ZP_679" vbProcedure="false">SRC_ZP!$D$683</definedName>
    <definedName function="false" hidden="false" name="SRC_ZP_680" vbProcedure="false">SRC_ZP!$D$684</definedName>
    <definedName function="false" hidden="false" name="SRC_ZP_681" vbProcedure="false">SRC_ZP!$D$685</definedName>
    <definedName function="false" hidden="false" name="SRC_ZP_682" vbProcedure="false">SRC_ZP!$D$686</definedName>
    <definedName function="false" hidden="false" name="SRC_ZP_683" vbProcedure="false">SRC_ZP!$D$687</definedName>
    <definedName function="false" hidden="false" name="SRC_ZP_684" vbProcedure="false">SRC_ZP!$D$688</definedName>
    <definedName function="false" hidden="false" name="SRC_ZP_685" vbProcedure="false">SRC_ZP!$D$689</definedName>
    <definedName function="false" hidden="false" name="SRC_ZP_686" vbProcedure="false">SRC_ZP!$D$690</definedName>
    <definedName function="false" hidden="false" name="SRC_ZP_687" vbProcedure="false">SRC_ZP!$D$691</definedName>
    <definedName function="false" hidden="false" name="SRC_ZP_688" vbProcedure="false">SRC_ZP!$D$692</definedName>
    <definedName function="false" hidden="false" name="SRC_ZP_689" vbProcedure="false">SRC_ZP!$D$693</definedName>
    <definedName function="false" hidden="false" name="SRC_ZP_690" vbProcedure="false">SRC_ZP!$D$694</definedName>
    <definedName function="false" hidden="false" name="SRC_ZP_691" vbProcedure="false">SRC_ZP!$D$695</definedName>
    <definedName function="false" hidden="false" name="SRC_ZP_692" vbProcedure="false">SRC_ZP!$D$696</definedName>
    <definedName function="false" hidden="false" name="SRC_ZP_693" vbProcedure="false">SRC_ZP!$D$697</definedName>
    <definedName function="false" hidden="false" name="SRC_ZP_694" vbProcedure="false">SRC_ZP!$D$698</definedName>
    <definedName function="false" hidden="false" name="SRC_ZP_695" vbProcedure="false">SRC_ZP!$D$699</definedName>
    <definedName function="false" hidden="false" name="SRC_ZP_696" vbProcedure="false">SRC_ZP!$D$700</definedName>
    <definedName function="false" hidden="false" name="SRC_ZP_697" vbProcedure="false">SRC_ZP!$D$701</definedName>
    <definedName function="false" hidden="false" name="SRC_ZP_698" vbProcedure="false">SRC_ZP!$D$702</definedName>
    <definedName function="false" hidden="false" name="SRC_ZP_699" vbProcedure="false">SRC_ZP!$D$703</definedName>
    <definedName function="false" hidden="false" name="SRC_ZP_700" vbProcedure="false">SRC_ZP!$D$704</definedName>
    <definedName function="false" hidden="false" name="SRC_ZP_701" vbProcedure="false">SRC_ZP!$D$705</definedName>
    <definedName function="false" hidden="false" name="SRC_ZP_702" vbProcedure="false">SRC_ZP!$D$706</definedName>
    <definedName function="false" hidden="false" name="SRC_ZP_703" vbProcedure="false">SRC_ZP!$D$707</definedName>
    <definedName function="false" hidden="false" name="SRC_ZP_704" vbProcedure="false">SRC_ZP!$D$708</definedName>
    <definedName function="false" hidden="false" name="SRC_ZP_705" vbProcedure="false">SRC_ZP!$D$709</definedName>
    <definedName function="false" hidden="false" name="SRC_ZP_706" vbProcedure="false">SRC_ZP!$D$710</definedName>
    <definedName function="false" hidden="false" name="SRC_ZP_707" vbProcedure="false">SRC_ZP!$D$711</definedName>
    <definedName function="false" hidden="false" name="SRC_ZP_708" vbProcedure="false">SRC_ZP!$D$712</definedName>
    <definedName function="false" hidden="false" name="SRC_ZP_709" vbProcedure="false">SRC_ZP!$D$713</definedName>
    <definedName function="false" hidden="false" name="SRC_ZP_710" vbProcedure="false">SRC_ZP!$D$714</definedName>
    <definedName function="false" hidden="false" name="SRC_ZP_711" vbProcedure="false">SRC_ZP!$D$715</definedName>
    <definedName function="false" hidden="false" name="SRC_ZP_712" vbProcedure="false">SRC_ZP!$D$716</definedName>
    <definedName function="false" hidden="false" name="SRC_ZP_713" vbProcedure="false">SRC_ZP!$D$717</definedName>
    <definedName function="false" hidden="false" name="SRC_ZP_714" vbProcedure="false">SRC_ZP!$D$718</definedName>
    <definedName function="false" hidden="false" name="SRC_ZP_715" vbProcedure="false">SRC_ZP!$D$719</definedName>
    <definedName function="false" hidden="false" name="SRC_ZP_716" vbProcedure="false">SRC_ZP!$D$720</definedName>
    <definedName function="false" hidden="false" name="SRC_ZP_718" vbProcedure="false">SRC_ZP!$D$722</definedName>
    <definedName function="false" hidden="false" name="SRC_ZP_719" vbProcedure="false">SRC_ZP!$D$723</definedName>
    <definedName function="false" hidden="false" name="SRC_ZP_720" vbProcedure="false">SRC_ZP!$D$724</definedName>
    <definedName function="false" hidden="false" name="SRC_ZP_721" vbProcedure="false">SRC_ZP!$D$725</definedName>
    <definedName function="false" hidden="false" name="SRC_ZP_722" vbProcedure="false">SRC_ZP!$D$726</definedName>
    <definedName function="false" hidden="false" name="SRC_ZP_723" vbProcedure="false">SRC_ZP!$D$727</definedName>
    <definedName function="false" hidden="false" name="SRC_ZP_724" vbProcedure="false">SRC_ZP!$D$728</definedName>
    <definedName function="false" hidden="false" name="SRC_ZP_725" vbProcedure="false">SRC_ZP!$D$729</definedName>
    <definedName function="false" hidden="false" name="SRC_ZP_726" vbProcedure="false">SRC_ZP!$D$730</definedName>
    <definedName function="false" hidden="false" name="SRC_ZP_727" vbProcedure="false">SRC_ZP!$D$731</definedName>
    <definedName function="false" hidden="false" name="SRC_ZP_728" vbProcedure="false">SRC_ZP!$D$732</definedName>
    <definedName function="false" hidden="false" name="SRC_ZP_729" vbProcedure="false">SRC_ZP!$D$733</definedName>
    <definedName function="false" hidden="false" name="SRC_ZP_730" vbProcedure="false">SRC_ZP!$D$734</definedName>
    <definedName function="false" hidden="false" name="SRC_ZP_731" vbProcedure="false">SRC_ZP!$D$735</definedName>
    <definedName function="false" hidden="false" name="SRC_ZP_732" vbProcedure="false">SRC_ZP!$D$736</definedName>
    <definedName function="false" hidden="false" name="SRC_ZP_733" vbProcedure="false">SRC_ZP!$D$737</definedName>
    <definedName function="false" hidden="false" name="SRC_ZP_734" vbProcedure="false">SRC_ZP!$D$738</definedName>
    <definedName function="false" hidden="false" name="SRC_ZP_735" vbProcedure="false">SRC_ZP!$D$739</definedName>
    <definedName function="false" hidden="false" name="SRC_ZP_736" vbProcedure="false">SRC_ZP!$D$740</definedName>
    <definedName function="false" hidden="false" name="SRC_ZP_737" vbProcedure="false">SRC_ZP!$D$741</definedName>
    <definedName function="false" hidden="false" name="SRC_ZP_738" vbProcedure="false">SRC_ZP!$D$742</definedName>
    <definedName function="false" hidden="false" name="SRC_ZP_739" vbProcedure="false">SRC_ZP!$D$743</definedName>
    <definedName function="false" hidden="false" name="SRC_ZP_740" vbProcedure="false">SRC_ZP!$D$744</definedName>
    <definedName function="false" hidden="false" name="SRC_ZP_741" vbProcedure="false">SRC_ZP!$D$745</definedName>
    <definedName function="false" hidden="false" name="SRC_ZP_742" vbProcedure="false">SRC_ZP!$D$746</definedName>
    <definedName function="false" hidden="false" name="SRC_ZP_743" vbProcedure="false">SRC_ZP!$D$747</definedName>
    <definedName function="false" hidden="false" name="SRC_ZP_744" vbProcedure="false">SRC_ZP!$D$748</definedName>
    <definedName function="false" hidden="false" name="SRC_ZP_745" vbProcedure="false">SRC_ZP!$D$749</definedName>
    <definedName function="false" hidden="false" name="SRC_ZP_746" vbProcedure="false">SRC_ZP!$D$750</definedName>
    <definedName function="false" hidden="false" name="SRC_ZP_747" vbProcedure="false">SRC_ZP!$D$751</definedName>
    <definedName function="false" hidden="false" name="SRC_ZP_748" vbProcedure="false">SRC_ZP!$D$752</definedName>
    <definedName function="false" hidden="false" name="SRC_ZP_749" vbProcedure="false">SRC_ZP!$D$753</definedName>
    <definedName function="false" hidden="false" name="SRC_ZP_750" vbProcedure="false">SRC_ZP!$D$754</definedName>
    <definedName function="false" hidden="false" name="SRC_ZP_751" vbProcedure="false">SRC_ZP!$D$755</definedName>
    <definedName function="false" hidden="false" name="SRC_ZP_752" vbProcedure="false">SRC_ZP!$D$756</definedName>
    <definedName function="false" hidden="false" name="SRC_ZP_753" vbProcedure="false">SRC_ZP!$D$757</definedName>
    <definedName function="false" hidden="false" name="SRC_ZP_754" vbProcedure="false">SRC_ZP!$D$758</definedName>
    <definedName function="false" hidden="false" name="SRC_ZP_755" vbProcedure="false">SRC_ZP!$D$759</definedName>
    <definedName function="false" hidden="false" name="SRC_ZP_756" vbProcedure="false">SRC_ZP!$D$760</definedName>
    <definedName function="false" hidden="false" name="SRC_ZP_757" vbProcedure="false">SRC_ZP!$D$761</definedName>
    <definedName function="false" hidden="false" name="SRC_ZP_758" vbProcedure="false">SRC_ZP!$D$762</definedName>
    <definedName function="false" hidden="false" name="SRC_ZP_759" vbProcedure="false">SRC_ZP!$D$763</definedName>
    <definedName function="false" hidden="false" name="SRC_ZP_760" vbProcedure="false">SRC_ZP!$D$764</definedName>
    <definedName function="false" hidden="false" name="SRC_ZP_761" vbProcedure="false">SRC_ZP!$D$765</definedName>
    <definedName function="false" hidden="false" name="SRC_ZP_762" vbProcedure="false">SRC_ZP!$D$766</definedName>
    <definedName function="false" hidden="false" name="SRC_ZP_763" vbProcedure="false">SRC_ZP!$D$767</definedName>
    <definedName function="false" hidden="false" name="SRC_ZP_764" vbProcedure="false">SRC_ZP!$D$768</definedName>
    <definedName function="false" hidden="false" name="SRC_ZP_765" vbProcedure="false">SRC_ZP!$D$769</definedName>
    <definedName function="false" hidden="false" name="SRC_ZP_766" vbProcedure="false">SRC_ZP!$D$770</definedName>
    <definedName function="false" hidden="false" name="SRC_ZP_767" vbProcedure="false">SRC_ZP!$D$771</definedName>
    <definedName function="false" hidden="false" name="SRC_ZP_768" vbProcedure="false">SRC_ZP!$D$772</definedName>
    <definedName function="false" hidden="false" name="SRC_ZP_769" vbProcedure="false">SRC_ZP!$D$773</definedName>
    <definedName function="false" hidden="false" name="SRC_ZP_770" vbProcedure="false">SRC_ZP!$D$774</definedName>
    <definedName function="false" hidden="false" name="SRC_ZP_771" vbProcedure="false">SRC_ZP!$D$775</definedName>
    <definedName function="false" hidden="false" name="SRC_ZP_772" vbProcedure="false">SRC_ZP!$D$776</definedName>
    <definedName function="false" hidden="false" name="SRC_ZP_773" vbProcedure="false">SRC_ZP!$D$777</definedName>
    <definedName function="false" hidden="false" name="SRC_ZP_774" vbProcedure="false">SRC_ZP!$D$778</definedName>
    <definedName function="false" hidden="false" name="SRC_ZP_775" vbProcedure="false">SRC_ZP!$D$779</definedName>
    <definedName function="false" hidden="false" name="SRC_ZP_776" vbProcedure="false">SRC_ZP!$D$780</definedName>
    <definedName function="false" hidden="false" name="SRC_ZP_777" vbProcedure="false">SRC_ZP!$D$781</definedName>
    <definedName function="false" hidden="false" name="SRC_ZP_778" vbProcedure="false">SRC_ZP!$D$782</definedName>
    <definedName function="false" hidden="false" name="SRC_ZP_779" vbProcedure="false">SRC_ZP!$D$783</definedName>
    <definedName function="false" hidden="false" name="SRC_ZP_781" vbProcedure="false">SRC_ZP!$D$785</definedName>
    <definedName function="false" hidden="false" name="SRC_ZP_781_Hi" vbProcedure="false">SRC_ZP!$F$785</definedName>
    <definedName function="false" hidden="false" name="SRC_ZP_781_Lo" vbProcedure="false">SRC_ZP!$E$785</definedName>
    <definedName function="false" hidden="false" name="SRC_ZP_782" vbProcedure="false">SRC_ZP!$D$786</definedName>
    <definedName function="false" hidden="false" name="SRC_ZP_783" vbProcedure="false">SRC_ZP!$D$787</definedName>
    <definedName function="false" hidden="false" name="SRC_ZP_784" vbProcedure="false">SRC_ZP!$D$788</definedName>
    <definedName function="false" hidden="false" name="SRC_ZP_785" vbProcedure="false">SRC_ZP!$D$789</definedName>
    <definedName function="false" hidden="false" name="SRC_ZP_786" vbProcedure="false">SRC_ZP!$D$790</definedName>
    <definedName function="false" hidden="false" name="SRC_ZP_787" vbProcedure="false">SRC_ZP!$D$791</definedName>
    <definedName function="false" hidden="false" name="SRC_ZP_788" vbProcedure="false">SRC_ZP!$D$792</definedName>
    <definedName function="false" hidden="false" name="SRC_ZP_789" vbProcedure="false">SRC_ZP!$D$793</definedName>
    <definedName function="false" hidden="false" name="SRC_ZP_790" vbProcedure="false">SRC_ZP!$D$794</definedName>
    <definedName function="false" hidden="false" name="SRC_ZP_791" vbProcedure="false">SRC_ZP!$D$795</definedName>
    <definedName function="false" hidden="false" name="SRC_ZP_792" vbProcedure="false">SRC_ZP!$D$796</definedName>
    <definedName function="false" hidden="false" name="SRC_ZP_793" vbProcedure="false">SRC_ZP!$D$797</definedName>
    <definedName function="false" hidden="false" name="SRC_ZP_794" vbProcedure="false">SRC_ZP!$D$798</definedName>
    <definedName function="false" hidden="false" name="SRC_ZP_795" vbProcedure="false">SRC_ZP!$D$799</definedName>
    <definedName function="false" hidden="false" name="SRC_ZP_796" vbProcedure="false">SRC_ZP!$D$800</definedName>
    <definedName function="false" hidden="false" name="SRC_ZP_797" vbProcedure="false">SRC_ZP!$D$801</definedName>
    <definedName function="false" hidden="false" name="SRC_ZP_798" vbProcedure="false">SRC_ZP!$D$802</definedName>
    <definedName function="false" hidden="false" name="SRC_ZP_799" vbProcedure="false">SRC_ZP!$D$803</definedName>
    <definedName function="false" hidden="false" name="SRC_ZP_800" vbProcedure="false">SRC_ZP!$D$804</definedName>
    <definedName function="false" hidden="false" name="SRC_ZP_801" vbProcedure="false">SRC_ZP!$D$805</definedName>
    <definedName function="false" hidden="false" name="SRC_ZP_802" vbProcedure="false">SRC_ZP!$D$806</definedName>
    <definedName function="false" hidden="false" name="SRC_ZP_803" vbProcedure="false">SRC_ZP!$D$807</definedName>
    <definedName function="false" hidden="false" name="SRC_ZP_804" vbProcedure="false">SRC_ZP!$D$808</definedName>
    <definedName function="false" hidden="false" name="SRC_ZP_805" vbProcedure="false">SRC_ZP!$D$809</definedName>
    <definedName function="false" hidden="false" name="SRC_ZP_806" vbProcedure="false">SRC_ZP!$D$810</definedName>
    <definedName function="false" hidden="false" name="SRC_ZP_807" vbProcedure="false">SRC_ZP!$D$811</definedName>
    <definedName function="false" hidden="false" name="SRC_ZP_808" vbProcedure="false">SRC_ZP!$D$812</definedName>
    <definedName function="false" hidden="false" name="SRC_ZP_809" vbProcedure="false">SRC_ZP!$D$813</definedName>
    <definedName function="false" hidden="false" name="SRC_ZP_810" vbProcedure="false">SRC_ZP!$D$814</definedName>
    <definedName function="false" hidden="false" name="SRC_ZP_811" vbProcedure="false">SRC_ZP!$D$815</definedName>
    <definedName function="false" hidden="false" name="SRC_ZP_812" vbProcedure="false">SRC_ZP!$D$816</definedName>
    <definedName function="false" hidden="false" name="SRC_ZP_813" vbProcedure="false">SRC_ZP!$D$817</definedName>
    <definedName function="false" hidden="false" name="SRC_ZP_814" vbProcedure="false">SRC_ZP!$D$818</definedName>
    <definedName function="false" hidden="false" name="SRC_ZP_815" vbProcedure="false">SRC_ZP!$D$819</definedName>
    <definedName function="false" hidden="false" name="SRC_ZP_816" vbProcedure="false">SRC_ZP!$D$820</definedName>
    <definedName function="false" hidden="false" name="SRC_ZP_817" vbProcedure="false">SRC_ZP!$D$821</definedName>
    <definedName function="false" hidden="false" name="SRC_ZP_818" vbProcedure="false">SRC_ZP!$D$822</definedName>
    <definedName function="false" hidden="false" name="SRC_ZP_819" vbProcedure="false">SRC_ZP!$D$823</definedName>
    <definedName function="false" hidden="false" name="SRC_ZP_820" vbProcedure="false">SRC_ZP!$D$824</definedName>
    <definedName function="false" hidden="false" name="SRC_ZP_821" vbProcedure="false">SRC_ZP!$D$825</definedName>
    <definedName function="false" hidden="false" name="SRC_ZP_822" vbProcedure="false">SRC_ZP!$D$826</definedName>
    <definedName function="false" hidden="false" name="SRC_ZP_823" vbProcedure="false">SRC_ZP!$D$827</definedName>
    <definedName function="false" hidden="false" name="SRC_ZP_824" vbProcedure="false">SRC_ZP!$D$828</definedName>
    <definedName function="false" hidden="false" name="SRC_ZP_825" vbProcedure="false">SRC_ZP!$D$829</definedName>
    <definedName function="false" hidden="false" name="SRC_ZP_826" vbProcedure="false">SRC_ZP!$D$830</definedName>
    <definedName function="false" hidden="false" name="SRC_ZP_827" vbProcedure="false">SRC_ZP!$D$831</definedName>
    <definedName function="false" hidden="false" name="SRC_ZP_828" vbProcedure="false">SRC_ZP!$D$832</definedName>
    <definedName function="false" hidden="false" name="SRC_ZP_829" vbProcedure="false">SRC_ZP!$D$833</definedName>
    <definedName function="false" hidden="false" name="SRC_ZP_830" vbProcedure="false">SRC_ZP!$D$834</definedName>
    <definedName function="false" hidden="false" name="SRC_ZP_831" vbProcedure="false">SRC_ZP!$D$835</definedName>
    <definedName function="false" hidden="false" name="SRC_ZP_832" vbProcedure="false">SRC_ZP!$D$836</definedName>
    <definedName function="false" hidden="false" name="SRC_ZP_833" vbProcedure="false">SRC_ZP!$D$837</definedName>
    <definedName function="false" hidden="false" name="SRC_ZP_834" vbProcedure="false">SRC_ZP!$D$838</definedName>
    <definedName function="false" hidden="false" name="SRC_ZP_835" vbProcedure="false">SRC_ZP!$D$839</definedName>
    <definedName function="false" hidden="false" name="SRC_ZP_836" vbProcedure="false">SRC_ZP!$D$840</definedName>
    <definedName function="false" hidden="false" name="SRC_ZP_837" vbProcedure="false">SRC_ZP!$D$841</definedName>
    <definedName function="false" hidden="false" name="SRC_ZP_838" vbProcedure="false">SRC_ZP!$D$842</definedName>
    <definedName function="false" hidden="false" name="SRC_ZP_839" vbProcedure="false">SRC_ZP!$D$843</definedName>
    <definedName function="false" hidden="false" name="SRC_ZP_840" vbProcedure="false">SRC_ZP!$D$844</definedName>
    <definedName function="false" hidden="false" name="SRC_ZP_841" vbProcedure="false">SRC_ZP!$D$845</definedName>
    <definedName function="false" hidden="false" name="SRC_ZP_842" vbProcedure="false">SRC_ZP!$D$846</definedName>
    <definedName function="false" hidden="false" name="SRC_ZP_843" vbProcedure="false">SRC_ZP!$D$847</definedName>
    <definedName function="false" hidden="false" name="SRC_ZP_844" vbProcedure="false">SRC_ZP!$D$848</definedName>
    <definedName function="false" hidden="false" name="SRC_ZP_845" vbProcedure="false">SRC_ZP!$D$849</definedName>
    <definedName function="false" hidden="false" name="SRC_ZP_846" vbProcedure="false">SRC_ZP!$D$850</definedName>
    <definedName function="false" hidden="false" name="SRC_ZP_847" vbProcedure="false">SRC_ZP!$D$851</definedName>
    <definedName function="false" hidden="false" name="SRC_ZP_848" vbProcedure="false">SRC_ZP!$D$852</definedName>
    <definedName function="false" hidden="false" name="SRC_ZP_849" vbProcedure="false">SRC_ZP!$D$853</definedName>
    <definedName function="false" hidden="false" name="SRC_ZP_850" vbProcedure="false">SRC_ZP!$D$854</definedName>
    <definedName function="false" hidden="false" name="SRC_ZP_851" vbProcedure="false">SRC_ZP!$D$855</definedName>
    <definedName function="false" hidden="false" name="SRC_ZP_852" vbProcedure="false">SRC_ZP!$D$856</definedName>
    <definedName function="false" hidden="false" name="SRC_ZP_853" vbProcedure="false">SRC_ZP!$D$857</definedName>
    <definedName function="false" hidden="false" name="SRC_ZP_854" vbProcedure="false">SRC_ZP!$D$858</definedName>
    <definedName function="false" hidden="false" name="SRC_ZP_855" vbProcedure="false">SRC_ZP!$D$859</definedName>
    <definedName function="false" hidden="false" name="SRC_ZP_856" vbProcedure="false">SRC_ZP!$D$860</definedName>
    <definedName function="false" hidden="false" name="SRC_ZP_857" vbProcedure="false">SRC_ZP!$D$861</definedName>
    <definedName function="false" hidden="false" name="SRC_ZP_858" vbProcedure="false">SRC_ZP!$D$862</definedName>
    <definedName function="false" hidden="false" name="SRC_ZP_859" vbProcedure="false">SRC_ZP!$D$863</definedName>
    <definedName function="false" hidden="false" name="SRC_ZP_860" vbProcedure="false">SRC_ZP!$D$864</definedName>
    <definedName function="false" hidden="false" name="SRC_ZP_861" vbProcedure="false">SRC_ZP!$D$865</definedName>
    <definedName function="false" hidden="false" name="SRC_ZP_862" vbProcedure="false">SRC_ZP!$D$866</definedName>
    <definedName function="false" hidden="false" name="SRC_ZP_863" vbProcedure="false">SRC_ZP!$D$867</definedName>
    <definedName function="false" hidden="false" name="SRC_ZP_864" vbProcedure="false">SRC_ZP!$D$868</definedName>
    <definedName function="false" hidden="false" name="SRC_ZP_865" vbProcedure="false">SRC_ZP!$D$869</definedName>
    <definedName function="false" hidden="false" name="SRC_ZP_866" vbProcedure="false">SRC_ZP!$D$870</definedName>
    <definedName function="false" hidden="false" name="SRC_ZP_867" vbProcedure="false">SRC_ZP!$D$871</definedName>
    <definedName function="false" hidden="false" name="SRC_ZP_868" vbProcedure="false">SRC_ZP!$D$872</definedName>
    <definedName function="false" hidden="false" name="SRC_ZP_869" vbProcedure="false">SRC_ZP!$D$873</definedName>
    <definedName function="false" hidden="false" name="SRC_ZP_871" vbProcedure="false">SRC_ZP!$D$875</definedName>
    <definedName function="false" hidden="false" name="SRC_ZP_872" vbProcedure="false">SRC_ZP!$D$876</definedName>
    <definedName function="false" hidden="false" name="SRC_ZP_873" vbProcedure="false">SRC_ZP!$D$877</definedName>
    <definedName function="false" hidden="false" name="SRC_ZP_874" vbProcedure="false">SRC_ZP!$D$878</definedName>
    <definedName function="false" hidden="false" name="SRC_ZP_875" vbProcedure="false">SRC_ZP!$D$879</definedName>
    <definedName function="false" hidden="false" name="SRC_ZP_876" vbProcedure="false">SRC_ZP!$D$880</definedName>
    <definedName function="false" hidden="false" name="SRC_ZP_877" vbProcedure="false">SRC_ZP!$D$881</definedName>
    <definedName function="false" hidden="false" name="SRC_ZP_878" vbProcedure="false">SRC_ZP!$D$882</definedName>
    <definedName function="false" hidden="false" name="SRC_ZP_879" vbProcedure="false">SRC_ZP!$D$883</definedName>
    <definedName function="false" hidden="false" name="SRC_ZP_880" vbProcedure="false">SRC_ZP!$D$884</definedName>
    <definedName function="false" hidden="false" name="SRC_ZP_881" vbProcedure="false">SRC_ZP!$D$885</definedName>
    <definedName function="false" hidden="false" name="SRC_ZP_882" vbProcedure="false">SRC_ZP!$D$886</definedName>
    <definedName function="false" hidden="false" name="SRC_ZP_883" vbProcedure="false">SRC_ZP!$D$887</definedName>
    <definedName function="false" hidden="false" name="SRC_ZP_884" vbProcedure="false">SRC_ZP!$D$888</definedName>
    <definedName function="false" hidden="false" name="SRC_ZP_885" vbProcedure="false">SRC_ZP!$D$889</definedName>
    <definedName function="false" hidden="false" name="SRC_ZP_886" vbProcedure="false">SRC_ZP!$D$890</definedName>
    <definedName function="false" hidden="false" name="SRC_ZP_887" vbProcedure="false">SRC_ZP!$D$891</definedName>
    <definedName function="false" hidden="false" name="SRC_ZP_888" vbProcedure="false">SRC_ZP!$D$892</definedName>
    <definedName function="false" hidden="false" name="SRC_ZP_889" vbProcedure="false">SRC_ZP!$D$893</definedName>
    <definedName function="false" hidden="false" name="SRC_ZP_890" vbProcedure="false">SRC_ZP!$D$894</definedName>
    <definedName function="false" hidden="false" name="SRC_ZP_891" vbProcedure="false">SRC_ZP!$D$895</definedName>
    <definedName function="false" hidden="false" name="SRC_ZP_892" vbProcedure="false">SRC_ZP!$D$896</definedName>
    <definedName function="false" hidden="false" name="SRC_ZP_893" vbProcedure="false">SRC_ZP!$D$897</definedName>
    <definedName function="false" hidden="false" name="SRC_ZP_894" vbProcedure="false">SRC_ZP!$D$898</definedName>
    <definedName function="false" hidden="false" name="SRC_ZP_895" vbProcedure="false">SRC_ZP!$D$899</definedName>
    <definedName function="false" hidden="false" name="SRC_ZP_896" vbProcedure="false">SRC_ZP!$D$900</definedName>
    <definedName function="false" hidden="false" name="SRC_ZP_897" vbProcedure="false">SRC_ZP!$D$901</definedName>
    <definedName function="false" hidden="false" name="SRC_ZP_898" vbProcedure="false">SRC_ZP!$D$902</definedName>
    <definedName function="false" hidden="false" name="SRC_ZP_899" vbProcedure="false">SRC_ZP!$D$903</definedName>
    <definedName function="false" hidden="false" name="SRC_ZP_900" vbProcedure="false">SRC_ZP!$D$904</definedName>
    <definedName function="false" hidden="false" name="SRC_ZP_901" vbProcedure="false">SRC_ZP!$D$905</definedName>
    <definedName function="false" hidden="false" name="SRC_ZP_902" vbProcedure="false">SRC_ZP!$D$906</definedName>
    <definedName function="false" hidden="false" name="SRC_ZP_903" vbProcedure="false">SRC_ZP!$D$907</definedName>
    <definedName function="false" hidden="false" name="SRC_ZP_904" vbProcedure="false">SRC_ZP!$D$908</definedName>
    <definedName function="false" hidden="false" name="SRC_ZP_905" vbProcedure="false">SRC_ZP!$D$909</definedName>
    <definedName function="false" hidden="false" name="SRC_ZP_906" vbProcedure="false">SRC_ZP!$D$910</definedName>
    <definedName function="false" hidden="false" name="SRC_ZP_907" vbProcedure="false">SRC_ZP!$D$911</definedName>
    <definedName function="false" hidden="false" name="SRC_ZP_908" vbProcedure="false">SRC_ZP!$D$912</definedName>
    <definedName function="false" hidden="false" name="SRC_ZP_909" vbProcedure="false">SRC_ZP!$D$913</definedName>
    <definedName function="false" hidden="false" name="SRC_ZP_910" vbProcedure="false">SRC_ZP!$D$914</definedName>
    <definedName function="false" hidden="false" name="SRC_ZP_911" vbProcedure="false">SRC_ZP!$D$915</definedName>
    <definedName function="false" hidden="false" name="SRC_ZP_912" vbProcedure="false">SRC_ZP!$D$916</definedName>
    <definedName function="false" hidden="false" name="SRC_ZP_913" vbProcedure="false">SRC_ZP!$D$917</definedName>
    <definedName function="false" hidden="false" name="SRC_ZP_914" vbProcedure="false">SRC_ZP!$D$918</definedName>
    <definedName function="false" hidden="false" name="SRC_ZP_915" vbProcedure="false">SRC_ZP!$D$919</definedName>
    <definedName function="false" hidden="false" name="SRC_ZP_916" vbProcedure="false">SRC_ZP!$D$920</definedName>
    <definedName function="false" hidden="false" name="SRC_ZP_917" vbProcedure="false">SRC_ZP!$D$921</definedName>
    <definedName function="false" hidden="false" name="SRC_ZP_918" vbProcedure="false">SRC_ZP!$D$922</definedName>
    <definedName function="false" hidden="false" name="SRC_ZP_919" vbProcedure="false">SRC_ZP!$D$923</definedName>
    <definedName function="false" hidden="false" name="SRC_ZP_920" vbProcedure="false">SRC_ZP!$D$924</definedName>
    <definedName function="false" hidden="false" name="SRC_ZP_921" vbProcedure="false">SRC_ZP!$D$925</definedName>
    <definedName function="false" hidden="false" name="SRC_ZP_922" vbProcedure="false">SRC_ZP!$D$926</definedName>
    <definedName function="false" hidden="false" name="SRC_ZP_923" vbProcedure="false">SRC_ZP!$D$927</definedName>
    <definedName function="false" hidden="false" name="SRC_ZP_924" vbProcedure="false">SRC_ZP!$D$928</definedName>
    <definedName function="false" hidden="false" name="SRC_ZP_925" vbProcedure="false">SRC_ZP!$D$929</definedName>
    <definedName function="false" hidden="false" name="SRC_ZP_926" vbProcedure="false">SRC_ZP!$D$930</definedName>
    <definedName function="false" hidden="false" name="SRC_ZP_927" vbProcedure="false">SRC_ZP!$D$931</definedName>
    <definedName function="false" hidden="false" name="SRC_ZP_928" vbProcedure="false">SRC_ZP!$D$932</definedName>
    <definedName function="false" hidden="false" name="SRC_ZP_929" vbProcedure="false">SRC_ZP!$D$933</definedName>
    <definedName function="false" hidden="false" name="SRC_ZP_930" vbProcedure="false">SRC_ZP!$D$934</definedName>
    <definedName function="false" hidden="false" name="SRC_ZP_931" vbProcedure="false">SRC_ZP!$D$935</definedName>
    <definedName function="false" hidden="false" name="SRC_ZP_932" vbProcedure="false">SRC_ZP!$D$936</definedName>
    <definedName function="false" hidden="false" name="SRC_ZP_933" vbProcedure="false">SRC_ZP!$D$937</definedName>
    <definedName function="false" hidden="false" name="SRC_ZP_934" vbProcedure="false">SRC_ZP!$D$938</definedName>
    <definedName function="false" hidden="false" name="SRC_ZP_935" vbProcedure="false">SRC_ZP!$D$939</definedName>
    <definedName function="false" hidden="false" name="SRC_ZP_936" vbProcedure="false">SRC_ZP!$D$940</definedName>
    <definedName function="false" hidden="false" name="SRC_ZP_937" vbProcedure="false">SRC_ZP!$D$941</definedName>
    <definedName function="false" hidden="false" name="SRC_ZP_938" vbProcedure="false">SRC_ZP!$D$942</definedName>
    <definedName function="false" hidden="false" name="SRC_ZP_939" vbProcedure="false">SRC_ZP!$D$943</definedName>
    <definedName function="false" hidden="false" name="SRC_ZP_940" vbProcedure="false">SRC_ZP!$D$944</definedName>
    <definedName function="false" hidden="false" name="SRC_ZP_941" vbProcedure="false">SRC_ZP!$D$945</definedName>
    <definedName function="false" hidden="false" name="SRC_ZP_942" vbProcedure="false">SRC_ZP!$D$946</definedName>
    <definedName function="false" hidden="false" name="SRC_ZP_943" vbProcedure="false">SRC_ZP!$D$947</definedName>
    <definedName function="false" hidden="false" name="SRC_ZP_944" vbProcedure="false">SRC_ZP!$D$948</definedName>
    <definedName function="false" hidden="false" name="SRC_ZP_945" vbProcedure="false">SRC_ZP!$D$949</definedName>
    <definedName function="false" hidden="false" name="SRC_ZP_946" vbProcedure="false">SRC_ZP!$D$950</definedName>
    <definedName function="false" hidden="false" name="SRC_ZP_947" vbProcedure="false">SRC_ZP!$D$951</definedName>
    <definedName function="false" hidden="false" name="SRC_ZP_948" vbProcedure="false">SRC_ZP!$D$952</definedName>
    <definedName function="false" hidden="false" name="SRC_ZP_949" vbProcedure="false">SRC_ZP!$D$953</definedName>
    <definedName function="false" hidden="false" name="SRC_ZP_950" vbProcedure="false">SRC_ZP!$D$954</definedName>
    <definedName function="false" hidden="false" name="SRC_ZP_951" vbProcedure="false">SRC_ZP!$D$955</definedName>
    <definedName function="false" hidden="false" name="SRC_ZP_952" vbProcedure="false">SRC_ZP!$D$956</definedName>
    <definedName function="false" hidden="false" name="SRC_ZP_953" vbProcedure="false">SRC_ZP!$D$957</definedName>
    <definedName function="false" hidden="false" name="SRC_ZP_954" vbProcedure="false">SRC_ZP!$D$958</definedName>
    <definedName function="false" hidden="false" name="SRC_ZP_955" vbProcedure="false">SRC_ZP!$D$959</definedName>
    <definedName function="false" hidden="false" name="SRC_ZP_956" vbProcedure="false">SRC_ZP!$D$960</definedName>
    <definedName function="false" hidden="false" name="SRC_ZP_957" vbProcedure="false">SRC_ZP!$D$961</definedName>
    <definedName function="false" hidden="false" name="SRC_ZP_958" vbProcedure="false">SRC_ZP!$D$962</definedName>
    <definedName function="false" hidden="false" name="SRC_ZP_959" vbProcedure="false">SRC_ZP!$D$963</definedName>
    <definedName function="false" hidden="false" name="SRC_ZP_960" vbProcedure="false">SRC_ZP!$D$964</definedName>
    <definedName function="false" hidden="false" name="SRC_ZP_961" vbProcedure="false">SRC_ZP!$D$965</definedName>
    <definedName function="false" hidden="false" name="SRC_ZP_962" vbProcedure="false">SRC_ZP!$D$966</definedName>
    <definedName function="false" hidden="false" name="SRC_ZP_963" vbProcedure="false">SRC_ZP!$D$967</definedName>
    <definedName function="false" hidden="false" name="SRC_ZP_964" vbProcedure="false">SRC_ZP!$D$968</definedName>
    <definedName function="false" hidden="false" name="SRC_ZP_965" vbProcedure="false">SRC_ZP!$D$969</definedName>
    <definedName function="false" hidden="false" name="SRC_ZP_966" vbProcedure="false">SRC_ZP!$D$970</definedName>
    <definedName function="false" hidden="false" name="SRC_ZP_967" vbProcedure="false">SRC_ZP!$D$971</definedName>
    <definedName function="false" hidden="false" name="SRC_ZP_968" vbProcedure="false">SRC_ZP!$D$972</definedName>
    <definedName function="false" hidden="false" name="SRC_ZP_969" vbProcedure="false">SRC_ZP!$D$973</definedName>
    <definedName function="false" hidden="false" name="SRC_ZP_970" vbProcedure="false">SRC_ZP!$D$974</definedName>
    <definedName function="false" hidden="false" name="SRC_ZP_971" vbProcedure="false">SRC_ZP!$D$975</definedName>
    <definedName function="false" hidden="false" name="SRC_ZP_972" vbProcedure="false">SRC_ZP!$D$976</definedName>
    <definedName function="false" hidden="false" name="SRC_ZP_973" vbProcedure="false">SRC_ZP!$D$977</definedName>
    <definedName function="false" hidden="false" name="SRC_ZP_974" vbProcedure="false">SRC_ZP!$D$978</definedName>
    <definedName function="false" hidden="false" name="SRC_ZP_975" vbProcedure="false">SRC_ZP!$D$979</definedName>
    <definedName function="false" hidden="false" name="SRC_ZP_976" vbProcedure="false">SRC_ZP!$D$980</definedName>
    <definedName function="false" hidden="false" name="SRC_ZP_977" vbProcedure="false">SRC_ZP!$D$981</definedName>
    <definedName function="false" hidden="false" name="SRC_ZP_978" vbProcedure="false">SRC_ZP!$D$982</definedName>
    <definedName function="false" hidden="false" name="SRC_ZP_979" vbProcedure="false">SRC_ZP!$D$983</definedName>
    <definedName function="false" hidden="false" name="SRC_ZP_980" vbProcedure="false">SRC_ZP!$D$984</definedName>
    <definedName function="false" hidden="false" name="SRC_ZP_981" vbProcedure="false">SRC_ZP!$D$985</definedName>
    <definedName function="false" hidden="false" name="SRC_ZP_982" vbProcedure="false">SRC_ZP!$D$986</definedName>
    <definedName function="false" hidden="false" name="SRC_ZP_983" vbProcedure="false">SRC_ZP!$D$987</definedName>
    <definedName function="false" hidden="false" name="SRC_ZP_984_Hi" vbProcedure="false">SRC_ZP!$F$988</definedName>
    <definedName function="false" hidden="false" name="SRC_ZP_984_Lo" vbProcedure="false">SRC_ZP!$E$988</definedName>
    <definedName function="false" hidden="false" name="SRC_ZP_985" vbProcedure="false">SRC_ZP!$D$989</definedName>
    <definedName function="false" hidden="false" name="SRC_ZP_986" vbProcedure="false">SRC_ZP!$D$990</definedName>
    <definedName function="false" hidden="false" name="SRC_ZP_987" vbProcedure="false">SRC_ZP!$D$991</definedName>
    <definedName function="false" hidden="false" name="SRC_ZP_988" vbProcedure="false">SRC_ZP!$D$992</definedName>
    <definedName function="false" hidden="false" name="SRC_ZP_989" vbProcedure="false">SRC_ZP!$D$993</definedName>
    <definedName function="false" hidden="false" name="SRC_ZP_990" vbProcedure="false">SRC_ZP!$D$994</definedName>
    <definedName function="false" hidden="false" name="SRC_ZP_991" vbProcedure="false">SRC_ZP!$D$995</definedName>
    <definedName function="false" hidden="false" name="SRC_ZP_992" vbProcedure="false">SRC_ZP!$D$996</definedName>
    <definedName function="false" hidden="false" name="SRC_ZP_993" vbProcedure="false">SRC_ZP!$D$997</definedName>
    <definedName function="false" hidden="false" name="SRC_ZP_994" vbProcedure="false">SRC_ZP!$D$998</definedName>
    <definedName function="false" hidden="false" name="SRC_ZP_995" vbProcedure="false">SRC_ZP!$D$999</definedName>
    <definedName function="false" hidden="false" name="SRC_ZP_996" vbProcedure="false">SRC_ZP!$D$1000</definedName>
    <definedName function="false" hidden="false" name="SRC_ZP_997" vbProcedure="false">SRC_ZP!$D$1001</definedName>
    <definedName function="false" hidden="false" name="SRC_ZP_998" vbProcedure="false">SRC_ZP!$D$1002</definedName>
    <definedName function="false" hidden="false" name="SRC_ZP_999" vbProcedure="false">SRC_ZP!$D$1003</definedName>
    <definedName function="false" hidden="false" name="TK_Commit" vbProcedure="false">TK_Link!$B$5</definedName>
    <definedName function="false" hidden="false" name="TK_File" vbProcedure="false">TK_Link!$B$3</definedName>
    <definedName function="false" hidden="false" name="TK_HdrCost" vbProcedure="false">TK_Link!$J$8:$X$8</definedName>
    <definedName function="false" hidden="false" name="TK_HdrGen" vbProcedure="false">TK_Link!$J$7:$X$7</definedName>
    <definedName function="false" hidden="false" name="TK_IF_AllocDemand" vbProcedure="false">TK_Link!$J$58</definedName>
    <definedName function="false" hidden="false" name="TK_IF_AllocImpliedNk" vbProcedure="false">TK_Link!$J$59</definedName>
    <definedName function="false" hidden="false" name="TK_IF_AllocQ1" vbProcedure="false">TK_Link!$J$53</definedName>
    <definedName function="false" hidden="false" name="TK_IF_AllocQ1_R2" vbProcedure="false">TK_Link!$J$54</definedName>
    <definedName function="false" hidden="false" name="TK_IF_AllocQ2" vbProcedure="false">TK_Link!$J$55</definedName>
    <definedName function="false" hidden="false" name="TK_IF_AllocRDGW" vbProcedure="false">TK_Link!$J$57</definedName>
    <definedName function="false" hidden="false" name="TK_IF_AllocServeGW" vbProcedure="false">TK_Link!$J$56</definedName>
    <definedName function="false" hidden="false" name="TK_IF_CapexTotal" vbProcedure="false">TK_Link!$J$72:$X$72</definedName>
    <definedName function="false" hidden="false" name="TK_IF_CostCache_Astra" vbProcedure="false">TK_Link!$J$73:$X$73</definedName>
    <definedName function="false" hidden="false" name="TK_IF_CostCache_Luna" vbProcedure="false">TK_Link!$J$74:$X$74</definedName>
    <definedName function="false" hidden="false" name="TK_IF_CostCache_Sol" vbProcedure="false">TK_Link!$J$75:$X$75</definedName>
    <definedName function="false" hidden="false" name="TK_IF_CostDec_Astra" vbProcedure="false">TK_Link!$J$76:$X$76</definedName>
    <definedName function="false" hidden="false" name="TK_IF_CostDec_Luna" vbProcedure="false">TK_Link!$J$77:$X$77</definedName>
    <definedName function="false" hidden="false" name="TK_IF_CostDec_Sol" vbProcedure="false">TK_Link!$J$78:$X$78</definedName>
    <definedName function="false" hidden="false" name="TK_IF_CostPre_Astra" vbProcedure="false">TK_Link!$J$79:$X$79</definedName>
    <definedName function="false" hidden="false" name="TK_IF_CostPre_Luna" vbProcedure="false">TK_Link!$J$80:$X$80</definedName>
    <definedName function="false" hidden="false" name="TK_IF_CostPre_Sol" vbProcedure="false">TK_Link!$J$81:$X$81</definedName>
    <definedName function="false" hidden="false" name="TK_IF_DeprLifeIT" vbProcedure="false">TK_Link!$J$83:$X$83</definedName>
    <definedName function="false" hidden="false" name="TK_IF_FrontRef_Astra" vbProcedure="false">TK_Link!$J$33</definedName>
    <definedName function="false" hidden="false" name="TK_IF_FrontRef_Luna" vbProcedure="false">TK_Link!$J$34</definedName>
    <definedName function="false" hidden="false" name="TK_IF_FrontRef_Sol" vbProcedure="false">TK_Link!$J$35</definedName>
    <definedName function="false" hidden="false" name="TK_IF_FullCostDefault_Astra" vbProcedure="false">TK_Link!$J$66:$X$66</definedName>
    <definedName function="false" hidden="false" name="TK_IF_FullCostDefault_Luna" vbProcedure="false">TK_Link!$J$67:$X$67</definedName>
    <definedName function="false" hidden="false" name="TK_IF_FullCostDefault_Sol" vbProcedure="false">TK_Link!$J$68:$X$68</definedName>
    <definedName function="false" hidden="false" name="TK_IF_FullCost_Astra" vbProcedure="false">TK_Link!$J$15:$X$15</definedName>
    <definedName function="false" hidden="false" name="TK_IF_FullCost_Luna" vbProcedure="false">TK_Link!$J$16:$X$16</definedName>
    <definedName function="false" hidden="false" name="TK_IF_FullCost_Sol" vbProcedure="false">TK_Link!$J$17:$X$17</definedName>
    <definedName function="false" hidden="false" name="TK_IF_HoldEcon" vbProcedure="false">TK_Link!$J$14:$X$14</definedName>
    <definedName function="false" hidden="false" name="TK_IF_OpexGW" vbProcedure="false">TK_Link!$J$82:$X$82</definedName>
    <definedName function="false" hidden="false" name="TK_IF_PriceCached_Astra" vbProcedure="false">TK_Link!$J$18</definedName>
    <definedName function="false" hidden="false" name="TK_IF_PriceCached_Luna" vbProcedure="false">TK_Link!$J$19</definedName>
    <definedName function="false" hidden="false" name="TK_IF_PriceCached_Sol" vbProcedure="false">TK_Link!$J$20</definedName>
    <definedName function="false" hidden="false" name="TK_IF_PriceFresh_Astra" vbProcedure="false">TK_Link!$J$21</definedName>
    <definedName function="false" hidden="false" name="TK_IF_PriceFresh_Luna" vbProcedure="false">TK_Link!$J$22</definedName>
    <definedName function="false" hidden="false" name="TK_IF_PriceFresh_Sol" vbProcedure="false">TK_Link!$J$23</definedName>
    <definedName function="false" hidden="false" name="TK_IF_PriceOut_Astra" vbProcedure="false">TK_Link!$J$24</definedName>
    <definedName function="false" hidden="false" name="TK_IF_PriceOut_Luna" vbProcedure="false">TK_Link!$J$25</definedName>
    <definedName function="false" hidden="false" name="TK_IF_PriceOut_Sol" vbProcedure="false">TK_Link!$J$26</definedName>
    <definedName function="false" hidden="false" name="TK_IF_PriceRef_Astra" vbProcedure="false">TK_Link!$J$27</definedName>
    <definedName function="false" hidden="false" name="TK_IF_PriceRef_Luna" vbProcedure="false">TK_Link!$J$28</definedName>
    <definedName function="false" hidden="false" name="TK_IF_PriceRef_Sol" vbProcedure="false">TK_Link!$J$29</definedName>
    <definedName function="false" hidden="false" name="TK_IF_PriceThink_Astra" vbProcedure="false">TK_Link!$J$30</definedName>
    <definedName function="false" hidden="false" name="TK_IF_PriceThink_Luna" vbProcedure="false">TK_Link!$J$31</definedName>
    <definedName function="false" hidden="false" name="TK_IF_PriceThink_Sol" vbProcedure="false">TK_Link!$J$32</definedName>
    <definedName function="false" hidden="false" name="TK_IF_ProgGWyr_Astra" vbProcedure="false">TK_Link!$J$36:$X$36</definedName>
    <definedName function="false" hidden="false" name="TK_IF_ProgGWyr_Luna" vbProcedure="false">TK_Link!$J$37:$X$37</definedName>
    <definedName function="false" hidden="false" name="TK_IF_ProgGWyr_Sol" vbProcedure="false">TK_Link!$J$38:$X$38</definedName>
    <definedName function="false" hidden="false" name="TK_IF_RDMult" vbProcedure="false">TK_Link!$J$39</definedName>
    <definedName function="false" hidden="false" name="TK_IF_RevGW_Astra" vbProcedure="false">TK_Link!$J$63:$X$63</definedName>
    <definedName function="false" hidden="false" name="TK_IF_RevGW_Luna" vbProcedure="false">TK_Link!$J$64:$X$64</definedName>
    <definedName function="false" hidden="false" name="TK_IF_RevGW_Sol" vbProcedure="false">TK_Link!$J$65:$X$65</definedName>
    <definedName function="false" hidden="false" name="TK_IF_TokGW_Astra" vbProcedure="false">TK_Link!$J$10:$X$10</definedName>
    <definedName function="false" hidden="false" name="TK_IF_TokGW_Luna" vbProcedure="false">TK_Link!$J$11:$X$11</definedName>
    <definedName function="false" hidden="false" name="TK_IF_TokGW_Sol" vbProcedure="false">TK_Link!$J$12:$X$12</definedName>
    <definedName function="false" hidden="false" name="TK_IF_TrainCost_Astra" vbProcedure="false">TK_Link!$J$60:$X$60</definedName>
    <definedName function="false" hidden="false" name="TK_IF_TrainCost_Luna" vbProcedure="false">TK_Link!$J$61:$X$61</definedName>
    <definedName function="false" hidden="false" name="TK_IF_TrainCost_Sol" vbProcedure="false">TK_Link!$J$62:$X$62</definedName>
    <definedName function="false" hidden="false" name="TK_IF_TrainGenDefault" vbProcedure="false">TK_Link!$J$40</definedName>
    <definedName function="false" hidden="false" name="TK_IF_Util" vbProcedure="false">TK_Link!$J$13</definedName>
    <definedName function="false" hidden="false" name="TK_L1_Ans3" vbProcedure="false">TK_Link!$J$69</definedName>
    <definedName function="false" hidden="false" name="TK_L1_Ans3_Hi" vbProcedure="false">TK_Link!$J$71</definedName>
    <definedName function="false" hidden="false" name="TK_L1_Ans3_Lo" vbProcedure="false">TK_Link!$J$70</definedName>
    <definedName function="false" hidden="false" name="TK_RD_CapIn_GLM53" vbProcedure="false">TK_Link!$J$84:$N$84</definedName>
    <definedName function="false" hidden="false" name="TK_RD_CapIn_GLM53Flash" vbProcedure="false">TK_Link!$J$85:$N$85</definedName>
    <definedName function="false" hidden="false" name="TK_RD_PF_ChinaFront" vbProcedure="false">TK_Link!$J$88:$L$88</definedName>
    <definedName function="false" hidden="false" name="TK_RD_PF_ChinaFrontModel" vbProcedure="false">TK_Link!$J$89:$L$89</definedName>
    <definedName function="false" hidden="false" name="TK_RD_PF_ChinaVsOAI" vbProcedure="false">TK_Link!$J$90:$L$90</definedName>
    <definedName function="false" hidden="false" name="TK_RD_PF_GLM53Flash_Mix" vbProcedure="false">TK_Link!$J$87:$L$87</definedName>
    <definedName function="false" hidden="false" name="TK_RD_PF_GLM53_Mix" vbProcedure="false">TK_Link!$J$86:$L$86</definedName>
    <definedName function="false" hidden="false" name="TK_ReadDate" vbProcedure="false">TK_Link!$B$6</definedName>
    <definedName function="false" hidden="false" name="TK_SRC_DEM_004" vbProcedure="false">TK_Link!$J$41</definedName>
    <definedName function="false" hidden="false" name="TK_SRC_DEM_005" vbProcedure="false">TK_Link!$J$42</definedName>
    <definedName function="false" hidden="false" name="TK_SRC_DEM_006" vbProcedure="false">TK_Link!$J$43</definedName>
    <definedName function="false" hidden="false" name="TK_SRC_DEM_007" vbProcedure="false">TK_Link!$J$44</definedName>
    <definedName function="false" hidden="false" name="TK_SRC_DEM_008" vbProcedure="false">TK_Link!$J$45</definedName>
    <definedName function="false" hidden="false" name="TK_SRC_DEM_009" vbProcedure="false">TK_Link!$J$46</definedName>
    <definedName function="false" hidden="false" name="TK_SRC_DEM_010" vbProcedure="false">TK_Link!$J$47</definedName>
    <definedName function="false" hidden="false" name="TK_SRC_DEM_011" vbProcedure="false">TK_Link!$J$48</definedName>
    <definedName function="false" hidden="false" name="TK_SRC_DEM_012" vbProcedure="false">TK_Link!$J$49</definedName>
    <definedName function="false" hidden="false" name="TK_SRC_DEM_013" vbProcedure="false">TK_Link!$J$50</definedName>
    <definedName function="false" hidden="false" name="TK_SRC_DEM_013_Hi" vbProcedure="false">TK_Link!$J$52</definedName>
    <definedName function="false" hidden="false" name="TK_SRC_DEM_013_Lo" vbProcedure="false">TK_Link!$J$51</definedName>
    <definedName function="false" hidden="false" name="TK_Version" vbProcedure="false">TK_Link!$B$4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<sst xmlns="http://schemas.openxmlformats.org/spreadsheetml/2006/main" count="33070" uniqueCount="7075">
  <si>
    <r>
      <rPr>
        <b val="true"/>
        <sz val="13"/>
        <rFont val="Noto Sans CJK SC"/>
        <family val="2"/>
      </rPr>
      <t xml:space="preserve">智譜（智譜華章，</t>
    </r>
    <r>
      <rPr>
        <b val="true"/>
        <sz val="13"/>
        <rFont val="Arial"/>
        <family val="0"/>
        <charset val="1"/>
      </rPr>
      <t xml:space="preserve">02513.HK</t>
    </r>
    <r>
      <rPr>
        <b val="true"/>
        <sz val="13"/>
        <rFont val="Noto Sans CJK SC"/>
        <family val="2"/>
      </rPr>
      <t xml:space="preserve">）收支模型 </t>
    </r>
    <r>
      <rPr>
        <b val="true"/>
        <sz val="13"/>
        <rFont val="Arial"/>
        <family val="0"/>
        <charset val="1"/>
      </rPr>
      <t xml:space="preserve">v0.1</t>
    </r>
    <r>
      <rPr>
        <b val="true"/>
        <sz val="13"/>
        <rFont val="Noto Sans CJK SC"/>
        <family val="2"/>
      </rPr>
      <t xml:space="preserve">（</t>
    </r>
    <r>
      <rPr>
        <b val="true"/>
        <sz val="13"/>
        <rFont val="Arial"/>
        <family val="0"/>
        <charset val="1"/>
      </rPr>
      <t xml:space="preserve">2026-10-08</t>
    </r>
    <r>
      <rPr>
        <b val="true"/>
        <sz val="13"/>
        <rFont val="Noto Sans CJK SC"/>
        <family val="2"/>
      </rPr>
      <t xml:space="preserve">）</t>
    </r>
  </si>
  <si>
    <r>
      <rPr>
        <sz val="9"/>
        <color rgb="FF595959"/>
        <rFont val="Noto Sans CJK SC"/>
        <family val="2"/>
      </rPr>
      <t xml:space="preserve">命題（規格 </t>
    </r>
    <r>
      <rPr>
        <sz val="9"/>
        <color rgb="FF595959"/>
        <rFont val="Arial"/>
        <family val="0"/>
        <charset val="1"/>
      </rPr>
      <t xml:space="preserve">D1</t>
    </r>
    <r>
      <rPr>
        <sz val="9"/>
        <color rgb="FF595959"/>
        <rFont val="Noto Sans CJK SC"/>
        <family val="2"/>
      </rPr>
      <t xml:space="preserve">，與 </t>
    </r>
    <r>
      <rPr>
        <sz val="9"/>
        <color rgb="FF595959"/>
        <rFont val="Arial"/>
        <family val="0"/>
        <charset val="1"/>
      </rPr>
      <t xml:space="preserve">OpenAI v0.6 </t>
    </r>
    <r>
      <rPr>
        <sz val="9"/>
        <color rgb="FF595959"/>
        <rFont val="Noto Sans CJK SC"/>
        <family val="2"/>
      </rPr>
      <t xml:space="preserve">同一句）：智譜每 </t>
    </r>
    <r>
      <rPr>
        <sz val="9"/>
        <color rgb="FF595959"/>
        <rFont val="Arial"/>
        <family val="0"/>
        <charset val="1"/>
      </rPr>
      <t xml:space="preserve">VR </t>
    </r>
    <r>
      <rPr>
        <sz val="9"/>
        <color rgb="FF595959"/>
        <rFont val="Noto Sans CJK SC"/>
        <family val="2"/>
      </rPr>
      <t xml:space="preserve">等值 </t>
    </r>
    <r>
      <rPr>
        <sz val="9"/>
        <color rgb="FF595959"/>
        <rFont val="Arial"/>
        <family val="0"/>
        <charset val="1"/>
      </rPr>
      <t xml:space="preserve">GW </t>
    </r>
    <r>
      <rPr>
        <sz val="9"/>
        <color rgb="FF595959"/>
        <rFont val="Noto Sans CJK SC"/>
        <family val="2"/>
      </rPr>
      <t xml:space="preserve">的年營收能否覆蓋每 </t>
    </r>
    <r>
      <rPr>
        <sz val="9"/>
        <color rgb="FF595959"/>
        <rFont val="Arial"/>
        <family val="0"/>
        <charset val="1"/>
      </rPr>
      <t xml:space="preserve">GW </t>
    </r>
    <r>
      <rPr>
        <sz val="9"/>
        <color rgb="FF595959"/>
        <rFont val="Noto Sans CJK SC"/>
        <family val="2"/>
      </rPr>
      <t xml:space="preserve">年全成本；若不能，缺口要多少外部資金、由誰以什麼條件提供。</t>
    </r>
    <r>
      <rPr>
        <sz val="9"/>
        <color rgb="FF595959"/>
        <rFont val="Arial"/>
        <family val="0"/>
        <charset val="1"/>
      </rPr>
      <t xml:space="preserve">FY2025–FY2030</t>
    </r>
    <r>
      <rPr>
        <sz val="9"/>
        <color rgb="FF595959"/>
        <rFont val="Noto Sans CJK SC"/>
        <family val="2"/>
      </rPr>
      <t xml:space="preserve">，曆年制。</t>
    </r>
  </si>
  <si>
    <t xml:space="preserve">本版範圍</t>
  </si>
  <si>
    <r>
      <rPr>
        <sz val="10"/>
        <color rgb="FF000000"/>
        <rFont val="Arial"/>
        <family val="0"/>
        <charset val="1"/>
      </rPr>
      <t xml:space="preserve">v0.1</t>
    </r>
    <r>
      <rPr>
        <sz val="10"/>
        <color rgb="FF000000"/>
        <rFont val="Noto Sans CJK SC"/>
        <family val="2"/>
      </rPr>
      <t xml:space="preserve">（</t>
    </r>
    <r>
      <rPr>
        <sz val="10"/>
        <color rgb="FF000000"/>
        <rFont val="Arial"/>
        <family val="0"/>
        <charset val="1"/>
      </rPr>
      <t xml:space="preserve">Z2–Z4</t>
    </r>
    <r>
      <rPr>
        <sz val="10"/>
        <color rgb="FF000000"/>
        <rFont val="Noto Sans CJK SC"/>
        <family val="2"/>
      </rPr>
      <t xml:space="preserve">）：</t>
    </r>
    <r>
      <rPr>
        <sz val="10"/>
        <color rgb="FF000000"/>
        <rFont val="Arial"/>
        <family val="0"/>
        <charset val="1"/>
      </rPr>
      <t xml:space="preserve">SRC_ZP</t>
    </r>
    <r>
      <rPr>
        <sz val="10"/>
        <color rgb="FF000000"/>
        <rFont val="Noto Sans CJK SC"/>
        <family val="2"/>
      </rPr>
      <t xml:space="preserve">（公司財務原始數據）、</t>
    </r>
    <r>
      <rPr>
        <sz val="10"/>
        <color rgb="FF000000"/>
        <rFont val="Arial"/>
        <family val="0"/>
        <charset val="1"/>
      </rPr>
      <t xml:space="preserve">TK_Link</t>
    </r>
    <r>
      <rPr>
        <sz val="10"/>
        <color rgb="FF000000"/>
        <rFont val="Noto Sans CJK SC"/>
        <family val="2"/>
      </rPr>
      <t xml:space="preserve">（</t>
    </r>
    <r>
      <rPr>
        <sz val="10"/>
        <color rgb="FF000000"/>
        <rFont val="Arial"/>
        <family val="0"/>
        <charset val="1"/>
      </rPr>
      <t xml:space="preserve">Tokenomics </t>
    </r>
    <r>
      <rPr>
        <sz val="10"/>
        <color rgb="FF000000"/>
        <rFont val="Noto Sans CJK SC"/>
        <family val="2"/>
      </rPr>
      <t xml:space="preserve">快照）、</t>
    </r>
    <r>
      <rPr>
        <sz val="10"/>
        <color rgb="FF000000"/>
        <rFont val="Arial"/>
        <family val="0"/>
        <charset val="1"/>
      </rPr>
      <t xml:space="preserve">OAI_Link</t>
    </r>
    <r>
      <rPr>
        <sz val="10"/>
        <color rgb="FF000000"/>
        <rFont val="Noto Sans CJK SC"/>
        <family val="2"/>
      </rPr>
      <t xml:space="preserve">（</t>
    </r>
    <r>
      <rPr>
        <sz val="10"/>
        <color rgb="FF000000"/>
        <rFont val="Arial"/>
        <family val="0"/>
        <charset val="1"/>
      </rPr>
      <t xml:space="preserve">OpenAI v0.6 </t>
    </r>
    <r>
      <rPr>
        <sz val="10"/>
        <color rgb="FF000000"/>
        <rFont val="Noto Sans CJK SC"/>
        <family val="2"/>
      </rPr>
      <t xml:space="preserve">命題輸出快照）、</t>
    </r>
    <r>
      <rPr>
        <sz val="10"/>
        <color rgb="FF000000"/>
        <rFont val="Arial"/>
        <family val="0"/>
        <charset val="1"/>
      </rPr>
      <t xml:space="preserve">Inputs</t>
    </r>
    <r>
      <rPr>
        <sz val="10"/>
        <color rgb="FF000000"/>
        <rFont val="Noto Sans CJK SC"/>
        <family val="2"/>
      </rPr>
      <t xml:space="preserve">（假設）、</t>
    </r>
    <r>
      <rPr>
        <sz val="10"/>
        <color rgb="FF000000"/>
        <rFont val="Arial"/>
        <family val="0"/>
        <charset val="1"/>
      </rPr>
      <t xml:space="preserve">Demand</t>
    </r>
    <r>
      <rPr>
        <sz val="10"/>
        <color rgb="FF000000"/>
        <rFont val="Noto Sans CJK SC"/>
        <family val="2"/>
      </rPr>
      <t xml:space="preserve">（需求與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Revenue</t>
    </r>
    <r>
      <rPr>
        <sz val="10"/>
        <color rgb="FF000000"/>
        <rFont val="Noto Sans CJK SC"/>
        <family val="2"/>
      </rPr>
      <t xml:space="preserve">（營收）、</t>
    </r>
    <r>
      <rPr>
        <sz val="10"/>
        <color rgb="FF000000"/>
        <rFont val="Arial"/>
        <family val="0"/>
        <charset val="1"/>
      </rPr>
      <t xml:space="preserve">Compute</t>
    </r>
    <r>
      <rPr>
        <sz val="10"/>
        <color rgb="FF000000"/>
        <rFont val="Noto Sans CJK SC"/>
        <family val="2"/>
      </rPr>
      <t xml:space="preserve">（算力）、</t>
    </r>
    <r>
      <rPr>
        <sz val="10"/>
        <color rgb="FF000000"/>
        <rFont val="Arial"/>
        <family val="0"/>
        <charset val="1"/>
      </rPr>
      <t xml:space="preserve">Cost</t>
    </r>
    <r>
      <rPr>
        <sz val="10"/>
        <color rgb="FF000000"/>
        <rFont val="Noto Sans CJK SC"/>
        <family val="2"/>
      </rPr>
      <t xml:space="preserve">（成本與命題表）、</t>
    </r>
    <r>
      <rPr>
        <sz val="10"/>
        <color rgb="FF000000"/>
        <rFont val="Arial"/>
        <family val="0"/>
        <charset val="1"/>
      </rPr>
      <t xml:space="preserve">Funding</t>
    </r>
    <r>
      <rPr>
        <sz val="10"/>
        <color rgb="FF000000"/>
        <rFont val="Noto Sans CJK SC"/>
        <family val="2"/>
      </rPr>
      <t xml:space="preserve">（融資，命題 </t>
    </r>
    <r>
      <rPr>
        <sz val="10"/>
        <color rgb="FF000000"/>
        <rFont val="Arial"/>
        <family val="0"/>
        <charset val="1"/>
      </rPr>
      <t xml:space="preserve">2</t>
    </r>
    <r>
      <rPr>
        <sz val="10"/>
        <color rgb="FF000000"/>
        <rFont val="Noto Sans CJK SC"/>
        <family val="2"/>
      </rPr>
      <t xml:space="preserve">）、</t>
    </r>
    <r>
      <rPr>
        <sz val="10"/>
        <color rgb="FF000000"/>
        <rFont val="Arial"/>
        <family val="0"/>
        <charset val="1"/>
      </rPr>
      <t xml:space="preserve">Reverse</t>
    </r>
    <r>
      <rPr>
        <sz val="10"/>
        <color rgb="FF000000"/>
        <rFont val="Noto Sans CJK SC"/>
        <family val="2"/>
      </rPr>
      <t xml:space="preserve">（反向模式，只對照）、</t>
    </r>
    <r>
      <rPr>
        <sz val="10"/>
        <color rgb="FF000000"/>
        <rFont val="Arial"/>
        <family val="0"/>
        <charset val="1"/>
      </rPr>
      <t xml:space="preserve">Checks</t>
    </r>
    <r>
      <rPr>
        <sz val="10"/>
        <color rgb="FF000000"/>
        <rFont val="Noto Sans CJK SC"/>
        <family val="2"/>
      </rPr>
      <t xml:space="preserve">。</t>
    </r>
  </si>
  <si>
    <t xml:space="preserve">幣別與單位</t>
  </si>
  <si>
    <r>
      <rPr>
        <sz val="10"/>
        <color rgb="FF000000"/>
        <rFont val="Noto Sans CJK SC"/>
        <family val="2"/>
      </rPr>
      <t xml:space="preserve">公司金額一律人民幣億元（</t>
    </r>
    <r>
      <rPr>
        <sz val="10"/>
        <color rgb="FF000000"/>
        <rFont val="Arial"/>
        <family val="0"/>
        <charset val="1"/>
      </rPr>
      <t xml:space="preserve">RMB </t>
    </r>
    <r>
      <rPr>
        <sz val="10"/>
        <color rgb="FF000000"/>
        <rFont val="Noto Sans CJK SC"/>
        <family val="2"/>
      </rPr>
      <t xml:space="preserve">億），與財報一致。港幣、美元數據以 </t>
    </r>
    <r>
      <rPr>
        <sz val="10"/>
        <color rgb="FF000000"/>
        <rFont val="Arial"/>
        <family val="0"/>
        <charset val="1"/>
      </rPr>
      <t xml:space="preserve">Inputs </t>
    </r>
    <r>
      <rPr>
        <sz val="10"/>
        <color rgb="FF000000"/>
        <rFont val="Noto Sans CJK SC"/>
        <family val="2"/>
      </rPr>
      <t xml:space="preserve">匯率（</t>
    </r>
    <r>
      <rPr>
        <sz val="10"/>
        <color rgb="FF000000"/>
        <rFont val="Arial"/>
        <family val="0"/>
        <charset val="1"/>
      </rPr>
      <t xml:space="preserve">USD/CNY</t>
    </r>
    <r>
      <rPr>
        <sz val="10"/>
        <color rgb="FF000000"/>
        <rFont val="Noto Sans CJK SC"/>
        <family val="2"/>
      </rPr>
      <t xml:space="preserve">、</t>
    </r>
    <r>
      <rPr>
        <sz val="10"/>
        <color rgb="FF000000"/>
        <rFont val="Arial"/>
        <family val="0"/>
        <charset val="1"/>
      </rPr>
      <t xml:space="preserve">HKD/CNY</t>
    </r>
    <r>
      <rPr>
        <sz val="10"/>
        <color rgb="FF000000"/>
        <rFont val="Noto Sans CJK SC"/>
        <family val="2"/>
      </rPr>
      <t xml:space="preserve">，</t>
    </r>
    <r>
      <rPr>
        <sz val="10"/>
        <color rgb="FF000000"/>
        <rFont val="Arial"/>
        <family val="0"/>
        <charset val="1"/>
      </rPr>
      <t xml:space="preserve">2026-09-28 </t>
    </r>
    <r>
      <rPr>
        <sz val="10"/>
        <color rgb="FF000000"/>
        <rFont val="Noto Sans CJK SC"/>
        <family val="2"/>
      </rPr>
      <t xml:space="preserve">中間價；定義常數，區間 </t>
    </r>
    <r>
      <rPr>
        <sz val="10"/>
        <color rgb="FF000000"/>
        <rFont val="Arial"/>
        <family val="0"/>
        <charset val="1"/>
      </rPr>
      <t xml:space="preserve">±5%</t>
    </r>
    <r>
      <rPr>
        <sz val="10"/>
        <color rgb="FF000000"/>
        <rFont val="Noto Sans CJK SC"/>
        <family val="2"/>
      </rPr>
      <t xml:space="preserve">）換算後才進計算頁。</t>
    </r>
    <r>
      <rPr>
        <sz val="10"/>
        <color rgb="FF000000"/>
        <rFont val="Arial"/>
        <family val="0"/>
        <charset val="1"/>
      </rPr>
      <t xml:space="preserve">API </t>
    </r>
    <r>
      <rPr>
        <sz val="10"/>
        <color rgb="FF000000"/>
        <rFont val="Noto Sans CJK SC"/>
        <family val="2"/>
      </rPr>
      <t xml:space="preserve">牌價：人民幣元／百萬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token</t>
    </r>
    <r>
      <rPr>
        <sz val="10"/>
        <color rgb="FF000000"/>
        <rFont val="Noto Sans CJK SC"/>
        <family val="2"/>
      </rPr>
      <t xml:space="preserve">：兆（</t>
    </r>
    <r>
      <rPr>
        <sz val="10"/>
        <color rgb="FF000000"/>
        <rFont val="Arial"/>
        <family val="0"/>
        <charset val="1"/>
      </rPr>
      <t xml:space="preserve">T</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訂閱者：萬人；智譜清言用戶：百萬人。</t>
    </r>
    <r>
      <rPr>
        <sz val="10"/>
        <color rgb="FF000000"/>
        <rFont val="Arial"/>
        <family val="0"/>
        <charset val="1"/>
      </rPr>
      <t xml:space="preserve">OAI_Link </t>
    </r>
    <r>
      <rPr>
        <sz val="10"/>
        <color rgb="FF000000"/>
        <rFont val="Noto Sans CJK SC"/>
        <family val="2"/>
      </rPr>
      <t xml:space="preserve">為美元（</t>
    </r>
    <r>
      <rPr>
        <sz val="10"/>
        <color rgb="FF000000"/>
        <rFont val="Arial"/>
        <family val="0"/>
        <charset val="1"/>
      </rPr>
      <t xml:space="preserve">$B</t>
    </r>
    <r>
      <rPr>
        <sz val="10"/>
        <color rgb="FF000000"/>
        <rFont val="Noto Sans CJK SC"/>
        <family val="2"/>
      </rPr>
      <t xml:space="preserve">），不換算、不參與計算。</t>
    </r>
  </si>
  <si>
    <r>
      <rPr>
        <b val="true"/>
        <sz val="10"/>
        <rFont val="Arial"/>
        <family val="0"/>
        <charset val="1"/>
      </rPr>
      <t xml:space="preserve">Excel </t>
    </r>
    <r>
      <rPr>
        <b val="true"/>
        <sz val="10"/>
        <rFont val="Noto Sans CJK SC"/>
        <family val="2"/>
      </rPr>
      <t xml:space="preserve">為唯一計算引擎</t>
    </r>
  </si>
  <si>
    <r>
      <rPr>
        <sz val="10"/>
        <color rgb="FF000000"/>
        <rFont val="Noto Sans CJK SC"/>
        <family val="2"/>
      </rPr>
      <t xml:space="preserve">藍字＝輸入（</t>
    </r>
    <r>
      <rPr>
        <sz val="10"/>
        <color rgb="FF000000"/>
        <rFont val="Arial"/>
        <family val="0"/>
        <charset val="1"/>
      </rPr>
      <t xml:space="preserve">Excel </t>
    </r>
    <r>
      <rPr>
        <sz val="10"/>
        <color rgb="FF000000"/>
        <rFont val="Noto Sans CJK SC"/>
        <family val="2"/>
      </rPr>
      <t xml:space="preserve">擁有）；黑字＝公式；綠字＝跨頁連結。</t>
    </r>
    <r>
      <rPr>
        <sz val="10"/>
        <color rgb="FF000000"/>
        <rFont val="Arial"/>
        <family val="0"/>
        <charset val="1"/>
      </rPr>
      <t xml:space="preserve">builder </t>
    </r>
    <r>
      <rPr>
        <sz val="10"/>
        <color rgb="FF000000"/>
        <rFont val="Noto Sans CJK SC"/>
        <family val="2"/>
      </rPr>
      <t xml:space="preserve">只產生結構，重建時保留 </t>
    </r>
    <r>
      <rPr>
        <sz val="10"/>
        <color rgb="FF000000"/>
        <rFont val="Arial"/>
        <family val="0"/>
        <charset val="1"/>
      </rPr>
      <t xml:space="preserve">Excel </t>
    </r>
    <r>
      <rPr>
        <sz val="10"/>
        <color rgb="FF000000"/>
        <rFont val="Noto Sans CJK SC"/>
        <family val="2"/>
      </rPr>
      <t xml:space="preserve">內已改過的藍字（隱藏頁 </t>
    </r>
    <r>
      <rPr>
        <sz val="10"/>
        <color rgb="FF000000"/>
        <rFont val="Arial"/>
        <family val="0"/>
        <charset val="1"/>
      </rPr>
      <t xml:space="preserve">_Defaults</t>
    </r>
    <r>
      <rPr>
        <sz val="10"/>
        <color rgb="FF000000"/>
        <rFont val="Noto Sans CJK SC"/>
        <family val="2"/>
      </rPr>
      <t xml:space="preserve">）。公式不含常數（</t>
    </r>
    <r>
      <rPr>
        <sz val="10"/>
        <color rgb="FF000000"/>
        <rFont val="Arial"/>
        <family val="0"/>
        <charset val="1"/>
      </rPr>
      <t xml:space="preserve">E6</t>
    </r>
    <r>
      <rPr>
        <sz val="10"/>
        <color rgb="FF000000"/>
        <rFont val="Noto Sans CJK SC"/>
        <family val="2"/>
      </rPr>
      <t xml:space="preserve">）：單位換算、天數、月數為 </t>
    </r>
    <r>
      <rPr>
        <sz val="10"/>
        <color rgb="FF000000"/>
        <rFont val="Arial"/>
        <family val="0"/>
        <charset val="1"/>
      </rPr>
      <t xml:space="preserve">Inputs </t>
    </r>
    <r>
      <rPr>
        <sz val="10"/>
        <color rgb="FF000000"/>
        <rFont val="Noto Sans CJK SC"/>
        <family val="2"/>
      </rPr>
      <t xml:space="preserve">的定義常數。</t>
    </r>
  </si>
  <si>
    <t xml:space="preserve">SRC_ZP</t>
  </si>
  <si>
    <r>
      <rPr>
        <sz val="10"/>
        <color rgb="FF000000"/>
        <rFont val="Arial"/>
        <family val="0"/>
        <charset val="1"/>
      </rPr>
      <t xml:space="preserve">1054 </t>
    </r>
    <r>
      <rPr>
        <sz val="10"/>
        <color rgb="FF000000"/>
        <rFont val="Noto Sans CJK SC"/>
        <family val="2"/>
      </rPr>
      <t xml:space="preserve">列（</t>
    </r>
    <r>
      <rPr>
        <sz val="10"/>
        <color rgb="FF000000"/>
        <rFont val="Arial"/>
        <family val="0"/>
        <charset val="1"/>
      </rPr>
      <t xml:space="preserve">SRC_ZP_001–1054</t>
    </r>
    <r>
      <rPr>
        <sz val="10"/>
        <color rgb="FF000000"/>
        <rFont val="Noto Sans CJK SC"/>
        <family val="2"/>
      </rPr>
      <t xml:space="preserve">，</t>
    </r>
    <r>
      <rPr>
        <sz val="10"/>
        <color rgb="FF000000"/>
        <rFont val="Arial"/>
        <family val="0"/>
        <charset val="1"/>
      </rPr>
      <t xml:space="preserve">Z1 </t>
    </r>
    <r>
      <rPr>
        <sz val="10"/>
        <color rgb="FF000000"/>
        <rFont val="Noto Sans CJK SC"/>
        <family val="2"/>
      </rPr>
      <t xml:space="preserve">發出、穩定不改號）；有數值者具名 </t>
    </r>
    <r>
      <rPr>
        <sz val="10"/>
        <color rgb="FF000000"/>
        <rFont val="Arial"/>
        <family val="0"/>
        <charset val="1"/>
      </rPr>
      <t xml:space="preserve">SRC_ZP_nnn</t>
    </r>
    <r>
      <rPr>
        <sz val="10"/>
        <color rgb="FF000000"/>
        <rFont val="Noto Sans CJK SC"/>
        <family val="2"/>
      </rPr>
      <t xml:space="preserve">，有低／高者另具名 </t>
    </r>
    <r>
      <rPr>
        <sz val="10"/>
        <color rgb="FF000000"/>
        <rFont val="Arial"/>
        <family val="0"/>
        <charset val="1"/>
      </rPr>
      <t xml:space="preserve">_Lo</t>
    </r>
    <r>
      <rPr>
        <sz val="10"/>
        <color rgb="FF000000"/>
        <rFont val="Noto Sans CJK SC"/>
        <family val="2"/>
      </rPr>
      <t xml:space="preserve">／</t>
    </r>
    <r>
      <rPr>
        <sz val="10"/>
        <color rgb="FF000000"/>
        <rFont val="Arial"/>
        <family val="0"/>
        <charset val="1"/>
      </rPr>
      <t xml:space="preserve">_Hi</t>
    </r>
    <r>
      <rPr>
        <sz val="10"/>
        <color rgb="FF000000"/>
        <rFont val="Noto Sans CJK SC"/>
        <family val="2"/>
      </rPr>
      <t xml:space="preserve">。來源四欄為 </t>
    </r>
    <r>
      <rPr>
        <sz val="10"/>
        <color rgb="FF000000"/>
        <rFont val="Arial"/>
        <family val="0"/>
        <charset val="1"/>
      </rPr>
      <t xml:space="preserve">CC </t>
    </r>
    <r>
      <rPr>
        <sz val="10"/>
        <color rgb="FF000000"/>
        <rFont val="Noto Sans CJK SC"/>
        <family val="2"/>
      </rPr>
      <t xml:space="preserve">初評（</t>
    </r>
    <r>
      <rPr>
        <sz val="10"/>
        <color rgb="FF000000"/>
        <rFont val="Arial"/>
        <family val="0"/>
        <charset val="1"/>
      </rPr>
      <t xml:space="preserve">builder/source_rules.py</t>
    </r>
    <r>
      <rPr>
        <sz val="10"/>
        <color rgb="FF000000"/>
        <rFont val="Noto Sans CJK SC"/>
        <family val="2"/>
      </rPr>
      <t xml:space="preserve">）。</t>
    </r>
  </si>
  <si>
    <t xml:space="preserve">TK_Link</t>
  </si>
  <si>
    <r>
      <rPr>
        <sz val="10"/>
        <color rgb="FF000000"/>
        <rFont val="Arial"/>
        <family val="0"/>
        <charset val="1"/>
      </rPr>
      <t xml:space="preserve">Tokenomics v5.26</t>
    </r>
    <r>
      <rPr>
        <sz val="10"/>
        <color rgb="FF000000"/>
        <rFont val="Noto Sans CJK SC"/>
        <family val="2"/>
      </rPr>
      <t xml:space="preserve">（</t>
    </r>
    <r>
      <rPr>
        <sz val="10"/>
        <color rgb="FF000000"/>
        <rFont val="Arial"/>
        <family val="0"/>
        <charset val="1"/>
      </rPr>
      <t xml:space="preserve">20261007_Tokenomics_v5.26.xlsx</t>
    </r>
    <r>
      <rPr>
        <sz val="10"/>
        <color rgb="FF000000"/>
        <rFont val="Noto Sans CJK SC"/>
        <family val="2"/>
      </rPr>
      <t xml:space="preserve">），</t>
    </r>
    <r>
      <rPr>
        <sz val="10"/>
        <color rgb="FF000000"/>
        <rFont val="Arial"/>
        <family val="0"/>
        <charset val="1"/>
      </rPr>
      <t xml:space="preserve">master </t>
    </r>
    <r>
      <rPr>
        <sz val="10"/>
        <color rgb="FF000000"/>
        <rFont val="Noto Sans CJK SC"/>
        <family val="2"/>
      </rPr>
      <t xml:space="preserve">提交 </t>
    </r>
    <r>
      <rPr>
        <sz val="10"/>
        <color rgb="FF000000"/>
        <rFont val="Arial"/>
        <family val="0"/>
        <charset val="1"/>
      </rPr>
      <t xml:space="preserve">70d859e</t>
    </r>
    <r>
      <rPr>
        <sz val="10"/>
        <color rgb="FF000000"/>
        <rFont val="Noto Sans CJK SC"/>
        <family val="2"/>
      </rPr>
      <t xml:space="preserve">，讀取日 </t>
    </r>
    <r>
      <rPr>
        <sz val="10"/>
        <color rgb="FF000000"/>
        <rFont val="Arial"/>
        <family val="0"/>
        <charset val="1"/>
      </rPr>
      <t xml:space="preserve">2026-10-08</t>
    </r>
    <r>
      <rPr>
        <sz val="10"/>
        <color rgb="FF000000"/>
        <rFont val="Noto Sans CJK SC"/>
        <family val="2"/>
      </rPr>
      <t xml:space="preserve">；</t>
    </r>
    <r>
      <rPr>
        <sz val="10"/>
        <color rgb="FF000000"/>
        <rFont val="Arial"/>
        <family val="0"/>
        <charset val="1"/>
      </rPr>
      <t xml:space="preserve">74 </t>
    </r>
    <r>
      <rPr>
        <sz val="10"/>
        <color rgb="FF000000"/>
        <rFont val="Noto Sans CJK SC"/>
        <family val="2"/>
      </rPr>
      <t xml:space="preserve">個具名範圍（</t>
    </r>
    <r>
      <rPr>
        <sz val="10"/>
        <color rgb="FF000000"/>
        <rFont val="Arial"/>
        <family val="0"/>
        <charset val="1"/>
      </rPr>
      <t xml:space="preserve">OpenAI v0.6 </t>
    </r>
    <r>
      <rPr>
        <sz val="10"/>
        <color rgb="FF000000"/>
        <rFont val="Noto Sans CJK SC"/>
        <family val="2"/>
      </rPr>
      <t xml:space="preserve">的 </t>
    </r>
    <r>
      <rPr>
        <sz val="10"/>
        <color rgb="FF000000"/>
        <rFont val="Arial"/>
        <family val="0"/>
        <charset val="1"/>
      </rPr>
      <t xml:space="preserve">63 </t>
    </r>
    <r>
      <rPr>
        <sz val="10"/>
        <color rgb="FF000000"/>
        <rFont val="Noto Sans CJK SC"/>
        <family val="2"/>
      </rPr>
      <t xml:space="preserve">名＋智譜 </t>
    </r>
    <r>
      <rPr>
        <sz val="10"/>
        <color rgb="FF000000"/>
        <rFont val="Arial"/>
        <family val="0"/>
        <charset val="1"/>
      </rPr>
      <t xml:space="preserve">Z3b </t>
    </r>
    <r>
      <rPr>
        <sz val="10"/>
        <color rgb="FF000000"/>
        <rFont val="Noto Sans CJK SC"/>
        <family val="2"/>
      </rPr>
      <t xml:space="preserve">的逐 </t>
    </r>
    <r>
      <rPr>
        <sz val="10"/>
        <color rgb="FF000000"/>
        <rFont val="Arial"/>
        <family val="0"/>
        <charset val="1"/>
      </rPr>
      <t xml:space="preserve">token </t>
    </r>
    <r>
      <rPr>
        <sz val="10"/>
        <color rgb="FF000000"/>
        <rFont val="Noto Sans CJK SC"/>
        <family val="2"/>
      </rPr>
      <t xml:space="preserve">類型單位成本 </t>
    </r>
    <r>
      <rPr>
        <sz val="10"/>
        <color rgb="FF000000"/>
        <rFont val="Arial"/>
        <family val="0"/>
        <charset val="1"/>
      </rPr>
      <t xml:space="preserve">9 </t>
    </r>
    <r>
      <rPr>
        <sz val="10"/>
        <color rgb="FF000000"/>
        <rFont val="Noto Sans CJK SC"/>
        <family val="2"/>
      </rPr>
      <t xml:space="preserve">名＋</t>
    </r>
    <r>
      <rPr>
        <sz val="10"/>
        <color rgb="FF000000"/>
        <rFont val="Arial"/>
        <family val="0"/>
        <charset val="1"/>
      </rPr>
      <t xml:space="preserve">Z5b </t>
    </r>
    <r>
      <rPr>
        <sz val="10"/>
        <color rgb="FF000000"/>
        <rFont val="Noto Sans CJK SC"/>
        <family val="2"/>
      </rPr>
      <t xml:space="preserve">的 </t>
    </r>
    <r>
      <rPr>
        <sz val="10"/>
        <color rgb="FF000000"/>
        <rFont val="Arial"/>
        <family val="0"/>
        <charset val="1"/>
      </rPr>
      <t xml:space="preserve">IF_OpexGW</t>
    </r>
    <r>
      <rPr>
        <sz val="10"/>
        <color rgb="FF000000"/>
        <rFont val="Noto Sans CJK SC"/>
        <family val="2"/>
      </rPr>
      <t xml:space="preserve">、</t>
    </r>
    <r>
      <rPr>
        <sz val="10"/>
        <color rgb="FF000000"/>
        <rFont val="Arial"/>
        <family val="0"/>
        <charset val="1"/>
      </rPr>
      <t xml:space="preserve">IF_DeprLifeIT</t>
    </r>
    <r>
      <rPr>
        <sz val="10"/>
        <color rgb="FF000000"/>
        <rFont val="Noto Sans CJK SC"/>
        <family val="2"/>
      </rPr>
      <t xml:space="preserve">）＋</t>
    </r>
    <r>
      <rPr>
        <sz val="10"/>
        <color rgb="FF000000"/>
        <rFont val="Arial"/>
        <family val="0"/>
        <charset val="1"/>
      </rPr>
      <t xml:space="preserve">7 </t>
    </r>
    <r>
      <rPr>
        <sz val="10"/>
        <color rgb="FF000000"/>
        <rFont val="Noto Sans CJK SC"/>
        <family val="2"/>
      </rPr>
      <t xml:space="preserve">列以列標籤讀表（狀態『讀表（非具名）』，只供對照）。</t>
    </r>
  </si>
  <si>
    <t xml:space="preserve">OAI_Link</t>
  </si>
  <si>
    <r>
      <rPr>
        <sz val="10"/>
        <color rgb="FF000000"/>
        <rFont val="Arial"/>
        <family val="0"/>
        <charset val="1"/>
      </rPr>
      <t xml:space="preserve">OpenAI v0.6 Excel</t>
    </r>
    <r>
      <rPr>
        <sz val="10"/>
        <color rgb="FF000000"/>
        <rFont val="Noto Sans CJK SC"/>
        <family val="2"/>
      </rPr>
      <t xml:space="preserve">（</t>
    </r>
    <r>
      <rPr>
        <sz val="10"/>
        <color rgb="FF000000"/>
        <rFont val="Arial"/>
        <family val="0"/>
        <charset val="1"/>
      </rPr>
      <t xml:space="preserve">oai.xlsx</t>
    </r>
    <r>
      <rPr>
        <sz val="10"/>
        <color rgb="FF000000"/>
        <rFont val="Noto Sans CJK SC"/>
        <family val="2"/>
      </rPr>
      <t xml:space="preserve">，</t>
    </r>
    <r>
      <rPr>
        <sz val="10"/>
        <color rgb="FF000000"/>
        <rFont val="Arial"/>
        <family val="0"/>
        <charset val="1"/>
      </rPr>
      <t xml:space="preserve">claude/openai-s6-release@e91df57</t>
    </r>
    <r>
      <rPr>
        <sz val="10"/>
        <color rgb="FF000000"/>
        <rFont val="Noto Sans CJK SC"/>
        <family val="2"/>
      </rPr>
      <t xml:space="preserve">；</t>
    </r>
    <r>
      <rPr>
        <sz val="10"/>
        <color rgb="FF000000"/>
        <rFont val="Arial"/>
        <family val="0"/>
        <charset val="1"/>
      </rPr>
      <t xml:space="preserve">SHA-256 34fc34a7ea2c18e8…</t>
    </r>
    <r>
      <rPr>
        <sz val="10"/>
        <color rgb="FF000000"/>
        <rFont val="Noto Sans CJK SC"/>
        <family val="2"/>
      </rPr>
      <t xml:space="preserve">）的命題輸出逐年值（美元）；只被 </t>
    </r>
    <r>
      <rPr>
        <sz val="10"/>
        <color rgb="FF000000"/>
        <rFont val="Arial"/>
        <family val="0"/>
        <charset val="1"/>
      </rPr>
      <t xml:space="preserve">Checks </t>
    </r>
    <r>
      <rPr>
        <sz val="10"/>
        <color rgb="FF000000"/>
        <rFont val="Noto Sans CJK SC"/>
        <family val="2"/>
      </rPr>
      <t xml:space="preserve">與 </t>
    </r>
    <r>
      <rPr>
        <sz val="10"/>
        <color rgb="FF000000"/>
        <rFont val="Arial"/>
        <family val="0"/>
        <charset val="1"/>
      </rPr>
      <t xml:space="preserve">HTML </t>
    </r>
    <r>
      <rPr>
        <sz val="10"/>
        <color rgb="FF000000"/>
        <rFont val="Noto Sans CJK SC"/>
        <family val="2"/>
      </rPr>
      <t xml:space="preserve">引用（規格 </t>
    </r>
    <r>
      <rPr>
        <sz val="10"/>
        <color rgb="FF000000"/>
        <rFont val="Arial"/>
        <family val="0"/>
        <charset val="1"/>
      </rPr>
      <t xml:space="preserve">D26</t>
    </r>
    <r>
      <rPr>
        <sz val="10"/>
        <color rgb="FF000000"/>
        <rFont val="Noto Sans CJK SC"/>
        <family val="2"/>
      </rPr>
      <t xml:space="preserve">）。</t>
    </r>
  </si>
  <si>
    <t xml:space="preserve">Inputs</t>
  </si>
  <si>
    <r>
      <rPr>
        <sz val="10"/>
        <color rgb="FF000000"/>
        <rFont val="Arial"/>
        <family val="0"/>
        <charset val="1"/>
      </rPr>
      <t xml:space="preserve">139 </t>
    </r>
    <r>
      <rPr>
        <sz val="10"/>
        <color rgb="FF000000"/>
        <rFont val="Noto Sans CJK SC"/>
        <family val="2"/>
      </rPr>
      <t xml:space="preserve">列（</t>
    </r>
    <r>
      <rPr>
        <sz val="10"/>
        <color rgb="FF000000"/>
        <rFont val="Arial"/>
        <family val="0"/>
        <charset val="1"/>
      </rPr>
      <t xml:space="preserve">INP_001 </t>
    </r>
    <r>
      <rPr>
        <sz val="10"/>
        <color rgb="FF000000"/>
        <rFont val="Noto Sans CJK SC"/>
        <family val="2"/>
      </rPr>
      <t xml:space="preserve">起，依 </t>
    </r>
    <r>
      <rPr>
        <sz val="10"/>
        <color rgb="FF000000"/>
        <rFont val="Arial"/>
        <family val="0"/>
        <charset val="1"/>
      </rPr>
      <t xml:space="preserve">data/zhipu_inputs.yaml </t>
    </r>
    <r>
      <rPr>
        <sz val="10"/>
        <color rgb="FF000000"/>
        <rFont val="Noto Sans CJK SC"/>
        <family val="2"/>
      </rPr>
      <t xml:space="preserve">的鍵發號）；每列附標記、依據、區間理由；</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Assumed </t>
    </r>
    <r>
      <rPr>
        <sz val="10"/>
        <color rgb="FF000000"/>
        <rFont val="Noto Sans CJK SC"/>
        <family val="2"/>
      </rPr>
      <t xml:space="preserve">一律給區間。</t>
    </r>
  </si>
  <si>
    <t xml:space="preserve">Demand</t>
  </si>
  <si>
    <r>
      <rPr>
        <sz val="10"/>
        <color rgb="FF000000"/>
        <rFont val="Noto Sans CJK SC"/>
        <family val="2"/>
      </rPr>
      <t xml:space="preserve">需求：①</t>
    </r>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＝營收 </t>
    </r>
    <r>
      <rPr>
        <sz val="10"/>
        <color rgb="FF000000"/>
        <rFont val="Arial"/>
        <family val="0"/>
        <charset val="1"/>
      </rPr>
      <t xml:space="preserve">÷ </t>
    </r>
    <r>
      <rPr>
        <sz val="10"/>
        <color rgb="FF000000"/>
        <rFont val="Noto Sans CJK SC"/>
        <family val="2"/>
      </rPr>
      <t xml:space="preserve">有效單價倒推；</t>
    </r>
    <r>
      <rPr>
        <sz val="10"/>
        <color rgb="FF000000"/>
        <rFont val="Arial"/>
        <family val="0"/>
        <charset val="1"/>
      </rPr>
      <t xml:space="preserve">2H26 </t>
    </r>
    <r>
      <rPr>
        <sz val="10"/>
        <color rgb="FF000000"/>
        <rFont val="Noto Sans CJK SC"/>
        <family val="2"/>
      </rPr>
      <t xml:space="preserve">起任務數 </t>
    </r>
    <r>
      <rPr>
        <sz val="10"/>
        <color rgb="FF000000"/>
        <rFont val="Arial"/>
        <family val="0"/>
        <charset val="1"/>
      </rPr>
      <t xml:space="preserve">× </t>
    </r>
    <r>
      <rPr>
        <sz val="10"/>
        <color rgb="FF000000"/>
        <rFont val="Noto Sans CJK SC"/>
        <family val="2"/>
      </rPr>
      <t xml:space="preserve">每任務 </t>
    </r>
    <r>
      <rPr>
        <sz val="10"/>
        <color rgb="FF000000"/>
        <rFont val="Arial"/>
        <family val="0"/>
        <charset val="1"/>
      </rPr>
      <t xml:space="preserve">token × </t>
    </r>
    <r>
      <rPr>
        <sz val="10"/>
        <color rgb="FF000000"/>
        <rFont val="Noto Sans CJK SC"/>
        <family val="2"/>
      </rPr>
      <t xml:space="preserve">價格反應）②</t>
    </r>
    <r>
      <rPr>
        <sz val="10"/>
        <color rgb="FF000000"/>
        <rFont val="Arial"/>
        <family val="0"/>
        <charset val="1"/>
      </rPr>
      <t xml:space="preserve">GLM Coding Plan </t>
    </r>
    <r>
      <rPr>
        <sz val="10"/>
        <color rgb="FF000000"/>
        <rFont val="Noto Sans CJK SC"/>
        <family val="2"/>
      </rPr>
      <t xml:space="preserve">訂閱者（方案別）</t>
    </r>
    <r>
      <rPr>
        <sz val="10"/>
        <color rgb="FF000000"/>
        <rFont val="Arial"/>
        <family val="0"/>
        <charset val="1"/>
      </rPr>
      <t xml:space="preserve">× </t>
    </r>
    <r>
      <rPr>
        <sz val="10"/>
        <color rgb="FF000000"/>
        <rFont val="Noto Sans CJK SC"/>
        <family val="2"/>
      </rPr>
      <t xml:space="preserve">每訂閱者 </t>
    </r>
    <r>
      <rPr>
        <sz val="10"/>
        <color rgb="FF000000"/>
        <rFont val="Arial"/>
        <family val="0"/>
        <charset val="1"/>
      </rPr>
      <t xml:space="preserve">token ③</t>
    </r>
    <r>
      <rPr>
        <sz val="10"/>
        <color rgb="FF000000"/>
        <rFont val="Noto Sans CJK SC"/>
        <family val="2"/>
      </rPr>
      <t xml:space="preserve">智譜清言（免費）用戶 </t>
    </r>
    <r>
      <rPr>
        <sz val="10"/>
        <color rgb="FF000000"/>
        <rFont val="Arial"/>
        <family val="0"/>
        <charset val="1"/>
      </rPr>
      <t xml:space="preserve">× </t>
    </r>
    <r>
      <rPr>
        <sz val="10"/>
        <color rgb="FF000000"/>
        <rFont val="Noto Sans CJK SC"/>
        <family val="2"/>
      </rPr>
      <t xml:space="preserve">任務 </t>
    </r>
    <r>
      <rPr>
        <sz val="10"/>
        <color rgb="FF000000"/>
        <rFont val="Arial"/>
        <family val="0"/>
        <charset val="1"/>
      </rPr>
      <t xml:space="preserve">× </t>
    </r>
    <r>
      <rPr>
        <sz val="10"/>
        <color rgb="FF000000"/>
        <rFont val="Noto Sans CJK SC"/>
        <family val="2"/>
      </rPr>
      <t xml:space="preserve">每任務 </t>
    </r>
    <r>
      <rPr>
        <sz val="10"/>
        <color rgb="FF000000"/>
        <rFont val="Arial"/>
        <family val="0"/>
        <charset val="1"/>
      </rPr>
      <t xml:space="preserve">token</t>
    </r>
    <r>
      <rPr>
        <sz val="10"/>
        <color rgb="FF000000"/>
        <rFont val="Noto Sans CJK SC"/>
        <family val="2"/>
      </rPr>
      <t xml:space="preserve">；輸出 </t>
    </r>
    <r>
      <rPr>
        <sz val="10"/>
        <color rgb="FF000000"/>
        <rFont val="Arial"/>
        <family val="0"/>
        <charset val="1"/>
      </rPr>
      <t xml:space="preserve">DEM_Tok_*</t>
    </r>
    <r>
      <rPr>
        <sz val="10"/>
        <color rgb="FF000000"/>
        <rFont val="Noto Sans CJK SC"/>
        <family val="2"/>
      </rPr>
      <t xml:space="preserve">（層級 </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Luna × </t>
    </r>
    <r>
      <rPr>
        <sz val="10"/>
        <color rgb="FF000000"/>
        <rFont val="Noto Sans CJK SC"/>
        <family val="2"/>
      </rPr>
      <t xml:space="preserve">付費／免費）。本地化部署不耗智譜算力，不進 </t>
    </r>
    <r>
      <rPr>
        <sz val="10"/>
        <color rgb="FF000000"/>
        <rFont val="Arial"/>
        <family val="0"/>
        <charset val="1"/>
      </rPr>
      <t xml:space="preserve">Demand</t>
    </r>
    <r>
      <rPr>
        <sz val="10"/>
        <color rgb="FF000000"/>
        <rFont val="Noto Sans CJK SC"/>
        <family val="2"/>
      </rPr>
      <t xml:space="preserve">（</t>
    </r>
    <r>
      <rPr>
        <sz val="10"/>
        <color rgb="FF000000"/>
        <rFont val="Arial"/>
        <family val="0"/>
        <charset val="1"/>
      </rPr>
      <t xml:space="preserve">D4</t>
    </r>
    <r>
      <rPr>
        <sz val="10"/>
        <color rgb="FF000000"/>
        <rFont val="Noto Sans CJK SC"/>
        <family val="2"/>
      </rPr>
      <t xml:space="preserve">）。</t>
    </r>
  </si>
  <si>
    <t xml:space="preserve">Revenue</t>
  </si>
  <si>
    <r>
      <rPr>
        <sz val="10"/>
        <color rgb="FF000000"/>
        <rFont val="Noto Sans CJK SC"/>
        <family val="2"/>
      </rPr>
      <t xml:space="preserve">營收：①開放平台及 </t>
    </r>
    <r>
      <rPr>
        <sz val="10"/>
        <color rgb="FF000000"/>
        <rFont val="Arial"/>
        <family val="0"/>
        <charset val="1"/>
      </rPr>
      <t xml:space="preserve">API</t>
    </r>
    <r>
      <rPr>
        <sz val="10"/>
        <color rgb="FF000000"/>
        <rFont val="Noto Sans CJK SC"/>
        <family val="2"/>
      </rPr>
      <t xml:space="preserve">（按量計費：層級 </t>
    </r>
    <r>
      <rPr>
        <sz val="10"/>
        <color rgb="FF000000"/>
        <rFont val="Arial"/>
        <family val="0"/>
        <charset val="1"/>
      </rPr>
      <t xml:space="preserve">× </t>
    </r>
    <r>
      <rPr>
        <sz val="10"/>
        <color rgb="FF000000"/>
        <rFont val="Noto Sans CJK SC"/>
        <family val="2"/>
      </rPr>
      <t xml:space="preserve">輸入／快取／輸出 </t>
    </r>
    <r>
      <rPr>
        <sz val="10"/>
        <color rgb="FF000000"/>
        <rFont val="Arial"/>
        <family val="0"/>
        <charset val="1"/>
      </rPr>
      <t xml:space="preserve">× </t>
    </r>
    <r>
      <rPr>
        <sz val="10"/>
        <color rgb="FF000000"/>
        <rFont val="Noto Sans CJK SC"/>
        <family val="2"/>
      </rPr>
      <t xml:space="preserve">有效價；</t>
    </r>
    <r>
      <rPr>
        <sz val="10"/>
        <color rgb="FF000000"/>
        <rFont val="Arial"/>
        <family val="0"/>
        <charset val="1"/>
      </rPr>
      <t xml:space="preserve">Coding Plan </t>
    </r>
    <r>
      <rPr>
        <sz val="10"/>
        <color rgb="FF000000"/>
        <rFont val="Noto Sans CJK SC"/>
        <family val="2"/>
      </rPr>
      <t xml:space="preserve">子列：方案別訂閱）②企業級智能體 ③企業級通用大模型 ④技術服務及其他（②③④＝本地化部署分部，規格 </t>
    </r>
    <r>
      <rPr>
        <sz val="10"/>
        <color rgb="FF000000"/>
        <rFont val="Arial"/>
        <family val="0"/>
        <charset val="1"/>
      </rPr>
      <t xml:space="preserve">D2r</t>
    </r>
    <r>
      <rPr>
        <sz val="10"/>
        <color rgb="FF000000"/>
        <rFont val="Noto Sans CJK SC"/>
        <family val="2"/>
      </rPr>
      <t xml:space="preserve">）；廣告＝</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D3</t>
    </r>
    <r>
      <rPr>
        <sz val="10"/>
        <color rgb="FF000000"/>
        <rFont val="Noto Sans CJK SC"/>
        <family val="2"/>
      </rPr>
      <t xml:space="preserve">）；總額＝淨額（</t>
    </r>
    <r>
      <rPr>
        <sz val="10"/>
        <color rgb="FF000000"/>
        <rFont val="Arial"/>
        <family val="0"/>
        <charset val="1"/>
      </rPr>
      <t xml:space="preserve">D5</t>
    </r>
    <r>
      <rPr>
        <sz val="10"/>
        <color rgb="FF000000"/>
        <rFont val="Noto Sans CJK SC"/>
        <family val="2"/>
      </rPr>
      <t xml:space="preserve">）；雲端 </t>
    </r>
    <r>
      <rPr>
        <sz val="10"/>
        <color rgb="FF000000"/>
        <rFont val="Arial"/>
        <family val="0"/>
        <charset val="1"/>
      </rPr>
      <t xml:space="preserve">vs </t>
    </r>
    <r>
      <rPr>
        <sz val="10"/>
        <color rgb="FF000000"/>
        <rFont val="Noto Sans CJK SC"/>
        <family val="2"/>
      </rPr>
      <t xml:space="preserve">本地化、企業 </t>
    </r>
    <r>
      <rPr>
        <sz val="10"/>
        <color rgb="FF000000"/>
        <rFont val="Arial"/>
        <family val="0"/>
        <charset val="1"/>
      </rPr>
      <t xml:space="preserve">vs </t>
    </r>
    <r>
      <rPr>
        <sz val="10"/>
        <color rgb="FF000000"/>
        <rFont val="Noto Sans CJK SC"/>
        <family val="2"/>
      </rPr>
      <t xml:space="preserve">個人彙總；</t>
    </r>
    <r>
      <rPr>
        <sz val="10"/>
        <color rgb="FF000000"/>
        <rFont val="Arial"/>
        <family val="0"/>
        <charset val="1"/>
      </rPr>
      <t xml:space="preserve">2025 </t>
    </r>
    <r>
      <rPr>
        <sz val="10"/>
        <color rgb="FF000000"/>
        <rFont val="Noto Sans CJK SC"/>
        <family val="2"/>
      </rPr>
      <t xml:space="preserve">與 </t>
    </r>
    <r>
      <rPr>
        <sz val="10"/>
        <color rgb="FF000000"/>
        <rFont val="Arial"/>
        <family val="0"/>
        <charset val="1"/>
      </rPr>
      <t xml:space="preserve">1H26 </t>
    </r>
    <r>
      <rPr>
        <sz val="10"/>
        <color rgb="FF000000"/>
        <rFont val="Noto Sans CJK SC"/>
        <family val="2"/>
      </rPr>
      <t xml:space="preserve">對財報校準差距＝</t>
    </r>
    <r>
      <rPr>
        <sz val="10"/>
        <color rgb="FF000000"/>
        <rFont val="Arial"/>
        <family val="0"/>
        <charset val="1"/>
      </rPr>
      <t xml:space="preserve">0</t>
    </r>
    <r>
      <rPr>
        <sz val="10"/>
        <color rgb="FF000000"/>
        <rFont val="Noto Sans CJK SC"/>
        <family val="2"/>
      </rPr>
      <t xml:space="preserve">；公司說法（</t>
    </r>
    <r>
      <rPr>
        <sz val="10"/>
        <color rgb="FF000000"/>
        <rFont val="Arial"/>
        <family val="0"/>
        <charset val="1"/>
      </rPr>
      <t xml:space="preserve">ARR</t>
    </r>
    <r>
      <rPr>
        <sz val="10"/>
        <color rgb="FF000000"/>
        <rFont val="Noto Sans CJK SC"/>
        <family val="2"/>
      </rPr>
      <t xml:space="preserve">、平均售價 </t>
    </r>
    <r>
      <rPr>
        <sz val="10"/>
        <color rgb="FF000000"/>
        <rFont val="Arial"/>
        <family val="0"/>
        <charset val="1"/>
      </rPr>
      <t xml:space="preserve">+101%</t>
    </r>
    <r>
      <rPr>
        <sz val="10"/>
        <color rgb="FF000000"/>
        <rFont val="Noto Sans CJK SC"/>
        <family val="2"/>
      </rPr>
      <t xml:space="preserve">、呼叫量 </t>
    </r>
    <r>
      <rPr>
        <sz val="10"/>
        <color rgb="FF000000"/>
        <rFont val="Arial"/>
        <family val="0"/>
        <charset val="1"/>
      </rPr>
      <t xml:space="preserve">40 </t>
    </r>
    <r>
      <rPr>
        <sz val="10"/>
        <color rgb="FF000000"/>
        <rFont val="Noto Sans CJK SC"/>
        <family val="2"/>
      </rPr>
      <t xml:space="preserve">倍）只列對照。</t>
    </r>
  </si>
  <si>
    <t xml:space="preserve">Compute</t>
  </si>
  <si>
    <r>
      <rPr>
        <sz val="10"/>
        <color rgb="FF000000"/>
        <rFont val="Noto Sans CJK SC"/>
        <family val="2"/>
      </rPr>
      <t xml:space="preserve">晶片族（</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TK Hopper H100 </t>
    </r>
    <r>
      <rPr>
        <sz val="10"/>
        <color rgb="FF000000"/>
        <rFont val="Noto Sans CJK SC"/>
        <family val="2"/>
      </rPr>
      <t xml:space="preserve">欄；</t>
    </r>
    <r>
      <rPr>
        <sz val="10"/>
        <color rgb="FF000000"/>
        <rFont val="Arial"/>
        <family val="0"/>
        <charset val="1"/>
      </rPr>
      <t xml:space="preserve">H20</t>
    </r>
    <r>
      <rPr>
        <sz val="10"/>
        <color rgb="FF000000"/>
        <rFont val="Noto Sans CJK SC"/>
        <family val="2"/>
      </rPr>
      <t xml:space="preserve">、國產＝</t>
    </r>
    <r>
      <rPr>
        <sz val="10"/>
        <color rgb="FF000000"/>
        <rFont val="Arial"/>
        <family val="0"/>
        <charset val="1"/>
      </rPr>
      <t xml:space="preserve">Hopper × Inputs </t>
    </r>
    <r>
      <rPr>
        <sz val="10"/>
        <color rgb="FF000000"/>
        <rFont val="Noto Sans CJK SC"/>
        <family val="2"/>
      </rPr>
      <t xml:space="preserve">比例，</t>
    </r>
    <r>
      <rPr>
        <sz val="10"/>
        <color rgb="FF000000"/>
        <rFont val="Arial"/>
        <family val="0"/>
        <charset val="1"/>
      </rPr>
      <t xml:space="preserve">Tokenomics </t>
    </r>
    <r>
      <rPr>
        <sz val="10"/>
        <color rgb="FF000000"/>
        <rFont val="Noto Sans CJK SC"/>
        <family val="2"/>
      </rPr>
      <t xml:space="preserve">缺口）</t>
    </r>
    <r>
      <rPr>
        <sz val="10"/>
        <color rgb="FF000000"/>
        <rFont val="Arial"/>
        <family val="0"/>
        <charset val="1"/>
      </rPr>
      <t xml:space="preserve">× </t>
    </r>
    <r>
      <rPr>
        <sz val="10"/>
        <color rgb="FF000000"/>
        <rFont val="Noto Sans CJK SC"/>
        <family val="2"/>
      </rPr>
      <t xml:space="preserve">層級（</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Luna</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年產能 → </t>
    </r>
    <r>
      <rPr>
        <sz val="10"/>
        <color rgb="FF000000"/>
        <rFont val="Arial"/>
        <family val="0"/>
        <charset val="1"/>
      </rPr>
      <t xml:space="preserve">token </t>
    </r>
    <r>
      <rPr>
        <sz val="10"/>
        <color rgb="FF000000"/>
        <rFont val="Noto Sans CJK SC"/>
        <family val="2"/>
      </rPr>
      <t xml:space="preserve">換算推論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算力服務費（推論＝</t>
    </r>
    <r>
      <rPr>
        <sz val="10"/>
        <color rgb="FF000000"/>
        <rFont val="Arial"/>
        <family val="0"/>
        <charset val="1"/>
      </rPr>
      <t xml:space="preserve">API </t>
    </r>
    <r>
      <rPr>
        <sz val="10"/>
        <color rgb="FF000000"/>
        <rFont val="Noto Sans CJK SC"/>
        <family val="2"/>
      </rPr>
      <t xml:space="preserve">銷售成本、研發＝研發開支扣股權報酬 </t>
    </r>
    <r>
      <rPr>
        <sz val="10"/>
        <color rgb="FF000000"/>
        <rFont val="Arial"/>
        <family val="0"/>
        <charset val="1"/>
      </rPr>
      <t xml:space="preserve">× </t>
    </r>
    <r>
      <rPr>
        <sz val="10"/>
        <color rgb="FF000000"/>
        <rFont val="Noto Sans CJK SC"/>
        <family val="2"/>
      </rPr>
      <t xml:space="preserve">占比）</t>
    </r>
    <r>
      <rPr>
        <sz val="10"/>
        <color rgb="FF000000"/>
        <rFont val="Arial"/>
        <family val="0"/>
        <charset val="1"/>
      </rPr>
      <t xml:space="preserve">÷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價格（卡時租價 </t>
    </r>
    <r>
      <rPr>
        <sz val="10"/>
        <color rgb="FF000000"/>
        <rFont val="Arial"/>
        <family val="0"/>
        <charset val="1"/>
      </rPr>
      <t xml:space="preserve">×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 </t>
    </r>
    <r>
      <rPr>
        <sz val="10"/>
        <color rgb="FF000000"/>
        <rFont val="Arial"/>
        <family val="0"/>
        <charset val="1"/>
      </rPr>
      <t xml:space="preserve">× </t>
    </r>
    <r>
      <rPr>
        <sz val="10"/>
        <color rgb="FF000000"/>
        <rFont val="Noto Sans CJK SC"/>
        <family val="2"/>
      </rPr>
      <t xml:space="preserve">小時）→ 供給 </t>
    </r>
    <r>
      <rPr>
        <sz val="10"/>
        <color rgb="FF000000"/>
        <rFont val="Arial"/>
        <family val="0"/>
        <charset val="1"/>
      </rPr>
      <t xml:space="preserve">GW </t>
    </r>
    <r>
      <rPr>
        <sz val="10"/>
        <color rgb="FF000000"/>
        <rFont val="Noto Sans CJK SC"/>
        <family val="2"/>
      </rPr>
      <t xml:space="preserve">與 </t>
    </r>
    <r>
      <rPr>
        <sz val="10"/>
        <color rgb="FF000000"/>
        <rFont val="Arial"/>
        <family val="0"/>
        <charset val="1"/>
      </rPr>
      <t xml:space="preserve">η</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起有效推論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token GW ÷ η</t>
    </r>
    <r>
      <rPr>
        <sz val="10"/>
        <color rgb="FF000000"/>
        <rFont val="Noto Sans CJK SC"/>
        <family val="2"/>
      </rPr>
      <t xml:space="preserve">，供給依需求配置；研發 </t>
    </r>
    <r>
      <rPr>
        <sz val="10"/>
        <color rgb="FF000000"/>
        <rFont val="Arial"/>
        <family val="0"/>
        <charset val="1"/>
      </rPr>
      <t xml:space="preserve">GW</t>
    </r>
    <r>
      <rPr>
        <sz val="10"/>
        <color rgb="FF000000"/>
        <rFont val="Noto Sans CJK SC"/>
        <family val="2"/>
      </rPr>
      <t xml:space="preserve">＝殘差；容量上限係數回乘雲端營收；</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10 </t>
    </r>
    <r>
      <rPr>
        <sz val="10"/>
        <color rgb="FF000000"/>
        <rFont val="Noto Sans CJK SC"/>
        <family val="2"/>
      </rPr>
      <t xml:space="preserve">萬國產晶片對照；</t>
    </r>
    <r>
      <rPr>
        <sz val="10"/>
        <color rgb="FF000000"/>
        <rFont val="Arial"/>
        <family val="0"/>
        <charset val="1"/>
      </rPr>
      <t xml:space="preserve">R4 </t>
    </r>
    <r>
      <rPr>
        <sz val="10"/>
        <color rgb="FF000000"/>
        <rFont val="Noto Sans CJK SC"/>
        <family val="2"/>
      </rPr>
      <t xml:space="preserve">對帳；敏感度。</t>
    </r>
  </si>
  <si>
    <t xml:space="preserve">Cost</t>
  </si>
  <si>
    <r>
      <rPr>
        <sz val="10"/>
        <color rgb="FF000000"/>
        <rFont val="Noto Sans CJK SC"/>
        <family val="2"/>
      </rPr>
      <t xml:space="preserve">算力成本（</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＝算力服務費實付；之後＝租用 </t>
    </r>
    <r>
      <rPr>
        <sz val="10"/>
        <color rgb="FF000000"/>
        <rFont val="Arial"/>
        <family val="0"/>
        <charset val="1"/>
      </rPr>
      <t xml:space="preserve">GW ×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價格＋自有資本支出，基準 </t>
    </r>
    <r>
      <rPr>
        <sz val="10"/>
        <color rgb="FF000000"/>
        <rFont val="Arial"/>
        <family val="0"/>
        <charset val="1"/>
      </rPr>
      <t xml:space="preserve">0</t>
    </r>
    <r>
      <rPr>
        <sz val="10"/>
        <color rgb="FF000000"/>
        <rFont val="Noto Sans CJK SC"/>
        <family val="2"/>
      </rPr>
      <t xml:space="preserve">）、供應商持有成本與雲端毛利、本地化部署交付成本、非算力成本（</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＝財報殘差；之後人數 </t>
    </r>
    <r>
      <rPr>
        <sz val="10"/>
        <color rgb="FF000000"/>
        <rFont val="Arial"/>
        <family val="0"/>
        <charset val="1"/>
      </rPr>
      <t xml:space="preserve">× </t>
    </r>
    <r>
      <rPr>
        <sz val="10"/>
        <color rgb="FF000000"/>
        <rFont val="Noto Sans CJK SC"/>
        <family val="2"/>
      </rPr>
      <t xml:space="preserve">每人成本）、股權報酬；命題表：每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的營收、成本、差額、雲端口徑差額、覆蓋率（人民幣億與美元 </t>
    </r>
    <r>
      <rPr>
        <sz val="10"/>
        <color rgb="FF000000"/>
        <rFont val="Arial"/>
        <family val="0"/>
        <charset val="1"/>
      </rPr>
      <t xml:space="preserve">$B</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與 </t>
    </r>
    <r>
      <rPr>
        <sz val="10"/>
        <color rgb="FF000000"/>
        <rFont val="Arial"/>
        <family val="0"/>
        <charset val="1"/>
      </rPr>
      <t xml:space="preserve">1H26 </t>
    </r>
    <r>
      <rPr>
        <sz val="10"/>
        <color rgb="FF000000"/>
        <rFont val="Noto Sans CJK SC"/>
        <family val="2"/>
      </rPr>
      <t xml:space="preserve">全成本對財報費用合計差距＝</t>
    </r>
    <r>
      <rPr>
        <sz val="10"/>
        <color rgb="FF000000"/>
        <rFont val="Arial"/>
        <family val="0"/>
        <charset val="1"/>
      </rPr>
      <t xml:space="preserve">0</t>
    </r>
    <r>
      <rPr>
        <sz val="10"/>
        <color rgb="FF000000"/>
        <rFont val="Noto Sans CJK SC"/>
        <family val="2"/>
      </rPr>
      <t xml:space="preserve">。</t>
    </r>
  </si>
  <si>
    <t xml:space="preserve">Funding</t>
  </si>
  <si>
    <r>
      <rPr>
        <sz val="10"/>
        <color rgb="FF000000"/>
        <rFont val="Noto Sans CJK SC"/>
        <family val="2"/>
      </rPr>
      <t xml:space="preserve">自由現金流（營收 − 算力 − 本地化交付 − 非算力（股權報酬加回）＋其他收益 − 利息）→ 非算力資本支出、併購 → 來源順序：①期初現金 ②已到位股權（</t>
    </r>
    <r>
      <rPr>
        <sz val="10"/>
        <color rgb="FF000000"/>
        <rFont val="Arial"/>
        <family val="0"/>
        <charset val="1"/>
      </rPr>
      <t xml:space="preserve">2026-01 IPO</t>
    </r>
    <r>
      <rPr>
        <sz val="10"/>
        <color rgb="FF000000"/>
        <rFont val="Noto Sans CJK SC"/>
        <family val="2"/>
      </rPr>
      <t xml:space="preserve">、</t>
    </r>
    <r>
      <rPr>
        <sz val="10"/>
        <color rgb="FF000000"/>
        <rFont val="Arial"/>
        <family val="0"/>
        <charset val="1"/>
      </rPr>
      <t xml:space="preserve">2026-07</t>
    </r>
    <r>
      <rPr>
        <sz val="10"/>
        <color rgb="FF000000"/>
        <rFont val="Noto Sans CJK SC"/>
        <family val="2"/>
      </rPr>
      <t xml:space="preserve">、</t>
    </r>
    <r>
      <rPr>
        <sz val="10"/>
        <color rgb="FF000000"/>
        <rFont val="Arial"/>
        <family val="0"/>
        <charset val="1"/>
      </rPr>
      <t xml:space="preserve">2026-09 </t>
    </r>
    <r>
      <rPr>
        <sz val="10"/>
        <color rgb="FF000000"/>
        <rFont val="Noto Sans CJK SC"/>
        <family val="2"/>
      </rPr>
      <t xml:space="preserve">配售淨額，港幣 </t>
    </r>
    <r>
      <rPr>
        <sz val="10"/>
        <color rgb="FF000000"/>
        <rFont val="Arial"/>
        <family val="0"/>
        <charset val="1"/>
      </rPr>
      <t xml:space="preserve">× </t>
    </r>
    <r>
      <rPr>
        <sz val="10"/>
        <color rgb="FF000000"/>
        <rFont val="Noto Sans CJK SC"/>
        <family val="2"/>
      </rPr>
      <t xml:space="preserve">匯率）③已提用債務（銀行借款續借；可換股債券 </t>
    </r>
    <r>
      <rPr>
        <sz val="10"/>
        <color rgb="FF000000"/>
        <rFont val="Arial"/>
        <family val="0"/>
        <charset val="1"/>
      </rPr>
      <t xml:space="preserve">2H26 </t>
    </r>
    <r>
      <rPr>
        <sz val="10"/>
        <color rgb="FF000000"/>
        <rFont val="Noto Sans CJK SC"/>
        <family val="2"/>
      </rPr>
      <t xml:space="preserve">流入、</t>
    </r>
    <r>
      <rPr>
        <sz val="10"/>
        <color rgb="FF000000"/>
        <rFont val="Arial"/>
        <family val="0"/>
        <charset val="1"/>
      </rPr>
      <t xml:space="preserve">2027-09 </t>
    </r>
    <r>
      <rPr>
        <sz val="10"/>
        <color rgb="FF000000"/>
        <rFont val="Noto Sans CJK SC"/>
        <family val="2"/>
      </rPr>
      <t xml:space="preserve">到期償還，</t>
    </r>
    <r>
      <rPr>
        <sz val="10"/>
        <color rgb="FF000000"/>
        <rFont val="Arial"/>
        <family val="0"/>
        <charset val="1"/>
      </rPr>
      <t xml:space="preserve">D16r</t>
    </r>
    <r>
      <rPr>
        <sz val="10"/>
        <color rgb="FF000000"/>
        <rFont val="Noto Sans CJK SC"/>
        <family val="2"/>
      </rPr>
      <t xml:space="preserve">）④外部資金需求（年底補足至最低現金，</t>
    </r>
    <r>
      <rPr>
        <sz val="10"/>
        <color rgb="FF000000"/>
        <rFont val="Arial"/>
        <family val="0"/>
        <charset val="1"/>
      </rPr>
      <t xml:space="preserve">D17</t>
    </r>
    <r>
      <rPr>
        <sz val="10"/>
        <color rgb="FF000000"/>
        <rFont val="Noto Sans CJK SC"/>
        <family val="2"/>
      </rPr>
      <t xml:space="preserve">）。另列可換股債券轉股情境、或有、配售用途對照、回流對照（</t>
    </r>
    <r>
      <rPr>
        <sz val="10"/>
        <color rgb="FF000000"/>
        <rFont val="Arial"/>
        <family val="0"/>
        <charset val="1"/>
      </rPr>
      <t xml:space="preserve">D19</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現金對帳。</t>
    </r>
  </si>
  <si>
    <t xml:space="preserve">Reverse</t>
  </si>
  <si>
    <r>
      <rPr>
        <sz val="10"/>
        <color rgb="FF000000"/>
        <rFont val="Noto Sans CJK SC"/>
        <family val="2"/>
      </rPr>
      <t xml:space="preserve">反向模式（</t>
    </r>
    <r>
      <rPr>
        <sz val="10"/>
        <color rgb="FF000000"/>
        <rFont val="Arial"/>
        <family val="0"/>
        <charset val="1"/>
      </rPr>
      <t xml:space="preserve">D22</t>
    </r>
    <r>
      <rPr>
        <sz val="10"/>
        <color rgb="FF000000"/>
        <rFont val="Noto Sans CJK SC"/>
        <family val="2"/>
      </rPr>
      <t xml:space="preserve">、</t>
    </r>
    <r>
      <rPr>
        <sz val="10"/>
        <color rgb="FF000000"/>
        <rFont val="Arial"/>
        <family val="0"/>
        <charset val="1"/>
      </rPr>
      <t xml:space="preserve">D22r</t>
    </r>
    <r>
      <rPr>
        <sz val="10"/>
        <color rgb="FF000000"/>
        <rFont val="Noto Sans CJK SC"/>
        <family val="2"/>
      </rPr>
      <t xml:space="preserve">；只作對照，不回饋）：①管理層量化目標不存在（</t>
    </r>
    <r>
      <rPr>
        <sz val="10"/>
        <color rgb="FF000000"/>
        <rFont val="Arial"/>
        <family val="0"/>
        <charset val="1"/>
      </rPr>
      <t xml:space="preserve">ARR </t>
    </r>
    <r>
      <rPr>
        <sz val="10"/>
        <color rgb="FF000000"/>
        <rFont val="Noto Sans CJK SC"/>
        <family val="2"/>
      </rPr>
      <t xml:space="preserve">只對照）②分析師共識營收（全部登錄、平均為基準）→ 所需倍數與反向外部資金（同一支出）③市值隱含營收＝</t>
    </r>
    <r>
      <rPr>
        <sz val="10"/>
        <color rgb="FF000000"/>
        <rFont val="Arial"/>
        <family val="0"/>
        <charset val="1"/>
      </rPr>
      <t xml:space="preserve">EV ÷ </t>
    </r>
    <r>
      <rPr>
        <sz val="10"/>
        <color rgb="FF000000"/>
        <rFont val="Noto Sans CJK SC"/>
        <family val="2"/>
      </rPr>
      <t xml:space="preserve">同業（</t>
    </r>
    <r>
      <rPr>
        <sz val="10"/>
        <color rgb="FF000000"/>
        <rFont val="Arial"/>
        <family val="0"/>
        <charset val="1"/>
      </rPr>
      <t xml:space="preserve">MiniMax</t>
    </r>
    <r>
      <rPr>
        <sz val="10"/>
        <color rgb="FF000000"/>
        <rFont val="Noto Sans CJK SC"/>
        <family val="2"/>
      </rPr>
      <t xml:space="preserve">）</t>
    </r>
    <r>
      <rPr>
        <sz val="10"/>
        <color rgb="FF000000"/>
        <rFont val="Arial"/>
        <family val="0"/>
        <charset val="1"/>
      </rPr>
      <t xml:space="preserve">EV</t>
    </r>
    <r>
      <rPr>
        <sz val="10"/>
        <color rgb="FF000000"/>
        <rFont val="Noto Sans CJK SC"/>
        <family val="2"/>
      </rPr>
      <t xml:space="preserve">／年化營收。</t>
    </r>
  </si>
  <si>
    <t xml:space="preserve">Checks</t>
  </si>
  <si>
    <r>
      <rPr>
        <sz val="10"/>
        <color rgb="FF000000"/>
        <rFont val="Arial"/>
        <family val="0"/>
        <charset val="1"/>
      </rPr>
      <t xml:space="preserve">C01 </t>
    </r>
    <r>
      <rPr>
        <sz val="10"/>
        <color rgb="FF000000"/>
        <rFont val="Noto Sans CJK SC"/>
        <family val="2"/>
      </rPr>
      <t xml:space="preserve">起；</t>
    </r>
    <r>
      <rPr>
        <sz val="10"/>
        <color rgb="FF000000"/>
        <rFont val="Arial"/>
        <family val="0"/>
        <charset val="1"/>
      </rPr>
      <t xml:space="preserve">CHK_Errors </t>
    </r>
    <r>
      <rPr>
        <sz val="10"/>
        <color rgb="FF000000"/>
        <rFont val="Noto Sans CJK SC"/>
        <family val="2"/>
      </rPr>
      <t xml:space="preserve">必須為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WARN</t>
    </r>
    <r>
      <rPr>
        <sz val="10"/>
        <color rgb="FF000000"/>
        <rFont val="Noto Sans CJK SC"/>
        <family val="2"/>
      </rPr>
      <t xml:space="preserve">（</t>
    </r>
    <r>
      <rPr>
        <sz val="10"/>
        <color rgb="FF000000"/>
        <rFont val="Arial"/>
        <family val="0"/>
        <charset val="1"/>
      </rPr>
      <t xml:space="preserve">ARR</t>
    </r>
    <r>
      <rPr>
        <sz val="10"/>
        <color rgb="FF000000"/>
        <rFont val="Noto Sans CJK SC"/>
        <family val="2"/>
      </rPr>
      <t xml:space="preserve">、</t>
    </r>
    <r>
      <rPr>
        <sz val="10"/>
        <color rgb="FF000000"/>
        <rFont val="Arial"/>
        <family val="0"/>
        <charset val="1"/>
      </rPr>
      <t xml:space="preserve">η </t>
    </r>
    <r>
      <rPr>
        <sz val="10"/>
        <color rgb="FF000000"/>
        <rFont val="Noto Sans CJK SC"/>
        <family val="2"/>
      </rPr>
      <t xml:space="preserve">合理範圍、國產晶片 </t>
    </r>
    <r>
      <rPr>
        <sz val="10"/>
        <color rgb="FF000000"/>
        <rFont val="Arial"/>
        <family val="0"/>
        <charset val="1"/>
      </rPr>
      <t xml:space="preserve">GW </t>
    </r>
    <r>
      <rPr>
        <sz val="10"/>
        <color rgb="FF000000"/>
        <rFont val="Noto Sans CJK SC"/>
        <family val="2"/>
      </rPr>
      <t xml:space="preserve">對照）與 </t>
    </r>
    <r>
      <rPr>
        <sz val="10"/>
        <color rgb="FF000000"/>
        <rFont val="Arial"/>
        <family val="0"/>
        <charset val="1"/>
      </rPr>
      <t xml:space="preserve">INFO </t>
    </r>
    <r>
      <rPr>
        <sz val="10"/>
        <color rgb="FF000000"/>
        <rFont val="Noto Sans CJK SC"/>
        <family val="2"/>
      </rPr>
      <t xml:space="preserve">不計入。</t>
    </r>
  </si>
  <si>
    <t xml:space="preserve">標記</t>
  </si>
  <si>
    <r>
      <rPr>
        <sz val="10"/>
        <color rgb="FF000000"/>
        <rFont val="Arial"/>
        <family val="0"/>
        <charset val="1"/>
      </rPr>
      <t xml:space="preserve">Verified</t>
    </r>
    <r>
      <rPr>
        <sz val="10"/>
        <color rgb="FF000000"/>
        <rFont val="Noto Sans CJK SC"/>
        <family val="2"/>
      </rPr>
      <t xml:space="preserve">／</t>
    </r>
    <r>
      <rPr>
        <sz val="10"/>
        <color rgb="FF000000"/>
        <rFont val="Arial"/>
        <family val="0"/>
        <charset val="1"/>
      </rPr>
      <t xml:space="preserve">Interested-party</t>
    </r>
    <r>
      <rPr>
        <sz val="10"/>
        <color rgb="FF000000"/>
        <rFont val="Noto Sans CJK SC"/>
        <family val="2"/>
      </rPr>
      <t xml:space="preserve">／</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Assumed</t>
    </r>
    <r>
      <rPr>
        <sz val="10"/>
        <color rgb="FF000000"/>
        <rFont val="Noto Sans CJK SC"/>
        <family val="2"/>
      </rPr>
      <t xml:space="preserve">／</t>
    </r>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Decision</t>
    </r>
    <r>
      <rPr>
        <sz val="10"/>
        <color rgb="FF000000"/>
        <rFont val="Noto Sans CJK SC"/>
        <family val="2"/>
      </rPr>
      <t xml:space="preserve">（</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Assumed </t>
    </r>
    <r>
      <rPr>
        <sz val="10"/>
        <color rgb="FF000000"/>
        <rFont val="Noto Sans CJK SC"/>
        <family val="2"/>
      </rPr>
      <t xml:space="preserve">一律附區間）。</t>
    </r>
  </si>
  <si>
    <t xml:space="preserve">分層</t>
  </si>
  <si>
    <r>
      <rPr>
        <sz val="10"/>
        <color rgb="FF000000"/>
        <rFont val="Noto Sans CJK SC"/>
        <family val="2"/>
      </rPr>
      <t xml:space="preserve">公司財務原始數據→</t>
    </r>
    <r>
      <rPr>
        <sz val="10"/>
        <color rgb="FF000000"/>
        <rFont val="Arial"/>
        <family val="0"/>
        <charset val="1"/>
      </rPr>
      <t xml:space="preserve">SRC_ZP</t>
    </r>
    <r>
      <rPr>
        <sz val="10"/>
        <color rgb="FF000000"/>
        <rFont val="Noto Sans CJK SC"/>
        <family val="2"/>
      </rPr>
      <t xml:space="preserve">；</t>
    </r>
    <r>
      <rPr>
        <sz val="10"/>
        <color rgb="FF000000"/>
        <rFont val="Arial"/>
        <family val="0"/>
        <charset val="1"/>
      </rPr>
      <t xml:space="preserve">AI </t>
    </r>
    <r>
      <rPr>
        <sz val="10"/>
        <color rgb="FF000000"/>
        <rFont val="Noto Sans CJK SC"/>
        <family val="2"/>
      </rPr>
      <t xml:space="preserve">技術與算力→</t>
    </r>
    <r>
      <rPr>
        <sz val="10"/>
        <color rgb="FF000000"/>
        <rFont val="Arial"/>
        <family val="0"/>
        <charset val="1"/>
      </rPr>
      <t xml:space="preserve">TK_Link</t>
    </r>
    <r>
      <rPr>
        <sz val="10"/>
        <color rgb="FF000000"/>
        <rFont val="Noto Sans CJK SC"/>
        <family val="2"/>
      </rPr>
      <t xml:space="preserve">（取自 </t>
    </r>
    <r>
      <rPr>
        <sz val="10"/>
        <color rgb="FF000000"/>
        <rFont val="Arial"/>
        <family val="0"/>
        <charset val="1"/>
      </rPr>
      <t xml:space="preserve">Tokenomics</t>
    </r>
    <r>
      <rPr>
        <sz val="10"/>
        <color rgb="FF000000"/>
        <rFont val="Noto Sans CJK SC"/>
        <family val="2"/>
      </rPr>
      <t xml:space="preserve">）；假設→</t>
    </r>
    <r>
      <rPr>
        <sz val="10"/>
        <color rgb="FF000000"/>
        <rFont val="Arial"/>
        <family val="0"/>
        <charset val="1"/>
      </rPr>
      <t xml:space="preserve">Inputs</t>
    </r>
    <r>
      <rPr>
        <sz val="10"/>
        <color rgb="FF000000"/>
        <rFont val="Noto Sans CJK SC"/>
        <family val="2"/>
      </rPr>
      <t xml:space="preserve">；</t>
    </r>
    <r>
      <rPr>
        <sz val="10"/>
        <color rgb="FF000000"/>
        <rFont val="Arial"/>
        <family val="0"/>
        <charset val="1"/>
      </rPr>
      <t xml:space="preserve">OpenAI </t>
    </r>
    <r>
      <rPr>
        <sz val="10"/>
        <color rgb="FF000000"/>
        <rFont val="Noto Sans CJK SC"/>
        <family val="2"/>
      </rPr>
      <t xml:space="preserve">對照→</t>
    </r>
    <r>
      <rPr>
        <sz val="10"/>
        <color rgb="FF000000"/>
        <rFont val="Arial"/>
        <family val="0"/>
        <charset val="1"/>
      </rPr>
      <t xml:space="preserve">OAI_Link</t>
    </r>
    <r>
      <rPr>
        <sz val="10"/>
        <color rgb="FF000000"/>
        <rFont val="Noto Sans CJK SC"/>
        <family val="2"/>
      </rPr>
      <t xml:space="preserve">（不進計算）。</t>
    </r>
  </si>
  <si>
    <r>
      <rPr>
        <b val="true"/>
        <sz val="13"/>
        <rFont val="Arial"/>
        <family val="0"/>
        <charset val="1"/>
      </rPr>
      <t xml:space="preserve">SRC_ZP — </t>
    </r>
    <r>
      <rPr>
        <b val="true"/>
        <sz val="13"/>
        <rFont val="Noto Sans CJK SC"/>
        <family val="2"/>
      </rPr>
      <t xml:space="preserve">第 </t>
    </r>
    <r>
      <rPr>
        <b val="true"/>
        <sz val="13"/>
        <rFont val="Arial"/>
        <family val="0"/>
        <charset val="1"/>
      </rPr>
      <t xml:space="preserve">0 </t>
    </r>
    <r>
      <rPr>
        <b val="true"/>
        <sz val="13"/>
        <rFont val="Noto Sans CJK SC"/>
        <family val="2"/>
      </rPr>
      <t xml:space="preserve">層 </t>
    </r>
    <r>
      <rPr>
        <b val="true"/>
        <sz val="13"/>
        <rFont val="Arial"/>
        <family val="0"/>
        <charset val="1"/>
      </rPr>
      <t xml:space="preserve">Source</t>
    </r>
    <r>
      <rPr>
        <b val="true"/>
        <sz val="13"/>
        <rFont val="Noto Sans CJK SC"/>
        <family val="2"/>
      </rPr>
      <t xml:space="preserve">：智譜公司財務原始數據（財報、分部、牌價、用戶、算力採購、融資、股本與市值）</t>
    </r>
  </si>
  <si>
    <r>
      <rPr>
        <sz val="9"/>
        <color rgb="FF595959"/>
        <rFont val="Noto Sans CJK SC"/>
        <family val="2"/>
      </rPr>
      <t xml:space="preserve">只存已取得的原始訊息（非計算、非假設）。藍字＝原始值，由本活頁簿擁有；來源 </t>
    </r>
    <r>
      <rPr>
        <sz val="9"/>
        <color rgb="FF595959"/>
        <rFont val="Arial"/>
        <family val="0"/>
        <charset val="1"/>
      </rPr>
      <t xml:space="preserve">data/zhipu_src.yaml</t>
    </r>
    <r>
      <rPr>
        <sz val="9"/>
        <color rgb="FF595959"/>
        <rFont val="Noto Sans CJK SC"/>
        <family val="2"/>
      </rPr>
      <t xml:space="preserve">（</t>
    </r>
    <r>
      <rPr>
        <sz val="9"/>
        <color rgb="FF595959"/>
        <rFont val="Arial"/>
        <family val="0"/>
        <charset val="1"/>
      </rPr>
      <t xml:space="preserve">Z1</t>
    </r>
    <r>
      <rPr>
        <sz val="9"/>
        <color rgb="FF595959"/>
        <rFont val="Noto Sans CJK SC"/>
        <family val="2"/>
      </rPr>
      <t xml:space="preserve">）。</t>
    </r>
    <r>
      <rPr>
        <sz val="9"/>
        <color rgb="FF595959"/>
        <rFont val="Arial"/>
        <family val="0"/>
        <charset val="1"/>
      </rPr>
      <t xml:space="preserve">AI </t>
    </r>
    <r>
      <rPr>
        <sz val="9"/>
        <color rgb="FF595959"/>
        <rFont val="Noto Sans CJK SC"/>
        <family val="2"/>
      </rPr>
      <t xml:space="preserve">技術與算力的物理數據不在此登錄（取自 </t>
    </r>
    <r>
      <rPr>
        <sz val="9"/>
        <color rgb="FF595959"/>
        <rFont val="Arial"/>
        <family val="0"/>
        <charset val="1"/>
      </rPr>
      <t xml:space="preserve">TK_Link</t>
    </r>
    <r>
      <rPr>
        <sz val="9"/>
        <color rgb="FF595959"/>
        <rFont val="Noto Sans CJK SC"/>
        <family val="2"/>
      </rPr>
      <t xml:space="preserve">）。</t>
    </r>
  </si>
  <si>
    <r>
      <rPr>
        <sz val="9"/>
        <color rgb="FF595959"/>
        <rFont val="Noto Sans CJK SC"/>
        <family val="2"/>
      </rPr>
      <t xml:space="preserve">來源等級（</t>
    </r>
    <r>
      <rPr>
        <sz val="9"/>
        <color rgb="FF595959"/>
        <rFont val="Arial"/>
        <family val="0"/>
        <charset val="1"/>
      </rPr>
      <t xml:space="preserve">1 </t>
    </r>
    <r>
      <rPr>
        <sz val="9"/>
        <color rgb="FF595959"/>
        <rFont val="Noto Sans CJK SC"/>
        <family val="2"/>
      </rPr>
      <t xml:space="preserve">一手已讀原文／</t>
    </r>
    <r>
      <rPr>
        <sz val="9"/>
        <color rgb="FF595959"/>
        <rFont val="Arial"/>
        <family val="0"/>
        <charset val="1"/>
      </rPr>
      <t xml:space="preserve">2 </t>
    </r>
    <r>
      <rPr>
        <sz val="9"/>
        <color rgb="FF595959"/>
        <rFont val="Noto Sans CJK SC"/>
        <family val="2"/>
      </rPr>
      <t xml:space="preserve">二手或轉載／</t>
    </r>
    <r>
      <rPr>
        <sz val="9"/>
        <color rgb="FF595959"/>
        <rFont val="Arial"/>
        <family val="0"/>
        <charset val="1"/>
      </rPr>
      <t xml:space="preserve">3 </t>
    </r>
    <r>
      <rPr>
        <sz val="9"/>
        <color rgb="FF595959"/>
        <rFont val="Noto Sans CJK SC"/>
        <family val="2"/>
      </rPr>
      <t xml:space="preserve">待查核）、立場、立場說明、一手／二手：</t>
    </r>
    <r>
      <rPr>
        <sz val="9"/>
        <color rgb="FF595959"/>
        <rFont val="Arial"/>
        <family val="0"/>
        <charset val="1"/>
      </rPr>
      <t xml:space="preserve">builder/source_rules.py </t>
    </r>
    <r>
      <rPr>
        <sz val="9"/>
        <color rgb="FF595959"/>
        <rFont val="Noto Sans CJK SC"/>
        <family val="2"/>
      </rPr>
      <t xml:space="preserve">機械初評（欄 </t>
    </r>
    <r>
      <rPr>
        <sz val="9"/>
        <color rgb="FF595959"/>
        <rFont val="Arial"/>
        <family val="0"/>
        <charset val="1"/>
      </rPr>
      <t xml:space="preserve">X </t>
    </r>
    <r>
      <rPr>
        <sz val="9"/>
        <color rgb="FF595959"/>
        <rFont val="Noto Sans CJK SC"/>
        <family val="2"/>
      </rPr>
      <t xml:space="preserve">標『</t>
    </r>
    <r>
      <rPr>
        <sz val="9"/>
        <color rgb="FF595959"/>
        <rFont val="Arial"/>
        <family val="0"/>
        <charset val="1"/>
      </rPr>
      <t xml:space="preserve">CC </t>
    </r>
    <r>
      <rPr>
        <sz val="9"/>
        <color rgb="FF595959"/>
        <rFont val="Noto Sans CJK SC"/>
        <family val="2"/>
      </rPr>
      <t xml:space="preserve">初評』）。無數值列＝日期、事件或找不到數值的說明列（另見 </t>
    </r>
    <r>
      <rPr>
        <sz val="9"/>
        <color rgb="FF595959"/>
        <rFont val="Arial"/>
        <family val="0"/>
        <charset val="1"/>
      </rPr>
      <t xml:space="preserve">Checks</t>
    </r>
    <r>
      <rPr>
        <sz val="9"/>
        <color rgb="FF595959"/>
        <rFont val="Noto Sans CJK SC"/>
        <family val="2"/>
      </rPr>
      <t xml:space="preserve">）。</t>
    </r>
  </si>
  <si>
    <t xml:space="preserve">SRC_ID</t>
  </si>
  <si>
    <r>
      <rPr>
        <b val="true"/>
        <sz val="10"/>
        <rFont val="Noto Sans CJK SC"/>
        <family val="2"/>
      </rPr>
      <t xml:space="preserve">鍵（</t>
    </r>
    <r>
      <rPr>
        <b val="true"/>
        <sz val="10"/>
        <rFont val="Arial"/>
        <family val="0"/>
        <charset val="1"/>
      </rPr>
      <t xml:space="preserve">key</t>
    </r>
    <r>
      <rPr>
        <b val="true"/>
        <sz val="10"/>
        <rFont val="Noto Sans CJK SC"/>
        <family val="2"/>
      </rPr>
      <t xml:space="preserve">）</t>
    </r>
  </si>
  <si>
    <t xml:space="preserve">項目</t>
  </si>
  <si>
    <t xml:space="preserve">值</t>
  </si>
  <si>
    <t xml:space="preserve">低</t>
  </si>
  <si>
    <t xml:space="preserve">高</t>
  </si>
  <si>
    <t xml:space="preserve">單位</t>
  </si>
  <si>
    <t xml:space="preserve">期間</t>
  </si>
  <si>
    <t xml:space="preserve">來源</t>
  </si>
  <si>
    <t xml:space="preserve">網址</t>
  </si>
  <si>
    <t xml:space="preserve">文件日期</t>
  </si>
  <si>
    <t xml:space="preserve">擷取日</t>
  </si>
  <si>
    <t xml:space="preserve">利害方與誘因</t>
  </si>
  <si>
    <r>
      <rPr>
        <b val="true"/>
        <sz val="10"/>
        <rFont val="Noto Sans CJK SC"/>
        <family val="2"/>
      </rPr>
      <t xml:space="preserve">口徑（</t>
    </r>
    <r>
      <rPr>
        <b val="true"/>
        <sz val="10"/>
        <rFont val="Arial"/>
        <family val="0"/>
        <charset val="1"/>
      </rPr>
      <t xml:space="preserve">basis</t>
    </r>
    <r>
      <rPr>
        <b val="true"/>
        <sz val="10"/>
        <rFont val="Noto Sans CJK SC"/>
        <family val="2"/>
      </rPr>
      <t xml:space="preserve">）</t>
    </r>
  </si>
  <si>
    <t xml:space="preserve">來源等級</t>
  </si>
  <si>
    <t xml:space="preserve">立場</t>
  </si>
  <si>
    <t xml:space="preserve">立場說明</t>
  </si>
  <si>
    <t xml:space="preserve">一手／二手</t>
  </si>
  <si>
    <t xml:space="preserve">備註</t>
  </si>
  <si>
    <t xml:space="preserve">無數值（公式）</t>
  </si>
  <si>
    <t xml:space="preserve">缺出處（公式）</t>
  </si>
  <si>
    <t xml:space="preserve">區間順序異常（公式）</t>
  </si>
  <si>
    <t xml:space="preserve">四欄標註</t>
  </si>
  <si>
    <t xml:space="preserve">SRC_ZP_001</t>
  </si>
  <si>
    <t xml:space="preserve">rev_total_fy22</t>
  </si>
  <si>
    <t xml:space="preserve">營收總額</t>
  </si>
  <si>
    <r>
      <rPr>
        <sz val="10"/>
        <color rgb="FF000000"/>
        <rFont val="Arial"/>
        <family val="0"/>
        <charset val="1"/>
      </rPr>
      <t xml:space="preserve">RMB </t>
    </r>
    <r>
      <rPr>
        <sz val="10"/>
        <color rgb="FF000000"/>
        <rFont val="Noto Sans CJK SC"/>
        <family val="2"/>
      </rPr>
      <t xml:space="preserve">億</t>
    </r>
  </si>
  <si>
    <t xml:space="preserve">FY2022</t>
  </si>
  <si>
    <t xml:space="preserve">智譜招股章程（概要節）</t>
  </si>
  <si>
    <t xml:space="preserve">https://www1.hkexnews.hk/listedco/listconews/sehk/2025/1230/2025123000018_c.pdf</t>
  </si>
  <si>
    <t xml:space="preserve">2025-12-30</t>
  </si>
  <si>
    <t xml:space="preserve">2026-10-08</t>
  </si>
  <si>
    <t xml:space="preserve">Verified</t>
  </si>
  <si>
    <t xml:space="preserve">經審計（會計師報告，招股章程概要轉載）</t>
  </si>
  <si>
    <t xml:space="preserve">1</t>
  </si>
  <si>
    <t xml:space="preserve">利害關係方</t>
  </si>
  <si>
    <t xml:space="preserve">經審計或經審閱的公司公告（誘因：上市後股價、配售；數字可由公告原文核對）</t>
  </si>
  <si>
    <t xml:space="preserve">一手</t>
  </si>
  <si>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57,409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</si>
  <si>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r>
      <rPr>
        <sz val="9"/>
        <color rgb="FF595959"/>
        <rFont val="Arial"/>
        <family val="0"/>
        <charset val="1"/>
      </rPr>
      <t xml:space="preserve">CC </t>
    </r>
    <r>
      <rPr>
        <sz val="9"/>
        <color rgb="FF595959"/>
        <rFont val="Noto Sans CJK SC"/>
        <family val="2"/>
      </rPr>
      <t xml:space="preserve">初評</t>
    </r>
  </si>
  <si>
    <t xml:space="preserve">SRC_ZP_002</t>
  </si>
  <si>
    <t xml:space="preserve">rev_total_fy23</t>
  </si>
  <si>
    <t xml:space="preserve">FY2023</t>
  </si>
  <si>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124,538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</si>
  <si>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SRC_ZP_003</t>
  </si>
  <si>
    <t xml:space="preserve">rev_total_fy24</t>
  </si>
  <si>
    <t xml:space="preserve">FY2024</t>
  </si>
  <si>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312,414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</si>
  <si>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SRC_ZP_004</t>
  </si>
  <si>
    <t xml:space="preserve">rev_total_1h24</t>
  </si>
  <si>
    <t xml:space="preserve">1H2024</t>
  </si>
  <si>
    <r>
      <rPr>
        <sz val="10"/>
        <color rgb="FF000000"/>
        <rFont val="Noto Sans CJK SC"/>
        <family val="2"/>
      </rPr>
      <t xml:space="preserve">會計師報告（</t>
    </r>
    <r>
      <rPr>
        <sz val="10"/>
        <color rgb="FF000000"/>
        <rFont val="Arial"/>
        <family val="0"/>
        <charset val="1"/>
      </rPr>
      <t xml:space="preserve">1H2024 </t>
    </r>
    <r>
      <rPr>
        <sz val="10"/>
        <color rgb="FF000000"/>
        <rFont val="Noto Sans CJK SC"/>
        <family val="2"/>
      </rPr>
      <t xml:space="preserve">比較期通常為未經審計已審閱；招股章程概要轉載）</t>
    </r>
  </si>
  <si>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44,909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</si>
  <si>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SRC_ZP_005</t>
  </si>
  <si>
    <t xml:space="preserve">rev_total_1h25</t>
  </si>
  <si>
    <t xml:space="preserve">1H2025</t>
  </si>
  <si>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190,877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</si>
  <si>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SRC_ZP_006</t>
  </si>
  <si>
    <t xml:space="preserve">rev_onprem_fy22</t>
  </si>
  <si>
    <t xml:space="preserve">本地化部署收入（舊分部）</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</si>
  <si>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54,815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</si>
  <si>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SRC_ZP_007</t>
  </si>
  <si>
    <t xml:space="preserve">rev_onprem_fy23</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</si>
  <si>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112,614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</si>
  <si>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SRC_ZP_008</t>
  </si>
  <si>
    <t xml:space="preserve">rev_onprem_fy24</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</si>
  <si>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263,930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</si>
  <si>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SRC_ZP_009</t>
  </si>
  <si>
    <t xml:space="preserve">rev_onprem_1h24</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</si>
  <si>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26,806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</si>
  <si>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SRC_ZP_010</t>
  </si>
  <si>
    <t xml:space="preserve">rev_onprem_1h25</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</si>
  <si>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161,777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</si>
  <si>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SRC_ZP_011</t>
  </si>
  <si>
    <t xml:space="preserve">rev_cloud_fy22</t>
  </si>
  <si>
    <r>
      <rPr>
        <sz val="10"/>
        <color rgb="FF000000"/>
        <rFont val="Noto Sans CJK SC"/>
        <family val="2"/>
      </rPr>
      <t xml:space="preserve">雲端部署收入（舊分部；＝開放平台及</t>
    </r>
    <r>
      <rPr>
        <sz val="10"/>
        <color rgb="FF000000"/>
        <rFont val="Arial"/>
        <family val="0"/>
        <charset val="1"/>
      </rPr>
      <t xml:space="preserve">API</t>
    </r>
    <r>
      <rPr>
        <sz val="10"/>
        <color rgb="FF000000"/>
        <rFont val="Noto Sans CJK SC"/>
        <family val="2"/>
      </rPr>
      <t xml:space="preserve">）</t>
    </r>
  </si>
  <si>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2,594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</si>
  <si>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SRC_ZP_012</t>
  </si>
  <si>
    <t xml:space="preserve">rev_cloud_fy23</t>
  </si>
  <si>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11,924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</si>
  <si>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SRC_ZP_013</t>
  </si>
  <si>
    <t xml:space="preserve">rev_cloud_fy24</t>
  </si>
  <si>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48,484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</si>
  <si>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SRC_ZP_014</t>
  </si>
  <si>
    <t xml:space="preserve">rev_cloud_1h24</t>
  </si>
  <si>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18,103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</si>
  <si>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SRC_ZP_015</t>
  </si>
  <si>
    <t xml:space="preserve">rev_cloud_1h25</t>
  </si>
  <si>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29,100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</si>
  <si>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SRC_ZP_016</t>
  </si>
  <si>
    <t xml:space="preserve">cogs_fy22</t>
  </si>
  <si>
    <t xml:space="preserve">銷售成本（營業成本）</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</si>
  <si>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26,049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</si>
  <si>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SRC_ZP_017</t>
  </si>
  <si>
    <t xml:space="preserve">cogs_fy23</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</si>
  <si>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44,056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</si>
  <si>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SRC_ZP_018</t>
  </si>
  <si>
    <t xml:space="preserve">cogs_fy24</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</si>
  <si>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136,525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</si>
  <si>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SRC_ZP_019</t>
  </si>
  <si>
    <t xml:space="preserve">cogs_1h24</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</si>
  <si>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22,950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</si>
  <si>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SRC_ZP_020</t>
  </si>
  <si>
    <t xml:space="preserve">cogs_1h25</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</si>
  <si>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95,453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</si>
  <si>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SRC_ZP_021</t>
  </si>
  <si>
    <t xml:space="preserve">cogs_compute_fy22</t>
  </si>
  <si>
    <t xml:space="preserve">銷售成本中計算服務費</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</si>
  <si>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</si>
  <si>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SRC_ZP_022</t>
  </si>
  <si>
    <t xml:space="preserve">cogs_compute_fy23</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</si>
  <si>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11,996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</si>
  <si>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SRC_ZP_023</t>
  </si>
  <si>
    <t xml:space="preserve">cogs_compute_fy24</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</si>
  <si>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30,173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</si>
  <si>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SRC_ZP_024</t>
  </si>
  <si>
    <t xml:space="preserve">cogs_compute_1h24</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</si>
  <si>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8,451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</si>
  <si>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SRC_ZP_025</t>
  </si>
  <si>
    <t xml:space="preserve">cogs_compute_1h25</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</si>
  <si>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35,845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</si>
  <si>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SRC_ZP_026</t>
  </si>
  <si>
    <t xml:space="preserve">cogs_staff_fy22</t>
  </si>
  <si>
    <t xml:space="preserve">銷售成本中工資成本</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</si>
  <si>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16,434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</si>
  <si>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SRC_ZP_027</t>
  </si>
  <si>
    <t xml:space="preserve">cogs_staff_fy23</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</si>
  <si>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15,375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</si>
  <si>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SRC_ZP_028</t>
  </si>
  <si>
    <t xml:space="preserve">cogs_staff_fy24</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</si>
  <si>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74,262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</si>
  <si>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SRC_ZP_029</t>
  </si>
  <si>
    <t xml:space="preserve">cogs_staff_1h24</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</si>
  <si>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10,832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</si>
  <si>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SRC_ZP_030</t>
  </si>
  <si>
    <t xml:space="preserve">cogs_staff_1h25</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</si>
  <si>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37,628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</si>
  <si>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SRC_ZP_031</t>
  </si>
  <si>
    <t xml:space="preserve">gp_total_fy22</t>
  </si>
  <si>
    <t xml:space="preserve">毛利</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</si>
  <si>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31,360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</si>
  <si>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SRC_ZP_032</t>
  </si>
  <si>
    <t xml:space="preserve">gp_total_fy23</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</si>
  <si>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80,482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</si>
  <si>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SRC_ZP_033</t>
  </si>
  <si>
    <t xml:space="preserve">gp_total_fy24</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</si>
  <si>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175,889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</si>
  <si>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SRC_ZP_034</t>
  </si>
  <si>
    <t xml:space="preserve">gp_total_1h24</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</si>
  <si>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21,959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</si>
  <si>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SRC_ZP_035</t>
  </si>
  <si>
    <t xml:space="preserve">gp_total_1h25</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</si>
  <si>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95,424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</si>
  <si>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SRC_ZP_036</t>
  </si>
  <si>
    <t xml:space="preserve">gp_onprem_fy22</t>
  </si>
  <si>
    <t xml:space="preserve">本地化部署毛利</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</si>
  <si>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29,386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</si>
  <si>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SRC_ZP_037</t>
  </si>
  <si>
    <t xml:space="preserve">gp_onprem_fy23</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</si>
  <si>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76,781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</si>
  <si>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SRC_ZP_038</t>
  </si>
  <si>
    <t xml:space="preserve">gp_onprem_fy24</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</si>
  <si>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174,256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</si>
  <si>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SRC_ZP_039</t>
  </si>
  <si>
    <t xml:space="preserve">gp_onprem_1h24</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</si>
  <si>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16,776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</si>
  <si>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SRC_ZP_040</t>
  </si>
  <si>
    <t xml:space="preserve">gp_onprem_1h25</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</si>
  <si>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95,540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</si>
  <si>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SRC_ZP_041</t>
  </si>
  <si>
    <t xml:space="preserve">gp_cloud_fy22</t>
  </si>
  <si>
    <t xml:space="preserve">雲端部署毛利</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</si>
  <si>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1,974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</si>
  <si>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SRC_ZP_042</t>
  </si>
  <si>
    <t xml:space="preserve">gp_cloud_fy23</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</si>
  <si>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3,701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</si>
  <si>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SRC_ZP_043</t>
  </si>
  <si>
    <t xml:space="preserve">gp_cloud_fy24</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</si>
  <si>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1,633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</si>
  <si>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SRC_ZP_044</t>
  </si>
  <si>
    <t xml:space="preserve">gp_cloud_1h24</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</si>
  <si>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5,183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</si>
  <si>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SRC_ZP_045</t>
  </si>
  <si>
    <t xml:space="preserve">gp_cloud_1h25</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</si>
  <si>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-116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</si>
  <si>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SRC_ZP_046</t>
  </si>
  <si>
    <t xml:space="preserve">rd_fy22</t>
  </si>
  <si>
    <t xml:space="preserve">研發開支</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</si>
  <si>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84,377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</si>
  <si>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SRC_ZP_047</t>
  </si>
  <si>
    <t xml:space="preserve">rd_fy23</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</si>
  <si>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528,884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</si>
  <si>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SRC_ZP_048</t>
  </si>
  <si>
    <t xml:space="preserve">rd_fy24</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</si>
  <si>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2,195,436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</si>
  <si>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SRC_ZP_049</t>
  </si>
  <si>
    <t xml:space="preserve">rd_1h24</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</si>
  <si>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859,217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</si>
  <si>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SRC_ZP_050</t>
  </si>
  <si>
    <t xml:space="preserve">rd_1h25</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</si>
  <si>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1,594,661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</si>
  <si>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SRC_ZP_051</t>
  </si>
  <si>
    <t xml:space="preserve">sm_fy22</t>
  </si>
  <si>
    <t xml:space="preserve">銷售及營銷開支</t>
  </si>
  <si>
    <r>
      <rPr>
        <sz val="10"/>
        <color rgb="FF000000"/>
        <rFont val="Noto Sans CJK SC"/>
        <family val="2"/>
      </rPr>
      <t xml:space="preserve">原文「銷售及營銷開支」；千元值 </t>
    </r>
    <r>
      <rPr>
        <sz val="10"/>
        <color rgb="FF000000"/>
        <rFont val="Arial"/>
        <family val="0"/>
        <charset val="1"/>
      </rPr>
      <t xml:space="preserve">15,139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</si>
  <si>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SRC_ZP_052</t>
  </si>
  <si>
    <t xml:space="preserve">sm_fy23</t>
  </si>
  <si>
    <r>
      <rPr>
        <sz val="10"/>
        <color rgb="FF000000"/>
        <rFont val="Noto Sans CJK SC"/>
        <family val="2"/>
      </rPr>
      <t xml:space="preserve">原文「銷售及營銷開支」；千元值 </t>
    </r>
    <r>
      <rPr>
        <sz val="10"/>
        <color rgb="FF000000"/>
        <rFont val="Arial"/>
        <family val="0"/>
        <charset val="1"/>
      </rPr>
      <t xml:space="preserve">101,198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</si>
  <si>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SRC_ZP_053</t>
  </si>
  <si>
    <t xml:space="preserve">sm_fy24</t>
  </si>
  <si>
    <r>
      <rPr>
        <sz val="10"/>
        <color rgb="FF000000"/>
        <rFont val="Noto Sans CJK SC"/>
        <family val="2"/>
      </rPr>
      <t xml:space="preserve">原文「銷售及營銷開支」；千元值 </t>
    </r>
    <r>
      <rPr>
        <sz val="10"/>
        <color rgb="FF000000"/>
        <rFont val="Arial"/>
        <family val="0"/>
        <charset val="1"/>
      </rPr>
      <t xml:space="preserve">387,475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</si>
  <si>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SRC_ZP_054</t>
  </si>
  <si>
    <t xml:space="preserve">sm_1h24</t>
  </si>
  <si>
    <r>
      <rPr>
        <sz val="10"/>
        <color rgb="FF000000"/>
        <rFont val="Noto Sans CJK SC"/>
        <family val="2"/>
      </rPr>
      <t xml:space="preserve">原文「銷售及營銷開支」；千元值 </t>
    </r>
    <r>
      <rPr>
        <sz val="10"/>
        <color rgb="FF000000"/>
        <rFont val="Arial"/>
        <family val="0"/>
        <charset val="1"/>
      </rPr>
      <t xml:space="preserve">144,194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</si>
  <si>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SRC_ZP_055</t>
  </si>
  <si>
    <t xml:space="preserve">sm_1h25</t>
  </si>
  <si>
    <r>
      <rPr>
        <sz val="10"/>
        <color rgb="FF000000"/>
        <rFont val="Noto Sans CJK SC"/>
        <family val="2"/>
      </rPr>
      <t xml:space="preserve">原文「銷售及營銷開支」；千元值 </t>
    </r>
    <r>
      <rPr>
        <sz val="10"/>
        <color rgb="FF000000"/>
        <rFont val="Arial"/>
        <family val="0"/>
        <charset val="1"/>
      </rPr>
      <t xml:space="preserve">208,570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</si>
  <si>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SRC_ZP_056</t>
  </si>
  <si>
    <t xml:space="preserve">ga_fy22</t>
  </si>
  <si>
    <t xml:space="preserve">一般及行政開支</t>
  </si>
  <si>
    <r>
      <rPr>
        <sz val="10"/>
        <color rgb="FF000000"/>
        <rFont val="Noto Sans CJK SC"/>
        <family val="2"/>
      </rPr>
      <t xml:space="preserve">原文「一般及行政開支」；千元值 </t>
    </r>
    <r>
      <rPr>
        <sz val="10"/>
        <color rgb="FF000000"/>
        <rFont val="Arial"/>
        <family val="0"/>
        <charset val="1"/>
      </rPr>
      <t xml:space="preserve">32,316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</si>
  <si>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SRC_ZP_057</t>
  </si>
  <si>
    <t xml:space="preserve">ga_fy23</t>
  </si>
  <si>
    <r>
      <rPr>
        <sz val="10"/>
        <color rgb="FF000000"/>
        <rFont val="Noto Sans CJK SC"/>
        <family val="2"/>
      </rPr>
      <t xml:space="preserve">原文「一般及行政開支」；千元值 </t>
    </r>
    <r>
      <rPr>
        <sz val="10"/>
        <color rgb="FF000000"/>
        <rFont val="Arial"/>
        <family val="0"/>
        <charset val="1"/>
      </rPr>
      <t xml:space="preserve">66,302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</si>
  <si>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SRC_ZP_058</t>
  </si>
  <si>
    <t xml:space="preserve">ga_fy24</t>
  </si>
  <si>
    <r>
      <rPr>
        <sz val="10"/>
        <color rgb="FF000000"/>
        <rFont val="Noto Sans CJK SC"/>
        <family val="2"/>
      </rPr>
      <t xml:space="preserve">原文「一般及行政開支」；千元值 </t>
    </r>
    <r>
      <rPr>
        <sz val="10"/>
        <color rgb="FF000000"/>
        <rFont val="Arial"/>
        <family val="0"/>
        <charset val="1"/>
      </rPr>
      <t xml:space="preserve">133,603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</si>
  <si>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SRC_ZP_059</t>
  </si>
  <si>
    <t xml:space="preserve">ga_1h24</t>
  </si>
  <si>
    <r>
      <rPr>
        <sz val="10"/>
        <color rgb="FF000000"/>
        <rFont val="Noto Sans CJK SC"/>
        <family val="2"/>
      </rPr>
      <t xml:space="preserve">原文「一般及行政開支」；千元值 </t>
    </r>
    <r>
      <rPr>
        <sz val="10"/>
        <color rgb="FF000000"/>
        <rFont val="Arial"/>
        <family val="0"/>
        <charset val="1"/>
      </rPr>
      <t xml:space="preserve">51,452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</si>
  <si>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SRC_ZP_060</t>
  </si>
  <si>
    <t xml:space="preserve">ga_1h25</t>
  </si>
  <si>
    <r>
      <rPr>
        <sz val="10"/>
        <color rgb="FF000000"/>
        <rFont val="Noto Sans CJK SC"/>
        <family val="2"/>
      </rPr>
      <t xml:space="preserve">原文「一般及行政開支」；千元值 </t>
    </r>
    <r>
      <rPr>
        <sz val="10"/>
        <color rgb="FF000000"/>
        <rFont val="Arial"/>
        <family val="0"/>
        <charset val="1"/>
      </rPr>
      <t xml:space="preserve">185,165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</si>
  <si>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SRC_ZP_061</t>
  </si>
  <si>
    <t xml:space="preserve">other_inc_fy22</t>
  </si>
  <si>
    <t xml:space="preserve">其他收入</t>
  </si>
  <si>
    <r>
      <rPr>
        <sz val="10"/>
        <color rgb="FF000000"/>
        <rFont val="Noto Sans CJK SC"/>
        <family val="2"/>
      </rPr>
      <t xml:space="preserve">原文「其他收入」；千元值 </t>
    </r>
    <r>
      <rPr>
        <sz val="10"/>
        <color rgb="FF000000"/>
        <rFont val="Arial"/>
        <family val="0"/>
        <charset val="1"/>
      </rPr>
      <t xml:space="preserve">1,784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</si>
  <si>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SRC_ZP_062</t>
  </si>
  <si>
    <t xml:space="preserve">other_inc_fy23</t>
  </si>
  <si>
    <r>
      <rPr>
        <sz val="10"/>
        <color rgb="FF000000"/>
        <rFont val="Noto Sans CJK SC"/>
        <family val="2"/>
      </rPr>
      <t xml:space="preserve">原文「其他收入」；千元值 </t>
    </r>
    <r>
      <rPr>
        <sz val="10"/>
        <color rgb="FF000000"/>
        <rFont val="Arial"/>
        <family val="0"/>
        <charset val="1"/>
      </rPr>
      <t xml:space="preserve">9,965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</si>
  <si>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SRC_ZP_063</t>
  </si>
  <si>
    <t xml:space="preserve">other_inc_fy24</t>
  </si>
  <si>
    <r>
      <rPr>
        <sz val="10"/>
        <color rgb="FF000000"/>
        <rFont val="Noto Sans CJK SC"/>
        <family val="2"/>
      </rPr>
      <t xml:space="preserve">原文「其他收入」；千元值 </t>
    </r>
    <r>
      <rPr>
        <sz val="10"/>
        <color rgb="FF000000"/>
        <rFont val="Arial"/>
        <family val="0"/>
        <charset val="1"/>
      </rPr>
      <t xml:space="preserve">19,281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</si>
  <si>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SRC_ZP_064</t>
  </si>
  <si>
    <t xml:space="preserve">other_inc_1h24</t>
  </si>
  <si>
    <r>
      <rPr>
        <sz val="10"/>
        <color rgb="FF000000"/>
        <rFont val="Noto Sans CJK SC"/>
        <family val="2"/>
      </rPr>
      <t xml:space="preserve">原文「其他收入」；千元值 </t>
    </r>
    <r>
      <rPr>
        <sz val="10"/>
        <color rgb="FF000000"/>
        <rFont val="Arial"/>
        <family val="0"/>
        <charset val="1"/>
      </rPr>
      <t xml:space="preserve">4,174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</si>
  <si>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SRC_ZP_065</t>
  </si>
  <si>
    <t xml:space="preserve">other_inc_1h25</t>
  </si>
  <si>
    <r>
      <rPr>
        <sz val="10"/>
        <color rgb="FF000000"/>
        <rFont val="Noto Sans CJK SC"/>
        <family val="2"/>
      </rPr>
      <t xml:space="preserve">原文「其他收入」；千元值 </t>
    </r>
    <r>
      <rPr>
        <sz val="10"/>
        <color rgb="FF000000"/>
        <rFont val="Arial"/>
        <family val="0"/>
        <charset val="1"/>
      </rPr>
      <t xml:space="preserve">4,614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</si>
  <si>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SRC_ZP_066</t>
  </si>
  <si>
    <t xml:space="preserve">fin_cost_fy22</t>
  </si>
  <si>
    <t xml:space="preserve">融資成本</t>
  </si>
  <si>
    <r>
      <rPr>
        <sz val="10"/>
        <color rgb="FF000000"/>
        <rFont val="Noto Sans CJK SC"/>
        <family val="2"/>
      </rPr>
      <t xml:space="preserve">原文「融資成本」；千元值 </t>
    </r>
    <r>
      <rPr>
        <sz val="10"/>
        <color rgb="FF000000"/>
        <rFont val="Arial"/>
        <family val="0"/>
        <charset val="1"/>
      </rPr>
      <t xml:space="preserve">5,694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</si>
  <si>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SRC_ZP_067</t>
  </si>
  <si>
    <t xml:space="preserve">fin_cost_fy23</t>
  </si>
  <si>
    <r>
      <rPr>
        <sz val="10"/>
        <color rgb="FF000000"/>
        <rFont val="Noto Sans CJK SC"/>
        <family val="2"/>
      </rPr>
      <t xml:space="preserve">原文「融資成本」；千元值 </t>
    </r>
    <r>
      <rPr>
        <sz val="10"/>
        <color rgb="FF000000"/>
        <rFont val="Arial"/>
        <family val="0"/>
        <charset val="1"/>
      </rPr>
      <t xml:space="preserve">26,332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</si>
  <si>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SRC_ZP_068</t>
  </si>
  <si>
    <t xml:space="preserve">fin_cost_fy24</t>
  </si>
  <si>
    <r>
      <rPr>
        <sz val="10"/>
        <color rgb="FF000000"/>
        <rFont val="Noto Sans CJK SC"/>
        <family val="2"/>
      </rPr>
      <t xml:space="preserve">原文「融資成本」；千元值 </t>
    </r>
    <r>
      <rPr>
        <sz val="10"/>
        <color rgb="FF000000"/>
        <rFont val="Arial"/>
        <family val="0"/>
        <charset val="1"/>
      </rPr>
      <t xml:space="preserve">38,321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</si>
  <si>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SRC_ZP_069</t>
  </si>
  <si>
    <t xml:space="preserve">fin_cost_1h24</t>
  </si>
  <si>
    <r>
      <rPr>
        <sz val="10"/>
        <color rgb="FF000000"/>
        <rFont val="Noto Sans CJK SC"/>
        <family val="2"/>
      </rPr>
      <t xml:space="preserve">原文「融資成本」；千元值 </t>
    </r>
    <r>
      <rPr>
        <sz val="10"/>
        <color rgb="FF000000"/>
        <rFont val="Arial"/>
        <family val="0"/>
        <charset val="1"/>
      </rPr>
      <t xml:space="preserve">12,212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</si>
  <si>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SRC_ZP_070</t>
  </si>
  <si>
    <t xml:space="preserve">fin_cost_1h25</t>
  </si>
  <si>
    <r>
      <rPr>
        <sz val="10"/>
        <color rgb="FF000000"/>
        <rFont val="Noto Sans CJK SC"/>
        <family val="2"/>
      </rPr>
      <t xml:space="preserve">原文「融資成本」；千元值 </t>
    </r>
    <r>
      <rPr>
        <sz val="10"/>
        <color rgb="FF000000"/>
        <rFont val="Arial"/>
        <family val="0"/>
        <charset val="1"/>
      </rPr>
      <t xml:space="preserve">53,270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</si>
  <si>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SRC_ZP_071</t>
  </si>
  <si>
    <t xml:space="preserve">sbc_fy22</t>
  </si>
  <si>
    <t xml:space="preserve">以權益結算股權報酬總額</t>
  </si>
  <si>
    <r>
      <rPr>
        <sz val="10"/>
        <color rgb="FF000000"/>
        <rFont val="Noto Sans CJK SC"/>
        <family val="2"/>
      </rPr>
      <t xml:space="preserve">原文「以權益結算以股份為基礎的薪酬開支」；千元值 </t>
    </r>
    <r>
      <rPr>
        <sz val="10"/>
        <color rgb="FF000000"/>
        <rFont val="Arial"/>
        <family val="0"/>
        <charset val="1"/>
      </rPr>
      <t xml:space="preserve">1,024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</si>
  <si>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SRC_ZP_072</t>
  </si>
  <si>
    <t xml:space="preserve">sbc_fy23</t>
  </si>
  <si>
    <r>
      <rPr>
        <sz val="10"/>
        <color rgb="FF000000"/>
        <rFont val="Noto Sans CJK SC"/>
        <family val="2"/>
      </rPr>
      <t xml:space="preserve">原文「以權益結算以股份為基礎的薪酬開支」；千元值 </t>
    </r>
    <r>
      <rPr>
        <sz val="10"/>
        <color rgb="FF000000"/>
        <rFont val="Arial"/>
        <family val="0"/>
        <charset val="1"/>
      </rPr>
      <t xml:space="preserve">5,502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</si>
  <si>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SRC_ZP_073</t>
  </si>
  <si>
    <t xml:space="preserve">sbc_fy24</t>
  </si>
  <si>
    <r>
      <rPr>
        <sz val="10"/>
        <color rgb="FF000000"/>
        <rFont val="Noto Sans CJK SC"/>
        <family val="2"/>
      </rPr>
      <t xml:space="preserve">原文「以權益結算以股份為基礎的薪酬開支」；千元值 </t>
    </r>
    <r>
      <rPr>
        <sz val="10"/>
        <color rgb="FF000000"/>
        <rFont val="Arial"/>
        <family val="0"/>
        <charset val="1"/>
      </rPr>
      <t xml:space="preserve">23,579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</si>
  <si>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SRC_ZP_074</t>
  </si>
  <si>
    <t xml:space="preserve">sbc_1h24</t>
  </si>
  <si>
    <r>
      <rPr>
        <sz val="10"/>
        <color rgb="FF000000"/>
        <rFont val="Noto Sans CJK SC"/>
        <family val="2"/>
      </rPr>
      <t xml:space="preserve">原文「以權益結算以股份為基礎的薪酬開支」；千元值 </t>
    </r>
    <r>
      <rPr>
        <sz val="10"/>
        <color rgb="FF000000"/>
        <rFont val="Arial"/>
        <family val="0"/>
        <charset val="1"/>
      </rPr>
      <t xml:space="preserve">4,217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</si>
  <si>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SRC_ZP_075</t>
  </si>
  <si>
    <t xml:space="preserve">sbc_1h25</t>
  </si>
  <si>
    <r>
      <rPr>
        <sz val="10"/>
        <color rgb="FF000000"/>
        <rFont val="Noto Sans CJK SC"/>
        <family val="2"/>
      </rPr>
      <t xml:space="preserve">原文「以權益結算以股份為基礎的薪酬開支」；千元值 </t>
    </r>
    <r>
      <rPr>
        <sz val="10"/>
        <color rgb="FF000000"/>
        <rFont val="Arial"/>
        <family val="0"/>
        <charset val="1"/>
      </rPr>
      <t xml:space="preserve">158,852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</si>
  <si>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SRC_ZP_076</t>
  </si>
  <si>
    <t xml:space="preserve">net_loss_fy22</t>
  </si>
  <si>
    <t xml:space="preserve">年／期內虧損</t>
  </si>
  <si>
    <r>
      <rPr>
        <sz val="10"/>
        <color rgb="FF000000"/>
        <rFont val="Noto Sans CJK SC"/>
        <family val="2"/>
      </rPr>
      <t xml:space="preserve">原文「年內虧損」；千元值 </t>
    </r>
    <r>
      <rPr>
        <sz val="10"/>
        <color rgb="FF000000"/>
        <rFont val="Arial"/>
        <family val="0"/>
        <charset val="1"/>
      </rPr>
      <t xml:space="preserve">143,650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</si>
  <si>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SRC_ZP_077</t>
  </si>
  <si>
    <t xml:space="preserve">net_loss_fy23</t>
  </si>
  <si>
    <r>
      <rPr>
        <sz val="10"/>
        <color rgb="FF000000"/>
        <rFont val="Noto Sans CJK SC"/>
        <family val="2"/>
      </rPr>
      <t xml:space="preserve">原文「年內虧損」；千元值 </t>
    </r>
    <r>
      <rPr>
        <sz val="10"/>
        <color rgb="FF000000"/>
        <rFont val="Arial"/>
        <family val="0"/>
        <charset val="1"/>
      </rPr>
      <t xml:space="preserve">787,957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</si>
  <si>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SRC_ZP_078</t>
  </si>
  <si>
    <t xml:space="preserve">net_loss_fy24</t>
  </si>
  <si>
    <r>
      <rPr>
        <sz val="10"/>
        <color rgb="FF000000"/>
        <rFont val="Noto Sans CJK SC"/>
        <family val="2"/>
      </rPr>
      <t xml:space="preserve">原文「年內虧損」；千元值 </t>
    </r>
    <r>
      <rPr>
        <sz val="10"/>
        <color rgb="FF000000"/>
        <rFont val="Arial"/>
        <family val="0"/>
        <charset val="1"/>
      </rPr>
      <t xml:space="preserve">2,958,007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</si>
  <si>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SRC_ZP_079</t>
  </si>
  <si>
    <t xml:space="preserve">net_loss_1h24</t>
  </si>
  <si>
    <r>
      <rPr>
        <sz val="10"/>
        <color rgb="FF000000"/>
        <rFont val="Noto Sans CJK SC"/>
        <family val="2"/>
      </rPr>
      <t xml:space="preserve">原文「年內虧損」；千元值 </t>
    </r>
    <r>
      <rPr>
        <sz val="10"/>
        <color rgb="FF000000"/>
        <rFont val="Arial"/>
        <family val="0"/>
        <charset val="1"/>
      </rPr>
      <t xml:space="preserve">1,235,551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</si>
  <si>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SRC_ZP_080</t>
  </si>
  <si>
    <t xml:space="preserve">net_loss_1h25</t>
  </si>
  <si>
    <r>
      <rPr>
        <sz val="10"/>
        <color rgb="FF000000"/>
        <rFont val="Noto Sans CJK SC"/>
        <family val="2"/>
      </rPr>
      <t xml:space="preserve">原文「年內虧損」；千元值 </t>
    </r>
    <r>
      <rPr>
        <sz val="10"/>
        <color rgb="FF000000"/>
        <rFont val="Arial"/>
        <family val="0"/>
        <charset val="1"/>
      </rPr>
      <t xml:space="preserve">2,357,852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</si>
  <si>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SRC_ZP_081</t>
  </si>
  <si>
    <t xml:space="preserve">adj_loss_fy22</t>
  </si>
  <si>
    <r>
      <rPr>
        <sz val="10"/>
        <color rgb="FF000000"/>
        <rFont val="Noto Sans CJK SC"/>
        <family val="2"/>
      </rPr>
      <t xml:space="preserve">經調整淨虧損（非</t>
    </r>
    <r>
      <rPr>
        <sz val="10"/>
        <color rgb="FF000000"/>
        <rFont val="Arial"/>
        <family val="0"/>
        <charset val="1"/>
      </rPr>
      <t xml:space="preserve">IFRS</t>
    </r>
    <r>
      <rPr>
        <sz val="10"/>
        <color rgb="FF000000"/>
        <rFont val="Noto Sans CJK SC"/>
        <family val="2"/>
      </rPr>
      <t xml:space="preserve">）</t>
    </r>
  </si>
  <si>
    <r>
      <rPr>
        <sz val="10"/>
        <color rgb="FF000000"/>
        <rFont val="Noto Sans CJK SC"/>
        <family val="2"/>
      </rPr>
      <t xml:space="preserve">原文「經調整年╱期內淨虧損」；千元值 </t>
    </r>
    <r>
      <rPr>
        <sz val="10"/>
        <color rgb="FF000000"/>
        <rFont val="Arial"/>
        <family val="0"/>
        <charset val="1"/>
      </rPr>
      <t xml:space="preserve">97,417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</si>
  <si>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SRC_ZP_082</t>
  </si>
  <si>
    <t xml:space="preserve">adj_loss_fy23</t>
  </si>
  <si>
    <r>
      <rPr>
        <sz val="10"/>
        <color rgb="FF000000"/>
        <rFont val="Noto Sans CJK SC"/>
        <family val="2"/>
      </rPr>
      <t xml:space="preserve">原文「經調整年╱期內淨虧損」；千元值 </t>
    </r>
    <r>
      <rPr>
        <sz val="10"/>
        <color rgb="FF000000"/>
        <rFont val="Arial"/>
        <family val="0"/>
        <charset val="1"/>
      </rPr>
      <t xml:space="preserve">620,984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</si>
  <si>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SRC_ZP_083</t>
  </si>
  <si>
    <t xml:space="preserve">adj_loss_fy24</t>
  </si>
  <si>
    <r>
      <rPr>
        <sz val="10"/>
        <color rgb="FF000000"/>
        <rFont val="Noto Sans CJK SC"/>
        <family val="2"/>
      </rPr>
      <t xml:space="preserve">原文「經調整年╱期內淨虧損」；千元值 </t>
    </r>
    <r>
      <rPr>
        <sz val="10"/>
        <color rgb="FF000000"/>
        <rFont val="Arial"/>
        <family val="0"/>
        <charset val="1"/>
      </rPr>
      <t xml:space="preserve">2,465,569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</si>
  <si>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SRC_ZP_084</t>
  </si>
  <si>
    <t xml:space="preserve">adj_loss_1h24</t>
  </si>
  <si>
    <r>
      <rPr>
        <sz val="10"/>
        <color rgb="FF000000"/>
        <rFont val="Noto Sans CJK SC"/>
        <family val="2"/>
      </rPr>
      <t xml:space="preserve">原文「經調整年╱期內淨虧損」；千元值 </t>
    </r>
    <r>
      <rPr>
        <sz val="10"/>
        <color rgb="FF000000"/>
        <rFont val="Arial"/>
        <family val="0"/>
        <charset val="1"/>
      </rPr>
      <t xml:space="preserve">1,030,160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</si>
  <si>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SRC_ZP_085</t>
  </si>
  <si>
    <t xml:space="preserve">adj_loss_1h25</t>
  </si>
  <si>
    <r>
      <rPr>
        <sz val="10"/>
        <color rgb="FF000000"/>
        <rFont val="Noto Sans CJK SC"/>
        <family val="2"/>
      </rPr>
      <t xml:space="preserve">原文「經調整年╱期內淨虧損」；千元值 </t>
    </r>
    <r>
      <rPr>
        <sz val="10"/>
        <color rgb="FF000000"/>
        <rFont val="Arial"/>
        <family val="0"/>
        <charset val="1"/>
      </rPr>
      <t xml:space="preserve">1,751,974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</si>
  <si>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SRC_ZP_086</t>
  </si>
  <si>
    <t xml:space="preserve">ocf_fy22</t>
  </si>
  <si>
    <t xml:space="preserve">經營活動所用現金淨額</t>
  </si>
  <si>
    <r>
      <rPr>
        <sz val="10"/>
        <color rgb="FF000000"/>
        <rFont val="Noto Sans CJK SC"/>
        <family val="2"/>
      </rPr>
      <t xml:space="preserve">原文「經營活動所用現金淨額」；千元值 </t>
    </r>
    <r>
      <rPr>
        <sz val="10"/>
        <color rgb="FF000000"/>
        <rFont val="Arial"/>
        <family val="0"/>
        <charset val="1"/>
      </rPr>
      <t xml:space="preserve">-68,246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</si>
  <si>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SRC_ZP_087</t>
  </si>
  <si>
    <t xml:space="preserve">ocf_fy23</t>
  </si>
  <si>
    <r>
      <rPr>
        <sz val="10"/>
        <color rgb="FF000000"/>
        <rFont val="Noto Sans CJK SC"/>
        <family val="2"/>
      </rPr>
      <t xml:space="preserve">原文「經營活動所用現金淨額」；千元值 </t>
    </r>
    <r>
      <rPr>
        <sz val="10"/>
        <color rgb="FF000000"/>
        <rFont val="Arial"/>
        <family val="0"/>
        <charset val="1"/>
      </rPr>
      <t xml:space="preserve">-648,017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</si>
  <si>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SRC_ZP_088</t>
  </si>
  <si>
    <t xml:space="preserve">ocf_fy24</t>
  </si>
  <si>
    <r>
      <rPr>
        <sz val="10"/>
        <color rgb="FF000000"/>
        <rFont val="Noto Sans CJK SC"/>
        <family val="2"/>
      </rPr>
      <t xml:space="preserve">原文「經營活動所用現金淨額」；千元值 </t>
    </r>
    <r>
      <rPr>
        <sz val="10"/>
        <color rgb="FF000000"/>
        <rFont val="Arial"/>
        <family val="0"/>
        <charset val="1"/>
      </rPr>
      <t xml:space="preserve">-2,244,919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</si>
  <si>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SRC_ZP_089</t>
  </si>
  <si>
    <t xml:space="preserve">ocf_1h24</t>
  </si>
  <si>
    <r>
      <rPr>
        <sz val="10"/>
        <color rgb="FF000000"/>
        <rFont val="Noto Sans CJK SC"/>
        <family val="2"/>
      </rPr>
      <t xml:space="preserve">原文「經營活動所用現金淨額」；千元值 </t>
    </r>
    <r>
      <rPr>
        <sz val="10"/>
        <color rgb="FF000000"/>
        <rFont val="Arial"/>
        <family val="0"/>
        <charset val="1"/>
      </rPr>
      <t xml:space="preserve">-994,678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</si>
  <si>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SRC_ZP_090</t>
  </si>
  <si>
    <t xml:space="preserve">ocf_1h25</t>
  </si>
  <si>
    <r>
      <rPr>
        <sz val="10"/>
        <color rgb="FF000000"/>
        <rFont val="Noto Sans CJK SC"/>
        <family val="2"/>
      </rPr>
      <t xml:space="preserve">原文「經營活動所用現金淨額」；千元值 </t>
    </r>
    <r>
      <rPr>
        <sz val="10"/>
        <color rgb="FF000000"/>
        <rFont val="Arial"/>
        <family val="0"/>
        <charset val="1"/>
      </rPr>
      <t xml:space="preserve">-1,327,150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</si>
  <si>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SRC_ZP_091</t>
  </si>
  <si>
    <t xml:space="preserve">icf_fy22</t>
  </si>
  <si>
    <t xml:space="preserve">投資活動所得／（所用）現金淨額</t>
  </si>
  <si>
    <r>
      <rPr>
        <sz val="10"/>
        <color rgb="FF000000"/>
        <rFont val="Noto Sans CJK SC"/>
        <family val="2"/>
      </rPr>
      <t xml:space="preserve">原文「投資活動所得╱」；千元值 </t>
    </r>
    <r>
      <rPr>
        <sz val="10"/>
        <color rgb="FF000000"/>
        <rFont val="Arial"/>
        <family val="0"/>
        <charset val="1"/>
      </rPr>
      <t xml:space="preserve">32,921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</si>
  <si>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SRC_ZP_092</t>
  </si>
  <si>
    <t xml:space="preserve">icf_fy23</t>
  </si>
  <si>
    <r>
      <rPr>
        <sz val="10"/>
        <color rgb="FF000000"/>
        <rFont val="Noto Sans CJK SC"/>
        <family val="2"/>
      </rPr>
      <t xml:space="preserve">原文「投資活動所得╱」；千元值 </t>
    </r>
    <r>
      <rPr>
        <sz val="10"/>
        <color rgb="FF000000"/>
        <rFont val="Arial"/>
        <family val="0"/>
        <charset val="1"/>
      </rPr>
      <t xml:space="preserve">-784,965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</si>
  <si>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SRC_ZP_093</t>
  </si>
  <si>
    <t xml:space="preserve">icf_fy24</t>
  </si>
  <si>
    <r>
      <rPr>
        <sz val="10"/>
        <color rgb="FF000000"/>
        <rFont val="Noto Sans CJK SC"/>
        <family val="2"/>
      </rPr>
      <t xml:space="preserve">原文「投資活動所得╱」；千元值 </t>
    </r>
    <r>
      <rPr>
        <sz val="10"/>
        <color rgb="FF000000"/>
        <rFont val="Arial"/>
        <family val="0"/>
        <charset val="1"/>
      </rPr>
      <t xml:space="preserve">-48,559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</si>
  <si>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SRC_ZP_094</t>
  </si>
  <si>
    <t xml:space="preserve">icf_1h24</t>
  </si>
  <si>
    <r>
      <rPr>
        <sz val="10"/>
        <color rgb="FF000000"/>
        <rFont val="Noto Sans CJK SC"/>
        <family val="2"/>
      </rPr>
      <t xml:space="preserve">原文「投資活動所得╱」；千元值 </t>
    </r>
    <r>
      <rPr>
        <sz val="10"/>
        <color rgb="FF000000"/>
        <rFont val="Arial"/>
        <family val="0"/>
        <charset val="1"/>
      </rPr>
      <t xml:space="preserve">-138,775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</si>
  <si>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SRC_ZP_095</t>
  </si>
  <si>
    <t xml:space="preserve">icf_1h25</t>
  </si>
  <si>
    <r>
      <rPr>
        <sz val="10"/>
        <color rgb="FF000000"/>
        <rFont val="Noto Sans CJK SC"/>
        <family val="2"/>
      </rPr>
      <t xml:space="preserve">原文「投資活動所得╱」；千元值 </t>
    </r>
    <r>
      <rPr>
        <sz val="10"/>
        <color rgb="FF000000"/>
        <rFont val="Arial"/>
        <family val="0"/>
        <charset val="1"/>
      </rPr>
      <t xml:space="preserve">-556,373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</si>
  <si>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SRC_ZP_096</t>
  </si>
  <si>
    <t xml:space="preserve">cash_end_fy22</t>
  </si>
  <si>
    <t xml:space="preserve">年／期末現金及現金等價物</t>
  </si>
  <si>
    <r>
      <rPr>
        <sz val="10"/>
        <color rgb="FF000000"/>
        <rFont val="Noto Sans CJK SC"/>
        <family val="2"/>
      </rPr>
      <t xml:space="preserve">原文「年╱期末現金及現金等價物」；千元值 </t>
    </r>
    <r>
      <rPr>
        <sz val="10"/>
        <color rgb="FF000000"/>
        <rFont val="Arial"/>
        <family val="0"/>
        <charset val="1"/>
      </rPr>
      <t xml:space="preserve">218,928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</si>
  <si>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SRC_ZP_097</t>
  </si>
  <si>
    <t xml:space="preserve">cash_end_fy23</t>
  </si>
  <si>
    <r>
      <rPr>
        <sz val="10"/>
        <color rgb="FF000000"/>
        <rFont val="Noto Sans CJK SC"/>
        <family val="2"/>
      </rPr>
      <t xml:space="preserve">原文「年╱期末現金及現金等價物」；千元值 </t>
    </r>
    <r>
      <rPr>
        <sz val="10"/>
        <color rgb="FF000000"/>
        <rFont val="Arial"/>
        <family val="0"/>
        <charset val="1"/>
      </rPr>
      <t xml:space="preserve">1,249,175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</si>
  <si>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SRC_ZP_098</t>
  </si>
  <si>
    <t xml:space="preserve">cash_end_fy24</t>
  </si>
  <si>
    <r>
      <rPr>
        <sz val="10"/>
        <color rgb="FF000000"/>
        <rFont val="Noto Sans CJK SC"/>
        <family val="2"/>
      </rPr>
      <t xml:space="preserve">原文「年╱期末現金及現金等價物」；千元值 </t>
    </r>
    <r>
      <rPr>
        <sz val="10"/>
        <color rgb="FF000000"/>
        <rFont val="Arial"/>
        <family val="0"/>
        <charset val="1"/>
      </rPr>
      <t xml:space="preserve">2,268,164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</si>
  <si>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SRC_ZP_099</t>
  </si>
  <si>
    <t xml:space="preserve">cash_end_1h24</t>
  </si>
  <si>
    <r>
      <rPr>
        <sz val="10"/>
        <color rgb="FF000000"/>
        <rFont val="Noto Sans CJK SC"/>
        <family val="2"/>
      </rPr>
      <t xml:space="preserve">原文「年╱期末現金及現金等價物」；千元值 </t>
    </r>
    <r>
      <rPr>
        <sz val="10"/>
        <color rgb="FF000000"/>
        <rFont val="Arial"/>
        <family val="0"/>
        <charset val="1"/>
      </rPr>
      <t xml:space="preserve">932,066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</si>
  <si>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SRC_ZP_100</t>
  </si>
  <si>
    <t xml:space="preserve">cash_end_1h25</t>
  </si>
  <si>
    <r>
      <rPr>
        <sz val="10"/>
        <color rgb="FF000000"/>
        <rFont val="Noto Sans CJK SC"/>
        <family val="2"/>
      </rPr>
      <t xml:space="preserve">原文「年╱期末現金及現金等價物」；千元值 </t>
    </r>
    <r>
      <rPr>
        <sz val="10"/>
        <color rgb="FF000000"/>
        <rFont val="Arial"/>
        <family val="0"/>
        <charset val="1"/>
      </rPr>
      <t xml:space="preserve">2,551,970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</si>
  <si>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SRC_ZP_101</t>
  </si>
  <si>
    <t xml:space="preserve">gm_total_fy22</t>
  </si>
  <si>
    <t xml:space="preserve">整體毛利率</t>
  </si>
  <si>
    <t xml:space="preserve">%</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</si>
  <si>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」表內毛利率欄</t>
    </r>
  </si>
  <si>
    <t xml:space="preserve">SRC_ZP_102</t>
  </si>
  <si>
    <t xml:space="preserve">gm_total_fy23</t>
  </si>
  <si>
    <t xml:space="preserve">SRC_ZP_103</t>
  </si>
  <si>
    <t xml:space="preserve">gm_total_fy24</t>
  </si>
  <si>
    <t xml:space="preserve">SRC_ZP_104</t>
  </si>
  <si>
    <t xml:space="preserve">gm_total_1h24</t>
  </si>
  <si>
    <t xml:space="preserve">SRC_ZP_105</t>
  </si>
  <si>
    <t xml:space="preserve">gm_total_1h25</t>
  </si>
  <si>
    <t xml:space="preserve">SRC_ZP_106</t>
  </si>
  <si>
    <t xml:space="preserve">cash_burn_m_fy22</t>
  </si>
  <si>
    <t xml:space="preserve">平均每月現金消耗率</t>
  </si>
  <si>
    <r>
      <rPr>
        <sz val="10"/>
        <color rgb="FF000000"/>
        <rFont val="Arial"/>
        <family val="0"/>
        <charset val="1"/>
      </rPr>
      <t xml:space="preserve">RMB </t>
    </r>
    <r>
      <rPr>
        <sz val="10"/>
        <color rgb="FF000000"/>
        <rFont val="Noto Sans CJK SC"/>
        <family val="2"/>
      </rPr>
      <t xml:space="preserve">億／月</t>
    </r>
  </si>
  <si>
    <t xml:space="preserve">https://www1.hkexnews.hk/listedco/listconews/sehk/2025/1230/2025123000017.pdf</t>
  </si>
  <si>
    <t xml:space="preserve">Interested-party</t>
  </si>
  <si>
    <r>
      <rPr>
        <sz val="10"/>
        <color rgb="FF000000"/>
        <rFont val="Noto Sans CJK SC"/>
        <family val="2"/>
      </rPr>
      <t xml:space="preserve">智譜：</t>
    </r>
    <r>
      <rPr>
        <sz val="10"/>
        <color rgb="FF000000"/>
        <rFont val="Arial"/>
        <family val="0"/>
        <charset val="1"/>
      </rPr>
      <t xml:space="preserve">IPO </t>
    </r>
    <r>
      <rPr>
        <sz val="10"/>
        <color rgb="FF000000"/>
        <rFont val="Noto Sans CJK SC"/>
        <family val="2"/>
      </rPr>
      <t xml:space="preserve">招股，誘因為發行定價</t>
    </r>
  </si>
  <si>
    <t xml:space="preserve">管理層口徑（招股章程）</t>
  </si>
  <si>
    <r>
      <rPr>
        <sz val="10"/>
        <color rgb="FF000000"/>
        <rFont val="Noto Sans CJK SC"/>
        <family val="2"/>
      </rPr>
      <t xml:space="preserve">原文 </t>
    </r>
    <r>
      <rPr>
        <sz val="10"/>
        <color rgb="FF000000"/>
        <rFont val="Arial"/>
        <family val="0"/>
        <charset val="1"/>
      </rPr>
      <t xml:space="preserve">average monthly cash burn RMB3.0 million</t>
    </r>
    <r>
      <rPr>
        <sz val="10"/>
        <color rgb="FF000000"/>
        <rFont val="Noto Sans CJK SC"/>
        <family val="2"/>
      </rPr>
      <t xml:space="preserve">；含經營現金流、購置設備、理財淨額、租賃付款；百萬</t>
    </r>
    <r>
      <rPr>
        <sz val="10"/>
        <color rgb="FF000000"/>
        <rFont val="Arial"/>
        <family val="0"/>
        <charset val="1"/>
      </rPr>
      <t xml:space="preserve">÷100 </t>
    </r>
    <r>
      <rPr>
        <sz val="10"/>
        <color rgb="FF000000"/>
        <rFont val="Noto Sans CJK SC"/>
        <family val="2"/>
      </rPr>
      <t xml:space="preserve">換算成億</t>
    </r>
  </si>
  <si>
    <t xml:space="preserve">SRC_ZP_107</t>
  </si>
  <si>
    <t xml:space="preserve">cash_burn_m_fy23</t>
  </si>
  <si>
    <r>
      <rPr>
        <sz val="10"/>
        <color rgb="FF000000"/>
        <rFont val="Noto Sans CJK SC"/>
        <family val="2"/>
      </rPr>
      <t xml:space="preserve">原文 </t>
    </r>
    <r>
      <rPr>
        <sz val="10"/>
        <color rgb="FF000000"/>
        <rFont val="Arial"/>
        <family val="0"/>
        <charset val="1"/>
      </rPr>
      <t xml:space="preserve">average monthly cash burn RMB105.9 million</t>
    </r>
    <r>
      <rPr>
        <sz val="10"/>
        <color rgb="FF000000"/>
        <rFont val="Noto Sans CJK SC"/>
        <family val="2"/>
      </rPr>
      <t xml:space="preserve">；含經營現金流、購置設備、理財淨額、租賃付款；百萬</t>
    </r>
    <r>
      <rPr>
        <sz val="10"/>
        <color rgb="FF000000"/>
        <rFont val="Arial"/>
        <family val="0"/>
        <charset val="1"/>
      </rPr>
      <t xml:space="preserve">÷100 </t>
    </r>
    <r>
      <rPr>
        <sz val="10"/>
        <color rgb="FF000000"/>
        <rFont val="Noto Sans CJK SC"/>
        <family val="2"/>
      </rPr>
      <t xml:space="preserve">換算成億</t>
    </r>
  </si>
  <si>
    <t xml:space="preserve">SRC_ZP_108</t>
  </si>
  <si>
    <t xml:space="preserve">cash_burn_m_fy24</t>
  </si>
  <si>
    <r>
      <rPr>
        <sz val="10"/>
        <color rgb="FF000000"/>
        <rFont val="Noto Sans CJK SC"/>
        <family val="2"/>
      </rPr>
      <t xml:space="preserve">原文 </t>
    </r>
    <r>
      <rPr>
        <sz val="10"/>
        <color rgb="FF000000"/>
        <rFont val="Arial"/>
        <family val="0"/>
        <charset val="1"/>
      </rPr>
      <t xml:space="preserve">average monthly cash burn RMB194.5 million</t>
    </r>
    <r>
      <rPr>
        <sz val="10"/>
        <color rgb="FF000000"/>
        <rFont val="Noto Sans CJK SC"/>
        <family val="2"/>
      </rPr>
      <t xml:space="preserve">；含經營現金流、購置設備、理財淨額、租賃付款；百萬</t>
    </r>
    <r>
      <rPr>
        <sz val="10"/>
        <color rgb="FF000000"/>
        <rFont val="Arial"/>
        <family val="0"/>
        <charset val="1"/>
      </rPr>
      <t xml:space="preserve">÷100 </t>
    </r>
    <r>
      <rPr>
        <sz val="10"/>
        <color rgb="FF000000"/>
        <rFont val="Noto Sans CJK SC"/>
        <family val="2"/>
      </rPr>
      <t xml:space="preserve">換算成億</t>
    </r>
  </si>
  <si>
    <t xml:space="preserve">SRC_ZP_109</t>
  </si>
  <si>
    <t xml:space="preserve">cash_burn_m_1h25</t>
  </si>
  <si>
    <r>
      <rPr>
        <sz val="10"/>
        <color rgb="FF000000"/>
        <rFont val="Noto Sans CJK SC"/>
        <family val="2"/>
      </rPr>
      <t xml:space="preserve">原文 </t>
    </r>
    <r>
      <rPr>
        <sz val="10"/>
        <color rgb="FF000000"/>
        <rFont val="Arial"/>
        <family val="0"/>
        <charset val="1"/>
      </rPr>
      <t xml:space="preserve">average monthly cash burn RMB327.3 million</t>
    </r>
    <r>
      <rPr>
        <sz val="10"/>
        <color rgb="FF000000"/>
        <rFont val="Noto Sans CJK SC"/>
        <family val="2"/>
      </rPr>
      <t xml:space="preserve">；含經營現金流、購置設備、理財淨額、租賃付款；百萬</t>
    </r>
    <r>
      <rPr>
        <sz val="10"/>
        <color rgb="FF000000"/>
        <rFont val="Arial"/>
        <family val="0"/>
        <charset val="1"/>
      </rPr>
      <t xml:space="preserve">÷100 </t>
    </r>
    <r>
      <rPr>
        <sz val="10"/>
        <color rgb="FF000000"/>
        <rFont val="Noto Sans CJK SC"/>
        <family val="2"/>
      </rPr>
      <t xml:space="preserve">換算成億</t>
    </r>
  </si>
  <si>
    <t xml:space="preserve">SRC_ZP_110</t>
  </si>
  <si>
    <t xml:space="preserve">liquidity_2510</t>
  </si>
  <si>
    <r>
      <rPr>
        <sz val="10"/>
        <color rgb="FF000000"/>
        <rFont val="Noto Sans CJK SC"/>
        <family val="2"/>
      </rPr>
      <t xml:space="preserve">現金＋</t>
    </r>
    <r>
      <rPr>
        <sz val="10"/>
        <color rgb="FF000000"/>
        <rFont val="Arial"/>
        <family val="0"/>
        <charset val="1"/>
      </rPr>
      <t xml:space="preserve">FVPL </t>
    </r>
    <r>
      <rPr>
        <sz val="10"/>
        <color rgb="FF000000"/>
        <rFont val="Noto Sans CJK SC"/>
        <family val="2"/>
      </rPr>
      <t xml:space="preserve">短期投資＋可用承諾銀行授信合計</t>
    </r>
  </si>
  <si>
    <t xml:space="preserve">2025-10-31</t>
  </si>
  <si>
    <r>
      <rPr>
        <sz val="10"/>
        <color rgb="FF000000"/>
        <rFont val="Noto Sans CJK SC"/>
        <family val="2"/>
      </rPr>
      <t xml:space="preserve">智譜：</t>
    </r>
    <r>
      <rPr>
        <sz val="10"/>
        <color rgb="FF000000"/>
        <rFont val="Arial"/>
        <family val="0"/>
        <charset val="1"/>
      </rPr>
      <t xml:space="preserve">IPO </t>
    </r>
    <r>
      <rPr>
        <sz val="10"/>
        <color rgb="FF000000"/>
        <rFont val="Noto Sans CJK SC"/>
        <family val="2"/>
      </rPr>
      <t xml:space="preserve">招股，營運資金說明</t>
    </r>
  </si>
  <si>
    <t xml:space="preserve">管理層口徑（招股章程營運資金充足性）</t>
  </si>
  <si>
    <r>
      <rPr>
        <sz val="10"/>
        <color rgb="FF000000"/>
        <rFont val="Noto Sans CJK SC"/>
        <family val="2"/>
      </rPr>
      <t xml:space="preserve">原文「</t>
    </r>
    <r>
      <rPr>
        <sz val="10"/>
        <color rgb="FF000000"/>
        <rFont val="Arial"/>
        <family val="0"/>
        <charset val="1"/>
      </rPr>
      <t xml:space="preserve">available committed bank facilities of RMB8,943.1 million in aggregate</t>
    </r>
    <r>
      <rPr>
        <sz val="10"/>
        <color rgb="FF000000"/>
        <rFont val="Noto Sans CJK SC"/>
        <family val="2"/>
      </rPr>
      <t xml:space="preserve">」；三項合計，未拆授信額</t>
    </r>
  </si>
  <si>
    <t xml:space="preserve">SRC_ZP_111</t>
  </si>
  <si>
    <t xml:space="preserve">rd_staff_1h25</t>
  </si>
  <si>
    <t xml:space="preserve">研發團隊人數</t>
  </si>
  <si>
    <t xml:space="preserve">人</t>
  </si>
  <si>
    <t xml:space="preserve">2025-06-30</t>
  </si>
  <si>
    <t xml:space="preserve">管理層口徑</t>
  </si>
  <si>
    <r>
      <rPr>
        <sz val="10"/>
        <color rgb="FF000000"/>
        <rFont val="Noto Sans CJK SC"/>
        <family val="2"/>
      </rPr>
      <t xml:space="preserve">原文「一支由</t>
    </r>
    <r>
      <rPr>
        <sz val="10"/>
        <color rgb="FF000000"/>
        <rFont val="Arial"/>
        <family val="0"/>
        <charset val="1"/>
      </rPr>
      <t xml:space="preserve">657</t>
    </r>
    <r>
      <rPr>
        <sz val="10"/>
        <color rgb="FF000000"/>
        <rFont val="Noto Sans CJK SC"/>
        <family val="2"/>
      </rPr>
      <t xml:space="preserve">名成員組成的研發團隊」</t>
    </r>
  </si>
  <si>
    <t xml:space="preserve">SRC_ZP_112</t>
  </si>
  <si>
    <t xml:space="preserve">rev_api_fy25</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</si>
  <si>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收入（新分類）</t>
    </r>
  </si>
  <si>
    <t xml:space="preserve">FY2025</t>
  </si>
  <si>
    <r>
      <rPr>
        <sz val="10"/>
        <color rgb="FF000000"/>
        <rFont val="Noto Sans CJK SC"/>
        <family val="2"/>
      </rPr>
      <t xml:space="preserve">智譜 </t>
    </r>
    <r>
      <rPr>
        <sz val="10"/>
        <color rgb="FF000000"/>
        <rFont val="Arial"/>
        <family val="0"/>
        <charset val="1"/>
      </rPr>
      <t xml:space="preserve">2025 </t>
    </r>
    <r>
      <rPr>
        <sz val="10"/>
        <color rgb="FF000000"/>
        <rFont val="Noto Sans CJK SC"/>
        <family val="2"/>
      </rPr>
      <t xml:space="preserve">年度業績公告</t>
    </r>
  </si>
  <si>
    <t xml:space="preserve">https://www1.hkexnews.hk/listedco/listconews/sehk/2026/0331/2026033101549.pdf</t>
  </si>
  <si>
    <t xml:space="preserve">2026-03-31</t>
  </si>
  <si>
    <r>
      <rPr>
        <sz val="10"/>
        <color rgb="FF000000"/>
        <rFont val="Noto Sans CJK SC"/>
        <family val="2"/>
      </rPr>
      <t xml:space="preserve">經審計（</t>
    </r>
    <r>
      <rPr>
        <sz val="10"/>
        <color rgb="FF000000"/>
        <rFont val="Arial"/>
        <family val="0"/>
        <charset val="1"/>
      </rPr>
      <t xml:space="preserve">KPMG</t>
    </r>
    <r>
      <rPr>
        <sz val="10"/>
        <color rgb="FF000000"/>
        <rFont val="Noto Sans CJK SC"/>
        <family val="2"/>
      </rPr>
      <t xml:space="preserve">；年度業績公告）</t>
    </r>
  </si>
  <si>
    <r>
      <rPr>
        <sz val="10"/>
        <color rgb="FF000000"/>
        <rFont val="Noto Sans CJK SC"/>
        <family val="2"/>
      </rPr>
      <t xml:space="preserve">原文「</t>
    </r>
    <r>
      <rPr>
        <sz val="10"/>
        <color rgb="FF000000"/>
        <rFont val="Arial"/>
        <family val="0"/>
        <charset val="1"/>
      </rPr>
      <t xml:space="preserve">Open Platform and API</t>
    </r>
    <r>
      <rPr>
        <sz val="10"/>
        <color rgb="FF000000"/>
        <rFont val="Noto Sans CJK SC"/>
        <family val="2"/>
      </rPr>
      <t xml:space="preserve">」；千元值 </t>
    </r>
    <r>
      <rPr>
        <sz val="10"/>
        <color rgb="FF000000"/>
        <rFont val="Arial"/>
        <family val="0"/>
        <charset val="1"/>
      </rPr>
      <t xml:space="preserve">190,379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占營收 </t>
    </r>
    <r>
      <rPr>
        <sz val="10"/>
        <color rgb="FF000000"/>
        <rFont val="Arial"/>
        <family val="0"/>
        <charset val="1"/>
      </rPr>
      <t xml:space="preserve">26.3%</t>
    </r>
    <r>
      <rPr>
        <sz val="10"/>
        <color rgb="FF000000"/>
        <rFont val="Noto Sans CJK SC"/>
        <family val="2"/>
      </rPr>
      <t xml:space="preserve">；新分類下＝雲端部署</t>
    </r>
  </si>
  <si>
    <t xml:space="preserve">SRC_ZP_113</t>
  </si>
  <si>
    <t xml:space="preserve">rev_api_fy24</t>
  </si>
  <si>
    <r>
      <rPr>
        <sz val="10"/>
        <color rgb="FF000000"/>
        <rFont val="Noto Sans CJK SC"/>
        <family val="2"/>
      </rPr>
      <t xml:space="preserve">原文「</t>
    </r>
    <r>
      <rPr>
        <sz val="10"/>
        <color rgb="FF000000"/>
        <rFont val="Arial"/>
        <family val="0"/>
        <charset val="1"/>
      </rPr>
      <t xml:space="preserve">Open Platform and API</t>
    </r>
    <r>
      <rPr>
        <sz val="10"/>
        <color rgb="FF000000"/>
        <rFont val="Noto Sans CJK SC"/>
        <family val="2"/>
      </rPr>
      <t xml:space="preserve">」；千元值 </t>
    </r>
    <r>
      <rPr>
        <sz val="10"/>
        <color rgb="FF000000"/>
        <rFont val="Arial"/>
        <family val="0"/>
        <charset val="1"/>
      </rPr>
      <t xml:space="preserve">48,484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占營收 </t>
    </r>
    <r>
      <rPr>
        <sz val="10"/>
        <color rgb="FF000000"/>
        <rFont val="Arial"/>
        <family val="0"/>
        <charset val="1"/>
      </rPr>
      <t xml:space="preserve">26.3%</t>
    </r>
    <r>
      <rPr>
        <sz val="10"/>
        <color rgb="FF000000"/>
        <rFont val="Noto Sans CJK SC"/>
        <family val="2"/>
      </rPr>
      <t xml:space="preserve">；新分類下＝雲端部署</t>
    </r>
  </si>
  <si>
    <t xml:space="preserve">SRC_ZP_114</t>
  </si>
  <si>
    <t xml:space="preserve">rev_agent_fy25</t>
  </si>
  <si>
    <t xml:space="preserve">企業級智能體收入（新分類）</t>
  </si>
  <si>
    <r>
      <rPr>
        <sz val="10"/>
        <color rgb="FF000000"/>
        <rFont val="Noto Sans CJK SC"/>
        <family val="2"/>
      </rPr>
      <t xml:space="preserve">原文「</t>
    </r>
    <r>
      <rPr>
        <sz val="10"/>
        <color rgb="FF000000"/>
        <rFont val="Arial"/>
        <family val="0"/>
        <charset val="1"/>
      </rPr>
      <t xml:space="preserve">Enterprise-level Agents</t>
    </r>
    <r>
      <rPr>
        <sz val="10"/>
        <color rgb="FF000000"/>
        <rFont val="Noto Sans CJK SC"/>
        <family val="2"/>
      </rPr>
      <t xml:space="preserve">」；千元值 </t>
    </r>
    <r>
      <rPr>
        <sz val="10"/>
        <color rgb="FF000000"/>
        <rFont val="Arial"/>
        <family val="0"/>
        <charset val="1"/>
      </rPr>
      <t xml:space="preserve">165,687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換算成億；屬本地化部署分部</t>
    </r>
  </si>
  <si>
    <t xml:space="preserve">SRC_ZP_115</t>
  </si>
  <si>
    <t xml:space="preserve">rev_agent_fy24</t>
  </si>
  <si>
    <r>
      <rPr>
        <sz val="10"/>
        <color rgb="FF000000"/>
        <rFont val="Noto Sans CJK SC"/>
        <family val="2"/>
      </rPr>
      <t xml:space="preserve">原文「</t>
    </r>
    <r>
      <rPr>
        <sz val="10"/>
        <color rgb="FF000000"/>
        <rFont val="Arial"/>
        <family val="0"/>
        <charset val="1"/>
      </rPr>
      <t xml:space="preserve">Enterprise-level Agents</t>
    </r>
    <r>
      <rPr>
        <sz val="10"/>
        <color rgb="FF000000"/>
        <rFont val="Noto Sans CJK SC"/>
        <family val="2"/>
      </rPr>
      <t xml:space="preserve">」；千元值 </t>
    </r>
    <r>
      <rPr>
        <sz val="10"/>
        <color rgb="FF000000"/>
        <rFont val="Arial"/>
        <family val="0"/>
        <charset val="1"/>
      </rPr>
      <t xml:space="preserve">47,492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換算成億；屬本地化部署分部</t>
    </r>
  </si>
  <si>
    <t xml:space="preserve">SRC_ZP_116</t>
  </si>
  <si>
    <t xml:space="preserve">rev_gpllm_fy25</t>
  </si>
  <si>
    <t xml:space="preserve">企業級通用大模型收入（新分類）</t>
  </si>
  <si>
    <r>
      <rPr>
        <sz val="10"/>
        <color rgb="FF000000"/>
        <rFont val="Noto Sans CJK SC"/>
        <family val="2"/>
      </rPr>
      <t xml:space="preserve">原文「</t>
    </r>
    <r>
      <rPr>
        <sz val="10"/>
        <color rgb="FF000000"/>
        <rFont val="Arial"/>
        <family val="0"/>
        <charset val="1"/>
      </rPr>
      <t xml:space="preserve">Enterprise-level General-purpose Large Models</t>
    </r>
    <r>
      <rPr>
        <sz val="10"/>
        <color rgb="FF000000"/>
        <rFont val="Noto Sans CJK SC"/>
        <family val="2"/>
      </rPr>
      <t xml:space="preserve">」；千元值 </t>
    </r>
    <r>
      <rPr>
        <sz val="10"/>
        <color rgb="FF000000"/>
        <rFont val="Arial"/>
        <family val="0"/>
        <charset val="1"/>
      </rPr>
      <t xml:space="preserve">365,724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換算成億；屬本地化部署分部</t>
    </r>
  </si>
  <si>
    <t xml:space="preserve">SRC_ZP_117</t>
  </si>
  <si>
    <t xml:space="preserve">rev_gpllm_fy24</t>
  </si>
  <si>
    <r>
      <rPr>
        <sz val="10"/>
        <color rgb="FF000000"/>
        <rFont val="Noto Sans CJK SC"/>
        <family val="2"/>
      </rPr>
      <t xml:space="preserve">原文「</t>
    </r>
    <r>
      <rPr>
        <sz val="10"/>
        <color rgb="FF000000"/>
        <rFont val="Arial"/>
        <family val="0"/>
        <charset val="1"/>
      </rPr>
      <t xml:space="preserve">Enterprise-level General-purpose Large Models</t>
    </r>
    <r>
      <rPr>
        <sz val="10"/>
        <color rgb="FF000000"/>
        <rFont val="Noto Sans CJK SC"/>
        <family val="2"/>
      </rPr>
      <t xml:space="preserve">」；千元值 </t>
    </r>
    <r>
      <rPr>
        <sz val="10"/>
        <color rgb="FF000000"/>
        <rFont val="Arial"/>
        <family val="0"/>
        <charset val="1"/>
      </rPr>
      <t xml:space="preserve">214,502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換算成億；屬本地化部署分部</t>
    </r>
  </si>
  <si>
    <t xml:space="preserve">SRC_ZP_118</t>
  </si>
  <si>
    <t xml:space="preserve">rev_techsvc_fy25</t>
  </si>
  <si>
    <t xml:space="preserve">技術服務及其他收入（新分類）</t>
  </si>
  <si>
    <r>
      <rPr>
        <sz val="10"/>
        <color rgb="FF000000"/>
        <rFont val="Noto Sans CJK SC"/>
        <family val="2"/>
      </rPr>
      <t xml:space="preserve">原文「</t>
    </r>
    <r>
      <rPr>
        <sz val="10"/>
        <color rgb="FF000000"/>
        <rFont val="Arial"/>
        <family val="0"/>
        <charset val="1"/>
      </rPr>
      <t xml:space="preserve">Technical Services and Others</t>
    </r>
    <r>
      <rPr>
        <sz val="10"/>
        <color rgb="FF000000"/>
        <rFont val="Noto Sans CJK SC"/>
        <family val="2"/>
      </rPr>
      <t xml:space="preserve">」；千元值 </t>
    </r>
    <r>
      <rPr>
        <sz val="10"/>
        <color rgb="FF000000"/>
        <rFont val="Arial"/>
        <family val="0"/>
        <charset val="1"/>
      </rPr>
      <t xml:space="preserve">2,544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</si>
  <si>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SRC_ZP_119</t>
  </si>
  <si>
    <t xml:space="preserve">rev_techsvc_fy24</t>
  </si>
  <si>
    <r>
      <rPr>
        <sz val="10"/>
        <color rgb="FF000000"/>
        <rFont val="Noto Sans CJK SC"/>
        <family val="2"/>
      </rPr>
      <t xml:space="preserve">原文「</t>
    </r>
    <r>
      <rPr>
        <sz val="10"/>
        <color rgb="FF000000"/>
        <rFont val="Arial"/>
        <family val="0"/>
        <charset val="1"/>
      </rPr>
      <t xml:space="preserve">Technical Services and Others</t>
    </r>
    <r>
      <rPr>
        <sz val="10"/>
        <color rgb="FF000000"/>
        <rFont val="Noto Sans CJK SC"/>
        <family val="2"/>
      </rPr>
      <t xml:space="preserve">」；千元值 </t>
    </r>
    <r>
      <rPr>
        <sz val="10"/>
        <color rgb="FF000000"/>
        <rFont val="Arial"/>
        <family val="0"/>
        <charset val="1"/>
      </rPr>
      <t xml:space="preserve">1,936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</si>
  <si>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SRC_ZP_120</t>
  </si>
  <si>
    <t xml:space="preserve">rev_total_fy25</t>
  </si>
  <si>
    <r>
      <rPr>
        <sz val="10"/>
        <color rgb="FF000000"/>
        <rFont val="Noto Sans CJK SC"/>
        <family val="2"/>
      </rPr>
      <t xml:space="preserve">原文「</t>
    </r>
    <r>
      <rPr>
        <sz val="10"/>
        <color rgb="FF000000"/>
        <rFont val="Arial"/>
        <family val="0"/>
        <charset val="1"/>
      </rPr>
      <t xml:space="preserve">total revenue reached RMB724.3 million</t>
    </r>
    <r>
      <rPr>
        <sz val="10"/>
        <color rgb="FF000000"/>
        <rFont val="Noto Sans CJK SC"/>
        <family val="2"/>
      </rPr>
      <t xml:space="preserve">」，同比 </t>
    </r>
    <r>
      <rPr>
        <sz val="10"/>
        <color rgb="FF000000"/>
        <rFont val="Arial"/>
        <family val="0"/>
        <charset val="1"/>
      </rPr>
      <t xml:space="preserve">+131.9%</t>
    </r>
    <r>
      <rPr>
        <sz val="10"/>
        <color rgb="FF000000"/>
        <rFont val="Noto Sans CJK SC"/>
        <family val="2"/>
      </rPr>
      <t xml:space="preserve">；千元 </t>
    </r>
    <r>
      <rPr>
        <sz val="10"/>
        <color rgb="FF000000"/>
        <rFont val="Arial"/>
        <family val="0"/>
        <charset val="1"/>
      </rPr>
      <t xml:space="preserve">724,334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</si>
  <si>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SRC_ZP_121</t>
  </si>
  <si>
    <t xml:space="preserve">rev_onprem_fy25</t>
  </si>
  <si>
    <t xml:space="preserve">本地化部署收入（分部）</t>
  </si>
  <si>
    <r>
      <rPr>
        <sz val="10"/>
        <color rgb="FF000000"/>
        <rFont val="Noto Sans CJK SC"/>
        <family val="2"/>
      </rPr>
      <t xml:space="preserve">分部附註 </t>
    </r>
    <r>
      <rPr>
        <sz val="10"/>
        <color rgb="FF000000"/>
        <rFont val="Arial"/>
        <family val="0"/>
        <charset val="1"/>
      </rPr>
      <t xml:space="preserve">on-premise deployment 533,955 </t>
    </r>
    <r>
      <rPr>
        <sz val="10"/>
        <color rgb="FF000000"/>
        <rFont val="Noto Sans CJK SC"/>
        <family val="2"/>
      </rPr>
      <t xml:space="preserve">千元（＝智能體＋通用大模型＋技術服務）；</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</si>
  <si>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SRC_ZP_122</t>
  </si>
  <si>
    <t xml:space="preserve">rev_cloud_fy25</t>
  </si>
  <si>
    <t xml:space="preserve">雲端部署收入（分部）</t>
  </si>
  <si>
    <r>
      <rPr>
        <sz val="10"/>
        <color rgb="FF000000"/>
        <rFont val="Noto Sans CJK SC"/>
        <family val="2"/>
      </rPr>
      <t xml:space="preserve">分部附註 </t>
    </r>
    <r>
      <rPr>
        <sz val="10"/>
        <color rgb="FF000000"/>
        <rFont val="Arial"/>
        <family val="0"/>
        <charset val="1"/>
      </rPr>
      <t xml:space="preserve">cloud-based deployment 190,379 </t>
    </r>
    <r>
      <rPr>
        <sz val="10"/>
        <color rgb="FF000000"/>
        <rFont val="Noto Sans CJK SC"/>
        <family val="2"/>
      </rPr>
      <t xml:space="preserve">千元＝開放平台及 </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</si>
  <si>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SRC_ZP_123</t>
  </si>
  <si>
    <t xml:space="preserve">cogs_fy25</t>
  </si>
  <si>
    <t xml:space="preserve">銷售成本</t>
  </si>
  <si>
    <r>
      <rPr>
        <sz val="10"/>
        <color rgb="FF000000"/>
        <rFont val="Noto Sans CJK SC"/>
        <family val="2"/>
      </rPr>
      <t xml:space="preserve">原文「</t>
    </r>
    <r>
      <rPr>
        <sz val="10"/>
        <color rgb="FF000000"/>
        <rFont val="Arial"/>
        <family val="0"/>
        <charset val="1"/>
      </rPr>
      <t xml:space="preserve">Cost of revenue</t>
    </r>
    <r>
      <rPr>
        <sz val="10"/>
        <color rgb="FF000000"/>
        <rFont val="Noto Sans CJK SC"/>
        <family val="2"/>
      </rPr>
      <t xml:space="preserve">」；千元值 </t>
    </r>
    <r>
      <rPr>
        <sz val="10"/>
        <color rgb="FF000000"/>
        <rFont val="Arial"/>
        <family val="0"/>
        <charset val="1"/>
      </rPr>
      <t xml:space="preserve">427,678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換算成億；原文「</t>
    </r>
    <r>
      <rPr>
        <sz val="10"/>
        <color rgb="FF000000"/>
        <rFont val="Arial"/>
        <family val="0"/>
        <charset val="1"/>
      </rPr>
      <t xml:space="preserve">primarily attributable to the rise in computing service fees</t>
    </r>
    <r>
      <rPr>
        <sz val="10"/>
        <color rgb="FF000000"/>
        <rFont val="Noto Sans CJK SC"/>
        <family val="2"/>
      </rPr>
      <t xml:space="preserve">」，未揭露金額</t>
    </r>
  </si>
  <si>
    <t xml:space="preserve">SRC_ZP_124</t>
  </si>
  <si>
    <t xml:space="preserve">gp_total_fy25</t>
  </si>
  <si>
    <r>
      <rPr>
        <sz val="10"/>
        <color rgb="FF000000"/>
        <rFont val="Noto Sans CJK SC"/>
        <family val="2"/>
      </rPr>
      <t xml:space="preserve">原文「</t>
    </r>
    <r>
      <rPr>
        <sz val="10"/>
        <color rgb="FF000000"/>
        <rFont val="Arial"/>
        <family val="0"/>
        <charset val="1"/>
      </rPr>
      <t xml:space="preserve">Gross profit</t>
    </r>
    <r>
      <rPr>
        <sz val="10"/>
        <color rgb="FF000000"/>
        <rFont val="Noto Sans CJK SC"/>
        <family val="2"/>
      </rPr>
      <t xml:space="preserve">」；千元值 </t>
    </r>
    <r>
      <rPr>
        <sz val="10"/>
        <color rgb="FF000000"/>
        <rFont val="Arial"/>
        <family val="0"/>
        <charset val="1"/>
      </rPr>
      <t xml:space="preserve">296,656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41.0%</t>
    </r>
    <r>
      <rPr>
        <sz val="10"/>
        <color rgb="FF000000"/>
        <rFont val="Noto Sans CJK SC"/>
        <family val="2"/>
      </rPr>
      <t xml:space="preserve">（</t>
    </r>
    <r>
      <rPr>
        <sz val="10"/>
        <color rgb="FF000000"/>
        <rFont val="Arial"/>
        <family val="0"/>
        <charset val="1"/>
      </rPr>
      <t xml:space="preserve">2024</t>
    </r>
    <r>
      <rPr>
        <sz val="10"/>
        <color rgb="FF000000"/>
        <rFont val="Noto Sans CJK SC"/>
        <family val="2"/>
      </rPr>
      <t xml:space="preserve">：</t>
    </r>
    <r>
      <rPr>
        <sz val="10"/>
        <color rgb="FF000000"/>
        <rFont val="Arial"/>
        <family val="0"/>
        <charset val="1"/>
      </rPr>
      <t xml:space="preserve">56.3%</t>
    </r>
    <r>
      <rPr>
        <sz val="10"/>
        <color rgb="FF000000"/>
        <rFont val="Noto Sans CJK SC"/>
        <family val="2"/>
      </rPr>
      <t xml:space="preserve">）</t>
    </r>
  </si>
  <si>
    <t xml:space="preserve">SRC_ZP_125</t>
  </si>
  <si>
    <t xml:space="preserve">gm_total_fy25</t>
  </si>
  <si>
    <r>
      <rPr>
        <sz val="10"/>
        <color rgb="FF000000"/>
        <rFont val="Noto Sans CJK SC"/>
        <family val="2"/>
      </rPr>
      <t xml:space="preserve">原文 </t>
    </r>
    <r>
      <rPr>
        <sz val="10"/>
        <color rgb="FF000000"/>
        <rFont val="Arial"/>
        <family val="0"/>
        <charset val="1"/>
      </rPr>
      <t xml:space="preserve">gross margin 41.0%</t>
    </r>
    <r>
      <rPr>
        <sz val="10"/>
        <color rgb="FF000000"/>
        <rFont val="Noto Sans CJK SC"/>
        <family val="2"/>
      </rPr>
      <t xml:space="preserve">（</t>
    </r>
    <r>
      <rPr>
        <sz val="10"/>
        <color rgb="FF000000"/>
        <rFont val="Arial"/>
        <family val="0"/>
        <charset val="1"/>
      </rPr>
      <t xml:space="preserve">2024 56.3%</t>
    </r>
    <r>
      <rPr>
        <sz val="10"/>
        <color rgb="FF000000"/>
        <rFont val="Noto Sans CJK SC"/>
        <family val="2"/>
      </rPr>
      <t xml:space="preserve">）</t>
    </r>
  </si>
  <si>
    <t xml:space="preserve">SRC_ZP_126</t>
  </si>
  <si>
    <t xml:space="preserve">gp_onprem_fy25</t>
  </si>
  <si>
    <t xml:space="preserve">本地化部署毛利（分部）</t>
  </si>
  <si>
    <r>
      <rPr>
        <sz val="10"/>
        <color rgb="FF000000"/>
        <rFont val="Noto Sans CJK SC"/>
        <family val="2"/>
      </rPr>
      <t xml:space="preserve">原文「</t>
    </r>
    <r>
      <rPr>
        <sz val="10"/>
        <color rgb="FF000000"/>
        <rFont val="Arial"/>
        <family val="0"/>
        <charset val="1"/>
      </rPr>
      <t xml:space="preserve">On-premise gross profit</t>
    </r>
    <r>
      <rPr>
        <sz val="10"/>
        <color rgb="FF000000"/>
        <rFont val="Noto Sans CJK SC"/>
        <family val="2"/>
      </rPr>
      <t xml:space="preserve">」；千元值 </t>
    </r>
    <r>
      <rPr>
        <sz val="10"/>
        <color rgb="FF000000"/>
        <rFont val="Arial"/>
        <family val="0"/>
        <charset val="1"/>
      </rPr>
      <t xml:space="preserve">260,656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</si>
  <si>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SRC_ZP_127</t>
  </si>
  <si>
    <t xml:space="preserve">gp_onprem_fy24_ann</t>
  </si>
  <si>
    <r>
      <rPr>
        <sz val="10"/>
        <color rgb="FF000000"/>
        <rFont val="Noto Sans CJK SC"/>
        <family val="2"/>
      </rPr>
      <t xml:space="preserve">原文「</t>
    </r>
    <r>
      <rPr>
        <sz val="10"/>
        <color rgb="FF000000"/>
        <rFont val="Arial"/>
        <family val="0"/>
        <charset val="1"/>
      </rPr>
      <t xml:space="preserve">On-premise gross profit</t>
    </r>
    <r>
      <rPr>
        <sz val="10"/>
        <color rgb="FF000000"/>
        <rFont val="Noto Sans CJK SC"/>
        <family val="2"/>
      </rPr>
      <t xml:space="preserve">」；千元值 </t>
    </r>
    <r>
      <rPr>
        <sz val="10"/>
        <color rgb="FF000000"/>
        <rFont val="Arial"/>
        <family val="0"/>
        <charset val="1"/>
      </rPr>
      <t xml:space="preserve">174,256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</si>
  <si>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SRC_ZP_128</t>
  </si>
  <si>
    <t xml:space="preserve">gp_cloud_fy25</t>
  </si>
  <si>
    <t xml:space="preserve">雲端部署毛利（分部）</t>
  </si>
  <si>
    <r>
      <rPr>
        <sz val="10"/>
        <color rgb="FF000000"/>
        <rFont val="Noto Sans CJK SC"/>
        <family val="2"/>
      </rPr>
      <t xml:space="preserve">原文「</t>
    </r>
    <r>
      <rPr>
        <sz val="10"/>
        <color rgb="FF000000"/>
        <rFont val="Arial"/>
        <family val="0"/>
        <charset val="1"/>
      </rPr>
      <t xml:space="preserve">Cloud-based gross profit</t>
    </r>
    <r>
      <rPr>
        <sz val="10"/>
        <color rgb="FF000000"/>
        <rFont val="Noto Sans CJK SC"/>
        <family val="2"/>
      </rPr>
      <t xml:space="preserve">」；千元值 </t>
    </r>
    <r>
      <rPr>
        <sz val="10"/>
        <color rgb="FF000000"/>
        <rFont val="Arial"/>
        <family val="0"/>
        <charset val="1"/>
      </rPr>
      <t xml:space="preserve">36,000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18.9%</t>
    </r>
    <r>
      <rPr>
        <sz val="10"/>
        <color rgb="FF000000"/>
        <rFont val="Noto Sans CJK SC"/>
        <family val="2"/>
      </rPr>
      <t xml:space="preserve">（</t>
    </r>
    <r>
      <rPr>
        <sz val="10"/>
        <color rgb="FF000000"/>
        <rFont val="Arial"/>
        <family val="0"/>
        <charset val="1"/>
      </rPr>
      <t xml:space="preserve">2024 3.3%</t>
    </r>
    <r>
      <rPr>
        <sz val="10"/>
        <color rgb="FF000000"/>
        <rFont val="Noto Sans CJK SC"/>
        <family val="2"/>
      </rPr>
      <t xml:space="preserve">）</t>
    </r>
  </si>
  <si>
    <t xml:space="preserve">SRC_ZP_129</t>
  </si>
  <si>
    <t xml:space="preserve">gp_cloud_fy24_ann</t>
  </si>
  <si>
    <r>
      <rPr>
        <sz val="10"/>
        <color rgb="FF000000"/>
        <rFont val="Noto Sans CJK SC"/>
        <family val="2"/>
      </rPr>
      <t xml:space="preserve">原文「</t>
    </r>
    <r>
      <rPr>
        <sz val="10"/>
        <color rgb="FF000000"/>
        <rFont val="Arial"/>
        <family val="0"/>
        <charset val="1"/>
      </rPr>
      <t xml:space="preserve">Cloud-based gross profit</t>
    </r>
    <r>
      <rPr>
        <sz val="10"/>
        <color rgb="FF000000"/>
        <rFont val="Noto Sans CJK SC"/>
        <family val="2"/>
      </rPr>
      <t xml:space="preserve">」；千元值 </t>
    </r>
    <r>
      <rPr>
        <sz val="10"/>
        <color rgb="FF000000"/>
        <rFont val="Arial"/>
        <family val="0"/>
        <charset val="1"/>
      </rPr>
      <t xml:space="preserve">1,633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18.9%</t>
    </r>
    <r>
      <rPr>
        <sz val="10"/>
        <color rgb="FF000000"/>
        <rFont val="Noto Sans CJK SC"/>
        <family val="2"/>
      </rPr>
      <t xml:space="preserve">（</t>
    </r>
    <r>
      <rPr>
        <sz val="10"/>
        <color rgb="FF000000"/>
        <rFont val="Arial"/>
        <family val="0"/>
        <charset val="1"/>
      </rPr>
      <t xml:space="preserve">2024 3.3%</t>
    </r>
    <r>
      <rPr>
        <sz val="10"/>
        <color rgb="FF000000"/>
        <rFont val="Noto Sans CJK SC"/>
        <family val="2"/>
      </rPr>
      <t xml:space="preserve">）</t>
    </r>
  </si>
  <si>
    <t xml:space="preserve">SRC_ZP_130</t>
  </si>
  <si>
    <t xml:space="preserve">gp_api_fy25</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</si>
  <si>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毛利</t>
    </r>
  </si>
  <si>
    <r>
      <rPr>
        <sz val="10"/>
        <color rgb="FF000000"/>
        <rFont val="Noto Sans CJK SC"/>
        <family val="2"/>
      </rPr>
      <t xml:space="preserve">公告以百萬元揭露 </t>
    </r>
    <r>
      <rPr>
        <sz val="10"/>
        <color rgb="FF000000"/>
        <rFont val="Arial"/>
        <family val="0"/>
        <charset val="1"/>
      </rPr>
      <t xml:space="preserve">RMB36.0 million</t>
    </r>
    <r>
      <rPr>
        <sz val="10"/>
        <color rgb="FF000000"/>
        <rFont val="Noto Sans CJK SC"/>
        <family val="2"/>
      </rPr>
      <t xml:space="preserve">，毛利率 </t>
    </r>
    <r>
      <rPr>
        <sz val="10"/>
        <color rgb="FF000000"/>
        <rFont val="Arial"/>
        <family val="0"/>
        <charset val="1"/>
      </rPr>
      <t xml:space="preserve">18.9%</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</si>
  <si>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SRC_ZP_131</t>
  </si>
  <si>
    <t xml:space="preserve">gp_api_fy24</t>
  </si>
  <si>
    <r>
      <rPr>
        <sz val="10"/>
        <color rgb="FF000000"/>
        <rFont val="Noto Sans CJK SC"/>
        <family val="2"/>
      </rPr>
      <t xml:space="preserve">公告以百萬元揭露 </t>
    </r>
    <r>
      <rPr>
        <sz val="10"/>
        <color rgb="FF000000"/>
        <rFont val="Arial"/>
        <family val="0"/>
        <charset val="1"/>
      </rPr>
      <t xml:space="preserve">RMB1.6 million</t>
    </r>
    <r>
      <rPr>
        <sz val="10"/>
        <color rgb="FF000000"/>
        <rFont val="Noto Sans CJK SC"/>
        <family val="2"/>
      </rPr>
      <t xml:space="preserve">，毛利率 </t>
    </r>
    <r>
      <rPr>
        <sz val="10"/>
        <color rgb="FF000000"/>
        <rFont val="Arial"/>
        <family val="0"/>
        <charset val="1"/>
      </rPr>
      <t xml:space="preserve">3.3%</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</si>
  <si>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SRC_ZP_132</t>
  </si>
  <si>
    <t xml:space="preserve">gp_agent_fy25</t>
  </si>
  <si>
    <t xml:space="preserve">企業級智能體毛利</t>
  </si>
  <si>
    <r>
      <rPr>
        <sz val="10"/>
        <color rgb="FF000000"/>
        <rFont val="Noto Sans CJK SC"/>
        <family val="2"/>
      </rPr>
      <t xml:space="preserve">公告以百萬元揭露 </t>
    </r>
    <r>
      <rPr>
        <sz val="10"/>
        <color rgb="FF000000"/>
        <rFont val="Arial"/>
        <family val="0"/>
        <charset val="1"/>
      </rPr>
      <t xml:space="preserve">RMB86.7 million</t>
    </r>
    <r>
      <rPr>
        <sz val="10"/>
        <color rgb="FF000000"/>
        <rFont val="Noto Sans CJK SC"/>
        <family val="2"/>
      </rPr>
      <t xml:space="preserve">，毛利率 </t>
    </r>
    <r>
      <rPr>
        <sz val="10"/>
        <color rgb="FF000000"/>
        <rFont val="Arial"/>
        <family val="0"/>
        <charset val="1"/>
      </rPr>
      <t xml:space="preserve">52.3%</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</si>
  <si>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SRC_ZP_133</t>
  </si>
  <si>
    <t xml:space="preserve">gp_agent_fy24</t>
  </si>
  <si>
    <r>
      <rPr>
        <sz val="10"/>
        <color rgb="FF000000"/>
        <rFont val="Noto Sans CJK SC"/>
        <family val="2"/>
      </rPr>
      <t xml:space="preserve">公告以百萬元揭露 </t>
    </r>
    <r>
      <rPr>
        <sz val="10"/>
        <color rgb="FF000000"/>
        <rFont val="Arial"/>
        <family val="0"/>
        <charset val="1"/>
      </rPr>
      <t xml:space="preserve">RMB23.4 million</t>
    </r>
    <r>
      <rPr>
        <sz val="10"/>
        <color rgb="FF000000"/>
        <rFont val="Noto Sans CJK SC"/>
        <family val="2"/>
      </rPr>
      <t xml:space="preserve">，毛利率 </t>
    </r>
    <r>
      <rPr>
        <sz val="10"/>
        <color rgb="FF000000"/>
        <rFont val="Arial"/>
        <family val="0"/>
        <charset val="1"/>
      </rPr>
      <t xml:space="preserve">49.3%</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</si>
  <si>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SRC_ZP_134</t>
  </si>
  <si>
    <t xml:space="preserve">gp_gpllm_fy25</t>
  </si>
  <si>
    <t xml:space="preserve">企業級通用大模型毛利</t>
  </si>
  <si>
    <r>
      <rPr>
        <sz val="10"/>
        <color rgb="FF000000"/>
        <rFont val="Noto Sans CJK SC"/>
        <family val="2"/>
      </rPr>
      <t xml:space="preserve">公告以百萬元揭露 </t>
    </r>
    <r>
      <rPr>
        <sz val="10"/>
        <color rgb="FF000000"/>
        <rFont val="Arial"/>
        <family val="0"/>
        <charset val="1"/>
      </rPr>
      <t xml:space="preserve">RMB171.7 million</t>
    </r>
    <r>
      <rPr>
        <sz val="10"/>
        <color rgb="FF000000"/>
        <rFont val="Noto Sans CJK SC"/>
        <family val="2"/>
      </rPr>
      <t xml:space="preserve">，毛利率 </t>
    </r>
    <r>
      <rPr>
        <sz val="10"/>
        <color rgb="FF000000"/>
        <rFont val="Arial"/>
        <family val="0"/>
        <charset val="1"/>
      </rPr>
      <t xml:space="preserve">47.0%</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</si>
  <si>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SRC_ZP_135</t>
  </si>
  <si>
    <t xml:space="preserve">gp_gpllm_fy24</t>
  </si>
  <si>
    <r>
      <rPr>
        <sz val="10"/>
        <color rgb="FF000000"/>
        <rFont val="Noto Sans CJK SC"/>
        <family val="2"/>
      </rPr>
      <t xml:space="preserve">公告以百萬元揭露 </t>
    </r>
    <r>
      <rPr>
        <sz val="10"/>
        <color rgb="FF000000"/>
        <rFont val="Arial"/>
        <family val="0"/>
        <charset val="1"/>
      </rPr>
      <t xml:space="preserve">RMB149.2 million</t>
    </r>
    <r>
      <rPr>
        <sz val="10"/>
        <color rgb="FF000000"/>
        <rFont val="Noto Sans CJK SC"/>
        <family val="2"/>
      </rPr>
      <t xml:space="preserve">，毛利率 </t>
    </r>
    <r>
      <rPr>
        <sz val="10"/>
        <color rgb="FF000000"/>
        <rFont val="Arial"/>
        <family val="0"/>
        <charset val="1"/>
      </rPr>
      <t xml:space="preserve">69.6%</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</si>
  <si>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SRC_ZP_136</t>
  </si>
  <si>
    <t xml:space="preserve">gp_techsvc_fy25</t>
  </si>
  <si>
    <t xml:space="preserve">技術服務及其他毛利</t>
  </si>
  <si>
    <r>
      <rPr>
        <sz val="10"/>
        <color rgb="FF000000"/>
        <rFont val="Noto Sans CJK SC"/>
        <family val="2"/>
      </rPr>
      <t xml:space="preserve">公告以百萬元揭露 </t>
    </r>
    <r>
      <rPr>
        <sz val="10"/>
        <color rgb="FF000000"/>
        <rFont val="Arial"/>
        <family val="0"/>
        <charset val="1"/>
      </rPr>
      <t xml:space="preserve">RMB2.3 million</t>
    </r>
    <r>
      <rPr>
        <sz val="10"/>
        <color rgb="FF000000"/>
        <rFont val="Noto Sans CJK SC"/>
        <family val="2"/>
      </rPr>
      <t xml:space="preserve">，毛利率 </t>
    </r>
    <r>
      <rPr>
        <sz val="10"/>
        <color rgb="FF000000"/>
        <rFont val="Arial"/>
        <family val="0"/>
        <charset val="1"/>
      </rPr>
      <t xml:space="preserve">92.0%</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</si>
  <si>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SRC_ZP_137</t>
  </si>
  <si>
    <t xml:space="preserve">gp_techsvc_fy24</t>
  </si>
  <si>
    <r>
      <rPr>
        <sz val="10"/>
        <color rgb="FF000000"/>
        <rFont val="Noto Sans CJK SC"/>
        <family val="2"/>
      </rPr>
      <t xml:space="preserve">公告以百萬元揭露 </t>
    </r>
    <r>
      <rPr>
        <sz val="10"/>
        <color rgb="FF000000"/>
        <rFont val="Arial"/>
        <family val="0"/>
        <charset val="1"/>
      </rPr>
      <t xml:space="preserve">RMB1.7 million</t>
    </r>
    <r>
      <rPr>
        <sz val="10"/>
        <color rgb="FF000000"/>
        <rFont val="Noto Sans CJK SC"/>
        <family val="2"/>
      </rPr>
      <t xml:space="preserve">，毛利率 </t>
    </r>
    <r>
      <rPr>
        <sz val="10"/>
        <color rgb="FF000000"/>
        <rFont val="Arial"/>
        <family val="0"/>
        <charset val="1"/>
      </rPr>
      <t xml:space="preserve">89.5%</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</si>
  <si>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SRC_ZP_138</t>
  </si>
  <si>
    <t xml:space="preserve">gp_cloud_fy24_b</t>
  </si>
  <si>
    <t xml:space="preserve">雲端部署毛利率</t>
  </si>
  <si>
    <r>
      <rPr>
        <sz val="10"/>
        <color rgb="FF000000"/>
        <rFont val="Noto Sans CJK SC"/>
        <family val="2"/>
      </rPr>
      <t xml:space="preserve">年度業績公告 </t>
    </r>
    <r>
      <rPr>
        <sz val="10"/>
        <color rgb="FF000000"/>
        <rFont val="Arial"/>
        <family val="0"/>
        <charset val="1"/>
      </rPr>
      <t xml:space="preserve">3.3%</t>
    </r>
    <r>
      <rPr>
        <sz val="10"/>
        <color rgb="FF000000"/>
        <rFont val="Noto Sans CJK SC"/>
        <family val="2"/>
      </rPr>
      <t xml:space="preserve">；招股章程為 </t>
    </r>
    <r>
      <rPr>
        <sz val="10"/>
        <color rgb="FF000000"/>
        <rFont val="Arial"/>
        <family val="0"/>
        <charset val="1"/>
      </rPr>
      <t xml:space="preserve">3.4%</t>
    </r>
    <r>
      <rPr>
        <sz val="10"/>
        <color rgb="FF000000"/>
        <rFont val="Noto Sans CJK SC"/>
        <family val="2"/>
      </rPr>
      <t xml:space="preserve">（</t>
    </r>
    <r>
      <rPr>
        <sz val="10"/>
        <color rgb="FF000000"/>
        <rFont val="Arial"/>
        <family val="0"/>
        <charset val="1"/>
      </rPr>
      <t xml:space="preserve">1,633/48,484</t>
    </r>
    <r>
      <rPr>
        <sz val="10"/>
        <color rgb="FF000000"/>
        <rFont val="Noto Sans CJK SC"/>
        <family val="2"/>
      </rPr>
      <t xml:space="preserve">＝</t>
    </r>
    <r>
      <rPr>
        <sz val="10"/>
        <color rgb="FF000000"/>
        <rFont val="Arial"/>
        <family val="0"/>
        <charset val="1"/>
      </rPr>
      <t xml:space="preserve">3.37%</t>
    </r>
    <r>
      <rPr>
        <sz val="10"/>
        <color rgb="FF000000"/>
        <rFont val="Noto Sans CJK SC"/>
        <family val="2"/>
      </rPr>
      <t xml:space="preserve">，四捨五入差異）</t>
    </r>
  </si>
  <si>
    <t xml:space="preserve">SRC_ZP_139</t>
  </si>
  <si>
    <t xml:space="preserve">rd_fy25</t>
  </si>
  <si>
    <r>
      <rPr>
        <sz val="10"/>
        <color rgb="FF000000"/>
        <rFont val="Noto Sans CJK SC"/>
        <family val="2"/>
      </rPr>
      <t xml:space="preserve">原文「</t>
    </r>
    <r>
      <rPr>
        <sz val="10"/>
        <color rgb="FF000000"/>
        <rFont val="Arial"/>
        <family val="0"/>
        <charset val="1"/>
      </rPr>
      <t xml:space="preserve">R&amp;D</t>
    </r>
    <r>
      <rPr>
        <sz val="10"/>
        <color rgb="FF000000"/>
        <rFont val="Noto Sans CJK SC"/>
        <family val="2"/>
      </rPr>
      <t xml:space="preserve">」；千元值 </t>
    </r>
    <r>
      <rPr>
        <sz val="10"/>
        <color rgb="FF000000"/>
        <rFont val="Arial"/>
        <family val="0"/>
        <charset val="1"/>
      </rPr>
      <t xml:space="preserve">3,180,443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換算成億；原文稱員工成本（含股權報酬）與第三方算力服務費增加，未揭露組成金額</t>
    </r>
  </si>
  <si>
    <t xml:space="preserve">SRC_ZP_140</t>
  </si>
  <si>
    <t xml:space="preserve">sm_fy25</t>
  </si>
  <si>
    <r>
      <rPr>
        <sz val="10"/>
        <color rgb="FF000000"/>
        <rFont val="Noto Sans CJK SC"/>
        <family val="2"/>
      </rPr>
      <t xml:space="preserve">原文「</t>
    </r>
    <r>
      <rPr>
        <sz val="10"/>
        <color rgb="FF000000"/>
        <rFont val="Arial"/>
        <family val="0"/>
        <charset val="1"/>
      </rPr>
      <t xml:space="preserve">Selling and marketing</t>
    </r>
    <r>
      <rPr>
        <sz val="10"/>
        <color rgb="FF000000"/>
        <rFont val="Noto Sans CJK SC"/>
        <family val="2"/>
      </rPr>
      <t xml:space="preserve">」；千元值 </t>
    </r>
    <r>
      <rPr>
        <sz val="10"/>
        <color rgb="FF000000"/>
        <rFont val="Arial"/>
        <family val="0"/>
        <charset val="1"/>
      </rPr>
      <t xml:space="preserve">390,869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</si>
  <si>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SRC_ZP_141</t>
  </si>
  <si>
    <t xml:space="preserve">ga_fy25</t>
  </si>
  <si>
    <r>
      <rPr>
        <sz val="10"/>
        <color rgb="FF000000"/>
        <rFont val="Noto Sans CJK SC"/>
        <family val="2"/>
      </rPr>
      <t xml:space="preserve">原文「</t>
    </r>
    <r>
      <rPr>
        <sz val="10"/>
        <color rgb="FF000000"/>
        <rFont val="Arial"/>
        <family val="0"/>
        <charset val="1"/>
      </rPr>
      <t xml:space="preserve">General and administration</t>
    </r>
    <r>
      <rPr>
        <sz val="10"/>
        <color rgb="FF000000"/>
        <rFont val="Noto Sans CJK SC"/>
        <family val="2"/>
      </rPr>
      <t xml:space="preserve">」；千元值 </t>
    </r>
    <r>
      <rPr>
        <sz val="10"/>
        <color rgb="FF000000"/>
        <rFont val="Arial"/>
        <family val="0"/>
        <charset val="1"/>
      </rPr>
      <t xml:space="preserve">505,357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</si>
  <si>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SRC_ZP_142</t>
  </si>
  <si>
    <t xml:space="preserve">sbc_fy25</t>
  </si>
  <si>
    <r>
      <rPr>
        <sz val="10"/>
        <color rgb="FF000000"/>
        <rFont val="Noto Sans CJK SC"/>
        <family val="2"/>
      </rPr>
      <t xml:space="preserve">原文「</t>
    </r>
    <r>
      <rPr>
        <sz val="10"/>
        <color rgb="FF000000"/>
        <rFont val="Arial"/>
        <family val="0"/>
        <charset val="1"/>
      </rPr>
      <t xml:space="preserve">equity-settled share-based compensation</t>
    </r>
    <r>
      <rPr>
        <sz val="10"/>
        <color rgb="FF000000"/>
        <rFont val="Noto Sans CJK SC"/>
        <family val="2"/>
      </rPr>
      <t xml:space="preserve">」；千元值 </t>
    </r>
    <r>
      <rPr>
        <sz val="10"/>
        <color rgb="FF000000"/>
        <rFont val="Arial"/>
        <family val="0"/>
        <charset val="1"/>
      </rPr>
      <t xml:space="preserve">558,265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</si>
  <si>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SRC_ZP_143</t>
  </si>
  <si>
    <t xml:space="preserve">other_inc_fy25</t>
  </si>
  <si>
    <r>
      <rPr>
        <sz val="10"/>
        <color rgb="FF000000"/>
        <rFont val="Noto Sans CJK SC"/>
        <family val="2"/>
      </rPr>
      <t xml:space="preserve">原文「</t>
    </r>
    <r>
      <rPr>
        <sz val="10"/>
        <color rgb="FF000000"/>
        <rFont val="Arial"/>
        <family val="0"/>
        <charset val="1"/>
      </rPr>
      <t xml:space="preserve">decreased from RMB19.3 million…to RMB14.8 million</t>
    </r>
    <r>
      <rPr>
        <sz val="10"/>
        <color rgb="FF000000"/>
        <rFont val="Noto Sans CJK SC"/>
        <family val="2"/>
      </rPr>
      <t xml:space="preserve">」；千元值 </t>
    </r>
    <r>
      <rPr>
        <sz val="10"/>
        <color rgb="FF000000"/>
        <rFont val="Arial"/>
        <family val="0"/>
        <charset val="1"/>
      </rPr>
      <t xml:space="preserve">14,839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</si>
  <si>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SRC_ZP_144</t>
  </si>
  <si>
    <t xml:space="preserve">fin_cost_fy25</t>
  </si>
  <si>
    <t xml:space="preserve">財務成本</t>
  </si>
  <si>
    <r>
      <rPr>
        <sz val="10"/>
        <color rgb="FF000000"/>
        <rFont val="Noto Sans CJK SC"/>
        <family val="2"/>
      </rPr>
      <t xml:space="preserve">原文「</t>
    </r>
    <r>
      <rPr>
        <sz val="10"/>
        <color rgb="FF000000"/>
        <rFont val="Arial"/>
        <family val="0"/>
        <charset val="1"/>
      </rPr>
      <t xml:space="preserve">Finance costs</t>
    </r>
    <r>
      <rPr>
        <sz val="10"/>
        <color rgb="FF000000"/>
        <rFont val="Noto Sans CJK SC"/>
        <family val="2"/>
      </rPr>
      <t xml:space="preserve">」；千元值 </t>
    </r>
    <r>
      <rPr>
        <sz val="10"/>
        <color rgb="FF000000"/>
        <rFont val="Arial"/>
        <family val="0"/>
        <charset val="1"/>
      </rPr>
      <t xml:space="preserve">74,315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換算成億；公告稱由匯兌淨收益轉為淨損失</t>
    </r>
  </si>
  <si>
    <t xml:space="preserve">SRC_ZP_145</t>
  </si>
  <si>
    <t xml:space="preserve">net_loss_fy25</t>
  </si>
  <si>
    <t xml:space="preserve">年內虧損</t>
  </si>
  <si>
    <r>
      <rPr>
        <sz val="10"/>
        <color rgb="FF000000"/>
        <rFont val="Noto Sans CJK SC"/>
        <family val="2"/>
      </rPr>
      <t xml:space="preserve">原文「</t>
    </r>
    <r>
      <rPr>
        <sz val="10"/>
        <color rgb="FF000000"/>
        <rFont val="Arial"/>
        <family val="0"/>
        <charset val="1"/>
      </rPr>
      <t xml:space="preserve">Loss for the year</t>
    </r>
    <r>
      <rPr>
        <sz val="10"/>
        <color rgb="FF000000"/>
        <rFont val="Noto Sans CJK SC"/>
        <family val="2"/>
      </rPr>
      <t xml:space="preserve">」；千元值 </t>
    </r>
    <r>
      <rPr>
        <sz val="10"/>
        <color rgb="FF000000"/>
        <rFont val="Arial"/>
        <family val="0"/>
        <charset val="1"/>
      </rPr>
      <t xml:space="preserve">4,718,167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換算成億；歸母 </t>
    </r>
    <r>
      <rPr>
        <sz val="10"/>
        <color rgb="FF000000"/>
        <rFont val="Arial"/>
        <family val="0"/>
        <charset val="1"/>
      </rPr>
      <t xml:space="preserve">4,698,203</t>
    </r>
    <r>
      <rPr>
        <sz val="10"/>
        <color rgb="FF000000"/>
        <rFont val="Noto Sans CJK SC"/>
        <family val="2"/>
      </rPr>
      <t xml:space="preserve">；值以正數記虧損</t>
    </r>
  </si>
  <si>
    <t xml:space="preserve">SRC_ZP_146</t>
  </si>
  <si>
    <t xml:space="preserve">adj_loss_fy25</t>
  </si>
  <si>
    <r>
      <rPr>
        <sz val="10"/>
        <color rgb="FF000000"/>
        <rFont val="Noto Sans CJK SC"/>
        <family val="2"/>
      </rPr>
      <t xml:space="preserve">原文「</t>
    </r>
    <r>
      <rPr>
        <sz val="10"/>
        <color rgb="FF000000"/>
        <rFont val="Arial"/>
        <family val="0"/>
        <charset val="1"/>
      </rPr>
      <t xml:space="preserve">Adjusted net loss</t>
    </r>
    <r>
      <rPr>
        <sz val="10"/>
        <color rgb="FF000000"/>
        <rFont val="Noto Sans CJK SC"/>
        <family val="2"/>
      </rPr>
      <t xml:space="preserve">」；千元值 </t>
    </r>
    <r>
      <rPr>
        <sz val="10"/>
        <color rgb="FF000000"/>
        <rFont val="Arial"/>
        <family val="0"/>
        <charset val="1"/>
      </rPr>
      <t xml:space="preserve">3,181,972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換算成億；加回股權報酬、投資人金融工具賬面值變動 </t>
    </r>
    <r>
      <rPr>
        <sz val="10"/>
        <color rgb="FF000000"/>
        <rFont val="Arial"/>
        <family val="0"/>
        <charset val="1"/>
      </rPr>
      <t xml:space="preserve">937,362</t>
    </r>
    <r>
      <rPr>
        <sz val="10"/>
        <color rgb="FF000000"/>
        <rFont val="Noto Sans CJK SC"/>
        <family val="2"/>
      </rPr>
      <t xml:space="preserve">、上市開支 </t>
    </r>
    <r>
      <rPr>
        <sz val="10"/>
        <color rgb="FF000000"/>
        <rFont val="Arial"/>
        <family val="0"/>
        <charset val="1"/>
      </rPr>
      <t xml:space="preserve">40,568</t>
    </r>
  </si>
  <si>
    <t xml:space="preserve">SRC_ZP_147</t>
  </si>
  <si>
    <t xml:space="preserve">fv_investor_instr_fy25</t>
  </si>
  <si>
    <t xml:space="preserve">投資人金融工具賬面值變動（調整項）</t>
  </si>
  <si>
    <r>
      <rPr>
        <sz val="10"/>
        <color rgb="FF000000"/>
        <rFont val="Noto Sans CJK SC"/>
        <family val="2"/>
      </rPr>
      <t xml:space="preserve">原文「</t>
    </r>
    <r>
      <rPr>
        <sz val="10"/>
        <color rgb="FF000000"/>
        <rFont val="Arial"/>
        <family val="0"/>
        <charset val="1"/>
      </rPr>
      <t xml:space="preserve">changes in carrying amount of financial instruments issued to investors</t>
    </r>
    <r>
      <rPr>
        <sz val="10"/>
        <color rgb="FF000000"/>
        <rFont val="Noto Sans CJK SC"/>
        <family val="2"/>
      </rPr>
      <t xml:space="preserve">」；千元值 </t>
    </r>
    <r>
      <rPr>
        <sz val="10"/>
        <color rgb="FF000000"/>
        <rFont val="Arial"/>
        <family val="0"/>
        <charset val="1"/>
      </rPr>
      <t xml:space="preserve">937,362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</si>
  <si>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SRC_ZP_148</t>
  </si>
  <si>
    <t xml:space="preserve">fv_investor_instr_fy24</t>
  </si>
  <si>
    <r>
      <rPr>
        <sz val="10"/>
        <color rgb="FF000000"/>
        <rFont val="Noto Sans CJK SC"/>
        <family val="2"/>
      </rPr>
      <t xml:space="preserve">原文「</t>
    </r>
    <r>
      <rPr>
        <sz val="10"/>
        <color rgb="FF000000"/>
        <rFont val="Arial"/>
        <family val="0"/>
        <charset val="1"/>
      </rPr>
      <t xml:space="preserve">changes in carrying amount of financial instruments issued to investors</t>
    </r>
    <r>
      <rPr>
        <sz val="10"/>
        <color rgb="FF000000"/>
        <rFont val="Noto Sans CJK SC"/>
        <family val="2"/>
      </rPr>
      <t xml:space="preserve">」；千元值 </t>
    </r>
    <r>
      <rPr>
        <sz val="10"/>
        <color rgb="FF000000"/>
        <rFont val="Arial"/>
        <family val="0"/>
        <charset val="1"/>
      </rPr>
      <t xml:space="preserve">468,859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</si>
  <si>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SRC_ZP_149</t>
  </si>
  <si>
    <t xml:space="preserve">capex_fy25</t>
  </si>
  <si>
    <t xml:space="preserve">資本開支</t>
  </si>
  <si>
    <r>
      <rPr>
        <sz val="10"/>
        <color rgb="FF000000"/>
        <rFont val="Noto Sans CJK SC"/>
        <family val="2"/>
      </rPr>
      <t xml:space="preserve">原文「</t>
    </r>
    <r>
      <rPr>
        <sz val="10"/>
        <color rgb="FF000000"/>
        <rFont val="Arial"/>
        <family val="0"/>
        <charset val="1"/>
      </rPr>
      <t xml:space="preserve">capital expenditure in 2025 was approximately RMB74.7 million</t>
    </r>
    <r>
      <rPr>
        <sz val="10"/>
        <color rgb="FF000000"/>
        <rFont val="Noto Sans CJK SC"/>
        <family val="2"/>
      </rPr>
      <t xml:space="preserve">」；公告稱由租賃轉為採購服務；百萬</t>
    </r>
    <r>
      <rPr>
        <sz val="10"/>
        <color rgb="FF000000"/>
        <rFont val="Arial"/>
        <family val="0"/>
        <charset val="1"/>
      </rPr>
      <t xml:space="preserve">÷100</t>
    </r>
  </si>
  <si>
    <t xml:space="preserve">SRC_ZP_150</t>
  </si>
  <si>
    <t xml:space="preserve">capex_fy24</t>
  </si>
  <si>
    <r>
      <rPr>
        <sz val="10"/>
        <color rgb="FF000000"/>
        <rFont val="Noto Sans CJK SC"/>
        <family val="2"/>
      </rPr>
      <t xml:space="preserve">年度業績公告比較數 </t>
    </r>
    <r>
      <rPr>
        <sz val="10"/>
        <color rgb="FF000000"/>
        <rFont val="Arial"/>
        <family val="0"/>
        <charset val="1"/>
      </rPr>
      <t xml:space="preserve">RMB462.3 million</t>
    </r>
    <r>
      <rPr>
        <sz val="10"/>
        <color rgb="FF000000"/>
        <rFont val="Noto Sans CJK SC"/>
        <family val="2"/>
      </rPr>
      <t xml:space="preserve">；百萬</t>
    </r>
    <r>
      <rPr>
        <sz val="10"/>
        <color rgb="FF000000"/>
        <rFont val="Arial"/>
        <family val="0"/>
        <charset val="1"/>
      </rPr>
      <t xml:space="preserve">÷100</t>
    </r>
    <r>
      <rPr>
        <sz val="10"/>
        <color rgb="FF000000"/>
        <rFont val="Noto Sans CJK SC"/>
        <family val="2"/>
      </rPr>
      <t xml:space="preserve">；【</t>
    </r>
    <r>
      <rPr>
        <sz val="10"/>
        <color rgb="FF000000"/>
        <rFont val="Arial"/>
        <family val="0"/>
        <charset val="1"/>
      </rPr>
      <t xml:space="preserve">r2 P2 </t>
    </r>
    <r>
      <rPr>
        <sz val="10"/>
        <color rgb="FF000000"/>
        <rFont val="Noto Sans CJK SC"/>
        <family val="2"/>
      </rPr>
      <t xml:space="preserve">口徑差異】公告「資本開支」＝物業及設備添置（含使用權資產 </t>
    </r>
    <r>
      <rPr>
        <sz val="10"/>
        <color rgb="FF000000"/>
        <rFont val="Arial"/>
        <family val="0"/>
        <charset val="1"/>
      </rPr>
      <t xml:space="preserve">3.37 </t>
    </r>
    <r>
      <rPr>
        <sz val="10"/>
        <color rgb="FF000000"/>
        <rFont val="Noto Sans CJK SC"/>
        <family val="2"/>
      </rPr>
      <t xml:space="preserve">億）＋無形資產添置，屬權責口徑；現金資本開支 </t>
    </r>
    <r>
      <rPr>
        <sz val="10"/>
        <color rgb="FF000000"/>
        <rFont val="Arial"/>
        <family val="0"/>
        <charset val="1"/>
      </rPr>
      <t xml:space="preserve">1.33 </t>
    </r>
    <r>
      <rPr>
        <sz val="10"/>
        <color rgb="FF000000"/>
        <rFont val="Noto Sans CJK SC"/>
        <family val="2"/>
      </rPr>
      <t xml:space="preserve">億見 </t>
    </r>
    <r>
      <rPr>
        <sz val="10"/>
        <color rgb="FF000000"/>
        <rFont val="Arial"/>
        <family val="0"/>
        <charset val="1"/>
      </rPr>
      <t xml:space="preserve">SRC_ZP_889</t>
    </r>
  </si>
  <si>
    <t xml:space="preserve">SRC_ZP_151</t>
  </si>
  <si>
    <t xml:space="preserve">cash_end_fy25</t>
  </si>
  <si>
    <t xml:space="preserve">年末現金及現金等價物</t>
  </si>
  <si>
    <r>
      <rPr>
        <sz val="10"/>
        <color rgb="FF000000"/>
        <rFont val="Noto Sans CJK SC"/>
        <family val="2"/>
      </rPr>
      <t xml:space="preserve">原文「</t>
    </r>
    <r>
      <rPr>
        <sz val="10"/>
        <color rgb="FF000000"/>
        <rFont val="Arial"/>
        <family val="0"/>
        <charset val="1"/>
      </rPr>
      <t xml:space="preserve">Cash and cash equivalents</t>
    </r>
    <r>
      <rPr>
        <sz val="10"/>
        <color rgb="FF000000"/>
        <rFont val="Noto Sans CJK SC"/>
        <family val="2"/>
      </rPr>
      <t xml:space="preserve">」；千元值 </t>
    </r>
    <r>
      <rPr>
        <sz val="10"/>
        <color rgb="FF000000"/>
        <rFont val="Arial"/>
        <family val="0"/>
        <charset val="1"/>
      </rPr>
      <t xml:space="preserve">2,259,147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2024 </t>
    </r>
    <r>
      <rPr>
        <sz val="10"/>
        <color rgb="FF000000"/>
        <rFont val="Noto Sans CJK SC"/>
        <family val="2"/>
      </rPr>
      <t xml:space="preserve">值與招股章程 </t>
    </r>
    <r>
      <rPr>
        <sz val="10"/>
        <color rgb="FF000000"/>
        <rFont val="Arial"/>
        <family val="0"/>
        <charset val="1"/>
      </rPr>
      <t xml:space="preserve">2,268,164 </t>
    </r>
    <r>
      <rPr>
        <sz val="10"/>
        <color rgb="FF000000"/>
        <rFont val="Noto Sans CJK SC"/>
        <family val="2"/>
      </rPr>
      <t xml:space="preserve">不一致，見 </t>
    </r>
    <r>
      <rPr>
        <sz val="10"/>
        <color rgb="FF000000"/>
        <rFont val="Arial"/>
        <family val="0"/>
        <charset val="1"/>
      </rPr>
      <t xml:space="preserve">cash_end_fy24</t>
    </r>
    <r>
      <rPr>
        <sz val="10"/>
        <color rgb="FF000000"/>
        <rFont val="Noto Sans CJK SC"/>
        <family val="2"/>
      </rPr>
      <t xml:space="preserve">（招股章程）</t>
    </r>
  </si>
  <si>
    <t xml:space="preserve">SRC_ZP_152</t>
  </si>
  <si>
    <t xml:space="preserve">cash_end_fy24_b</t>
  </si>
  <si>
    <r>
      <rPr>
        <sz val="10"/>
        <color rgb="FF000000"/>
        <rFont val="Noto Sans CJK SC"/>
        <family val="2"/>
      </rPr>
      <t xml:space="preserve">原文「</t>
    </r>
    <r>
      <rPr>
        <sz val="10"/>
        <color rgb="FF000000"/>
        <rFont val="Arial"/>
        <family val="0"/>
        <charset val="1"/>
      </rPr>
      <t xml:space="preserve">Cash and cash equivalents</t>
    </r>
    <r>
      <rPr>
        <sz val="10"/>
        <color rgb="FF000000"/>
        <rFont val="Noto Sans CJK SC"/>
        <family val="2"/>
      </rPr>
      <t xml:space="preserve">」；千元值 </t>
    </r>
    <r>
      <rPr>
        <sz val="10"/>
        <color rgb="FF000000"/>
        <rFont val="Arial"/>
        <family val="0"/>
        <charset val="1"/>
      </rPr>
      <t xml:space="preserve">2,269,222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2024 </t>
    </r>
    <r>
      <rPr>
        <sz val="10"/>
        <color rgb="FF000000"/>
        <rFont val="Noto Sans CJK SC"/>
        <family val="2"/>
      </rPr>
      <t xml:space="preserve">值與招股章程 </t>
    </r>
    <r>
      <rPr>
        <sz val="10"/>
        <color rgb="FF000000"/>
        <rFont val="Arial"/>
        <family val="0"/>
        <charset val="1"/>
      </rPr>
      <t xml:space="preserve">2,268,164 </t>
    </r>
    <r>
      <rPr>
        <sz val="10"/>
        <color rgb="FF000000"/>
        <rFont val="Noto Sans CJK SC"/>
        <family val="2"/>
      </rPr>
      <t xml:space="preserve">不一致，見 </t>
    </r>
    <r>
      <rPr>
        <sz val="10"/>
        <color rgb="FF000000"/>
        <rFont val="Arial"/>
        <family val="0"/>
        <charset val="1"/>
      </rPr>
      <t xml:space="preserve">cash_end_fy24</t>
    </r>
    <r>
      <rPr>
        <sz val="10"/>
        <color rgb="FF000000"/>
        <rFont val="Noto Sans CJK SC"/>
        <family val="2"/>
      </rPr>
      <t xml:space="preserve">（招股章程）；與招股章程 </t>
    </r>
    <r>
      <rPr>
        <sz val="10"/>
        <color rgb="FF000000"/>
        <rFont val="Arial"/>
        <family val="0"/>
        <charset val="1"/>
      </rPr>
      <t xml:space="preserve">2,268,164 </t>
    </r>
    <r>
      <rPr>
        <sz val="10"/>
        <color rgb="FF000000"/>
        <rFont val="Noto Sans CJK SC"/>
        <family val="2"/>
      </rPr>
      <t xml:space="preserve">差 </t>
    </r>
    <r>
      <rPr>
        <sz val="10"/>
        <color rgb="FF000000"/>
        <rFont val="Arial"/>
        <family val="0"/>
        <charset val="1"/>
      </rPr>
      <t xml:space="preserve">1,058 </t>
    </r>
    <r>
      <rPr>
        <sz val="10"/>
        <color rgb="FF000000"/>
        <rFont val="Noto Sans CJK SC"/>
        <family val="2"/>
      </rPr>
      <t xml:space="preserve">千元，原因未明（可能重分類）</t>
    </r>
  </si>
  <si>
    <t xml:space="preserve">SRC_ZP_153</t>
  </si>
  <si>
    <t xml:space="preserve">time_dep_fy25</t>
  </si>
  <si>
    <t xml:space="preserve">定期存款（流動）</t>
  </si>
  <si>
    <r>
      <rPr>
        <sz val="10"/>
        <color rgb="FF000000"/>
        <rFont val="Arial"/>
        <family val="0"/>
        <charset val="1"/>
      </rPr>
      <t xml:space="preserve">time deposits current 108,593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</si>
  <si>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SRC_ZP_154</t>
  </si>
  <si>
    <t xml:space="preserve">time_dep_fy24</t>
  </si>
  <si>
    <t xml:space="preserve">定期存款（非流動）</t>
  </si>
  <si>
    <r>
      <rPr>
        <sz val="10"/>
        <color rgb="FF000000"/>
        <rFont val="Arial"/>
        <family val="0"/>
        <charset val="1"/>
      </rPr>
      <t xml:space="preserve">time deposits non-current 105,343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</si>
  <si>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SRC_ZP_155</t>
  </si>
  <si>
    <t xml:space="preserve">bank_loans_fy25</t>
  </si>
  <si>
    <t xml:space="preserve">銀行貸款合計</t>
  </si>
  <si>
    <r>
      <rPr>
        <sz val="10"/>
        <color rgb="FF000000"/>
        <rFont val="Noto Sans CJK SC"/>
        <family val="2"/>
      </rPr>
      <t xml:space="preserve">原文「</t>
    </r>
    <r>
      <rPr>
        <sz val="10"/>
        <color rgb="FF000000"/>
        <rFont val="Arial"/>
        <family val="0"/>
        <charset val="1"/>
      </rPr>
      <t xml:space="preserve">All relevant borrowings are interest-bearing</t>
    </r>
    <r>
      <rPr>
        <sz val="10"/>
        <color rgb="FF000000"/>
        <rFont val="Noto Sans CJK SC"/>
        <family val="2"/>
      </rPr>
      <t xml:space="preserve">」；千元值 </t>
    </r>
    <r>
      <rPr>
        <sz val="10"/>
        <color rgb="FF000000"/>
        <rFont val="Arial"/>
        <family val="0"/>
        <charset val="1"/>
      </rPr>
      <t xml:space="preserve">689,452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流動 </t>
    </r>
    <r>
      <rPr>
        <sz val="10"/>
        <color rgb="FF000000"/>
        <rFont val="Arial"/>
        <family val="0"/>
        <charset val="1"/>
      </rPr>
      <t xml:space="preserve">604,836</t>
    </r>
    <r>
      <rPr>
        <sz val="10"/>
        <color rgb="FF000000"/>
        <rFont val="Noto Sans CJK SC"/>
        <family val="2"/>
      </rPr>
      <t xml:space="preserve">＋非流動 </t>
    </r>
    <r>
      <rPr>
        <sz val="10"/>
        <color rgb="FF000000"/>
        <rFont val="Arial"/>
        <family val="0"/>
        <charset val="1"/>
      </rPr>
      <t xml:space="preserve">84,616</t>
    </r>
    <r>
      <rPr>
        <sz val="10"/>
        <color rgb="FF000000"/>
        <rFont val="Noto Sans CJK SC"/>
        <family val="2"/>
      </rPr>
      <t xml:space="preserve">；</t>
    </r>
    <r>
      <rPr>
        <sz val="10"/>
        <color rgb="FF000000"/>
        <rFont val="Arial"/>
        <family val="0"/>
        <charset val="1"/>
      </rPr>
      <t xml:space="preserve">2024 </t>
    </r>
    <r>
      <rPr>
        <sz val="10"/>
        <color rgb="FF000000"/>
        <rFont val="Noto Sans CJK SC"/>
        <family val="2"/>
      </rPr>
      <t xml:space="preserve">全為流動；利率、到期未揭露；主要為人民幣、無抵押</t>
    </r>
  </si>
  <si>
    <t xml:space="preserve">SRC_ZP_156</t>
  </si>
  <si>
    <t xml:space="preserve">bank_loans_fy24</t>
  </si>
  <si>
    <r>
      <rPr>
        <sz val="10"/>
        <color rgb="FF000000"/>
        <rFont val="Noto Sans CJK SC"/>
        <family val="2"/>
      </rPr>
      <t xml:space="preserve">原文「</t>
    </r>
    <r>
      <rPr>
        <sz val="10"/>
        <color rgb="FF000000"/>
        <rFont val="Arial"/>
        <family val="0"/>
        <charset val="1"/>
      </rPr>
      <t xml:space="preserve">All relevant borrowings are interest-bearing</t>
    </r>
    <r>
      <rPr>
        <sz val="10"/>
        <color rgb="FF000000"/>
        <rFont val="Noto Sans CJK SC"/>
        <family val="2"/>
      </rPr>
      <t xml:space="preserve">」；千元值 </t>
    </r>
    <r>
      <rPr>
        <sz val="10"/>
        <color rgb="FF000000"/>
        <rFont val="Arial"/>
        <family val="0"/>
        <charset val="1"/>
      </rPr>
      <t xml:space="preserve">137,246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流動 </t>
    </r>
    <r>
      <rPr>
        <sz val="10"/>
        <color rgb="FF000000"/>
        <rFont val="Arial"/>
        <family val="0"/>
        <charset val="1"/>
      </rPr>
      <t xml:space="preserve">604,836</t>
    </r>
    <r>
      <rPr>
        <sz val="10"/>
        <color rgb="FF000000"/>
        <rFont val="Noto Sans CJK SC"/>
        <family val="2"/>
      </rPr>
      <t xml:space="preserve">＋非流動 </t>
    </r>
    <r>
      <rPr>
        <sz val="10"/>
        <color rgb="FF000000"/>
        <rFont val="Arial"/>
        <family val="0"/>
        <charset val="1"/>
      </rPr>
      <t xml:space="preserve">84,616</t>
    </r>
    <r>
      <rPr>
        <sz val="10"/>
        <color rgb="FF000000"/>
        <rFont val="Noto Sans CJK SC"/>
        <family val="2"/>
      </rPr>
      <t xml:space="preserve">；</t>
    </r>
    <r>
      <rPr>
        <sz val="10"/>
        <color rgb="FF000000"/>
        <rFont val="Arial"/>
        <family val="0"/>
        <charset val="1"/>
      </rPr>
      <t xml:space="preserve">2024 </t>
    </r>
    <r>
      <rPr>
        <sz val="10"/>
        <color rgb="FF000000"/>
        <rFont val="Noto Sans CJK SC"/>
        <family val="2"/>
      </rPr>
      <t xml:space="preserve">全為流動；利率、到期未揭露；主要為人民幣、無抵押</t>
    </r>
  </si>
  <si>
    <t xml:space="preserve">SRC_ZP_157</t>
  </si>
  <si>
    <t xml:space="preserve">lease_liab_fy25</t>
  </si>
  <si>
    <t xml:space="preserve">租賃負債</t>
  </si>
  <si>
    <r>
      <rPr>
        <sz val="10"/>
        <color rgb="FF000000"/>
        <rFont val="Noto Sans CJK SC"/>
        <family val="2"/>
      </rPr>
      <t xml:space="preserve">原文「</t>
    </r>
    <r>
      <rPr>
        <sz val="10"/>
        <color rgb="FF000000"/>
        <rFont val="Arial"/>
        <family val="0"/>
        <charset val="1"/>
      </rPr>
      <t xml:space="preserve">Lease liabilities</t>
    </r>
    <r>
      <rPr>
        <sz val="10"/>
        <color rgb="FF000000"/>
        <rFont val="Noto Sans CJK SC"/>
        <family val="2"/>
      </rPr>
      <t xml:space="preserve">」；千元值 </t>
    </r>
    <r>
      <rPr>
        <sz val="10"/>
        <color rgb="FF000000"/>
        <rFont val="Arial"/>
        <family val="0"/>
        <charset val="1"/>
      </rPr>
      <t xml:space="preserve">545,143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</si>
  <si>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SRC_ZP_158</t>
  </si>
  <si>
    <t xml:space="preserve">lease_liab_fy24</t>
  </si>
  <si>
    <r>
      <rPr>
        <sz val="10"/>
        <color rgb="FF000000"/>
        <rFont val="Noto Sans CJK SC"/>
        <family val="2"/>
      </rPr>
      <t xml:space="preserve">原文「</t>
    </r>
    <r>
      <rPr>
        <sz val="10"/>
        <color rgb="FF000000"/>
        <rFont val="Arial"/>
        <family val="0"/>
        <charset val="1"/>
      </rPr>
      <t xml:space="preserve">Lease liabilities</t>
    </r>
    <r>
      <rPr>
        <sz val="10"/>
        <color rgb="FF000000"/>
        <rFont val="Noto Sans CJK SC"/>
        <family val="2"/>
      </rPr>
      <t xml:space="preserve">」；千元值 </t>
    </r>
    <r>
      <rPr>
        <sz val="10"/>
        <color rgb="FF000000"/>
        <rFont val="Arial"/>
        <family val="0"/>
        <charset val="1"/>
      </rPr>
      <t xml:space="preserve">671,268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</si>
  <si>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SRC_ZP_159</t>
  </si>
  <si>
    <t xml:space="preserve">conv_bonds_fy24</t>
  </si>
  <si>
    <t xml:space="preserve">可轉換債券</t>
  </si>
  <si>
    <r>
      <rPr>
        <sz val="10"/>
        <color rgb="FF000000"/>
        <rFont val="Noto Sans CJK SC"/>
        <family val="2"/>
      </rPr>
      <t xml:space="preserve">原文「</t>
    </r>
    <r>
      <rPr>
        <sz val="10"/>
        <color rgb="FF000000"/>
        <rFont val="Arial"/>
        <family val="0"/>
        <charset val="1"/>
      </rPr>
      <t xml:space="preserve">convertible bonds</t>
    </r>
    <r>
      <rPr>
        <sz val="10"/>
        <color rgb="FF000000"/>
        <rFont val="Noto Sans CJK SC"/>
        <family val="2"/>
      </rPr>
      <t xml:space="preserve">」；千元值 </t>
    </r>
    <r>
      <rPr>
        <sz val="10"/>
        <color rgb="FF000000"/>
        <rFont val="Arial"/>
        <family val="0"/>
        <charset val="1"/>
      </rPr>
      <t xml:space="preserve">132,158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年末為零</t>
    </r>
  </si>
  <si>
    <t xml:space="preserve">SRC_ZP_160</t>
  </si>
  <si>
    <t xml:space="preserve">payable_compute_fy25</t>
  </si>
  <si>
    <t xml:space="preserve">應付算力服務費（資產負債表）</t>
  </si>
  <si>
    <r>
      <rPr>
        <sz val="10"/>
        <color rgb="FF000000"/>
        <rFont val="Noto Sans CJK SC"/>
        <family val="2"/>
      </rPr>
      <t xml:space="preserve">原文「</t>
    </r>
    <r>
      <rPr>
        <sz val="10"/>
        <color rgb="FF000000"/>
        <rFont val="Arial"/>
        <family val="0"/>
        <charset val="1"/>
      </rPr>
      <t xml:space="preserve">payables for computing service fees</t>
    </r>
    <r>
      <rPr>
        <sz val="10"/>
        <color rgb="FF000000"/>
        <rFont val="Noto Sans CJK SC"/>
        <family val="2"/>
      </rPr>
      <t xml:space="preserve">」；千元值 </t>
    </r>
    <r>
      <rPr>
        <sz val="10"/>
        <color rgb="FF000000"/>
        <rFont val="Arial"/>
        <family val="0"/>
        <charset val="1"/>
      </rPr>
      <t xml:space="preserve">727,348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換算成億；可作算力採購規模旁證</t>
    </r>
  </si>
  <si>
    <t xml:space="preserve">SRC_ZP_161</t>
  </si>
  <si>
    <t xml:space="preserve">payable_compute_fy24</t>
  </si>
  <si>
    <r>
      <rPr>
        <sz val="10"/>
        <color rgb="FF000000"/>
        <rFont val="Noto Sans CJK SC"/>
        <family val="2"/>
      </rPr>
      <t xml:space="preserve">原文「</t>
    </r>
    <r>
      <rPr>
        <sz val="10"/>
        <color rgb="FF000000"/>
        <rFont val="Arial"/>
        <family val="0"/>
        <charset val="1"/>
      </rPr>
      <t xml:space="preserve">payables for computing service fees</t>
    </r>
    <r>
      <rPr>
        <sz val="10"/>
        <color rgb="FF000000"/>
        <rFont val="Noto Sans CJK SC"/>
        <family val="2"/>
      </rPr>
      <t xml:space="preserve">」；千元值 </t>
    </r>
    <r>
      <rPr>
        <sz val="10"/>
        <color rgb="FF000000"/>
        <rFont val="Arial"/>
        <family val="0"/>
        <charset val="1"/>
      </rPr>
      <t xml:space="preserve">269,467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換算成億；可作算力採購規模旁證</t>
    </r>
  </si>
  <si>
    <t xml:space="preserve">SRC_ZP_162</t>
  </si>
  <si>
    <t xml:space="preserve">employees_fy25</t>
  </si>
  <si>
    <t xml:space="preserve">全職員工人數</t>
  </si>
  <si>
    <t xml:space="preserve">2025-12-31</t>
  </si>
  <si>
    <r>
      <rPr>
        <sz val="10"/>
        <color rgb="FF000000"/>
        <rFont val="Noto Sans CJK SC"/>
        <family val="2"/>
      </rPr>
      <t xml:space="preserve">原文「</t>
    </r>
    <r>
      <rPr>
        <sz val="10"/>
        <color rgb="FF000000"/>
        <rFont val="Arial"/>
        <family val="0"/>
        <charset val="1"/>
      </rPr>
      <t xml:space="preserve">the Company had 1,094 permanent employees</t>
    </r>
    <r>
      <rPr>
        <sz val="10"/>
        <color rgb="FF000000"/>
        <rFont val="Noto Sans CJK SC"/>
        <family val="2"/>
      </rPr>
      <t xml:space="preserve">」</t>
    </r>
  </si>
  <si>
    <t xml:space="preserve">SRC_ZP_163</t>
  </si>
  <si>
    <t xml:space="preserve">remun_fy25</t>
  </si>
  <si>
    <t xml:space="preserve">薪酬總額（含股權報酬）</t>
  </si>
  <si>
    <r>
      <rPr>
        <sz val="10"/>
        <color rgb="FF000000"/>
        <rFont val="Noto Sans CJK SC"/>
        <family val="2"/>
      </rPr>
      <t xml:space="preserve">原文「</t>
    </r>
    <r>
      <rPr>
        <sz val="10"/>
        <color rgb="FF000000"/>
        <rFont val="Arial"/>
        <family val="0"/>
        <charset val="1"/>
      </rPr>
      <t xml:space="preserve">RMB1,363.4 million during the Reporting Period</t>
    </r>
    <r>
      <rPr>
        <sz val="10"/>
        <color rgb="FF000000"/>
        <rFont val="Noto Sans CJK SC"/>
        <family val="2"/>
      </rPr>
      <t xml:space="preserve">」；百萬</t>
    </r>
    <r>
      <rPr>
        <sz val="10"/>
        <color rgb="FF000000"/>
        <rFont val="Arial"/>
        <family val="0"/>
        <charset val="1"/>
      </rPr>
      <t xml:space="preserve">÷100</t>
    </r>
  </si>
  <si>
    <t xml:space="preserve">SRC_ZP_164</t>
  </si>
  <si>
    <t xml:space="preserve">comp_per_head_fy25</t>
  </si>
  <si>
    <t xml:space="preserve">人均薪酬（含股權報酬）</t>
  </si>
  <si>
    <r>
      <rPr>
        <sz val="10"/>
        <color rgb="FF000000"/>
        <rFont val="Arial"/>
        <family val="0"/>
        <charset val="1"/>
      </rPr>
      <t xml:space="preserve">RMB </t>
    </r>
    <r>
      <rPr>
        <sz val="10"/>
        <color rgb="FF000000"/>
        <rFont val="Noto Sans CJK SC"/>
        <family val="2"/>
      </rPr>
      <t xml:space="preserve">億／人</t>
    </r>
  </si>
  <si>
    <t xml:space="preserve">Derived</t>
  </si>
  <si>
    <t xml:space="preserve">2</t>
  </si>
  <si>
    <t xml:space="preserve">推算</t>
  </si>
  <si>
    <r>
      <rPr>
        <sz val="10"/>
        <color rgb="FF000000"/>
        <rFont val="Noto Sans CJK SC"/>
        <family val="2"/>
      </rPr>
      <t xml:space="preserve">由其他 </t>
    </r>
    <r>
      <rPr>
        <sz val="10"/>
        <color rgb="FF000000"/>
        <rFont val="Arial"/>
        <family val="0"/>
        <charset val="1"/>
      </rPr>
      <t xml:space="preserve">SRC </t>
    </r>
    <r>
      <rPr>
        <sz val="10"/>
        <color rgb="FF000000"/>
        <rFont val="Noto Sans CJK SC"/>
        <family val="2"/>
      </rPr>
      <t xml:space="preserve">列推算（見備註）；立場同其來源</t>
    </r>
  </si>
  <si>
    <r>
      <rPr>
        <sz val="10"/>
        <color rgb="FF000000"/>
        <rFont val="Arial"/>
        <family val="0"/>
        <charset val="1"/>
      </rPr>
      <t xml:space="preserve">1,363.4 </t>
    </r>
    <r>
      <rPr>
        <sz val="10"/>
        <color rgb="FF000000"/>
        <rFont val="Noto Sans CJK SC"/>
        <family val="2"/>
      </rPr>
      <t xml:space="preserve">百萬</t>
    </r>
    <r>
      <rPr>
        <sz val="10"/>
        <color rgb="FF000000"/>
        <rFont val="Arial"/>
        <family val="0"/>
        <charset val="1"/>
      </rPr>
      <t xml:space="preserve">÷</t>
    </r>
    <r>
      <rPr>
        <sz val="10"/>
        <color rgb="FF000000"/>
        <rFont val="Noto Sans CJK SC"/>
        <family val="2"/>
      </rPr>
      <t xml:space="preserve">期末人數 </t>
    </r>
    <r>
      <rPr>
        <sz val="10"/>
        <color rgb="FF000000"/>
        <rFont val="Arial"/>
        <family val="0"/>
        <charset val="1"/>
      </rPr>
      <t xml:space="preserve">1,094</t>
    </r>
    <r>
      <rPr>
        <sz val="10"/>
        <color rgb="FF000000"/>
        <rFont val="Noto Sans CJK SC"/>
        <family val="2"/>
      </rPr>
      <t xml:space="preserve">＝約 </t>
    </r>
    <r>
      <rPr>
        <sz val="10"/>
        <color rgb="FF000000"/>
        <rFont val="Arial"/>
        <family val="0"/>
        <charset val="1"/>
      </rPr>
      <t xml:space="preserve">RMB 124.6 </t>
    </r>
    <r>
      <rPr>
        <sz val="10"/>
        <color rgb="FF000000"/>
        <rFont val="Noto Sans CJK SC"/>
        <family val="2"/>
      </rPr>
      <t xml:space="preserve">萬／人；以期末人數計（無平均人數）</t>
    </r>
  </si>
  <si>
    <t xml:space="preserve">SRC_ZP_165</t>
  </si>
  <si>
    <t xml:space="preserve">esop_fy25</t>
  </si>
  <si>
    <t xml:space="preserve">員工激勵計畫</t>
  </si>
  <si>
    <r>
      <rPr>
        <sz val="10"/>
        <color rgb="FF000000"/>
        <rFont val="Noto Sans CJK SC"/>
        <family val="2"/>
      </rPr>
      <t xml:space="preserve">原文「</t>
    </r>
    <r>
      <rPr>
        <sz val="10"/>
        <color rgb="FF000000"/>
        <rFont val="Arial"/>
        <family val="0"/>
        <charset val="1"/>
      </rPr>
      <t xml:space="preserve">adopted the employee incentive scheme and established an employee shareholding platform</t>
    </r>
    <r>
      <rPr>
        <sz val="10"/>
        <color rgb="FF000000"/>
        <rFont val="Noto Sans CJK SC"/>
        <family val="2"/>
      </rPr>
      <t xml:space="preserve">」；條款未揭露</t>
    </r>
  </si>
  <si>
    <t xml:space="preserve">SRC_ZP_166</t>
  </si>
  <si>
    <t xml:space="preserve">api_price_fy25</t>
  </si>
  <si>
    <r>
      <rPr>
        <sz val="10"/>
        <color rgb="FF000000"/>
        <rFont val="Arial"/>
        <family val="0"/>
        <charset val="1"/>
      </rPr>
      <t xml:space="preserve">API </t>
    </r>
    <r>
      <rPr>
        <sz val="10"/>
        <color rgb="FF000000"/>
        <rFont val="Noto Sans CJK SC"/>
        <family val="2"/>
      </rPr>
      <t xml:space="preserve">呼叫價格較上年底上升</t>
    </r>
  </si>
  <si>
    <r>
      <rPr>
        <sz val="10"/>
        <color rgb="FF000000"/>
        <rFont val="Arial"/>
        <family val="0"/>
        <charset val="1"/>
      </rPr>
      <t xml:space="preserve">2026Q1</t>
    </r>
    <r>
      <rPr>
        <sz val="10"/>
        <color rgb="FF000000"/>
        <rFont val="Noto Sans CJK SC"/>
        <family val="2"/>
      </rPr>
      <t xml:space="preserve">（公告時點）</t>
    </r>
  </si>
  <si>
    <t xml:space="preserve">智譜：上市後股價、配售誘因</t>
  </si>
  <si>
    <r>
      <rPr>
        <sz val="10"/>
        <color rgb="FF000000"/>
        <rFont val="Noto Sans CJK SC"/>
        <family val="2"/>
      </rPr>
      <t xml:space="preserve">原文「</t>
    </r>
    <r>
      <rPr>
        <sz val="10"/>
        <color rgb="FF000000"/>
        <rFont val="Arial"/>
        <family val="0"/>
        <charset val="1"/>
      </rPr>
      <t xml:space="preserve">an 83% increase in API call pricing compared to the end of last year</t>
    </r>
    <r>
      <rPr>
        <sz val="10"/>
        <color rgb="FF000000"/>
        <rFont val="Noto Sans CJK SC"/>
        <family val="2"/>
      </rPr>
      <t xml:space="preserve">」</t>
    </r>
  </si>
  <si>
    <t xml:space="preserve">SRC_ZP_167</t>
  </si>
  <si>
    <t xml:space="preserve">codingplan_class_fy25</t>
  </si>
  <si>
    <r>
      <rPr>
        <sz val="10"/>
        <color rgb="FF000000"/>
        <rFont val="Arial"/>
        <family val="0"/>
        <charset val="1"/>
      </rPr>
      <t xml:space="preserve">GLM Coding Plan </t>
    </r>
    <r>
      <rPr>
        <sz val="10"/>
        <color rgb="FF000000"/>
        <rFont val="Noto Sans CJK SC"/>
        <family val="2"/>
      </rPr>
      <t xml:space="preserve">收入歸屬</t>
    </r>
  </si>
  <si>
    <r>
      <rPr>
        <sz val="10"/>
        <color rgb="FF000000"/>
        <rFont val="Noto Sans CJK SC"/>
        <family val="2"/>
      </rPr>
      <t xml:space="preserve">公告於開放平台及 </t>
    </r>
    <r>
      <rPr>
        <sz val="10"/>
        <color rgb="FF000000"/>
        <rFont val="Arial"/>
        <family val="0"/>
        <charset val="1"/>
      </rPr>
      <t xml:space="preserve">API </t>
    </r>
    <r>
      <rPr>
        <sz val="10"/>
        <color rgb="FF000000"/>
        <rFont val="Noto Sans CJK SC"/>
        <family val="2"/>
      </rPr>
      <t xml:space="preserve">毛利段提及「</t>
    </r>
    <r>
      <rPr>
        <sz val="10"/>
        <color rgb="FF000000"/>
        <rFont val="Arial"/>
        <family val="0"/>
        <charset val="1"/>
      </rPr>
      <t xml:space="preserve">programming subscription packages</t>
    </r>
    <r>
      <rPr>
        <sz val="10"/>
        <color rgb="FF000000"/>
        <rFont val="Noto Sans CJK SC"/>
        <family val="2"/>
      </rPr>
      <t xml:space="preserve">」；未單列收入。判定歸入開放平台及 </t>
    </r>
    <r>
      <rPr>
        <sz val="10"/>
        <color rgb="FF000000"/>
        <rFont val="Arial"/>
        <family val="0"/>
        <charset val="1"/>
      </rPr>
      <t xml:space="preserve">API</t>
    </r>
    <r>
      <rPr>
        <sz val="10"/>
        <color rgb="FF000000"/>
        <rFont val="Noto Sans CJK SC"/>
        <family val="2"/>
      </rPr>
      <t xml:space="preserve">（雲端）</t>
    </r>
  </si>
  <si>
    <t xml:space="preserve">SRC_ZP_168</t>
  </si>
  <si>
    <t xml:space="preserve">codingplan_paying_fy25</t>
  </si>
  <si>
    <r>
      <rPr>
        <sz val="10"/>
        <color rgb="FF000000"/>
        <rFont val="Arial"/>
        <family val="0"/>
        <charset val="1"/>
      </rPr>
      <t xml:space="preserve">Coding Plan </t>
    </r>
    <r>
      <rPr>
        <sz val="10"/>
        <color rgb="FF000000"/>
        <rFont val="Noto Sans CJK SC"/>
        <family val="2"/>
      </rPr>
      <t xml:space="preserve">付費開發者</t>
    </r>
  </si>
  <si>
    <r>
      <rPr>
        <sz val="10"/>
        <color rgb="FF000000"/>
        <rFont val="Noto Sans CJK SC"/>
        <family val="2"/>
      </rPr>
      <t xml:space="preserve">原文 </t>
    </r>
    <r>
      <rPr>
        <sz val="10"/>
        <color rgb="FF000000"/>
        <rFont val="Arial"/>
        <family val="0"/>
        <charset val="1"/>
      </rPr>
      <t xml:space="preserve">over 242,000 paying Coding Plan developers</t>
    </r>
    <r>
      <rPr>
        <sz val="10"/>
        <color rgb="FF000000"/>
        <rFont val="Noto Sans CJK SC"/>
        <family val="2"/>
      </rPr>
      <t xml:space="preserve">（下限值）</t>
    </r>
  </si>
  <si>
    <t xml:space="preserve">SRC_ZP_169</t>
  </si>
  <si>
    <t xml:space="preserve">rev_api_1h26</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</si>
  <si>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收入</t>
    </r>
  </si>
  <si>
    <t xml:space="preserve">1H2026</t>
  </si>
  <si>
    <r>
      <rPr>
        <sz val="10"/>
        <color rgb="FF000000"/>
        <rFont val="Noto Sans CJK SC"/>
        <family val="2"/>
      </rPr>
      <t xml:space="preserve">智譜（</t>
    </r>
    <r>
      <rPr>
        <sz val="10"/>
        <color rgb="FF000000"/>
        <rFont val="Arial"/>
        <family val="0"/>
        <charset val="1"/>
      </rPr>
      <t xml:space="preserve">Z.AI</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中期業績公告</t>
    </r>
  </si>
  <si>
    <t xml:space="preserve">https://www1.hkexnews.hk/listedco/listconews/sehk/2026/0831/2026083101539.pdf</t>
  </si>
  <si>
    <t xml:space="preserve">2026-08-31</t>
  </si>
  <si>
    <t xml:space="preserve">未經審計（中期業績公告；是否經核數師審閱公告未見明載）</t>
  </si>
  <si>
    <r>
      <rPr>
        <sz val="10"/>
        <color rgb="FF000000"/>
        <rFont val="Noto Sans CJK SC"/>
        <family val="2"/>
      </rPr>
      <t xml:space="preserve">原文「</t>
    </r>
    <r>
      <rPr>
        <sz val="10"/>
        <color rgb="FF000000"/>
        <rFont val="Arial"/>
        <family val="0"/>
        <charset val="1"/>
      </rPr>
      <t xml:space="preserve">Open Platform and API</t>
    </r>
    <r>
      <rPr>
        <sz val="10"/>
        <color rgb="FF000000"/>
        <rFont val="Noto Sans CJK SC"/>
        <family val="2"/>
      </rPr>
      <t xml:space="preserve">」；千元值 </t>
    </r>
    <r>
      <rPr>
        <sz val="10"/>
        <color rgb="FF000000"/>
        <rFont val="Arial"/>
        <family val="0"/>
        <charset val="1"/>
      </rPr>
      <t xml:space="preserve">825,176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1H26 </t>
    </r>
    <r>
      <rPr>
        <sz val="10"/>
        <color rgb="FF000000"/>
        <rFont val="Noto Sans CJK SC"/>
        <family val="2"/>
      </rPr>
      <t xml:space="preserve">占 </t>
    </r>
    <r>
      <rPr>
        <sz val="10"/>
        <color rgb="FF000000"/>
        <rFont val="Arial"/>
        <family val="0"/>
        <charset val="1"/>
      </rPr>
      <t xml:space="preserve">86.5%</t>
    </r>
    <r>
      <rPr>
        <sz val="10"/>
        <color rgb="FF000000"/>
        <rFont val="Noto Sans CJK SC"/>
        <family val="2"/>
      </rPr>
      <t xml:space="preserve">（</t>
    </r>
    <r>
      <rPr>
        <sz val="10"/>
        <color rgb="FF000000"/>
        <rFont val="Arial"/>
        <family val="0"/>
        <charset val="1"/>
      </rPr>
      <t xml:space="preserve">1H25 15.2%</t>
    </r>
    <r>
      <rPr>
        <sz val="10"/>
        <color rgb="FF000000"/>
        <rFont val="Noto Sans CJK SC"/>
        <family val="2"/>
      </rPr>
      <t xml:space="preserve">）；＝雲端部署分部</t>
    </r>
  </si>
  <si>
    <t xml:space="preserve">SRC_ZP_170</t>
  </si>
  <si>
    <t xml:space="preserve">rev_api_1h25</t>
  </si>
  <si>
    <r>
      <rPr>
        <sz val="10"/>
        <color rgb="FF000000"/>
        <rFont val="Noto Sans CJK SC"/>
        <family val="2"/>
      </rPr>
      <t xml:space="preserve">原文「</t>
    </r>
    <r>
      <rPr>
        <sz val="10"/>
        <color rgb="FF000000"/>
        <rFont val="Arial"/>
        <family val="0"/>
        <charset val="1"/>
      </rPr>
      <t xml:space="preserve">Open Platform and API</t>
    </r>
    <r>
      <rPr>
        <sz val="10"/>
        <color rgb="FF000000"/>
        <rFont val="Noto Sans CJK SC"/>
        <family val="2"/>
      </rPr>
      <t xml:space="preserve">」；千元值 </t>
    </r>
    <r>
      <rPr>
        <sz val="10"/>
        <color rgb="FF000000"/>
        <rFont val="Arial"/>
        <family val="0"/>
        <charset val="1"/>
      </rPr>
      <t xml:space="preserve">29,100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1H26 </t>
    </r>
    <r>
      <rPr>
        <sz val="10"/>
        <color rgb="FF000000"/>
        <rFont val="Noto Sans CJK SC"/>
        <family val="2"/>
      </rPr>
      <t xml:space="preserve">占 </t>
    </r>
    <r>
      <rPr>
        <sz val="10"/>
        <color rgb="FF000000"/>
        <rFont val="Arial"/>
        <family val="0"/>
        <charset val="1"/>
      </rPr>
      <t xml:space="preserve">86.5%</t>
    </r>
    <r>
      <rPr>
        <sz val="10"/>
        <color rgb="FF000000"/>
        <rFont val="Noto Sans CJK SC"/>
        <family val="2"/>
      </rPr>
      <t xml:space="preserve">（</t>
    </r>
    <r>
      <rPr>
        <sz val="10"/>
        <color rgb="FF000000"/>
        <rFont val="Arial"/>
        <family val="0"/>
        <charset val="1"/>
      </rPr>
      <t xml:space="preserve">1H25 15.2%</t>
    </r>
    <r>
      <rPr>
        <sz val="10"/>
        <color rgb="FF000000"/>
        <rFont val="Noto Sans CJK SC"/>
        <family val="2"/>
      </rPr>
      <t xml:space="preserve">）；＝雲端部署分部</t>
    </r>
  </si>
  <si>
    <t xml:space="preserve">SRC_ZP_171</t>
  </si>
  <si>
    <t xml:space="preserve">rev_agent_1h26</t>
  </si>
  <si>
    <t xml:space="preserve">企業級智能體收入</t>
  </si>
  <si>
    <r>
      <rPr>
        <sz val="10"/>
        <color rgb="FF000000"/>
        <rFont val="Noto Sans CJK SC"/>
        <family val="2"/>
      </rPr>
      <t xml:space="preserve">原文「</t>
    </r>
    <r>
      <rPr>
        <sz val="10"/>
        <color rgb="FF000000"/>
        <rFont val="Arial"/>
        <family val="0"/>
        <charset val="1"/>
      </rPr>
      <t xml:space="preserve">Enterprise-level Agents</t>
    </r>
    <r>
      <rPr>
        <sz val="10"/>
        <color rgb="FF000000"/>
        <rFont val="Noto Sans CJK SC"/>
        <family val="2"/>
      </rPr>
      <t xml:space="preserve">」；千元值 </t>
    </r>
    <r>
      <rPr>
        <sz val="10"/>
        <color rgb="FF000000"/>
        <rFont val="Arial"/>
        <family val="0"/>
        <charset val="1"/>
      </rPr>
      <t xml:space="preserve">55,561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</si>
  <si>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SRC_ZP_172</t>
  </si>
  <si>
    <t xml:space="preserve">rev_agent_1h25</t>
  </si>
  <si>
    <r>
      <rPr>
        <sz val="10"/>
        <color rgb="FF000000"/>
        <rFont val="Noto Sans CJK SC"/>
        <family val="2"/>
      </rPr>
      <t xml:space="preserve">原文「</t>
    </r>
    <r>
      <rPr>
        <sz val="10"/>
        <color rgb="FF000000"/>
        <rFont val="Arial"/>
        <family val="0"/>
        <charset val="1"/>
      </rPr>
      <t xml:space="preserve">Enterprise-level Agents</t>
    </r>
    <r>
      <rPr>
        <sz val="10"/>
        <color rgb="FF000000"/>
        <rFont val="Noto Sans CJK SC"/>
        <family val="2"/>
      </rPr>
      <t xml:space="preserve">」；千元值 </t>
    </r>
    <r>
      <rPr>
        <sz val="10"/>
        <color rgb="FF000000"/>
        <rFont val="Arial"/>
        <family val="0"/>
        <charset val="1"/>
      </rPr>
      <t xml:space="preserve">13,739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</si>
  <si>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SRC_ZP_173</t>
  </si>
  <si>
    <t xml:space="preserve">rev_gpllm_1h26</t>
  </si>
  <si>
    <t xml:space="preserve">企業級通用大模型收入</t>
  </si>
  <si>
    <r>
      <rPr>
        <sz val="10"/>
        <color rgb="FF000000"/>
        <rFont val="Noto Sans CJK SC"/>
        <family val="2"/>
      </rPr>
      <t xml:space="preserve">原文「</t>
    </r>
    <r>
      <rPr>
        <sz val="10"/>
        <color rgb="FF000000"/>
        <rFont val="Arial"/>
        <family val="0"/>
        <charset val="1"/>
      </rPr>
      <t xml:space="preserve">Enterprise-level General-purpose Large Models</t>
    </r>
    <r>
      <rPr>
        <sz val="10"/>
        <color rgb="FF000000"/>
        <rFont val="Noto Sans CJK SC"/>
        <family val="2"/>
      </rPr>
      <t xml:space="preserve">」；千元值 </t>
    </r>
    <r>
      <rPr>
        <sz val="10"/>
        <color rgb="FF000000"/>
        <rFont val="Arial"/>
        <family val="0"/>
        <charset val="1"/>
      </rPr>
      <t xml:space="preserve">67,037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</si>
  <si>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SRC_ZP_174</t>
  </si>
  <si>
    <t xml:space="preserve">rev_gpllm_1h25</t>
  </si>
  <si>
    <r>
      <rPr>
        <sz val="10"/>
        <color rgb="FF000000"/>
        <rFont val="Noto Sans CJK SC"/>
        <family val="2"/>
      </rPr>
      <t xml:space="preserve">原文「</t>
    </r>
    <r>
      <rPr>
        <sz val="10"/>
        <color rgb="FF000000"/>
        <rFont val="Arial"/>
        <family val="0"/>
        <charset val="1"/>
      </rPr>
      <t xml:space="preserve">Enterprise-level General-purpose Large Models</t>
    </r>
    <r>
      <rPr>
        <sz val="10"/>
        <color rgb="FF000000"/>
        <rFont val="Noto Sans CJK SC"/>
        <family val="2"/>
      </rPr>
      <t xml:space="preserve">」；千元值 </t>
    </r>
    <r>
      <rPr>
        <sz val="10"/>
        <color rgb="FF000000"/>
        <rFont val="Arial"/>
        <family val="0"/>
        <charset val="1"/>
      </rPr>
      <t xml:space="preserve">147,555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</si>
  <si>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SRC_ZP_175</t>
  </si>
  <si>
    <t xml:space="preserve">rev_techsvc_1h26</t>
  </si>
  <si>
    <t xml:space="preserve">技術服務及其他收入</t>
  </si>
  <si>
    <r>
      <rPr>
        <sz val="10"/>
        <color rgb="FF000000"/>
        <rFont val="Noto Sans CJK SC"/>
        <family val="2"/>
      </rPr>
      <t xml:space="preserve">原文「</t>
    </r>
    <r>
      <rPr>
        <sz val="10"/>
        <color rgb="FF000000"/>
        <rFont val="Arial"/>
        <family val="0"/>
        <charset val="1"/>
      </rPr>
      <t xml:space="preserve">Technical Services and Others</t>
    </r>
    <r>
      <rPr>
        <sz val="10"/>
        <color rgb="FF000000"/>
        <rFont val="Noto Sans CJK SC"/>
        <family val="2"/>
      </rPr>
      <t xml:space="preserve">」；千元值 </t>
    </r>
    <r>
      <rPr>
        <sz val="10"/>
        <color rgb="FF000000"/>
        <rFont val="Arial"/>
        <family val="0"/>
        <charset val="1"/>
      </rPr>
      <t xml:space="preserve">6,118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</si>
  <si>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SRC_ZP_176</t>
  </si>
  <si>
    <t xml:space="preserve">rev_techsvc_1h25</t>
  </si>
  <si>
    <r>
      <rPr>
        <sz val="10"/>
        <color rgb="FF000000"/>
        <rFont val="Noto Sans CJK SC"/>
        <family val="2"/>
      </rPr>
      <t xml:space="preserve">原文「</t>
    </r>
    <r>
      <rPr>
        <sz val="10"/>
        <color rgb="FF000000"/>
        <rFont val="Arial"/>
        <family val="0"/>
        <charset val="1"/>
      </rPr>
      <t xml:space="preserve">Technical Services and Others</t>
    </r>
    <r>
      <rPr>
        <sz val="10"/>
        <color rgb="FF000000"/>
        <rFont val="Noto Sans CJK SC"/>
        <family val="2"/>
      </rPr>
      <t xml:space="preserve">」；千元值 </t>
    </r>
    <r>
      <rPr>
        <sz val="10"/>
        <color rgb="FF000000"/>
        <rFont val="Arial"/>
        <family val="0"/>
        <charset val="1"/>
      </rPr>
      <t xml:space="preserve">483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</si>
  <si>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SRC_ZP_177</t>
  </si>
  <si>
    <t xml:space="preserve">rev_total_1h26</t>
  </si>
  <si>
    <r>
      <rPr>
        <sz val="10"/>
        <color rgb="FF000000"/>
        <rFont val="Noto Sans CJK SC"/>
        <family val="2"/>
      </rPr>
      <t xml:space="preserve">原文 </t>
    </r>
    <r>
      <rPr>
        <sz val="10"/>
        <color rgb="FF000000"/>
        <rFont val="Arial"/>
        <family val="0"/>
        <charset val="1"/>
      </rPr>
      <t xml:space="preserve">revenue 953,892 </t>
    </r>
    <r>
      <rPr>
        <sz val="10"/>
        <color rgb="FF000000"/>
        <rFont val="Noto Sans CJK SC"/>
        <family val="2"/>
      </rPr>
      <t xml:space="preserve">千元（</t>
    </r>
    <r>
      <rPr>
        <sz val="10"/>
        <color rgb="FF000000"/>
        <rFont val="Arial"/>
        <family val="0"/>
        <charset val="1"/>
      </rPr>
      <t xml:space="preserve">1H25 190,877</t>
    </r>
    <r>
      <rPr>
        <sz val="10"/>
        <color rgb="FF000000"/>
        <rFont val="Noto Sans CJK SC"/>
        <family val="2"/>
      </rPr>
      <t xml:space="preserve">），</t>
    </r>
    <r>
      <rPr>
        <sz val="10"/>
        <color rgb="FF000000"/>
        <rFont val="Arial"/>
        <family val="0"/>
        <charset val="1"/>
      </rPr>
      <t xml:space="preserve">+399.7%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</si>
  <si>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SRC_ZP_178</t>
  </si>
  <si>
    <t xml:space="preserve">rev_onprem_1h26</t>
  </si>
  <si>
    <t xml:space="preserve">https://ea-cdn.eurolandir.com/press-releases-attachments/4174939/HKEX-EPS_20260831_12308928_0.PDF</t>
  </si>
  <si>
    <r>
      <rPr>
        <sz val="10"/>
        <color rgb="FF000000"/>
        <rFont val="Arial"/>
        <family val="0"/>
        <charset val="1"/>
      </rPr>
      <t xml:space="preserve">on-premise deployment 128,716 </t>
    </r>
    <r>
      <rPr>
        <sz val="10"/>
        <color rgb="FF000000"/>
        <rFont val="Noto Sans CJK SC"/>
        <family val="2"/>
      </rPr>
      <t xml:space="preserve">千元（</t>
    </r>
    <r>
      <rPr>
        <sz val="10"/>
        <color rgb="FF000000"/>
        <rFont val="Arial"/>
        <family val="0"/>
        <charset val="1"/>
      </rPr>
      <t xml:space="preserve">1H25 161,777</t>
    </r>
    <r>
      <rPr>
        <sz val="10"/>
        <color rgb="FF000000"/>
        <rFont val="Noto Sans CJK SC"/>
        <family val="2"/>
      </rPr>
      <t xml:space="preserve">），占 </t>
    </r>
    <r>
      <rPr>
        <sz val="10"/>
        <color rgb="FF000000"/>
        <rFont val="Arial"/>
        <family val="0"/>
        <charset val="1"/>
      </rPr>
      <t xml:space="preserve">13.5%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</si>
  <si>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SRC_ZP_179</t>
  </si>
  <si>
    <t xml:space="preserve">rev_cloud_1h26</t>
  </si>
  <si>
    <r>
      <rPr>
        <sz val="10"/>
        <color rgb="FF000000"/>
        <rFont val="Arial"/>
        <family val="0"/>
        <charset val="1"/>
      </rPr>
      <t xml:space="preserve">cloud-based deployment 825,176 </t>
    </r>
    <r>
      <rPr>
        <sz val="10"/>
        <color rgb="FF000000"/>
        <rFont val="Noto Sans CJK SC"/>
        <family val="2"/>
      </rPr>
      <t xml:space="preserve">千元＝開放平台及 </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</si>
  <si>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SRC_ZP_180</t>
  </si>
  <si>
    <t xml:space="preserve">rev_onprem_1h26_b</t>
  </si>
  <si>
    <t xml:space="preserve">本地化部署相關收入（媒體）</t>
  </si>
  <si>
    <t xml:space="preserve">鉅亨號〈智譜上半年業績暴漲 造血能力驗證〉</t>
  </si>
  <si>
    <t xml:space="preserve">https://hao.cnyes.com/post/265529</t>
  </si>
  <si>
    <t xml:space="preserve">2026-09-01</t>
  </si>
  <si>
    <t xml:space="preserve">媒體（鉅亨號）轉述</t>
  </si>
  <si>
    <t xml:space="preserve">媒體轉述</t>
  </si>
  <si>
    <t xml:space="preserve">二手</t>
  </si>
  <si>
    <r>
      <rPr>
        <sz val="10"/>
        <color rgb="FF000000"/>
        <rFont val="Noto Sans CJK SC"/>
        <family val="2"/>
      </rPr>
      <t xml:space="preserve">原文「本地化部署相關收入</t>
    </r>
    <r>
      <rPr>
        <sz val="10"/>
        <color rgb="FF000000"/>
        <rFont val="Arial"/>
        <family val="0"/>
        <charset val="1"/>
      </rPr>
      <t xml:space="preserve">6,704</t>
    </r>
    <r>
      <rPr>
        <sz val="10"/>
        <color rgb="FF000000"/>
        <rFont val="Noto Sans CJK SC"/>
        <family val="2"/>
      </rPr>
      <t xml:space="preserve">萬元」；與公告分部 </t>
    </r>
    <r>
      <rPr>
        <sz val="10"/>
        <color rgb="FF000000"/>
        <rFont val="Arial"/>
        <family val="0"/>
        <charset val="1"/>
      </rPr>
      <t xml:space="preserve">1.287 </t>
    </r>
    <r>
      <rPr>
        <sz val="10"/>
        <color rgb="FF000000"/>
        <rFont val="Noto Sans CJK SC"/>
        <family val="2"/>
      </rPr>
      <t xml:space="preserve">億矛盾：媒體只計企業級通用大模型</t>
    </r>
  </si>
  <si>
    <t xml:space="preserve">SRC_ZP_181</t>
  </si>
  <si>
    <t xml:space="preserve">rev_onprem_1h26_c</t>
  </si>
  <si>
    <t xml:space="preserve">本地化部署收入（券商）</t>
  </si>
  <si>
    <r>
      <rPr>
        <sz val="10"/>
        <color rgb="FF000000"/>
        <rFont val="Noto Sans CJK SC"/>
        <family val="2"/>
      </rPr>
      <t xml:space="preserve">國信證券〈</t>
    </r>
    <r>
      <rPr>
        <sz val="10"/>
        <color rgb="FF000000"/>
        <rFont val="Arial"/>
        <family val="0"/>
        <charset val="1"/>
      </rPr>
      <t xml:space="preserve">26H1</t>
    </r>
    <r>
      <rPr>
        <sz val="10"/>
        <color rgb="FF000000"/>
        <rFont val="Noto Sans CJK SC"/>
        <family val="2"/>
      </rPr>
      <t xml:space="preserve">財報點評〉（格隆匯轉載）</t>
    </r>
  </si>
  <si>
    <t xml:space="preserve">https://m.gelonghui.com/news/5306647</t>
  </si>
  <si>
    <t xml:space="preserve">2026-09-04</t>
  </si>
  <si>
    <t xml:space="preserve">國信證券：券商研究，交易誘因</t>
  </si>
  <si>
    <t xml:space="preserve">券商口徑</t>
  </si>
  <si>
    <r>
      <rPr>
        <sz val="10"/>
        <color rgb="FF000000"/>
        <rFont val="Noto Sans CJK SC"/>
        <family val="2"/>
      </rPr>
      <t xml:space="preserve">原文 本地化部署收入 </t>
    </r>
    <r>
      <rPr>
        <sz val="10"/>
        <color rgb="FF000000"/>
        <rFont val="Arial"/>
        <family val="0"/>
        <charset val="1"/>
      </rPr>
      <t xml:space="preserve">1.30 </t>
    </r>
    <r>
      <rPr>
        <sz val="10"/>
        <color rgb="FF000000"/>
        <rFont val="Noto Sans CJK SC"/>
        <family val="2"/>
      </rPr>
      <t xml:space="preserve">億元、毛利率 </t>
    </r>
    <r>
      <rPr>
        <sz val="10"/>
        <color rgb="FF000000"/>
        <rFont val="Arial"/>
        <family val="0"/>
        <charset val="1"/>
      </rPr>
      <t xml:space="preserve">37.9%</t>
    </r>
    <r>
      <rPr>
        <sz val="10"/>
        <color rgb="FF000000"/>
        <rFont val="Noto Sans CJK SC"/>
        <family val="2"/>
      </rPr>
      <t xml:space="preserve">；與公告 </t>
    </r>
    <r>
      <rPr>
        <sz val="10"/>
        <color rgb="FF000000"/>
        <rFont val="Arial"/>
        <family val="0"/>
        <charset val="1"/>
      </rPr>
      <t xml:space="preserve">128,716 </t>
    </r>
    <r>
      <rPr>
        <sz val="10"/>
        <color rgb="FF000000"/>
        <rFont val="Noto Sans CJK SC"/>
        <family val="2"/>
      </rPr>
      <t xml:space="preserve">千元一致（四捨五入）</t>
    </r>
  </si>
  <si>
    <t xml:space="preserve">SRC_ZP_182</t>
  </si>
  <si>
    <t xml:space="preserve">cogs_1h26</t>
  </si>
  <si>
    <r>
      <rPr>
        <sz val="10"/>
        <color rgb="FF000000"/>
        <rFont val="Noto Sans CJK SC"/>
        <family val="2"/>
      </rPr>
      <t xml:space="preserve">原文「</t>
    </r>
    <r>
      <rPr>
        <sz val="10"/>
        <color rgb="FF000000"/>
        <rFont val="Arial"/>
        <family val="0"/>
        <charset val="1"/>
      </rPr>
      <t xml:space="preserve">primarily attributable to the increase in computing service fees</t>
    </r>
    <r>
      <rPr>
        <sz val="10"/>
        <color rgb="FF000000"/>
        <rFont val="Noto Sans CJK SC"/>
        <family val="2"/>
      </rPr>
      <t xml:space="preserve">」；千元 </t>
    </r>
    <r>
      <rPr>
        <sz val="10"/>
        <color rgb="FF000000"/>
        <rFont val="Arial"/>
        <family val="0"/>
        <charset val="1"/>
      </rPr>
      <t xml:space="preserve">702,281</t>
    </r>
    <r>
      <rPr>
        <sz val="10"/>
        <color rgb="FF000000"/>
        <rFont val="Noto Sans CJK SC"/>
        <family val="2"/>
      </rPr>
      <t xml:space="preserve">；算力服務費金額未揭露；</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</si>
  <si>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SRC_ZP_183</t>
  </si>
  <si>
    <t xml:space="preserve">cogs_1h25_i</t>
  </si>
  <si>
    <t xml:space="preserve">銷售成本（中期公告比較數）</t>
  </si>
  <si>
    <r>
      <rPr>
        <sz val="10"/>
        <color rgb="FF000000"/>
        <rFont val="Noto Sans CJK SC"/>
        <family val="2"/>
      </rPr>
      <t xml:space="preserve">千元 </t>
    </r>
    <r>
      <rPr>
        <sz val="10"/>
        <color rgb="FF000000"/>
        <rFont val="Arial"/>
        <family val="0"/>
        <charset val="1"/>
      </rPr>
      <t xml:space="preserve">95,453</t>
    </r>
    <r>
      <rPr>
        <sz val="10"/>
        <color rgb="FF000000"/>
        <rFont val="Noto Sans CJK SC"/>
        <family val="2"/>
      </rPr>
      <t xml:space="preserve">，與招股章程一致；</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</si>
  <si>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SRC_ZP_184</t>
  </si>
  <si>
    <t xml:space="preserve">gp_total_1h26</t>
  </si>
  <si>
    <r>
      <rPr>
        <sz val="10"/>
        <color rgb="FF000000"/>
        <rFont val="Arial"/>
        <family val="0"/>
        <charset val="1"/>
      </rPr>
      <t xml:space="preserve">gross profit 251,611 </t>
    </r>
    <r>
      <rPr>
        <sz val="10"/>
        <color rgb="FF000000"/>
        <rFont val="Noto Sans CJK SC"/>
        <family val="2"/>
      </rPr>
      <t xml:space="preserve">千元；毛利率 </t>
    </r>
    <r>
      <rPr>
        <sz val="10"/>
        <color rgb="FF000000"/>
        <rFont val="Arial"/>
        <family val="0"/>
        <charset val="1"/>
      </rPr>
      <t xml:space="preserve">26.4%</t>
    </r>
    <r>
      <rPr>
        <sz val="10"/>
        <color rgb="FF000000"/>
        <rFont val="Noto Sans CJK SC"/>
        <family val="2"/>
      </rPr>
      <t xml:space="preserve">（</t>
    </r>
    <r>
      <rPr>
        <sz val="10"/>
        <color rgb="FF000000"/>
        <rFont val="Arial"/>
        <family val="0"/>
        <charset val="1"/>
      </rPr>
      <t xml:space="preserve">1H25 50.0%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</si>
  <si>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SRC_ZP_185</t>
  </si>
  <si>
    <t xml:space="preserve">gm_total_1h26</t>
  </si>
  <si>
    <r>
      <rPr>
        <sz val="10"/>
        <color rgb="FF000000"/>
        <rFont val="Noto Sans CJK SC"/>
        <family val="2"/>
      </rPr>
      <t xml:space="preserve">原文 </t>
    </r>
    <r>
      <rPr>
        <sz val="10"/>
        <color rgb="FF000000"/>
        <rFont val="Arial"/>
        <family val="0"/>
        <charset val="1"/>
      </rPr>
      <t xml:space="preserve">gross margin 26.4%</t>
    </r>
    <r>
      <rPr>
        <sz val="10"/>
        <color rgb="FF000000"/>
        <rFont val="Noto Sans CJK SC"/>
        <family val="2"/>
      </rPr>
      <t xml:space="preserve">（</t>
    </r>
    <r>
      <rPr>
        <sz val="10"/>
        <color rgb="FF000000"/>
        <rFont val="Arial"/>
        <family val="0"/>
        <charset val="1"/>
      </rPr>
      <t xml:space="preserve">1H25 50.0%</t>
    </r>
    <r>
      <rPr>
        <sz val="10"/>
        <color rgb="FF000000"/>
        <rFont val="Noto Sans CJK SC"/>
        <family val="2"/>
      </rPr>
      <t xml:space="preserve">）</t>
    </r>
  </si>
  <si>
    <t xml:space="preserve">SRC_ZP_186</t>
  </si>
  <si>
    <t xml:space="preserve">gp_api_1h26</t>
  </si>
  <si>
    <r>
      <rPr>
        <sz val="10"/>
        <color rgb="FF000000"/>
        <rFont val="Noto Sans CJK SC"/>
        <family val="2"/>
      </rPr>
      <t xml:space="preserve">千元 </t>
    </r>
    <r>
      <rPr>
        <sz val="10"/>
        <color rgb="FF000000"/>
        <rFont val="Arial"/>
        <family val="0"/>
        <charset val="1"/>
      </rPr>
      <t xml:space="preserve">202,871</t>
    </r>
    <r>
      <rPr>
        <sz val="10"/>
        <color rgb="FF000000"/>
        <rFont val="Noto Sans CJK SC"/>
        <family val="2"/>
      </rPr>
      <t xml:space="preserve">；毛利率 </t>
    </r>
    <r>
      <rPr>
        <sz val="10"/>
        <color rgb="FF000000"/>
        <rFont val="Arial"/>
        <family val="0"/>
        <charset val="1"/>
      </rPr>
      <t xml:space="preserve">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</si>
  <si>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SRC_ZP_187</t>
  </si>
  <si>
    <t xml:space="preserve">gp_api_1h25</t>
  </si>
  <si>
    <r>
      <rPr>
        <sz val="10"/>
        <color rgb="FF000000"/>
        <rFont val="Noto Sans CJK SC"/>
        <family val="2"/>
      </rPr>
      <t xml:space="preserve">千元 </t>
    </r>
    <r>
      <rPr>
        <sz val="10"/>
        <color rgb="FF000000"/>
        <rFont val="Arial"/>
        <family val="0"/>
        <charset val="1"/>
      </rPr>
      <t xml:space="preserve">-116</t>
    </r>
    <r>
      <rPr>
        <sz val="10"/>
        <color rgb="FF000000"/>
        <rFont val="Noto Sans CJK SC"/>
        <family val="2"/>
      </rPr>
      <t xml:space="preserve">；毛利率 </t>
    </r>
    <r>
      <rPr>
        <sz val="10"/>
        <color rgb="FF000000"/>
        <rFont val="Arial"/>
        <family val="0"/>
        <charset val="1"/>
      </rPr>
      <t xml:space="preserve">-0.4%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</si>
  <si>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SRC_ZP_188</t>
  </si>
  <si>
    <t xml:space="preserve">gp_agent_1h26</t>
  </si>
  <si>
    <r>
      <rPr>
        <sz val="10"/>
        <color rgb="FF000000"/>
        <rFont val="Noto Sans CJK SC"/>
        <family val="2"/>
      </rPr>
      <t xml:space="preserve">千元 </t>
    </r>
    <r>
      <rPr>
        <sz val="10"/>
        <color rgb="FF000000"/>
        <rFont val="Arial"/>
        <family val="0"/>
        <charset val="1"/>
      </rPr>
      <t xml:space="preserve">19,796</t>
    </r>
    <r>
      <rPr>
        <sz val="10"/>
        <color rgb="FF000000"/>
        <rFont val="Noto Sans CJK SC"/>
        <family val="2"/>
      </rPr>
      <t xml:space="preserve">；毛利率 </t>
    </r>
    <r>
      <rPr>
        <sz val="10"/>
        <color rgb="FF000000"/>
        <rFont val="Arial"/>
        <family val="0"/>
        <charset val="1"/>
      </rPr>
      <t xml:space="preserve">35.6%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</si>
  <si>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SRC_ZP_189</t>
  </si>
  <si>
    <t xml:space="preserve">gp_agent_1h25</t>
  </si>
  <si>
    <r>
      <rPr>
        <sz val="10"/>
        <color rgb="FF000000"/>
        <rFont val="Noto Sans CJK SC"/>
        <family val="2"/>
      </rPr>
      <t xml:space="preserve">千元 </t>
    </r>
    <r>
      <rPr>
        <sz val="10"/>
        <color rgb="FF000000"/>
        <rFont val="Arial"/>
        <family val="0"/>
        <charset val="1"/>
      </rPr>
      <t xml:space="preserve">8,880</t>
    </r>
    <r>
      <rPr>
        <sz val="10"/>
        <color rgb="FF000000"/>
        <rFont val="Noto Sans CJK SC"/>
        <family val="2"/>
      </rPr>
      <t xml:space="preserve">；毛利率 </t>
    </r>
    <r>
      <rPr>
        <sz val="10"/>
        <color rgb="FF000000"/>
        <rFont val="Arial"/>
        <family val="0"/>
        <charset val="1"/>
      </rPr>
      <t xml:space="preserve">64.6%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</si>
  <si>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SRC_ZP_190</t>
  </si>
  <si>
    <t xml:space="preserve">gp_gpllm_1h26</t>
  </si>
  <si>
    <r>
      <rPr>
        <sz val="10"/>
        <color rgb="FF000000"/>
        <rFont val="Noto Sans CJK SC"/>
        <family val="2"/>
      </rPr>
      <t xml:space="preserve">千元 </t>
    </r>
    <r>
      <rPr>
        <sz val="10"/>
        <color rgb="FF000000"/>
        <rFont val="Arial"/>
        <family val="0"/>
        <charset val="1"/>
      </rPr>
      <t xml:space="preserve">28,368</t>
    </r>
    <r>
      <rPr>
        <sz val="10"/>
        <color rgb="FF000000"/>
        <rFont val="Noto Sans CJK SC"/>
        <family val="2"/>
      </rPr>
      <t xml:space="preserve">；毛利率 </t>
    </r>
    <r>
      <rPr>
        <sz val="10"/>
        <color rgb="FF000000"/>
        <rFont val="Arial"/>
        <family val="0"/>
        <charset val="1"/>
      </rPr>
      <t xml:space="preserve">42.3%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</si>
  <si>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SRC_ZP_191</t>
  </si>
  <si>
    <t xml:space="preserve">gp_gpllm_1h25</t>
  </si>
  <si>
    <r>
      <rPr>
        <sz val="10"/>
        <color rgb="FF000000"/>
        <rFont val="Noto Sans CJK SC"/>
        <family val="2"/>
      </rPr>
      <t xml:space="preserve">千元 </t>
    </r>
    <r>
      <rPr>
        <sz val="10"/>
        <color rgb="FF000000"/>
        <rFont val="Arial"/>
        <family val="0"/>
        <charset val="1"/>
      </rPr>
      <t xml:space="preserve">86,342</t>
    </r>
    <r>
      <rPr>
        <sz val="10"/>
        <color rgb="FF000000"/>
        <rFont val="Noto Sans CJK SC"/>
        <family val="2"/>
      </rPr>
      <t xml:space="preserve">；毛利率 </t>
    </r>
    <r>
      <rPr>
        <sz val="10"/>
        <color rgb="FF000000"/>
        <rFont val="Arial"/>
        <family val="0"/>
        <charset val="1"/>
      </rPr>
      <t xml:space="preserve">58.5%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</si>
  <si>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SRC_ZP_192</t>
  </si>
  <si>
    <t xml:space="preserve">gp_techsvc_1h26</t>
  </si>
  <si>
    <r>
      <rPr>
        <sz val="10"/>
        <color rgb="FF000000"/>
        <rFont val="Noto Sans CJK SC"/>
        <family val="2"/>
      </rPr>
      <t xml:space="preserve">千元 </t>
    </r>
    <r>
      <rPr>
        <sz val="10"/>
        <color rgb="FF000000"/>
        <rFont val="Arial"/>
        <family val="0"/>
        <charset val="1"/>
      </rPr>
      <t xml:space="preserve">576</t>
    </r>
    <r>
      <rPr>
        <sz val="10"/>
        <color rgb="FF000000"/>
        <rFont val="Noto Sans CJK SC"/>
        <family val="2"/>
      </rPr>
      <t xml:space="preserve">；毛利率 </t>
    </r>
    <r>
      <rPr>
        <sz val="10"/>
        <color rgb="FF000000"/>
        <rFont val="Arial"/>
        <family val="0"/>
        <charset val="1"/>
      </rPr>
      <t xml:space="preserve">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</si>
  <si>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SRC_ZP_193</t>
  </si>
  <si>
    <t xml:space="preserve">gp_techsvc_1h25</t>
  </si>
  <si>
    <r>
      <rPr>
        <sz val="10"/>
        <color rgb="FF000000"/>
        <rFont val="Noto Sans CJK SC"/>
        <family val="2"/>
      </rPr>
      <t xml:space="preserve">千元 </t>
    </r>
    <r>
      <rPr>
        <sz val="10"/>
        <color rgb="FF000000"/>
        <rFont val="Arial"/>
        <family val="0"/>
        <charset val="1"/>
      </rPr>
      <t xml:space="preserve">318</t>
    </r>
    <r>
      <rPr>
        <sz val="10"/>
        <color rgb="FF000000"/>
        <rFont val="Noto Sans CJK SC"/>
        <family val="2"/>
      </rPr>
      <t xml:space="preserve">；毛利率 </t>
    </r>
    <r>
      <rPr>
        <sz val="10"/>
        <color rgb="FF000000"/>
        <rFont val="Arial"/>
        <family val="0"/>
        <charset val="1"/>
      </rPr>
      <t xml:space="preserve">65.8%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</si>
  <si>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SRC_ZP_194</t>
  </si>
  <si>
    <t xml:space="preserve">gp_onprem_1h26</t>
  </si>
  <si>
    <r>
      <rPr>
        <sz val="10"/>
        <color rgb="FF000000"/>
        <rFont val="Arial"/>
        <family val="0"/>
        <charset val="1"/>
      </rPr>
      <t xml:space="preserve">segment gross profit on-premise 48,740</t>
    </r>
    <r>
      <rPr>
        <sz val="10"/>
        <color rgb="FF000000"/>
        <rFont val="Noto Sans CJK SC"/>
        <family val="2"/>
      </rPr>
      <t xml:space="preserve">（</t>
    </r>
    <r>
      <rPr>
        <sz val="10"/>
        <color rgb="FF000000"/>
        <rFont val="Arial"/>
        <family val="0"/>
        <charset val="1"/>
      </rPr>
      <t xml:space="preserve">1H25 95,540</t>
    </r>
    <r>
      <rPr>
        <sz val="10"/>
        <color rgb="FF000000"/>
        <rFont val="Noto Sans CJK SC"/>
        <family val="2"/>
      </rPr>
      <t xml:space="preserve">）；毛利率 </t>
    </r>
    <r>
      <rPr>
        <sz val="10"/>
        <color rgb="FF000000"/>
        <rFont val="Arial"/>
        <family val="0"/>
        <charset val="1"/>
      </rPr>
      <t xml:space="preserve">37.9%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</si>
  <si>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SRC_ZP_195</t>
  </si>
  <si>
    <t xml:space="preserve">cogs_api_1h26</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</si>
  <si>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銷售成本（推算）</t>
    </r>
  </si>
  <si>
    <r>
      <rPr>
        <sz val="10"/>
        <color rgb="FF000000"/>
        <rFont val="Noto Sans CJK SC"/>
        <family val="2"/>
      </rPr>
      <t xml:space="preserve">收入 </t>
    </r>
    <r>
      <rPr>
        <sz val="10"/>
        <color rgb="FF000000"/>
        <rFont val="Arial"/>
        <family val="0"/>
        <charset val="1"/>
      </rPr>
      <t xml:space="preserve">825,176</t>
    </r>
    <r>
      <rPr>
        <sz val="10"/>
        <color rgb="FF000000"/>
        <rFont val="Noto Sans CJK SC"/>
        <family val="2"/>
      </rPr>
      <t xml:space="preserve">－毛利 </t>
    </r>
    <r>
      <rPr>
        <sz val="10"/>
        <color rgb="FF000000"/>
        <rFont val="Arial"/>
        <family val="0"/>
        <charset val="1"/>
      </rPr>
      <t xml:space="preserve">202,871</t>
    </r>
    <r>
      <rPr>
        <sz val="10"/>
        <color rgb="FF000000"/>
        <rFont val="Noto Sans CJK SC"/>
        <family val="2"/>
      </rPr>
      <t xml:space="preserve">＝</t>
    </r>
    <r>
      <rPr>
        <sz val="10"/>
        <color rgb="FF000000"/>
        <rFont val="Arial"/>
        <family val="0"/>
        <charset val="1"/>
      </rPr>
      <t xml:space="preserve">622,305 </t>
    </r>
    <r>
      <rPr>
        <sz val="10"/>
        <color rgb="FF000000"/>
        <rFont val="Noto Sans CJK SC"/>
        <family val="2"/>
      </rPr>
      <t xml:space="preserve">千元；公告未直接列分部成本</t>
    </r>
  </si>
  <si>
    <t xml:space="preserve">SRC_ZP_196</t>
  </si>
  <si>
    <t xml:space="preserve">cogs_onprem_1h26</t>
  </si>
  <si>
    <t xml:space="preserve">本地化部署銷售成本（推算）</t>
  </si>
  <si>
    <r>
      <rPr>
        <sz val="10"/>
        <color rgb="FF000000"/>
        <rFont val="Arial"/>
        <family val="0"/>
        <charset val="1"/>
      </rPr>
      <t xml:space="preserve">128,716</t>
    </r>
    <r>
      <rPr>
        <sz val="10"/>
        <color rgb="FF000000"/>
        <rFont val="Noto Sans CJK SC"/>
        <family val="2"/>
      </rPr>
      <t xml:space="preserve">－</t>
    </r>
    <r>
      <rPr>
        <sz val="10"/>
        <color rgb="FF000000"/>
        <rFont val="Arial"/>
        <family val="0"/>
        <charset val="1"/>
      </rPr>
      <t xml:space="preserve">48,740</t>
    </r>
    <r>
      <rPr>
        <sz val="10"/>
        <color rgb="FF000000"/>
        <rFont val="Noto Sans CJK SC"/>
        <family val="2"/>
      </rPr>
      <t xml:space="preserve">＝</t>
    </r>
    <r>
      <rPr>
        <sz val="10"/>
        <color rgb="FF000000"/>
        <rFont val="Arial"/>
        <family val="0"/>
        <charset val="1"/>
      </rPr>
      <t xml:space="preserve">79,976 </t>
    </r>
    <r>
      <rPr>
        <sz val="10"/>
        <color rgb="FF000000"/>
        <rFont val="Noto Sans CJK SC"/>
        <family val="2"/>
      </rPr>
      <t xml:space="preserve">千元；公告未直接列分部成本</t>
    </r>
  </si>
  <si>
    <t xml:space="preserve">SRC_ZP_197</t>
  </si>
  <si>
    <t xml:space="preserve">cogs_api_fy25</t>
  </si>
  <si>
    <r>
      <rPr>
        <sz val="10"/>
        <color rgb="FF000000"/>
        <rFont val="Arial"/>
        <family val="0"/>
        <charset val="1"/>
      </rPr>
      <t xml:space="preserve">190,379</t>
    </r>
    <r>
      <rPr>
        <sz val="10"/>
        <color rgb="FF000000"/>
        <rFont val="Noto Sans CJK SC"/>
        <family val="2"/>
      </rPr>
      <t xml:space="preserve">－</t>
    </r>
    <r>
      <rPr>
        <sz val="10"/>
        <color rgb="FF000000"/>
        <rFont val="Arial"/>
        <family val="0"/>
        <charset val="1"/>
      </rPr>
      <t xml:space="preserve">36,000</t>
    </r>
    <r>
      <rPr>
        <sz val="10"/>
        <color rgb="FF000000"/>
        <rFont val="Noto Sans CJK SC"/>
        <family val="2"/>
      </rPr>
      <t xml:space="preserve">＝</t>
    </r>
    <r>
      <rPr>
        <sz val="10"/>
        <color rgb="FF000000"/>
        <rFont val="Arial"/>
        <family val="0"/>
        <charset val="1"/>
      </rPr>
      <t xml:space="preserve">154,379 </t>
    </r>
    <r>
      <rPr>
        <sz val="10"/>
        <color rgb="FF000000"/>
        <rFont val="Noto Sans CJK SC"/>
        <family val="2"/>
      </rPr>
      <t xml:space="preserve">千元</t>
    </r>
  </si>
  <si>
    <t xml:space="preserve">SRC_ZP_198</t>
  </si>
  <si>
    <t xml:space="preserve">cogs_onprem_fy25</t>
  </si>
  <si>
    <r>
      <rPr>
        <sz val="10"/>
        <color rgb="FF000000"/>
        <rFont val="Arial"/>
        <family val="0"/>
        <charset val="1"/>
      </rPr>
      <t xml:space="preserve">533,955</t>
    </r>
    <r>
      <rPr>
        <sz val="10"/>
        <color rgb="FF000000"/>
        <rFont val="Noto Sans CJK SC"/>
        <family val="2"/>
      </rPr>
      <t xml:space="preserve">－</t>
    </r>
    <r>
      <rPr>
        <sz val="10"/>
        <color rgb="FF000000"/>
        <rFont val="Arial"/>
        <family val="0"/>
        <charset val="1"/>
      </rPr>
      <t xml:space="preserve">260,656</t>
    </r>
    <r>
      <rPr>
        <sz val="10"/>
        <color rgb="FF000000"/>
        <rFont val="Noto Sans CJK SC"/>
        <family val="2"/>
      </rPr>
      <t xml:space="preserve">＝</t>
    </r>
    <r>
      <rPr>
        <sz val="10"/>
        <color rgb="FF000000"/>
        <rFont val="Arial"/>
        <family val="0"/>
        <charset val="1"/>
      </rPr>
      <t xml:space="preserve">273,299 </t>
    </r>
    <r>
      <rPr>
        <sz val="10"/>
        <color rgb="FF000000"/>
        <rFont val="Noto Sans CJK SC"/>
        <family val="2"/>
      </rPr>
      <t xml:space="preserve">千元</t>
    </r>
  </si>
  <si>
    <t xml:space="preserve">SRC_ZP_199</t>
  </si>
  <si>
    <t xml:space="preserve">rd_1h26</t>
  </si>
  <si>
    <r>
      <rPr>
        <sz val="10"/>
        <color rgb="FF000000"/>
        <rFont val="Noto Sans CJK SC"/>
        <family val="2"/>
      </rPr>
      <t xml:space="preserve">原文「</t>
    </r>
    <r>
      <rPr>
        <sz val="10"/>
        <color rgb="FF000000"/>
        <rFont val="Arial"/>
        <family val="0"/>
        <charset val="1"/>
      </rPr>
      <t xml:space="preserve">continued increase in research and development investment in model training</t>
    </r>
    <r>
      <rPr>
        <sz val="10"/>
        <color rgb="FF000000"/>
        <rFont val="Noto Sans CJK SC"/>
        <family val="2"/>
      </rPr>
      <t xml:space="preserve">」；千元 </t>
    </r>
    <r>
      <rPr>
        <sz val="10"/>
        <color rgb="FF000000"/>
        <rFont val="Arial"/>
        <family val="0"/>
        <charset val="1"/>
      </rPr>
      <t xml:space="preserve">2,131,171</t>
    </r>
    <r>
      <rPr>
        <sz val="10"/>
        <color rgb="FF000000"/>
        <rFont val="Noto Sans CJK SC"/>
        <family val="2"/>
      </rPr>
      <t xml:space="preserve">，</t>
    </r>
    <r>
      <rPr>
        <sz val="10"/>
        <color rgb="FF000000"/>
        <rFont val="Arial"/>
        <family val="0"/>
        <charset val="1"/>
      </rPr>
      <t xml:space="preserve">+33.6%</t>
    </r>
    <r>
      <rPr>
        <sz val="10"/>
        <color rgb="FF000000"/>
        <rFont val="Noto Sans CJK SC"/>
        <family val="2"/>
      </rPr>
      <t xml:space="preserve">；組成未揭露；</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</si>
  <si>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SRC_ZP_200</t>
  </si>
  <si>
    <t xml:space="preserve">sm_1h26</t>
  </si>
  <si>
    <r>
      <rPr>
        <sz val="10"/>
        <color rgb="FF000000"/>
        <rFont val="Noto Sans CJK SC"/>
        <family val="2"/>
      </rPr>
      <t xml:space="preserve">千元 </t>
    </r>
    <r>
      <rPr>
        <sz val="10"/>
        <color rgb="FF000000"/>
        <rFont val="Arial"/>
        <family val="0"/>
        <charset val="1"/>
      </rPr>
      <t xml:space="preserve">177,666</t>
    </r>
    <r>
      <rPr>
        <sz val="10"/>
        <color rgb="FF000000"/>
        <rFont val="Noto Sans CJK SC"/>
        <family val="2"/>
      </rPr>
      <t xml:space="preserve">，−</t>
    </r>
    <r>
      <rPr>
        <sz val="10"/>
        <color rgb="FF000000"/>
        <rFont val="Arial"/>
        <family val="0"/>
        <charset val="1"/>
      </rPr>
      <t xml:space="preserve">14.8%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</si>
  <si>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SRC_ZP_201</t>
  </si>
  <si>
    <t xml:space="preserve">ga_1h26</t>
  </si>
  <si>
    <r>
      <rPr>
        <sz val="10"/>
        <color rgb="FF000000"/>
        <rFont val="Noto Sans CJK SC"/>
        <family val="2"/>
      </rPr>
      <t xml:space="preserve">千元 </t>
    </r>
    <r>
      <rPr>
        <sz val="10"/>
        <color rgb="FF000000"/>
        <rFont val="Arial"/>
        <family val="0"/>
        <charset val="1"/>
      </rPr>
      <t xml:space="preserve">103,346</t>
    </r>
    <r>
      <rPr>
        <sz val="10"/>
        <color rgb="FF000000"/>
        <rFont val="Noto Sans CJK SC"/>
        <family val="2"/>
      </rPr>
      <t xml:space="preserve">，−</t>
    </r>
    <r>
      <rPr>
        <sz val="10"/>
        <color rgb="FF000000"/>
        <rFont val="Arial"/>
        <family val="0"/>
        <charset val="1"/>
      </rPr>
      <t xml:space="preserve">44.2%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</si>
  <si>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SRC_ZP_202</t>
  </si>
  <si>
    <t xml:space="preserve">sbc_1h26</t>
  </si>
  <si>
    <t xml:space="preserve">以權益結算股權報酬</t>
  </si>
  <si>
    <r>
      <rPr>
        <sz val="10"/>
        <color rgb="FF000000"/>
        <rFont val="Noto Sans CJK SC"/>
        <family val="2"/>
      </rPr>
      <t xml:space="preserve">原文「</t>
    </r>
    <r>
      <rPr>
        <sz val="10"/>
        <color rgb="FF000000"/>
        <rFont val="Arial"/>
        <family val="0"/>
        <charset val="1"/>
      </rPr>
      <t xml:space="preserve">equity-settled share-based compensation</t>
    </r>
    <r>
      <rPr>
        <sz val="10"/>
        <color rgb="FF000000"/>
        <rFont val="Noto Sans CJK SC"/>
        <family val="2"/>
      </rPr>
      <t xml:space="preserve">」；千元值 </t>
    </r>
    <r>
      <rPr>
        <sz val="10"/>
        <color rgb="FF000000"/>
        <rFont val="Arial"/>
        <family val="0"/>
        <charset val="1"/>
      </rPr>
      <t xml:space="preserve">85,764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1H25 </t>
    </r>
    <r>
      <rPr>
        <sz val="10"/>
        <color rgb="FF000000"/>
        <rFont val="Noto Sans CJK SC"/>
        <family val="2"/>
      </rPr>
      <t xml:space="preserve">比較數 </t>
    </r>
    <r>
      <rPr>
        <sz val="10"/>
        <color rgb="FF000000"/>
        <rFont val="Arial"/>
        <family val="0"/>
        <charset val="1"/>
      </rPr>
      <t xml:space="preserve">158,852 </t>
    </r>
    <r>
      <rPr>
        <sz val="10"/>
        <color rgb="FF000000"/>
        <rFont val="Noto Sans CJK SC"/>
        <family val="2"/>
      </rPr>
      <t xml:space="preserve">與招股章程同</t>
    </r>
  </si>
  <si>
    <t xml:space="preserve">SRC_ZP_203</t>
  </si>
  <si>
    <t xml:space="preserve">other_inc_1h26</t>
  </si>
  <si>
    <r>
      <rPr>
        <sz val="10"/>
        <color rgb="FF000000"/>
        <rFont val="Noto Sans CJK SC"/>
        <family val="2"/>
      </rPr>
      <t xml:space="preserve">千元 </t>
    </r>
    <r>
      <rPr>
        <sz val="10"/>
        <color rgb="FF000000"/>
        <rFont val="Arial"/>
        <family val="0"/>
        <charset val="1"/>
      </rPr>
      <t xml:space="preserve">41,436</t>
    </r>
    <r>
      <rPr>
        <sz val="10"/>
        <color rgb="FF000000"/>
        <rFont val="Noto Sans CJK SC"/>
        <family val="2"/>
      </rPr>
      <t xml:space="preserve">；公告歸因上市後銀行存款增加帶來利息收入；未提政府補助；</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</si>
  <si>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SRC_ZP_204</t>
  </si>
  <si>
    <t xml:space="preserve">fin_cost_1h26</t>
  </si>
  <si>
    <r>
      <rPr>
        <sz val="10"/>
        <color rgb="FF000000"/>
        <rFont val="Noto Sans CJK SC"/>
        <family val="2"/>
      </rPr>
      <t xml:space="preserve">原文「</t>
    </r>
    <r>
      <rPr>
        <sz val="10"/>
        <color rgb="FF000000"/>
        <rFont val="Arial"/>
        <family val="0"/>
        <charset val="1"/>
      </rPr>
      <t xml:space="preserve">net foreign exchange losses and the increase in interest expenses on bank loans</t>
    </r>
    <r>
      <rPr>
        <sz val="10"/>
        <color rgb="FF000000"/>
        <rFont val="Noto Sans CJK SC"/>
        <family val="2"/>
      </rPr>
      <t xml:space="preserve">」；千元 </t>
    </r>
    <r>
      <rPr>
        <sz val="10"/>
        <color rgb="FF000000"/>
        <rFont val="Arial"/>
        <family val="0"/>
        <charset val="1"/>
      </rPr>
      <t xml:space="preserve">95,925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</si>
  <si>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SRC_ZP_205</t>
  </si>
  <si>
    <t xml:space="preserve">net_loss_1h26</t>
  </si>
  <si>
    <t xml:space="preserve">期內虧損</t>
  </si>
  <si>
    <r>
      <rPr>
        <sz val="10"/>
        <color rgb="FF000000"/>
        <rFont val="Arial"/>
        <family val="0"/>
        <charset val="1"/>
      </rPr>
      <t xml:space="preserve">loss for the period 2,071,992 </t>
    </r>
    <r>
      <rPr>
        <sz val="10"/>
        <color rgb="FF000000"/>
        <rFont val="Noto Sans CJK SC"/>
        <family val="2"/>
      </rPr>
      <t xml:space="preserve">千元（</t>
    </r>
    <r>
      <rPr>
        <sz val="10"/>
        <color rgb="FF000000"/>
        <rFont val="Arial"/>
        <family val="0"/>
        <charset val="1"/>
      </rPr>
      <t xml:space="preserve">1H25 2,357,852</t>
    </r>
    <r>
      <rPr>
        <sz val="10"/>
        <color rgb="FF000000"/>
        <rFont val="Noto Sans CJK SC"/>
        <family val="2"/>
      </rPr>
      <t xml:space="preserve">）；正數記虧損；</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</si>
  <si>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SRC_ZP_206</t>
  </si>
  <si>
    <t xml:space="preserve">adj_loss_1h26</t>
  </si>
  <si>
    <r>
      <rPr>
        <sz val="10"/>
        <color rgb="FF000000"/>
        <rFont val="Noto Sans CJK SC"/>
        <family val="2"/>
      </rPr>
      <t xml:space="preserve">加回 </t>
    </r>
    <r>
      <rPr>
        <sz val="10"/>
        <color rgb="FF000000"/>
        <rFont val="Arial"/>
        <family val="0"/>
        <charset val="1"/>
      </rPr>
      <t xml:space="preserve">SBC 85,764</t>
    </r>
    <r>
      <rPr>
        <sz val="10"/>
        <color rgb="FF000000"/>
        <rFont val="Noto Sans CJK SC"/>
        <family val="2"/>
      </rPr>
      <t xml:space="preserve">、投資人工具變動 </t>
    </r>
    <r>
      <rPr>
        <sz val="10"/>
        <color rgb="FF000000"/>
        <rFont val="Arial"/>
        <family val="0"/>
        <charset val="1"/>
      </rPr>
      <t xml:space="preserve">22,090</t>
    </r>
    <r>
      <rPr>
        <sz val="10"/>
        <color rgb="FF000000"/>
        <rFont val="Noto Sans CJK SC"/>
        <family val="2"/>
      </rPr>
      <t xml:space="preserve">；千元 </t>
    </r>
    <r>
      <rPr>
        <sz val="10"/>
        <color rgb="FF000000"/>
        <rFont val="Arial"/>
        <family val="0"/>
        <charset val="1"/>
      </rPr>
      <t xml:space="preserve">1,964,138</t>
    </r>
    <r>
      <rPr>
        <sz val="10"/>
        <color rgb="FF000000"/>
        <rFont val="Noto Sans CJK SC"/>
        <family val="2"/>
      </rPr>
      <t xml:space="preserve">（</t>
    </r>
    <r>
      <rPr>
        <sz val="10"/>
        <color rgb="FF000000"/>
        <rFont val="Arial"/>
        <family val="0"/>
        <charset val="1"/>
      </rPr>
      <t xml:space="preserve">1H25 1,751,974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</si>
  <si>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SRC_ZP_207</t>
  </si>
  <si>
    <t xml:space="preserve">net_loss_1h25_b</t>
  </si>
  <si>
    <t xml:space="preserve">期內淨虧損（媒體引部落客）</t>
  </si>
  <si>
    <r>
      <rPr>
        <sz val="10"/>
        <color rgb="FF000000"/>
        <rFont val="Arial"/>
        <family val="0"/>
        <charset val="1"/>
      </rPr>
      <t xml:space="preserve">36</t>
    </r>
    <r>
      <rPr>
        <sz val="10"/>
        <color rgb="FF000000"/>
        <rFont val="Noto Sans CJK SC"/>
        <family val="2"/>
      </rPr>
      <t xml:space="preserve">氪轉載〈市值水晶〉</t>
    </r>
  </si>
  <si>
    <t xml:space="preserve">https://www.36kr.com/p/3611675144253960</t>
  </si>
  <si>
    <t xml:space="preserve">2025-12-26</t>
  </si>
  <si>
    <r>
      <rPr>
        <sz val="10"/>
        <color rgb="FF000000"/>
        <rFont val="Noto Sans CJK SC"/>
        <family val="2"/>
      </rPr>
      <t xml:space="preserve">媒體稱淨虧損 </t>
    </r>
    <r>
      <rPr>
        <sz val="10"/>
        <color rgb="FF000000"/>
        <rFont val="Arial"/>
        <family val="0"/>
        <charset val="1"/>
      </rPr>
      <t xml:space="preserve">17.51 </t>
    </r>
    <r>
      <rPr>
        <sz val="10"/>
        <color rgb="FF000000"/>
        <rFont val="Noto Sans CJK SC"/>
        <family val="2"/>
      </rPr>
      <t xml:space="preserve">億；實為經調整淨虧損（招股章程 </t>
    </r>
    <r>
      <rPr>
        <sz val="10"/>
        <color rgb="FF000000"/>
        <rFont val="Arial"/>
        <family val="0"/>
        <charset val="1"/>
      </rPr>
      <t xml:space="preserve">17.52 </t>
    </r>
    <r>
      <rPr>
        <sz val="10"/>
        <color rgb="FF000000"/>
        <rFont val="Noto Sans CJK SC"/>
        <family val="2"/>
      </rPr>
      <t xml:space="preserve">億），與期內虧損 </t>
    </r>
    <r>
      <rPr>
        <sz val="10"/>
        <color rgb="FF000000"/>
        <rFont val="Arial"/>
        <family val="0"/>
        <charset val="1"/>
      </rPr>
      <t xml:space="preserve">23.58 </t>
    </r>
    <r>
      <rPr>
        <sz val="10"/>
        <color rgb="FF000000"/>
        <rFont val="Noto Sans CJK SC"/>
        <family val="2"/>
      </rPr>
      <t xml:space="preserve">億矛盾</t>
    </r>
  </si>
  <si>
    <t xml:space="preserve">SRC_ZP_208</t>
  </si>
  <si>
    <t xml:space="preserve">net_loss_1h25_c</t>
  </si>
  <si>
    <t xml:space="preserve">淨利潤（券商）</t>
  </si>
  <si>
    <r>
      <rPr>
        <sz val="10"/>
        <color rgb="FF000000"/>
        <rFont val="Noto Sans CJK SC"/>
        <family val="2"/>
      </rPr>
      <t xml:space="preserve">國信證券〈垂類</t>
    </r>
    <r>
      <rPr>
        <sz val="10"/>
        <color rgb="FF000000"/>
        <rFont val="Arial"/>
        <family val="0"/>
        <charset val="1"/>
      </rPr>
      <t xml:space="preserve">AI</t>
    </r>
    <r>
      <rPr>
        <sz val="10"/>
        <color rgb="FF000000"/>
        <rFont val="Noto Sans CJK SC"/>
        <family val="2"/>
      </rPr>
      <t xml:space="preserve">應用專題：智譜〉</t>
    </r>
  </si>
  <si>
    <t xml:space="preserve">https://pdf.dfcfw.com/pdf/H3_AP202601071816825157_1.pdf</t>
  </si>
  <si>
    <t xml:space="preserve">2026-01-07</t>
  </si>
  <si>
    <r>
      <rPr>
        <sz val="10"/>
        <color rgb="FF000000"/>
        <rFont val="Noto Sans CJK SC"/>
        <family val="2"/>
      </rPr>
      <t xml:space="preserve">原文「净利润为</t>
    </r>
    <r>
      <rPr>
        <sz val="10"/>
        <color rgb="FF000000"/>
        <rFont val="Arial"/>
        <family val="0"/>
        <charset val="1"/>
      </rPr>
      <t xml:space="preserve">-23.51</t>
    </r>
    <r>
      <rPr>
        <sz val="10"/>
        <color rgb="FF000000"/>
        <rFont val="Noto Sans CJK SC"/>
        <family val="2"/>
      </rPr>
      <t xml:space="preserve">亿元」；與招股章程期內虧損 </t>
    </r>
    <r>
      <rPr>
        <sz val="10"/>
        <color rgb="FF000000"/>
        <rFont val="Arial"/>
        <family val="0"/>
        <charset val="1"/>
      </rPr>
      <t xml:space="preserve">23.58 </t>
    </r>
    <r>
      <rPr>
        <sz val="10"/>
        <color rgb="FF000000"/>
        <rFont val="Noto Sans CJK SC"/>
        <family val="2"/>
      </rPr>
      <t xml:space="preserve">億不一致（可能為歸母）</t>
    </r>
  </si>
  <si>
    <t xml:space="preserve">SRC_ZP_209</t>
  </si>
  <si>
    <t xml:space="preserve">capex_1h26</t>
  </si>
  <si>
    <r>
      <rPr>
        <sz val="10"/>
        <color rgb="FF000000"/>
        <rFont val="Noto Sans CJK SC"/>
        <family val="2"/>
      </rPr>
      <t xml:space="preserve">原文 </t>
    </r>
    <r>
      <rPr>
        <sz val="10"/>
        <color rgb="FF000000"/>
        <rFont val="Arial"/>
        <family val="0"/>
        <charset val="1"/>
      </rPr>
      <t xml:space="preserve">increased from RMB53.7 million to RMB390.6 million</t>
    </r>
    <r>
      <rPr>
        <sz val="10"/>
        <color rgb="FF000000"/>
        <rFont val="Noto Sans CJK SC"/>
        <family val="2"/>
      </rPr>
      <t xml:space="preserve">（</t>
    </r>
    <r>
      <rPr>
        <sz val="10"/>
        <color rgb="FF000000"/>
        <rFont val="Arial"/>
        <family val="0"/>
        <charset val="1"/>
      </rPr>
      <t xml:space="preserve">+627.4%</t>
    </r>
    <r>
      <rPr>
        <sz val="10"/>
        <color rgb="FF000000"/>
        <rFont val="Noto Sans CJK SC"/>
        <family val="2"/>
      </rPr>
      <t xml:space="preserve">），主因收購北京紅鑽；百萬</t>
    </r>
    <r>
      <rPr>
        <sz val="10"/>
        <color rgb="FF000000"/>
        <rFont val="Arial"/>
        <family val="0"/>
        <charset val="1"/>
      </rPr>
      <t xml:space="preserve">÷100</t>
    </r>
  </si>
  <si>
    <t xml:space="preserve">SRC_ZP_210</t>
  </si>
  <si>
    <t xml:space="preserve">capex_1h25</t>
  </si>
  <si>
    <r>
      <rPr>
        <sz val="10"/>
        <color rgb="FF000000"/>
        <rFont val="Noto Sans CJK SC"/>
        <family val="2"/>
      </rPr>
      <t xml:space="preserve">中期公告比較數 </t>
    </r>
    <r>
      <rPr>
        <sz val="10"/>
        <color rgb="FF000000"/>
        <rFont val="Arial"/>
        <family val="0"/>
        <charset val="1"/>
      </rPr>
      <t xml:space="preserve">RMB53.7 million</t>
    </r>
    <r>
      <rPr>
        <sz val="10"/>
        <color rgb="FF000000"/>
        <rFont val="Noto Sans CJK SC"/>
        <family val="2"/>
      </rPr>
      <t xml:space="preserve">；百萬</t>
    </r>
    <r>
      <rPr>
        <sz val="10"/>
        <color rgb="FF000000"/>
        <rFont val="Arial"/>
        <family val="0"/>
        <charset val="1"/>
      </rPr>
      <t xml:space="preserve">÷100</t>
    </r>
    <r>
      <rPr>
        <sz val="10"/>
        <color rgb="FF000000"/>
        <rFont val="Noto Sans CJK SC"/>
        <family val="2"/>
      </rPr>
      <t xml:space="preserve">；【</t>
    </r>
    <r>
      <rPr>
        <sz val="10"/>
        <color rgb="FF000000"/>
        <rFont val="Arial"/>
        <family val="0"/>
        <charset val="1"/>
      </rPr>
      <t xml:space="preserve">r2 P2 </t>
    </r>
    <r>
      <rPr>
        <sz val="10"/>
        <color rgb="FF000000"/>
        <rFont val="Noto Sans CJK SC"/>
        <family val="2"/>
      </rPr>
      <t xml:space="preserve">口徑差異】公告「資本開支」含使用權資產添置 </t>
    </r>
    <r>
      <rPr>
        <sz val="10"/>
        <color rgb="FF000000"/>
        <rFont val="Arial"/>
        <family val="0"/>
        <charset val="1"/>
      </rPr>
      <t xml:space="preserve">0.34 </t>
    </r>
    <r>
      <rPr>
        <sz val="10"/>
        <color rgb="FF000000"/>
        <rFont val="Noto Sans CJK SC"/>
        <family val="2"/>
      </rPr>
      <t xml:space="preserve">億；現金資本開支 </t>
    </r>
    <r>
      <rPr>
        <sz val="10"/>
        <color rgb="FF000000"/>
        <rFont val="Arial"/>
        <family val="0"/>
        <charset val="1"/>
      </rPr>
      <t xml:space="preserve">0.24 </t>
    </r>
    <r>
      <rPr>
        <sz val="10"/>
        <color rgb="FF000000"/>
        <rFont val="Noto Sans CJK SC"/>
        <family val="2"/>
      </rPr>
      <t xml:space="preserve">億見 </t>
    </r>
    <r>
      <rPr>
        <sz val="10"/>
        <color rgb="FF000000"/>
        <rFont val="Arial"/>
        <family val="0"/>
        <charset val="1"/>
      </rPr>
      <t xml:space="preserve">SRC_ZP_891</t>
    </r>
  </si>
  <si>
    <t xml:space="preserve">SRC_ZP_211</t>
  </si>
  <si>
    <t xml:space="preserve">cash_end_1h26</t>
  </si>
  <si>
    <t xml:space="preserve">期末現金及現金等價物</t>
  </si>
  <si>
    <t xml:space="preserve">2026-06-30</t>
  </si>
  <si>
    <r>
      <rPr>
        <sz val="10"/>
        <color rgb="FF000000"/>
        <rFont val="Noto Sans CJK SC"/>
        <family val="2"/>
      </rPr>
      <t xml:space="preserve">千元 </t>
    </r>
    <r>
      <rPr>
        <sz val="10"/>
        <color rgb="FF000000"/>
        <rFont val="Arial"/>
        <family val="0"/>
        <charset val="1"/>
      </rPr>
      <t xml:space="preserve">3,993,722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年末 </t>
    </r>
    <r>
      <rPr>
        <sz val="10"/>
        <color rgb="FF000000"/>
        <rFont val="Arial"/>
        <family val="0"/>
        <charset val="1"/>
      </rPr>
      <t xml:space="preserve">2,259,147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</si>
  <si>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SRC_ZP_212</t>
  </si>
  <si>
    <t xml:space="preserve">time_dep_1h26</t>
  </si>
  <si>
    <t xml:space="preserve">定期存款</t>
  </si>
  <si>
    <r>
      <rPr>
        <sz val="10"/>
        <color rgb="FF000000"/>
        <rFont val="Arial"/>
        <family val="0"/>
        <charset val="1"/>
      </rPr>
      <t xml:space="preserve">time deposits nil</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年末 </t>
    </r>
    <r>
      <rPr>
        <sz val="10"/>
        <color rgb="FF000000"/>
        <rFont val="Arial"/>
        <family val="0"/>
        <charset val="1"/>
      </rPr>
      <t xml:space="preserve">108,593 </t>
    </r>
    <r>
      <rPr>
        <sz val="10"/>
        <color rgb="FF000000"/>
        <rFont val="Noto Sans CJK SC"/>
        <family val="2"/>
      </rPr>
      <t xml:space="preserve">千元）</t>
    </r>
  </si>
  <si>
    <t xml:space="preserve">SRC_ZP_213</t>
  </si>
  <si>
    <t xml:space="preserve">bank_loans_1h26</t>
  </si>
  <si>
    <r>
      <rPr>
        <sz val="10"/>
        <color rgb="FF000000"/>
        <rFont val="Noto Sans CJK SC"/>
        <family val="2"/>
      </rPr>
      <t xml:space="preserve">流動 </t>
    </r>
    <r>
      <rPr>
        <sz val="10"/>
        <color rgb="FF000000"/>
        <rFont val="Arial"/>
        <family val="0"/>
        <charset val="1"/>
      </rPr>
      <t xml:space="preserve">789,831</t>
    </r>
    <r>
      <rPr>
        <sz val="10"/>
        <color rgb="FF000000"/>
        <rFont val="Noto Sans CJK SC"/>
        <family val="2"/>
      </rPr>
      <t xml:space="preserve">＋非流動 </t>
    </r>
    <r>
      <rPr>
        <sz val="10"/>
        <color rgb="FF000000"/>
        <rFont val="Arial"/>
        <family val="0"/>
        <charset val="1"/>
      </rPr>
      <t xml:space="preserve">1,434,958 </t>
    </r>
    <r>
      <rPr>
        <sz val="10"/>
        <color rgb="FF000000"/>
        <rFont val="Noto Sans CJK SC"/>
        <family val="2"/>
      </rPr>
      <t xml:space="preserve">千元；原文「</t>
    </r>
    <r>
      <rPr>
        <sz val="10"/>
        <color rgb="FF000000"/>
        <rFont val="Arial"/>
        <family val="0"/>
        <charset val="1"/>
      </rPr>
      <t xml:space="preserve">interest-bearing, denominated primarily in RMB and unsecured</t>
    </r>
    <r>
      <rPr>
        <sz val="10"/>
        <color rgb="FF000000"/>
        <rFont val="Noto Sans CJK SC"/>
        <family val="2"/>
      </rPr>
      <t xml:space="preserve">」；利率、到期未揭露；</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</si>
  <si>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SRC_ZP_214</t>
  </si>
  <si>
    <t xml:space="preserve">bank_loans_cur_1h26</t>
  </si>
  <si>
    <t xml:space="preserve">銀行貸款（流動，一年內到期）</t>
  </si>
  <si>
    <r>
      <rPr>
        <sz val="10"/>
        <color rgb="FF000000"/>
        <rFont val="Arial"/>
        <family val="0"/>
        <charset val="1"/>
      </rPr>
      <t xml:space="preserve">current 789,831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</si>
  <si>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SRC_ZP_215</t>
  </si>
  <si>
    <t xml:space="preserve">bank_loans_ncur_1h26</t>
  </si>
  <si>
    <t xml:space="preserve">銀行貸款（非流動）</t>
  </si>
  <si>
    <r>
      <rPr>
        <sz val="10"/>
        <color rgb="FF000000"/>
        <rFont val="Arial"/>
        <family val="0"/>
        <charset val="1"/>
      </rPr>
      <t xml:space="preserve">non-current 1,434,958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</si>
  <si>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SRC_ZP_216</t>
  </si>
  <si>
    <t xml:space="preserve">bank_loans_cur_fy25</t>
  </si>
  <si>
    <t xml:space="preserve">銀行貸款（流動）</t>
  </si>
  <si>
    <r>
      <rPr>
        <sz val="10"/>
        <color rgb="FF000000"/>
        <rFont val="Arial"/>
        <family val="0"/>
        <charset val="1"/>
      </rPr>
      <t xml:space="preserve">current 604,836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</si>
  <si>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SRC_ZP_217</t>
  </si>
  <si>
    <t xml:space="preserve">bank_loans_ncur_fy25</t>
  </si>
  <si>
    <r>
      <rPr>
        <sz val="10"/>
        <color rgb="FF000000"/>
        <rFont val="Arial"/>
        <family val="0"/>
        <charset val="1"/>
      </rPr>
      <t xml:space="preserve">non-current 84,616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</si>
  <si>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SRC_ZP_218</t>
  </si>
  <si>
    <t xml:space="preserve">payable_compute_1h26</t>
  </si>
  <si>
    <t xml:space="preserve">應付算力服務費</t>
  </si>
  <si>
    <r>
      <rPr>
        <sz val="10"/>
        <color rgb="FF000000"/>
        <rFont val="Arial"/>
        <family val="0"/>
        <charset val="1"/>
      </rPr>
      <t xml:space="preserve">payables for computing service fees 1,427,415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</si>
  <si>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SRC_ZP_219</t>
  </si>
  <si>
    <t xml:space="preserve">prepay_compute_1h26</t>
  </si>
  <si>
    <t xml:space="preserve">預付算力服務費及其他</t>
  </si>
  <si>
    <r>
      <rPr>
        <sz val="10"/>
        <color rgb="FF000000"/>
        <rFont val="Arial"/>
        <family val="0"/>
        <charset val="1"/>
      </rPr>
      <t xml:space="preserve">prepayments for computing service fee and others 1,243,736</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年末 </t>
    </r>
    <r>
      <rPr>
        <sz val="10"/>
        <color rgb="FF000000"/>
        <rFont val="Arial"/>
        <family val="0"/>
        <charset val="1"/>
      </rPr>
      <t xml:space="preserve">116,295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</si>
  <si>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SRC_ZP_220</t>
  </si>
  <si>
    <t xml:space="preserve">prepay_compute_fy25</t>
  </si>
  <si>
    <r>
      <rPr>
        <sz val="10"/>
        <color rgb="FF000000"/>
        <rFont val="Noto Sans CJK SC"/>
        <family val="2"/>
      </rPr>
      <t xml:space="preserve">中期公告比較數 </t>
    </r>
    <r>
      <rPr>
        <sz val="10"/>
        <color rgb="FF000000"/>
        <rFont val="Arial"/>
        <family val="0"/>
        <charset val="1"/>
      </rPr>
      <t xml:space="preserve">116,295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</si>
  <si>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SRC_ZP_221</t>
  </si>
  <si>
    <t xml:space="preserve">deferred_inc_1h26</t>
  </si>
  <si>
    <t xml:space="preserve">遞延收益（非流動）</t>
  </si>
  <si>
    <r>
      <rPr>
        <sz val="10"/>
        <color rgb="FF000000"/>
        <rFont val="Arial"/>
        <family val="0"/>
        <charset val="1"/>
      </rPr>
      <t xml:space="preserve">non-current deferred income 172,991 </t>
    </r>
    <r>
      <rPr>
        <sz val="10"/>
        <color rgb="FF000000"/>
        <rFont val="Noto Sans CJK SC"/>
        <family val="2"/>
      </rPr>
      <t xml:space="preserve">千元；性質未說明（可能含政府補助，未證實）；</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</si>
  <si>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SRC_ZP_222</t>
  </si>
  <si>
    <t xml:space="preserve">employees_1h26</t>
  </si>
  <si>
    <r>
      <rPr>
        <sz val="10"/>
        <color rgb="FF000000"/>
        <rFont val="Noto Sans CJK SC"/>
        <family val="2"/>
      </rPr>
      <t xml:space="preserve">原文「</t>
    </r>
    <r>
      <rPr>
        <sz val="10"/>
        <color rgb="FF000000"/>
        <rFont val="Arial"/>
        <family val="0"/>
        <charset val="1"/>
      </rPr>
      <t xml:space="preserve">the Group had 981 permanent employees</t>
    </r>
    <r>
      <rPr>
        <sz val="10"/>
        <color rgb="FF000000"/>
        <rFont val="Noto Sans CJK SC"/>
        <family val="2"/>
      </rPr>
      <t xml:space="preserve">」</t>
    </r>
  </si>
  <si>
    <t xml:space="preserve">SRC_ZP_223</t>
  </si>
  <si>
    <t xml:space="preserve">employees_1h25</t>
  </si>
  <si>
    <r>
      <rPr>
        <sz val="10"/>
        <color rgb="FF000000"/>
        <rFont val="Noto Sans CJK SC"/>
        <family val="2"/>
      </rPr>
      <t xml:space="preserve">中期公告比較數 </t>
    </r>
    <r>
      <rPr>
        <sz val="10"/>
        <color rgb="FF000000"/>
        <rFont val="Arial"/>
        <family val="0"/>
        <charset val="1"/>
      </rPr>
      <t xml:space="preserve">883</t>
    </r>
    <r>
      <rPr>
        <sz val="10"/>
        <color rgb="FF000000"/>
        <rFont val="Noto Sans CJK SC"/>
        <family val="2"/>
      </rPr>
      <t xml:space="preserve">；鈦媒體亦稱 </t>
    </r>
    <r>
      <rPr>
        <sz val="10"/>
        <color rgb="FF000000"/>
        <rFont val="Arial"/>
        <family val="0"/>
        <charset val="1"/>
      </rPr>
      <t xml:space="preserve">883 </t>
    </r>
    <r>
      <rPr>
        <sz val="10"/>
        <color rgb="FF000000"/>
        <rFont val="Noto Sans CJK SC"/>
        <family val="2"/>
      </rPr>
      <t xml:space="preserve">人、研發 </t>
    </r>
    <r>
      <rPr>
        <sz val="10"/>
        <color rgb="FF000000"/>
        <rFont val="Arial"/>
        <family val="0"/>
        <charset val="1"/>
      </rPr>
      <t xml:space="preserve">657 </t>
    </r>
    <r>
      <rPr>
        <sz val="10"/>
        <color rgb="FF000000"/>
        <rFont val="Noto Sans CJK SC"/>
        <family val="2"/>
      </rPr>
      <t xml:space="preserve">人（</t>
    </r>
    <r>
      <rPr>
        <sz val="10"/>
        <color rgb="FF000000"/>
        <rFont val="Arial"/>
        <family val="0"/>
        <charset val="1"/>
      </rPr>
      <t xml:space="preserve">74.4%</t>
    </r>
    <r>
      <rPr>
        <sz val="10"/>
        <color rgb="FF000000"/>
        <rFont val="Noto Sans CJK SC"/>
        <family val="2"/>
      </rPr>
      <t xml:space="preserve">）</t>
    </r>
  </si>
  <si>
    <t xml:space="preserve">SRC_ZP_224</t>
  </si>
  <si>
    <t xml:space="preserve">remun_1h26</t>
  </si>
  <si>
    <r>
      <rPr>
        <sz val="10"/>
        <color rgb="FF000000"/>
        <rFont val="Noto Sans CJK SC"/>
        <family val="2"/>
      </rPr>
      <t xml:space="preserve">原文「</t>
    </r>
    <r>
      <rPr>
        <sz val="10"/>
        <color rgb="FF000000"/>
        <rFont val="Arial"/>
        <family val="0"/>
        <charset val="1"/>
      </rPr>
      <t xml:space="preserve">total remuneration costs (including share-based payments) of RMB482.1 million</t>
    </r>
    <r>
      <rPr>
        <sz val="10"/>
        <color rgb="FF000000"/>
        <rFont val="Noto Sans CJK SC"/>
        <family val="2"/>
      </rPr>
      <t xml:space="preserve">」</t>
    </r>
  </si>
  <si>
    <t xml:space="preserve">SRC_ZP_225</t>
  </si>
  <si>
    <t xml:space="preserve">remun_1h25</t>
  </si>
  <si>
    <r>
      <rPr>
        <sz val="10"/>
        <color rgb="FF000000"/>
        <rFont val="Noto Sans CJK SC"/>
        <family val="2"/>
      </rPr>
      <t xml:space="preserve">中期公告比較數 </t>
    </r>
    <r>
      <rPr>
        <sz val="10"/>
        <color rgb="FF000000"/>
        <rFont val="Arial"/>
        <family val="0"/>
        <charset val="1"/>
      </rPr>
      <t xml:space="preserve">RMB499.6 million</t>
    </r>
  </si>
  <si>
    <t xml:space="preserve">SRC_ZP_226</t>
  </si>
  <si>
    <t xml:space="preserve">comp_per_head_1h26</t>
  </si>
  <si>
    <t xml:space="preserve">人均半年薪酬（含股權報酬）</t>
  </si>
  <si>
    <r>
      <rPr>
        <sz val="10"/>
        <color rgb="FF000000"/>
        <rFont val="Arial"/>
        <family val="0"/>
        <charset val="1"/>
      </rPr>
      <t xml:space="preserve">RMB </t>
    </r>
    <r>
      <rPr>
        <sz val="10"/>
        <color rgb="FF000000"/>
        <rFont val="Noto Sans CJK SC"/>
        <family val="2"/>
      </rPr>
      <t xml:space="preserve">億／人／半年</t>
    </r>
  </si>
  <si>
    <r>
      <rPr>
        <sz val="10"/>
        <color rgb="FF000000"/>
        <rFont val="Arial"/>
        <family val="0"/>
        <charset val="1"/>
      </rPr>
      <t xml:space="preserve">482.1 </t>
    </r>
    <r>
      <rPr>
        <sz val="10"/>
        <color rgb="FF000000"/>
        <rFont val="Noto Sans CJK SC"/>
        <family val="2"/>
      </rPr>
      <t xml:space="preserve">百萬</t>
    </r>
    <r>
      <rPr>
        <sz val="10"/>
        <color rgb="FF000000"/>
        <rFont val="Arial"/>
        <family val="0"/>
        <charset val="1"/>
      </rPr>
      <t xml:space="preserve">÷</t>
    </r>
    <r>
      <rPr>
        <sz val="10"/>
        <color rgb="FF000000"/>
        <rFont val="Noto Sans CJK SC"/>
        <family val="2"/>
      </rPr>
      <t xml:space="preserve">期末 </t>
    </r>
    <r>
      <rPr>
        <sz val="10"/>
        <color rgb="FF000000"/>
        <rFont val="Arial"/>
        <family val="0"/>
        <charset val="1"/>
      </rPr>
      <t xml:space="preserve">981 </t>
    </r>
    <r>
      <rPr>
        <sz val="10"/>
        <color rgb="FF000000"/>
        <rFont val="Noto Sans CJK SC"/>
        <family val="2"/>
      </rPr>
      <t xml:space="preserve">人＝約 </t>
    </r>
    <r>
      <rPr>
        <sz val="10"/>
        <color rgb="FF000000"/>
        <rFont val="Arial"/>
        <family val="0"/>
        <charset val="1"/>
      </rPr>
      <t xml:space="preserve">49.1 </t>
    </r>
    <r>
      <rPr>
        <sz val="10"/>
        <color rgb="FF000000"/>
        <rFont val="Noto Sans CJK SC"/>
        <family val="2"/>
      </rPr>
      <t xml:space="preserve">萬元／人／半年</t>
    </r>
  </si>
  <si>
    <t xml:space="preserve">SRC_ZP_227</t>
  </si>
  <si>
    <t xml:space="preserve">api_price_1h26</t>
  </si>
  <si>
    <r>
      <rPr>
        <sz val="10"/>
        <color rgb="FF000000"/>
        <rFont val="Arial"/>
        <family val="0"/>
        <charset val="1"/>
      </rPr>
      <t xml:space="preserve">API </t>
    </r>
    <r>
      <rPr>
        <sz val="10"/>
        <color rgb="FF000000"/>
        <rFont val="Noto Sans CJK SC"/>
        <family val="2"/>
      </rPr>
      <t xml:space="preserve">平均售價上升</t>
    </r>
  </si>
  <si>
    <r>
      <rPr>
        <sz val="10"/>
        <color rgb="FF000000"/>
        <rFont val="Noto Sans CJK SC"/>
        <family val="2"/>
      </rPr>
      <t xml:space="preserve">原文「</t>
    </r>
    <r>
      <rPr>
        <sz val="10"/>
        <color rgb="FF000000"/>
        <rFont val="Arial"/>
        <family val="0"/>
        <charset val="1"/>
      </rPr>
      <t xml:space="preserve">the average API selling price increased by approximately 101%</t>
    </r>
    <r>
      <rPr>
        <sz val="10"/>
        <color rgb="FF000000"/>
        <rFont val="Noto Sans CJK SC"/>
        <family val="2"/>
      </rPr>
      <t xml:space="preserve">」；比較基準未明</t>
    </r>
  </si>
  <si>
    <t xml:space="preserve">SRC_ZP_228</t>
  </si>
  <si>
    <t xml:space="preserve">codingplan_class_1h26</t>
  </si>
  <si>
    <r>
      <rPr>
        <sz val="10"/>
        <color rgb="FF000000"/>
        <rFont val="Noto Sans CJK SC"/>
        <family val="2"/>
      </rPr>
      <t xml:space="preserve">未單列。雲端分部＝開放平台及 </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825,176</t>
    </r>
    <r>
      <rPr>
        <sz val="10"/>
        <color rgb="FF000000"/>
        <rFont val="Noto Sans CJK SC"/>
        <family val="2"/>
      </rPr>
      <t xml:space="preserve">），本地化＝其餘三線合計；</t>
    </r>
    <r>
      <rPr>
        <sz val="10"/>
        <color rgb="FF000000"/>
        <rFont val="Arial"/>
        <family val="0"/>
        <charset val="1"/>
      </rPr>
      <t xml:space="preserve">Coding Plan </t>
    </r>
    <r>
      <rPr>
        <sz val="10"/>
        <color rgb="FF000000"/>
        <rFont val="Noto Sans CJK SC"/>
        <family val="2"/>
      </rPr>
      <t xml:space="preserve">為雲端訂閱，故在開放平台及 </t>
    </r>
    <r>
      <rPr>
        <sz val="10"/>
        <color rgb="FF000000"/>
        <rFont val="Arial"/>
        <family val="0"/>
        <charset val="1"/>
      </rPr>
      <t xml:space="preserve">API </t>
    </r>
    <r>
      <rPr>
        <sz val="10"/>
        <color rgb="FF000000"/>
        <rFont val="Noto Sans CJK SC"/>
        <family val="2"/>
      </rPr>
      <t xml:space="preserve">內</t>
    </r>
  </si>
  <si>
    <t xml:space="preserve">SRC_ZP_229</t>
  </si>
  <si>
    <t xml:space="preserve">domestic_chip_1h26</t>
  </si>
  <si>
    <t xml:space="preserve">國產晶片推論集群規模</t>
  </si>
  <si>
    <t xml:space="preserve">顆（下限）</t>
  </si>
  <si>
    <r>
      <rPr>
        <sz val="10"/>
        <color rgb="FF000000"/>
        <rFont val="Noto Sans CJK SC"/>
        <family val="2"/>
      </rPr>
      <t xml:space="preserve">原文「</t>
    </r>
    <r>
      <rPr>
        <sz val="10"/>
        <color rgb="FF000000"/>
        <rFont val="Arial"/>
        <family val="0"/>
        <charset val="1"/>
      </rPr>
      <t xml:space="preserve">across a cluster of over 100,000 domestic chips</t>
    </r>
    <r>
      <rPr>
        <sz val="10"/>
        <color rgb="FF000000"/>
        <rFont val="Noto Sans CJK SC"/>
        <family val="2"/>
      </rPr>
      <t xml:space="preserve">」</t>
    </r>
  </si>
  <si>
    <t xml:space="preserve">SRC_ZP_230</t>
  </si>
  <si>
    <t xml:space="preserve">rd_compute_fy22</t>
  </si>
  <si>
    <t xml:space="preserve">研發開支中算力服務費（含模型訓練及雲端部署服務）</t>
  </si>
  <si>
    <r>
      <rPr>
        <sz val="10"/>
        <color rgb="FF000000"/>
        <rFont val="Arial"/>
        <family val="0"/>
        <charset val="1"/>
      </rPr>
      <t xml:space="preserve">36</t>
    </r>
    <r>
      <rPr>
        <sz val="10"/>
        <color rgb="FF000000"/>
        <rFont val="Noto Sans CJK SC"/>
        <family val="2"/>
      </rPr>
      <t xml:space="preserve">氪轉載〈市值水晶〉（王浩然）</t>
    </r>
  </si>
  <si>
    <t xml:space="preserve">媒體轉述（招股章程）</t>
  </si>
  <si>
    <r>
      <rPr>
        <sz val="10"/>
        <color rgb="FF000000"/>
        <rFont val="Noto Sans CJK SC"/>
        <family val="2"/>
      </rPr>
      <t xml:space="preserve">原文「从</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0.15</t>
    </r>
    <r>
      <rPr>
        <sz val="10"/>
        <color rgb="FF000000"/>
        <rFont val="Noto Sans CJK SC"/>
        <family val="2"/>
      </rPr>
      <t xml:space="preserve">亿元」；原始招股章程財務資料節未能讀取；【</t>
    </r>
    <r>
      <rPr>
        <sz val="10"/>
        <color rgb="FF000000"/>
        <rFont val="Arial"/>
        <family val="0"/>
        <charset val="1"/>
      </rPr>
      <t xml:space="preserve">r2 P2 </t>
    </r>
    <r>
      <rPr>
        <sz val="10"/>
        <color rgb="FF000000"/>
        <rFont val="Noto Sans CJK SC"/>
        <family val="2"/>
      </rPr>
      <t xml:space="preserve">口徑更正】原文「含雲端部署」不正確：研發項下算力費（招股章程第 </t>
    </r>
    <r>
      <rPr>
        <sz val="10"/>
        <color rgb="FF000000"/>
        <rFont val="Arial"/>
        <family val="0"/>
        <charset val="1"/>
      </rPr>
      <t xml:space="preserve">255</t>
    </r>
    <r>
      <rPr>
        <sz val="10"/>
        <color rgb="FF000000"/>
        <rFont val="Noto Sans CJK SC"/>
        <family val="2"/>
      </rPr>
      <t xml:space="preserve">、</t>
    </r>
    <r>
      <rPr>
        <sz val="10"/>
        <color rgb="FF000000"/>
        <rFont val="Arial"/>
        <family val="0"/>
        <charset val="1"/>
      </rPr>
      <t xml:space="preserve">267 </t>
    </r>
    <r>
      <rPr>
        <sz val="10"/>
        <color rgb="FF000000"/>
        <rFont val="Noto Sans CJK SC"/>
        <family val="2"/>
      </rPr>
      <t xml:space="preserve">頁，</t>
    </r>
    <r>
      <rPr>
        <sz val="10"/>
        <color rgb="FF000000"/>
        <rFont val="Arial"/>
        <family val="0"/>
        <charset val="1"/>
      </rPr>
      <t xml:space="preserve">SRC_ZP_611</t>
    </r>
    <r>
      <rPr>
        <sz val="10"/>
        <color rgb="FF000000"/>
        <rFont val="Noto Sans CJK SC"/>
        <family val="2"/>
      </rPr>
      <t xml:space="preserve">）不含營業成本中的雲端部署算力</t>
    </r>
  </si>
  <si>
    <t xml:space="preserve">SRC_ZP_231</t>
  </si>
  <si>
    <t xml:space="preserve">rd_compute_1h25</t>
  </si>
  <si>
    <r>
      <rPr>
        <sz val="10"/>
        <color rgb="FF000000"/>
        <rFont val="Noto Sans CJK SC"/>
        <family val="2"/>
      </rPr>
      <t xml:space="preserve">原文「到</t>
    </r>
    <r>
      <rPr>
        <sz val="10"/>
        <color rgb="FF000000"/>
        <rFont val="Arial"/>
        <family val="0"/>
        <charset val="1"/>
      </rPr>
      <t xml:space="preserve">2025</t>
    </r>
    <r>
      <rPr>
        <sz val="10"/>
        <color rgb="FF000000"/>
        <rFont val="Noto Sans CJK SC"/>
        <family val="2"/>
      </rPr>
      <t xml:space="preserve">年上半年的</t>
    </r>
    <r>
      <rPr>
        <sz val="10"/>
        <color rgb="FF000000"/>
        <rFont val="Arial"/>
        <family val="0"/>
        <charset val="1"/>
      </rPr>
      <t xml:space="preserve">11.45</t>
    </r>
    <r>
      <rPr>
        <sz val="10"/>
        <color rgb="FF000000"/>
        <rFont val="Noto Sans CJK SC"/>
        <family val="2"/>
      </rPr>
      <t xml:space="preserve">亿」；原始招股章程財務資料節未能讀取；【</t>
    </r>
    <r>
      <rPr>
        <sz val="10"/>
        <color rgb="FF000000"/>
        <rFont val="Arial"/>
        <family val="0"/>
        <charset val="1"/>
      </rPr>
      <t xml:space="preserve">r2 P2 </t>
    </r>
    <r>
      <rPr>
        <sz val="10"/>
        <color rgb="FF000000"/>
        <rFont val="Noto Sans CJK SC"/>
        <family val="2"/>
      </rPr>
      <t xml:space="preserve">口徑更正】同 </t>
    </r>
    <r>
      <rPr>
        <sz val="10"/>
        <color rgb="FF000000"/>
        <rFont val="Arial"/>
        <family val="0"/>
        <charset val="1"/>
      </rPr>
      <t xml:space="preserve">SRC_ZP_230</t>
    </r>
    <r>
      <rPr>
        <sz val="10"/>
        <color rgb="FF000000"/>
        <rFont val="Noto Sans CJK SC"/>
        <family val="2"/>
      </rPr>
      <t xml:space="preserve">；一手值見 </t>
    </r>
    <r>
      <rPr>
        <sz val="10"/>
        <color rgb="FF000000"/>
        <rFont val="Arial"/>
        <family val="0"/>
        <charset val="1"/>
      </rPr>
      <t xml:space="preserve">SRC_ZP_615</t>
    </r>
    <r>
      <rPr>
        <sz val="10"/>
        <color rgb="FF000000"/>
        <rFont val="Noto Sans CJK SC"/>
        <family val="2"/>
      </rPr>
      <t xml:space="preserve">，三科目合計見 </t>
    </r>
    <r>
      <rPr>
        <sz val="10"/>
        <color rgb="FF000000"/>
        <rFont val="Arial"/>
        <family val="0"/>
        <charset val="1"/>
      </rPr>
      <t xml:space="preserve">SRC_ZP_742</t>
    </r>
  </si>
  <si>
    <t xml:space="preserve">SRC_ZP_232</t>
  </si>
  <si>
    <t xml:space="preserve">rd_compute_fy24</t>
  </si>
  <si>
    <t xml:space="preserve">研發開支中算力服務費</t>
  </si>
  <si>
    <t xml:space="preserve">華爾街見聞</t>
  </si>
  <si>
    <t xml:space="preserve">https://wallstreetcn.com/articles/3761769</t>
  </si>
  <si>
    <t xml:space="preserve">2025-12-20</t>
  </si>
  <si>
    <r>
      <rPr>
        <sz val="10"/>
        <color rgb="FF000000"/>
        <rFont val="Noto Sans CJK SC"/>
        <family val="2"/>
      </rPr>
      <t xml:space="preserve">原文 </t>
    </r>
    <r>
      <rPr>
        <sz val="10"/>
        <color rgb="FF000000"/>
        <rFont val="Arial"/>
        <family val="0"/>
        <charset val="1"/>
      </rPr>
      <t xml:space="preserve">2024</t>
    </r>
    <r>
      <rPr>
        <sz val="10"/>
        <color rgb="FF000000"/>
        <rFont val="Noto Sans CJK SC"/>
        <family val="2"/>
      </rPr>
      <t xml:space="preserve">年算力服務費 </t>
    </r>
    <r>
      <rPr>
        <sz val="10"/>
        <color rgb="FF000000"/>
        <rFont val="Arial"/>
        <family val="0"/>
        <charset val="1"/>
      </rPr>
      <t xml:space="preserve">15.52</t>
    </r>
    <r>
      <rPr>
        <sz val="10"/>
        <color rgb="FF000000"/>
        <rFont val="Noto Sans CJK SC"/>
        <family val="2"/>
      </rPr>
      <t xml:space="preserve">億元，「同期收入的</t>
    </r>
    <r>
      <rPr>
        <sz val="10"/>
        <color rgb="FF000000"/>
        <rFont val="Arial"/>
        <family val="0"/>
        <charset val="1"/>
      </rPr>
      <t xml:space="preserve">5</t>
    </r>
    <r>
      <rPr>
        <sz val="10"/>
        <color rgb="FF000000"/>
        <rFont val="Noto Sans CJK SC"/>
        <family val="2"/>
      </rPr>
      <t xml:space="preserve">倍左右」；原始財務資料節未能讀取</t>
    </r>
  </si>
  <si>
    <t xml:space="preserve">SRC_ZP_233</t>
  </si>
  <si>
    <t xml:space="preserve">rd_compute_fy24_b</t>
  </si>
  <si>
    <t xml:space="preserve">每日經濟新聞</t>
  </si>
  <si>
    <t xml:space="preserve">https://www.nbd.com.cn/articles/2025-12-21/4189232.html</t>
  </si>
  <si>
    <t xml:space="preserve">2025-12-21</t>
  </si>
  <si>
    <r>
      <rPr>
        <sz val="10"/>
        <color rgb="FF000000"/>
        <rFont val="Arial"/>
        <family val="0"/>
        <charset val="1"/>
      </rPr>
      <t xml:space="preserve">15.53 </t>
    </r>
    <r>
      <rPr>
        <sz val="10"/>
        <color rgb="FF000000"/>
        <rFont val="Noto Sans CJK SC"/>
        <family val="2"/>
      </rPr>
      <t xml:space="preserve">億元，占研發逾 </t>
    </r>
    <r>
      <rPr>
        <sz val="10"/>
        <color rgb="FF000000"/>
        <rFont val="Arial"/>
        <family val="0"/>
        <charset val="1"/>
      </rPr>
      <t xml:space="preserve">70%</t>
    </r>
    <r>
      <rPr>
        <sz val="10"/>
        <color rgb="FF000000"/>
        <rFont val="Noto Sans CJK SC"/>
        <family val="2"/>
      </rPr>
      <t xml:space="preserve">；與華爾街見聞 </t>
    </r>
    <r>
      <rPr>
        <sz val="10"/>
        <color rgb="FF000000"/>
        <rFont val="Arial"/>
        <family val="0"/>
        <charset val="1"/>
      </rPr>
      <t xml:space="preserve">15.52 </t>
    </r>
    <r>
      <rPr>
        <sz val="10"/>
        <color rgb="FF000000"/>
        <rFont val="Noto Sans CJK SC"/>
        <family val="2"/>
      </rPr>
      <t xml:space="preserve">億差 </t>
    </r>
    <r>
      <rPr>
        <sz val="10"/>
        <color rgb="FF000000"/>
        <rFont val="Arial"/>
        <family val="0"/>
        <charset val="1"/>
      </rPr>
      <t xml:space="preserve">0.01</t>
    </r>
    <r>
      <rPr>
        <sz val="10"/>
        <color rgb="FF000000"/>
        <rFont val="Noto Sans CJK SC"/>
        <family val="2"/>
      </rPr>
      <t xml:space="preserve">（四捨五入）</t>
    </r>
  </si>
  <si>
    <t xml:space="preserve">SRC_ZP_234</t>
  </si>
  <si>
    <t xml:space="preserve">rd_compute_share_1h25</t>
  </si>
  <si>
    <t xml:space="preserve">算力服務費占研發開支比重</t>
  </si>
  <si>
    <r>
      <rPr>
        <sz val="10"/>
        <color rgb="FF000000"/>
        <rFont val="Arial"/>
        <family val="0"/>
        <charset val="1"/>
      </rPr>
      <t xml:space="preserve">%</t>
    </r>
    <r>
      <rPr>
        <sz val="10"/>
        <color rgb="FF000000"/>
        <rFont val="Noto Sans CJK SC"/>
        <family val="2"/>
      </rPr>
      <t xml:space="preserve">（下限）</t>
    </r>
  </si>
  <si>
    <t xml:space="preserve">原文「仍维持在七成以上」</t>
  </si>
  <si>
    <t xml:space="preserve">SRC_ZP_235</t>
  </si>
  <si>
    <t xml:space="preserve">rd_staff_cost_fy22</t>
  </si>
  <si>
    <t xml:space="preserve">研發人員工資成本</t>
  </si>
  <si>
    <r>
      <rPr>
        <sz val="10"/>
        <color rgb="FF000000"/>
        <rFont val="Noto Sans CJK SC"/>
        <family val="2"/>
      </rPr>
      <t xml:space="preserve">原文「研发人员的工资成本分别为</t>
    </r>
    <r>
      <rPr>
        <sz val="10"/>
        <color rgb="FF000000"/>
        <rFont val="Arial"/>
        <family val="0"/>
        <charset val="1"/>
      </rPr>
      <t xml:space="preserve">0.42</t>
    </r>
    <r>
      <rPr>
        <sz val="10"/>
        <color rgb="FF000000"/>
        <rFont val="Noto Sans CJK SC"/>
        <family val="2"/>
      </rPr>
      <t xml:space="preserve">亿、</t>
    </r>
    <r>
      <rPr>
        <sz val="10"/>
        <color rgb="FF000000"/>
        <rFont val="Arial"/>
        <family val="0"/>
        <charset val="1"/>
      </rPr>
      <t xml:space="preserve">1.37</t>
    </r>
    <r>
      <rPr>
        <sz val="10"/>
        <color rgb="FF000000"/>
        <rFont val="Noto Sans CJK SC"/>
        <family val="2"/>
      </rPr>
      <t xml:space="preserve">亿、</t>
    </r>
    <r>
      <rPr>
        <sz val="10"/>
        <color rgb="FF000000"/>
        <rFont val="Arial"/>
        <family val="0"/>
        <charset val="1"/>
      </rPr>
      <t xml:space="preserve">3.24</t>
    </r>
    <r>
      <rPr>
        <sz val="10"/>
        <color rgb="FF000000"/>
        <rFont val="Noto Sans CJK SC"/>
        <family val="2"/>
      </rPr>
      <t xml:space="preserve">亿元…</t>
    </r>
    <r>
      <rPr>
        <sz val="10"/>
        <color rgb="FF000000"/>
        <rFont val="Arial"/>
        <family val="0"/>
        <charset val="1"/>
      </rPr>
      <t xml:space="preserve">2.66</t>
    </r>
    <r>
      <rPr>
        <sz val="10"/>
        <color rgb="FF000000"/>
        <rFont val="Noto Sans CJK SC"/>
        <family val="2"/>
      </rPr>
      <t xml:space="preserve">亿元」</t>
    </r>
  </si>
  <si>
    <t xml:space="preserve">SRC_ZP_236</t>
  </si>
  <si>
    <t xml:space="preserve">rd_staff_cost_fy23</t>
  </si>
  <si>
    <t xml:space="preserve">SRC_ZP_237</t>
  </si>
  <si>
    <t xml:space="preserve">rd_staff_cost_fy24</t>
  </si>
  <si>
    <t xml:space="preserve">SRC_ZP_238</t>
  </si>
  <si>
    <t xml:space="preserve">rd_staff_cost_1h25</t>
  </si>
  <si>
    <t xml:space="preserve">SRC_ZP_239</t>
  </si>
  <si>
    <t xml:space="preserve">rd_staff_share_fy24</t>
  </si>
  <si>
    <t xml:space="preserve">工資成本占研發開支比重</t>
  </si>
  <si>
    <t xml:space="preserve">鈦媒體（山上）</t>
  </si>
  <si>
    <t xml:space="preserve">https://www.tmtpost.com/7815849.html</t>
  </si>
  <si>
    <r>
      <rPr>
        <sz val="10"/>
        <color rgb="FF000000"/>
        <rFont val="Noto Sans CJK SC"/>
        <family val="2"/>
      </rPr>
      <t xml:space="preserve">原文 </t>
    </r>
    <r>
      <rPr>
        <sz val="10"/>
        <color rgb="FF000000"/>
        <rFont val="Arial"/>
        <family val="0"/>
        <charset val="1"/>
      </rPr>
      <t xml:space="preserve">2024 </t>
    </r>
    <r>
      <rPr>
        <sz val="10"/>
        <color rgb="FF000000"/>
        <rFont val="Noto Sans CJK SC"/>
        <family val="2"/>
      </rPr>
      <t xml:space="preserve">年工資成本占研發 </t>
    </r>
    <r>
      <rPr>
        <sz val="10"/>
        <color rgb="FF000000"/>
        <rFont val="Arial"/>
        <family val="0"/>
        <charset val="1"/>
      </rPr>
      <t xml:space="preserve">14.8%</t>
    </r>
    <r>
      <rPr>
        <sz val="10"/>
        <color rgb="FF000000"/>
        <rFont val="Noto Sans CJK SC"/>
        <family val="2"/>
      </rPr>
      <t xml:space="preserve">（</t>
    </r>
    <r>
      <rPr>
        <sz val="10"/>
        <color rgb="FF000000"/>
        <rFont val="Arial"/>
        <family val="0"/>
        <charset val="1"/>
      </rPr>
      <t xml:space="preserve">3.24/21.95 </t>
    </r>
    <r>
      <rPr>
        <sz val="10"/>
        <color rgb="FF000000"/>
        <rFont val="Noto Sans CJK SC"/>
        <family val="2"/>
      </rPr>
      <t xml:space="preserve">吻合）</t>
    </r>
  </si>
  <si>
    <t xml:space="preserve">SRC_ZP_240</t>
  </si>
  <si>
    <t xml:space="preserve">rd_staff_pct_1h25</t>
  </si>
  <si>
    <t xml:space="preserve">研發人員占員工比重</t>
  </si>
  <si>
    <r>
      <rPr>
        <sz val="10"/>
        <color rgb="FF000000"/>
        <rFont val="Noto Sans CJK SC"/>
        <family val="2"/>
      </rPr>
      <t xml:space="preserve">原文 員工 </t>
    </r>
    <r>
      <rPr>
        <sz val="10"/>
        <color rgb="FF000000"/>
        <rFont val="Arial"/>
        <family val="0"/>
        <charset val="1"/>
      </rPr>
      <t xml:space="preserve">883 </t>
    </r>
    <r>
      <rPr>
        <sz val="10"/>
        <color rgb="FF000000"/>
        <rFont val="Noto Sans CJK SC"/>
        <family val="2"/>
      </rPr>
      <t xml:space="preserve">人、研發 </t>
    </r>
    <r>
      <rPr>
        <sz val="10"/>
        <color rgb="FF000000"/>
        <rFont val="Arial"/>
        <family val="0"/>
        <charset val="1"/>
      </rPr>
      <t xml:space="preserve">657 </t>
    </r>
    <r>
      <rPr>
        <sz val="10"/>
        <color rgb="FF000000"/>
        <rFont val="Noto Sans CJK SC"/>
        <family val="2"/>
      </rPr>
      <t xml:space="preserve">人，占 </t>
    </r>
    <r>
      <rPr>
        <sz val="10"/>
        <color rgb="FF000000"/>
        <rFont val="Arial"/>
        <family val="0"/>
        <charset val="1"/>
      </rPr>
      <t xml:space="preserve">74.4%</t>
    </r>
    <r>
      <rPr>
        <sz val="10"/>
        <color rgb="FF000000"/>
        <rFont val="Noto Sans CJK SC"/>
        <family val="2"/>
      </rPr>
      <t xml:space="preserve">（證券日報稱 </t>
    </r>
    <r>
      <rPr>
        <sz val="10"/>
        <color rgb="FF000000"/>
        <rFont val="Arial"/>
        <family val="0"/>
        <charset val="1"/>
      </rPr>
      <t xml:space="preserve">74%</t>
    </r>
    <r>
      <rPr>
        <sz val="10"/>
        <color rgb="FF000000"/>
        <rFont val="Noto Sans CJK SC"/>
        <family val="2"/>
      </rPr>
      <t xml:space="preserve">）</t>
    </r>
  </si>
  <si>
    <t xml:space="preserve">SRC_ZP_241</t>
  </si>
  <si>
    <t xml:space="preserve">px_usd_glm53_in</t>
  </si>
  <si>
    <r>
      <rPr>
        <sz val="10"/>
        <color rgb="FF000000"/>
        <rFont val="Arial"/>
        <family val="0"/>
        <charset val="1"/>
      </rPr>
      <t xml:space="preserve">GLM-5.3 </t>
    </r>
    <r>
      <rPr>
        <sz val="10"/>
        <color rgb="FF000000"/>
        <rFont val="Noto Sans CJK SC"/>
        <family val="2"/>
      </rPr>
      <t xml:space="preserve">國際站牌價（輸入）</t>
    </r>
  </si>
  <si>
    <r>
      <rPr>
        <sz val="10"/>
        <color rgb="FF000000"/>
        <rFont val="Arial"/>
        <family val="0"/>
        <charset val="1"/>
      </rPr>
      <t xml:space="preserve">USD</t>
    </r>
    <r>
      <rPr>
        <sz val="10"/>
        <color rgb="FF000000"/>
        <rFont val="Noto Sans CJK SC"/>
        <family val="2"/>
      </rPr>
      <t xml:space="preserve">／百萬 </t>
    </r>
    <r>
      <rPr>
        <sz val="10"/>
        <color rgb="FF000000"/>
        <rFont val="Arial"/>
        <family val="0"/>
        <charset val="1"/>
      </rPr>
      <t xml:space="preserve">token</t>
    </r>
  </si>
  <si>
    <r>
      <rPr>
        <sz val="10"/>
        <color rgb="FF000000"/>
        <rFont val="Arial"/>
        <family val="0"/>
        <charset val="1"/>
      </rPr>
      <t xml:space="preserve">2026-10</t>
    </r>
    <r>
      <rPr>
        <sz val="10"/>
        <color rgb="FF000000"/>
        <rFont val="Noto Sans CJK SC"/>
        <family val="2"/>
      </rPr>
      <t xml:space="preserve">（現行）</t>
    </r>
  </si>
  <si>
    <r>
      <rPr>
        <sz val="10"/>
        <color rgb="FF000000"/>
        <rFont val="Arial"/>
        <family val="0"/>
        <charset val="1"/>
      </rPr>
      <t xml:space="preserve">Z.ai </t>
    </r>
    <r>
      <rPr>
        <sz val="10"/>
        <color rgb="FF000000"/>
        <rFont val="Noto Sans CJK SC"/>
        <family val="2"/>
      </rPr>
      <t xml:space="preserve">開發者文件 </t>
    </r>
    <r>
      <rPr>
        <sz val="10"/>
        <color rgb="FF000000"/>
        <rFont val="Arial"/>
        <family val="0"/>
        <charset val="1"/>
      </rPr>
      <t xml:space="preserve">Pricing </t>
    </r>
    <r>
      <rPr>
        <sz val="10"/>
        <color rgb="FF000000"/>
        <rFont val="Noto Sans CJK SC"/>
        <family val="2"/>
      </rPr>
      <t xml:space="preserve">頁（國際站官方牌價）</t>
    </r>
  </si>
  <si>
    <t xml:space="preserve">https://docs.z.ai/guides/overview/pricing.md</t>
  </si>
  <si>
    <t xml:space="preserve">公司公開且具約束力的報價，誤報誘因低</t>
  </si>
  <si>
    <r>
      <rPr>
        <sz val="10"/>
        <color rgb="FF000000"/>
        <rFont val="Noto Sans CJK SC"/>
        <family val="2"/>
      </rPr>
      <t xml:space="preserve">官方表列 </t>
    </r>
    <r>
      <rPr>
        <sz val="10"/>
        <color rgb="FF000000"/>
        <rFont val="Arial"/>
        <family val="0"/>
        <charset val="1"/>
      </rPr>
      <t xml:space="preserve">GLM-5.3</t>
    </r>
    <r>
      <rPr>
        <sz val="10"/>
        <color rgb="FF000000"/>
        <rFont val="Noto Sans CJK SC"/>
        <family val="2"/>
      </rPr>
      <t xml:space="preserve">：</t>
    </r>
    <r>
      <rPr>
        <sz val="10"/>
        <color rgb="FF000000"/>
        <rFont val="Arial"/>
        <family val="0"/>
        <charset val="1"/>
      </rPr>
      <t xml:space="preserve">Input $1.4</t>
    </r>
    <r>
      <rPr>
        <sz val="10"/>
        <color rgb="FF000000"/>
        <rFont val="Noto Sans CJK SC"/>
        <family val="2"/>
      </rPr>
      <t xml:space="preserve">／</t>
    </r>
    <r>
      <rPr>
        <sz val="10"/>
        <color rgb="FF000000"/>
        <rFont val="Arial"/>
        <family val="0"/>
        <charset val="1"/>
      </rPr>
      <t xml:space="preserve">Cached Input $0.26</t>
    </r>
    <r>
      <rPr>
        <sz val="10"/>
        <color rgb="FF000000"/>
        <rFont val="Noto Sans CJK SC"/>
        <family val="2"/>
      </rPr>
      <t xml:space="preserve">／</t>
    </r>
    <r>
      <rPr>
        <sz val="10"/>
        <color rgb="FF000000"/>
        <rFont val="Arial"/>
        <family val="0"/>
        <charset val="1"/>
      </rPr>
      <t xml:space="preserve">Output $4.4</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</si>
  <si>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SRC_ZP_242</t>
  </si>
  <si>
    <t xml:space="preserve">px_usd_glm53_cache</t>
  </si>
  <si>
    <r>
      <rPr>
        <sz val="10"/>
        <color rgb="FF000000"/>
        <rFont val="Arial"/>
        <family val="0"/>
        <charset val="1"/>
      </rPr>
      <t xml:space="preserve">GLM-5.3 </t>
    </r>
    <r>
      <rPr>
        <sz val="10"/>
        <color rgb="FF000000"/>
        <rFont val="Noto Sans CJK SC"/>
        <family val="2"/>
      </rPr>
      <t xml:space="preserve">國際站牌價（快取命中輸入）</t>
    </r>
  </si>
  <si>
    <t xml:space="preserve">SRC_ZP_243</t>
  </si>
  <si>
    <t xml:space="preserve">px_usd_glm53_out</t>
  </si>
  <si>
    <r>
      <rPr>
        <sz val="10"/>
        <color rgb="FF000000"/>
        <rFont val="Arial"/>
        <family val="0"/>
        <charset val="1"/>
      </rPr>
      <t xml:space="preserve">GLM-5.3 </t>
    </r>
    <r>
      <rPr>
        <sz val="10"/>
        <color rgb="FF000000"/>
        <rFont val="Noto Sans CJK SC"/>
        <family val="2"/>
      </rPr>
      <t xml:space="preserve">國際站牌價（輸出）</t>
    </r>
  </si>
  <si>
    <t xml:space="preserve">SRC_ZP_244</t>
  </si>
  <si>
    <t xml:space="preserve">px_usd_glm52_in</t>
  </si>
  <si>
    <r>
      <rPr>
        <sz val="10"/>
        <color rgb="FF000000"/>
        <rFont val="Arial"/>
        <family val="0"/>
        <charset val="1"/>
      </rPr>
      <t xml:space="preserve">GLM-5.2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</si>
  <si>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GLM-5.2</t>
    </r>
    <r>
      <rPr>
        <sz val="10"/>
        <color rgb="FF000000"/>
        <rFont val="Noto Sans CJK SC"/>
        <family val="2"/>
      </rPr>
      <t xml:space="preserve">：</t>
    </r>
    <r>
      <rPr>
        <sz val="10"/>
        <color rgb="FF000000"/>
        <rFont val="Arial"/>
        <family val="0"/>
        <charset val="1"/>
      </rPr>
      <t xml:space="preserve">Input $1.4</t>
    </r>
    <r>
      <rPr>
        <sz val="10"/>
        <color rgb="FF000000"/>
        <rFont val="Noto Sans CJK SC"/>
        <family val="2"/>
      </rPr>
      <t xml:space="preserve">／</t>
    </r>
    <r>
      <rPr>
        <sz val="10"/>
        <color rgb="FF000000"/>
        <rFont val="Arial"/>
        <family val="0"/>
        <charset val="1"/>
      </rPr>
      <t xml:space="preserve">Cached Input $0.26</t>
    </r>
    <r>
      <rPr>
        <sz val="10"/>
        <color rgb="FF000000"/>
        <rFont val="Noto Sans CJK SC"/>
        <family val="2"/>
      </rPr>
      <t xml:space="preserve">／</t>
    </r>
    <r>
      <rPr>
        <sz val="10"/>
        <color rgb="FF000000"/>
        <rFont val="Arial"/>
        <family val="0"/>
        <charset val="1"/>
      </rPr>
      <t xml:space="preserve">Output $4.4</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</si>
  <si>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SRC_ZP_245</t>
  </si>
  <si>
    <t xml:space="preserve">px_usd_glm52_cache</t>
  </si>
  <si>
    <r>
      <rPr>
        <sz val="10"/>
        <color rgb="FF000000"/>
        <rFont val="Arial"/>
        <family val="0"/>
        <charset val="1"/>
      </rPr>
      <t xml:space="preserve">GLM-5.2 </t>
    </r>
    <r>
      <rPr>
        <sz val="10"/>
        <color rgb="FF000000"/>
        <rFont val="Noto Sans CJK SC"/>
        <family val="2"/>
      </rPr>
      <t xml:space="preserve">國際站牌價（快取命中輸入）</t>
    </r>
  </si>
  <si>
    <t xml:space="preserve">SRC_ZP_246</t>
  </si>
  <si>
    <t xml:space="preserve">px_usd_glm52_out</t>
  </si>
  <si>
    <r>
      <rPr>
        <sz val="10"/>
        <color rgb="FF000000"/>
        <rFont val="Arial"/>
        <family val="0"/>
        <charset val="1"/>
      </rPr>
      <t xml:space="preserve">GLM-5.2 </t>
    </r>
    <r>
      <rPr>
        <sz val="10"/>
        <color rgb="FF000000"/>
        <rFont val="Noto Sans CJK SC"/>
        <family val="2"/>
      </rPr>
      <t xml:space="preserve">國際站牌價（輸出）</t>
    </r>
  </si>
  <si>
    <t xml:space="preserve">SRC_ZP_247</t>
  </si>
  <si>
    <t xml:space="preserve">px_usd_glm51_in</t>
  </si>
  <si>
    <r>
      <rPr>
        <sz val="10"/>
        <color rgb="FF000000"/>
        <rFont val="Arial"/>
        <family val="0"/>
        <charset val="1"/>
      </rPr>
      <t xml:space="preserve">GLM-5.1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</si>
  <si>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GLM-5.1</t>
    </r>
    <r>
      <rPr>
        <sz val="10"/>
        <color rgb="FF000000"/>
        <rFont val="Noto Sans CJK SC"/>
        <family val="2"/>
      </rPr>
      <t xml:space="preserve">：</t>
    </r>
    <r>
      <rPr>
        <sz val="10"/>
        <color rgb="FF000000"/>
        <rFont val="Arial"/>
        <family val="0"/>
        <charset val="1"/>
      </rPr>
      <t xml:space="preserve">Input $1.4</t>
    </r>
    <r>
      <rPr>
        <sz val="10"/>
        <color rgb="FF000000"/>
        <rFont val="Noto Sans CJK SC"/>
        <family val="2"/>
      </rPr>
      <t xml:space="preserve">／</t>
    </r>
    <r>
      <rPr>
        <sz val="10"/>
        <color rgb="FF000000"/>
        <rFont val="Arial"/>
        <family val="0"/>
        <charset val="1"/>
      </rPr>
      <t xml:space="preserve">Cached Input $0.26</t>
    </r>
    <r>
      <rPr>
        <sz val="10"/>
        <color rgb="FF000000"/>
        <rFont val="Noto Sans CJK SC"/>
        <family val="2"/>
      </rPr>
      <t xml:space="preserve">／</t>
    </r>
    <r>
      <rPr>
        <sz val="10"/>
        <color rgb="FF000000"/>
        <rFont val="Arial"/>
        <family val="0"/>
        <charset val="1"/>
      </rPr>
      <t xml:space="preserve">Output $4.4</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</si>
  <si>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SRC_ZP_248</t>
  </si>
  <si>
    <t xml:space="preserve">px_usd_glm51_cache</t>
  </si>
  <si>
    <r>
      <rPr>
        <sz val="10"/>
        <color rgb="FF000000"/>
        <rFont val="Arial"/>
        <family val="0"/>
        <charset val="1"/>
      </rPr>
      <t xml:space="preserve">GLM-5.1 </t>
    </r>
    <r>
      <rPr>
        <sz val="10"/>
        <color rgb="FF000000"/>
        <rFont val="Noto Sans CJK SC"/>
        <family val="2"/>
      </rPr>
      <t xml:space="preserve">國際站牌價（快取命中輸入）</t>
    </r>
  </si>
  <si>
    <t xml:space="preserve">SRC_ZP_249</t>
  </si>
  <si>
    <t xml:space="preserve">px_usd_glm51_out</t>
  </si>
  <si>
    <r>
      <rPr>
        <sz val="10"/>
        <color rgb="FF000000"/>
        <rFont val="Arial"/>
        <family val="0"/>
        <charset val="1"/>
      </rPr>
      <t xml:space="preserve">GLM-5.1 </t>
    </r>
    <r>
      <rPr>
        <sz val="10"/>
        <color rgb="FF000000"/>
        <rFont val="Noto Sans CJK SC"/>
        <family val="2"/>
      </rPr>
      <t xml:space="preserve">國際站牌價（輸出）</t>
    </r>
  </si>
  <si>
    <t xml:space="preserve">SRC_ZP_250</t>
  </si>
  <si>
    <t xml:space="preserve">px_usd_glm5_in</t>
  </si>
  <si>
    <r>
      <rPr>
        <sz val="10"/>
        <color rgb="FF000000"/>
        <rFont val="Arial"/>
        <family val="0"/>
        <charset val="1"/>
      </rPr>
      <t xml:space="preserve">GLM-5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</si>
  <si>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t>
    </r>
    <r>
      <rPr>
        <sz val="10"/>
        <color rgb="FF000000"/>
        <rFont val="Noto Sans CJK SC"/>
        <family val="2"/>
      </rPr>
      <t xml:space="preserve">：</t>
    </r>
    <r>
      <rPr>
        <sz val="10"/>
        <color rgb="FF000000"/>
        <rFont val="Arial"/>
        <family val="0"/>
        <charset val="1"/>
      </rPr>
      <t xml:space="preserve">Input $1.0</t>
    </r>
    <r>
      <rPr>
        <sz val="10"/>
        <color rgb="FF000000"/>
        <rFont val="Noto Sans CJK SC"/>
        <family val="2"/>
      </rPr>
      <t xml:space="preserve">／</t>
    </r>
    <r>
      <rPr>
        <sz val="10"/>
        <color rgb="FF000000"/>
        <rFont val="Arial"/>
        <family val="0"/>
        <charset val="1"/>
      </rPr>
      <t xml:space="preserve">Cached Input $0.2</t>
    </r>
    <r>
      <rPr>
        <sz val="10"/>
        <color rgb="FF000000"/>
        <rFont val="Noto Sans CJK SC"/>
        <family val="2"/>
      </rPr>
      <t xml:space="preserve">／</t>
    </r>
    <r>
      <rPr>
        <sz val="10"/>
        <color rgb="FF000000"/>
        <rFont val="Arial"/>
        <family val="0"/>
        <charset val="1"/>
      </rPr>
      <t xml:space="preserve">Output $3.2</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</si>
  <si>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SRC_ZP_251</t>
  </si>
  <si>
    <t xml:space="preserve">px_usd_glm5_cache</t>
  </si>
  <si>
    <r>
      <rPr>
        <sz val="10"/>
        <color rgb="FF000000"/>
        <rFont val="Arial"/>
        <family val="0"/>
        <charset val="1"/>
      </rPr>
      <t xml:space="preserve">GLM-5 </t>
    </r>
    <r>
      <rPr>
        <sz val="10"/>
        <color rgb="FF000000"/>
        <rFont val="Noto Sans CJK SC"/>
        <family val="2"/>
      </rPr>
      <t xml:space="preserve">國際站牌價（快取命中輸入）</t>
    </r>
  </si>
  <si>
    <t xml:space="preserve">SRC_ZP_252</t>
  </si>
  <si>
    <t xml:space="preserve">px_usd_glm5_out</t>
  </si>
  <si>
    <r>
      <rPr>
        <sz val="10"/>
        <color rgb="FF000000"/>
        <rFont val="Arial"/>
        <family val="0"/>
        <charset val="1"/>
      </rPr>
      <t xml:space="preserve">GLM-5 </t>
    </r>
    <r>
      <rPr>
        <sz val="10"/>
        <color rgb="FF000000"/>
        <rFont val="Noto Sans CJK SC"/>
        <family val="2"/>
      </rPr>
      <t xml:space="preserve">國際站牌價（輸出）</t>
    </r>
  </si>
  <si>
    <t xml:space="preserve">SRC_ZP_253</t>
  </si>
  <si>
    <t xml:space="preserve">px_usd_glm47_in</t>
  </si>
  <si>
    <r>
      <rPr>
        <sz val="10"/>
        <color rgb="FF000000"/>
        <rFont val="Arial"/>
        <family val="0"/>
        <charset val="1"/>
      </rPr>
      <t xml:space="preserve">GLM-4.7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</si>
  <si>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GLM-4.7</t>
    </r>
    <r>
      <rPr>
        <sz val="10"/>
        <color rgb="FF000000"/>
        <rFont val="Noto Sans CJK SC"/>
        <family val="2"/>
      </rPr>
      <t xml:space="preserve">：</t>
    </r>
    <r>
      <rPr>
        <sz val="10"/>
        <color rgb="FF000000"/>
        <rFont val="Arial"/>
        <family val="0"/>
        <charset val="1"/>
      </rPr>
      <t xml:space="preserve">Input $0.6</t>
    </r>
    <r>
      <rPr>
        <sz val="10"/>
        <color rgb="FF000000"/>
        <rFont val="Noto Sans CJK SC"/>
        <family val="2"/>
      </rPr>
      <t xml:space="preserve">／</t>
    </r>
    <r>
      <rPr>
        <sz val="10"/>
        <color rgb="FF000000"/>
        <rFont val="Arial"/>
        <family val="0"/>
        <charset val="1"/>
      </rPr>
      <t xml:space="preserve">Cached Input $0.11</t>
    </r>
    <r>
      <rPr>
        <sz val="10"/>
        <color rgb="FF000000"/>
        <rFont val="Noto Sans CJK SC"/>
        <family val="2"/>
      </rPr>
      <t xml:space="preserve">／</t>
    </r>
    <r>
      <rPr>
        <sz val="10"/>
        <color rgb="FF000000"/>
        <rFont val="Arial"/>
        <family val="0"/>
        <charset val="1"/>
      </rPr>
      <t xml:space="preserve">Output $2.2</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</si>
  <si>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SRC_ZP_254</t>
  </si>
  <si>
    <t xml:space="preserve">px_usd_glm47_cache</t>
  </si>
  <si>
    <r>
      <rPr>
        <sz val="10"/>
        <color rgb="FF000000"/>
        <rFont val="Arial"/>
        <family val="0"/>
        <charset val="1"/>
      </rPr>
      <t xml:space="preserve">GLM-4.7 </t>
    </r>
    <r>
      <rPr>
        <sz val="10"/>
        <color rgb="FF000000"/>
        <rFont val="Noto Sans CJK SC"/>
        <family val="2"/>
      </rPr>
      <t xml:space="preserve">國際站牌價（快取命中輸入）</t>
    </r>
  </si>
  <si>
    <t xml:space="preserve">SRC_ZP_255</t>
  </si>
  <si>
    <t xml:space="preserve">px_usd_glm47_out</t>
  </si>
  <si>
    <r>
      <rPr>
        <sz val="10"/>
        <color rgb="FF000000"/>
        <rFont val="Arial"/>
        <family val="0"/>
        <charset val="1"/>
      </rPr>
      <t xml:space="preserve">GLM-4.7 </t>
    </r>
    <r>
      <rPr>
        <sz val="10"/>
        <color rgb="FF000000"/>
        <rFont val="Noto Sans CJK SC"/>
        <family val="2"/>
      </rPr>
      <t xml:space="preserve">國際站牌價（輸出）</t>
    </r>
  </si>
  <si>
    <t xml:space="preserve">SRC_ZP_256</t>
  </si>
  <si>
    <t xml:space="preserve">px_usd_glm46_in</t>
  </si>
  <si>
    <r>
      <rPr>
        <sz val="10"/>
        <color rgb="FF000000"/>
        <rFont val="Arial"/>
        <family val="0"/>
        <charset val="1"/>
      </rPr>
      <t xml:space="preserve">GLM-4.6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</si>
  <si>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GLM-4.6</t>
    </r>
    <r>
      <rPr>
        <sz val="10"/>
        <color rgb="FF000000"/>
        <rFont val="Noto Sans CJK SC"/>
        <family val="2"/>
      </rPr>
      <t xml:space="preserve">：</t>
    </r>
    <r>
      <rPr>
        <sz val="10"/>
        <color rgb="FF000000"/>
        <rFont val="Arial"/>
        <family val="0"/>
        <charset val="1"/>
      </rPr>
      <t xml:space="preserve">Input $0.6</t>
    </r>
    <r>
      <rPr>
        <sz val="10"/>
        <color rgb="FF000000"/>
        <rFont val="Noto Sans CJK SC"/>
        <family val="2"/>
      </rPr>
      <t xml:space="preserve">／</t>
    </r>
    <r>
      <rPr>
        <sz val="10"/>
        <color rgb="FF000000"/>
        <rFont val="Arial"/>
        <family val="0"/>
        <charset val="1"/>
      </rPr>
      <t xml:space="preserve">Cached Input $0.11</t>
    </r>
    <r>
      <rPr>
        <sz val="10"/>
        <color rgb="FF000000"/>
        <rFont val="Noto Sans CJK SC"/>
        <family val="2"/>
      </rPr>
      <t xml:space="preserve">／</t>
    </r>
    <r>
      <rPr>
        <sz val="10"/>
        <color rgb="FF000000"/>
        <rFont val="Arial"/>
        <family val="0"/>
        <charset val="1"/>
      </rPr>
      <t xml:space="preserve">Output $2.2</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</si>
  <si>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SRC_ZP_257</t>
  </si>
  <si>
    <t xml:space="preserve">px_usd_glm46_cache</t>
  </si>
  <si>
    <r>
      <rPr>
        <sz val="10"/>
        <color rgb="FF000000"/>
        <rFont val="Arial"/>
        <family val="0"/>
        <charset val="1"/>
      </rPr>
      <t xml:space="preserve">GLM-4.6 </t>
    </r>
    <r>
      <rPr>
        <sz val="10"/>
        <color rgb="FF000000"/>
        <rFont val="Noto Sans CJK SC"/>
        <family val="2"/>
      </rPr>
      <t xml:space="preserve">國際站牌價（快取命中輸入）</t>
    </r>
  </si>
  <si>
    <t xml:space="preserve">SRC_ZP_258</t>
  </si>
  <si>
    <t xml:space="preserve">px_usd_glm46_out</t>
  </si>
  <si>
    <r>
      <rPr>
        <sz val="10"/>
        <color rgb="FF000000"/>
        <rFont val="Arial"/>
        <family val="0"/>
        <charset val="1"/>
      </rPr>
      <t xml:space="preserve">GLM-4.6 </t>
    </r>
    <r>
      <rPr>
        <sz val="10"/>
        <color rgb="FF000000"/>
        <rFont val="Noto Sans CJK SC"/>
        <family val="2"/>
      </rPr>
      <t xml:space="preserve">國際站牌價（輸出）</t>
    </r>
  </si>
  <si>
    <t xml:space="preserve">SRC_ZP_259</t>
  </si>
  <si>
    <t xml:space="preserve">px_usd_glm45_in</t>
  </si>
  <si>
    <r>
      <rPr>
        <sz val="10"/>
        <color rgb="FF000000"/>
        <rFont val="Arial"/>
        <family val="0"/>
        <charset val="1"/>
      </rPr>
      <t xml:space="preserve">GLM-4.5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</si>
  <si>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GLM-4.5</t>
    </r>
    <r>
      <rPr>
        <sz val="10"/>
        <color rgb="FF000000"/>
        <rFont val="Noto Sans CJK SC"/>
        <family val="2"/>
      </rPr>
      <t xml:space="preserve">：</t>
    </r>
    <r>
      <rPr>
        <sz val="10"/>
        <color rgb="FF000000"/>
        <rFont val="Arial"/>
        <family val="0"/>
        <charset val="1"/>
      </rPr>
      <t xml:space="preserve">Input $0.6</t>
    </r>
    <r>
      <rPr>
        <sz val="10"/>
        <color rgb="FF000000"/>
        <rFont val="Noto Sans CJK SC"/>
        <family val="2"/>
      </rPr>
      <t xml:space="preserve">／</t>
    </r>
    <r>
      <rPr>
        <sz val="10"/>
        <color rgb="FF000000"/>
        <rFont val="Arial"/>
        <family val="0"/>
        <charset val="1"/>
      </rPr>
      <t xml:space="preserve">Cached Input $0.11</t>
    </r>
    <r>
      <rPr>
        <sz val="10"/>
        <color rgb="FF000000"/>
        <rFont val="Noto Sans CJK SC"/>
        <family val="2"/>
      </rPr>
      <t xml:space="preserve">／</t>
    </r>
    <r>
      <rPr>
        <sz val="10"/>
        <color rgb="FF000000"/>
        <rFont val="Arial"/>
        <family val="0"/>
        <charset val="1"/>
      </rPr>
      <t xml:space="preserve">Output $2.2</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</si>
  <si>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SRC_ZP_260</t>
  </si>
  <si>
    <t xml:space="preserve">px_usd_glm45_cache</t>
  </si>
  <si>
    <r>
      <rPr>
        <sz val="10"/>
        <color rgb="FF000000"/>
        <rFont val="Arial"/>
        <family val="0"/>
        <charset val="1"/>
      </rPr>
      <t xml:space="preserve">GLM-4.5 </t>
    </r>
    <r>
      <rPr>
        <sz val="10"/>
        <color rgb="FF000000"/>
        <rFont val="Noto Sans CJK SC"/>
        <family val="2"/>
      </rPr>
      <t xml:space="preserve">國際站牌價（快取命中輸入）</t>
    </r>
  </si>
  <si>
    <t xml:space="preserve">SRC_ZP_261</t>
  </si>
  <si>
    <t xml:space="preserve">px_usd_glm45_out</t>
  </si>
  <si>
    <r>
      <rPr>
        <sz val="10"/>
        <color rgb="FF000000"/>
        <rFont val="Arial"/>
        <family val="0"/>
        <charset val="1"/>
      </rPr>
      <t xml:space="preserve">GLM-4.5 </t>
    </r>
    <r>
      <rPr>
        <sz val="10"/>
        <color rgb="FF000000"/>
        <rFont val="Noto Sans CJK SC"/>
        <family val="2"/>
      </rPr>
      <t xml:space="preserve">國際站牌價（輸出）</t>
    </r>
  </si>
  <si>
    <t xml:space="preserve">SRC_ZP_262</t>
  </si>
  <si>
    <t xml:space="preserve">px_usd_glm45x_in</t>
  </si>
  <si>
    <r>
      <rPr>
        <sz val="10"/>
        <color rgb="FF000000"/>
        <rFont val="Arial"/>
        <family val="0"/>
        <charset val="1"/>
      </rPr>
      <t xml:space="preserve">GLM-4.5-X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</si>
  <si>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GLM-4.5-X</t>
    </r>
    <r>
      <rPr>
        <sz val="10"/>
        <color rgb="FF000000"/>
        <rFont val="Noto Sans CJK SC"/>
        <family val="2"/>
      </rPr>
      <t xml:space="preserve">：</t>
    </r>
    <r>
      <rPr>
        <sz val="10"/>
        <color rgb="FF000000"/>
        <rFont val="Arial"/>
        <family val="0"/>
        <charset val="1"/>
      </rPr>
      <t xml:space="preserve">Input $2.2</t>
    </r>
    <r>
      <rPr>
        <sz val="10"/>
        <color rgb="FF000000"/>
        <rFont val="Noto Sans CJK SC"/>
        <family val="2"/>
      </rPr>
      <t xml:space="preserve">／</t>
    </r>
    <r>
      <rPr>
        <sz val="10"/>
        <color rgb="FF000000"/>
        <rFont val="Arial"/>
        <family val="0"/>
        <charset val="1"/>
      </rPr>
      <t xml:space="preserve">Cached Input $0.45</t>
    </r>
    <r>
      <rPr>
        <sz val="10"/>
        <color rgb="FF000000"/>
        <rFont val="Noto Sans CJK SC"/>
        <family val="2"/>
      </rPr>
      <t xml:space="preserve">／</t>
    </r>
    <r>
      <rPr>
        <sz val="10"/>
        <color rgb="FF000000"/>
        <rFont val="Arial"/>
        <family val="0"/>
        <charset val="1"/>
      </rPr>
      <t xml:space="preserve">Output $8.9</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</si>
  <si>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SRC_ZP_263</t>
  </si>
  <si>
    <t xml:space="preserve">px_usd_glm45x_cache</t>
  </si>
  <si>
    <r>
      <rPr>
        <sz val="10"/>
        <color rgb="FF000000"/>
        <rFont val="Arial"/>
        <family val="0"/>
        <charset val="1"/>
      </rPr>
      <t xml:space="preserve">GLM-4.5-X </t>
    </r>
    <r>
      <rPr>
        <sz val="10"/>
        <color rgb="FF000000"/>
        <rFont val="Noto Sans CJK SC"/>
        <family val="2"/>
      </rPr>
      <t xml:space="preserve">國際站牌價（快取命中輸入）</t>
    </r>
  </si>
  <si>
    <t xml:space="preserve">SRC_ZP_264</t>
  </si>
  <si>
    <t xml:space="preserve">px_usd_glm45x_out</t>
  </si>
  <si>
    <r>
      <rPr>
        <sz val="10"/>
        <color rgb="FF000000"/>
        <rFont val="Arial"/>
        <family val="0"/>
        <charset val="1"/>
      </rPr>
      <t xml:space="preserve">GLM-4.5-X </t>
    </r>
    <r>
      <rPr>
        <sz val="10"/>
        <color rgb="FF000000"/>
        <rFont val="Noto Sans CJK SC"/>
        <family val="2"/>
      </rPr>
      <t xml:space="preserve">國際站牌價（輸出）</t>
    </r>
  </si>
  <si>
    <t xml:space="preserve">SRC_ZP_265</t>
  </si>
  <si>
    <t xml:space="preserve">px_usd_glm45air_in</t>
  </si>
  <si>
    <r>
      <rPr>
        <sz val="10"/>
        <color rgb="FF000000"/>
        <rFont val="Arial"/>
        <family val="0"/>
        <charset val="1"/>
      </rPr>
      <t xml:space="preserve">GLM-4.5-Air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</si>
  <si>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GLM-4.5-Air</t>
    </r>
    <r>
      <rPr>
        <sz val="10"/>
        <color rgb="FF000000"/>
        <rFont val="Noto Sans CJK SC"/>
        <family val="2"/>
      </rPr>
      <t xml:space="preserve">：</t>
    </r>
    <r>
      <rPr>
        <sz val="10"/>
        <color rgb="FF000000"/>
        <rFont val="Arial"/>
        <family val="0"/>
        <charset val="1"/>
      </rPr>
      <t xml:space="preserve">Input $0.2</t>
    </r>
    <r>
      <rPr>
        <sz val="10"/>
        <color rgb="FF000000"/>
        <rFont val="Noto Sans CJK SC"/>
        <family val="2"/>
      </rPr>
      <t xml:space="preserve">／</t>
    </r>
    <r>
      <rPr>
        <sz val="10"/>
        <color rgb="FF000000"/>
        <rFont val="Arial"/>
        <family val="0"/>
        <charset val="1"/>
      </rPr>
      <t xml:space="preserve">Cached Input $0.03</t>
    </r>
    <r>
      <rPr>
        <sz val="10"/>
        <color rgb="FF000000"/>
        <rFont val="Noto Sans CJK SC"/>
        <family val="2"/>
      </rPr>
      <t xml:space="preserve">／</t>
    </r>
    <r>
      <rPr>
        <sz val="10"/>
        <color rgb="FF000000"/>
        <rFont val="Arial"/>
        <family val="0"/>
        <charset val="1"/>
      </rPr>
      <t xml:space="preserve">Output $1.1</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</si>
  <si>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SRC_ZP_266</t>
  </si>
  <si>
    <t xml:space="preserve">px_usd_glm45air_cache</t>
  </si>
  <si>
    <r>
      <rPr>
        <sz val="10"/>
        <color rgb="FF000000"/>
        <rFont val="Arial"/>
        <family val="0"/>
        <charset val="1"/>
      </rPr>
      <t xml:space="preserve">GLM-4.5-Air </t>
    </r>
    <r>
      <rPr>
        <sz val="10"/>
        <color rgb="FF000000"/>
        <rFont val="Noto Sans CJK SC"/>
        <family val="2"/>
      </rPr>
      <t xml:space="preserve">國際站牌價（快取命中輸入）</t>
    </r>
  </si>
  <si>
    <t xml:space="preserve">SRC_ZP_267</t>
  </si>
  <si>
    <t xml:space="preserve">px_usd_glm45air_out</t>
  </si>
  <si>
    <r>
      <rPr>
        <sz val="10"/>
        <color rgb="FF000000"/>
        <rFont val="Arial"/>
        <family val="0"/>
        <charset val="1"/>
      </rPr>
      <t xml:space="preserve">GLM-4.5-Air </t>
    </r>
    <r>
      <rPr>
        <sz val="10"/>
        <color rgb="FF000000"/>
        <rFont val="Noto Sans CJK SC"/>
        <family val="2"/>
      </rPr>
      <t xml:space="preserve">國際站牌價（輸出）</t>
    </r>
  </si>
  <si>
    <t xml:space="preserve">SRC_ZP_268</t>
  </si>
  <si>
    <t xml:space="preserve">px_usd_glm45airx_in</t>
  </si>
  <si>
    <r>
      <rPr>
        <sz val="10"/>
        <color rgb="FF000000"/>
        <rFont val="Arial"/>
        <family val="0"/>
        <charset val="1"/>
      </rPr>
      <t xml:space="preserve">GLM-4.5-AirX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</si>
  <si>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GLM-4.5-AirX</t>
    </r>
    <r>
      <rPr>
        <sz val="10"/>
        <color rgb="FF000000"/>
        <rFont val="Noto Sans CJK SC"/>
        <family val="2"/>
      </rPr>
      <t xml:space="preserve">：</t>
    </r>
    <r>
      <rPr>
        <sz val="10"/>
        <color rgb="FF000000"/>
        <rFont val="Arial"/>
        <family val="0"/>
        <charset val="1"/>
      </rPr>
      <t xml:space="preserve">Input $1.1</t>
    </r>
    <r>
      <rPr>
        <sz val="10"/>
        <color rgb="FF000000"/>
        <rFont val="Noto Sans CJK SC"/>
        <family val="2"/>
      </rPr>
      <t xml:space="preserve">／</t>
    </r>
    <r>
      <rPr>
        <sz val="10"/>
        <color rgb="FF000000"/>
        <rFont val="Arial"/>
        <family val="0"/>
        <charset val="1"/>
      </rPr>
      <t xml:space="preserve">Cached Input $0.22</t>
    </r>
    <r>
      <rPr>
        <sz val="10"/>
        <color rgb="FF000000"/>
        <rFont val="Noto Sans CJK SC"/>
        <family val="2"/>
      </rPr>
      <t xml:space="preserve">／</t>
    </r>
    <r>
      <rPr>
        <sz val="10"/>
        <color rgb="FF000000"/>
        <rFont val="Arial"/>
        <family val="0"/>
        <charset val="1"/>
      </rPr>
      <t xml:space="preserve">Output $4.5</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</si>
  <si>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SRC_ZP_269</t>
  </si>
  <si>
    <t xml:space="preserve">px_usd_glm45airx_cache</t>
  </si>
  <si>
    <r>
      <rPr>
        <sz val="10"/>
        <color rgb="FF000000"/>
        <rFont val="Arial"/>
        <family val="0"/>
        <charset val="1"/>
      </rPr>
      <t xml:space="preserve">GLM-4.5-AirX </t>
    </r>
    <r>
      <rPr>
        <sz val="10"/>
        <color rgb="FF000000"/>
        <rFont val="Noto Sans CJK SC"/>
        <family val="2"/>
      </rPr>
      <t xml:space="preserve">國際站牌價（快取命中輸入）</t>
    </r>
  </si>
  <si>
    <t xml:space="preserve">SRC_ZP_270</t>
  </si>
  <si>
    <t xml:space="preserve">px_usd_glm45airx_out</t>
  </si>
  <si>
    <r>
      <rPr>
        <sz val="10"/>
        <color rgb="FF000000"/>
        <rFont val="Arial"/>
        <family val="0"/>
        <charset val="1"/>
      </rPr>
      <t xml:space="preserve">GLM-4.5-AirX </t>
    </r>
    <r>
      <rPr>
        <sz val="10"/>
        <color rgb="FF000000"/>
        <rFont val="Noto Sans CJK SC"/>
        <family val="2"/>
      </rPr>
      <t xml:space="preserve">國際站牌價（輸出）</t>
    </r>
  </si>
  <si>
    <t xml:space="preserve">SRC_ZP_271</t>
  </si>
  <si>
    <t xml:space="preserve">px_usd_glm53flash_in</t>
  </si>
  <si>
    <r>
      <rPr>
        <sz val="10"/>
        <color rgb="FF000000"/>
        <rFont val="Arial"/>
        <family val="0"/>
        <charset val="1"/>
      </rPr>
      <t xml:space="preserve">GLM-5.3-Flash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</si>
  <si>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GLM-5.3-Flash</t>
    </r>
    <r>
      <rPr>
        <sz val="10"/>
        <color rgb="FF000000"/>
        <rFont val="Noto Sans CJK SC"/>
        <family val="2"/>
      </rPr>
      <t xml:space="preserve">：</t>
    </r>
    <r>
      <rPr>
        <sz val="10"/>
        <color rgb="FF000000"/>
        <rFont val="Arial"/>
        <family val="0"/>
        <charset val="1"/>
      </rPr>
      <t xml:space="preserve">Input $0.15</t>
    </r>
    <r>
      <rPr>
        <sz val="10"/>
        <color rgb="FF000000"/>
        <rFont val="Noto Sans CJK SC"/>
        <family val="2"/>
      </rPr>
      <t xml:space="preserve">／</t>
    </r>
    <r>
      <rPr>
        <sz val="10"/>
        <color rgb="FF000000"/>
        <rFont val="Arial"/>
        <family val="0"/>
        <charset val="1"/>
      </rPr>
      <t xml:space="preserve">Cached Input $0.03</t>
    </r>
    <r>
      <rPr>
        <sz val="10"/>
        <color rgb="FF000000"/>
        <rFont val="Noto Sans CJK SC"/>
        <family val="2"/>
      </rPr>
      <t xml:space="preserve">／</t>
    </r>
    <r>
      <rPr>
        <sz val="10"/>
        <color rgb="FF000000"/>
        <rFont val="Arial"/>
        <family val="0"/>
        <charset val="1"/>
      </rPr>
      <t xml:space="preserve">Output $0.5</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</si>
  <si>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SRC_ZP_272</t>
  </si>
  <si>
    <t xml:space="preserve">px_usd_glm53flash_cache</t>
  </si>
  <si>
    <r>
      <rPr>
        <sz val="10"/>
        <color rgb="FF000000"/>
        <rFont val="Arial"/>
        <family val="0"/>
        <charset val="1"/>
      </rPr>
      <t xml:space="preserve">GLM-5.3-Flash </t>
    </r>
    <r>
      <rPr>
        <sz val="10"/>
        <color rgb="FF000000"/>
        <rFont val="Noto Sans CJK SC"/>
        <family val="2"/>
      </rPr>
      <t xml:space="preserve">國際站牌價（快取命中輸入）</t>
    </r>
  </si>
  <si>
    <t xml:space="preserve">SRC_ZP_273</t>
  </si>
  <si>
    <t xml:space="preserve">px_usd_glm53flash_out</t>
  </si>
  <si>
    <r>
      <rPr>
        <sz val="10"/>
        <color rgb="FF000000"/>
        <rFont val="Arial"/>
        <family val="0"/>
        <charset val="1"/>
      </rPr>
      <t xml:space="preserve">GLM-5.3-Flash </t>
    </r>
    <r>
      <rPr>
        <sz val="10"/>
        <color rgb="FF000000"/>
        <rFont val="Noto Sans CJK SC"/>
        <family val="2"/>
      </rPr>
      <t xml:space="preserve">國際站牌價（輸出）</t>
    </r>
  </si>
  <si>
    <t xml:space="preserve">SRC_ZP_274</t>
  </si>
  <si>
    <t xml:space="preserve">px_usd_glm53flashx_in</t>
  </si>
  <si>
    <r>
      <rPr>
        <sz val="10"/>
        <color rgb="FF000000"/>
        <rFont val="Arial"/>
        <family val="0"/>
        <charset val="1"/>
      </rPr>
      <t xml:space="preserve">GLM-5.3-FlashX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</si>
  <si>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GLM-5.3-FlashX</t>
    </r>
    <r>
      <rPr>
        <sz val="10"/>
        <color rgb="FF000000"/>
        <rFont val="Noto Sans CJK SC"/>
        <family val="2"/>
      </rPr>
      <t xml:space="preserve">：</t>
    </r>
    <r>
      <rPr>
        <sz val="10"/>
        <color rgb="FF000000"/>
        <rFont val="Arial"/>
        <family val="0"/>
        <charset val="1"/>
      </rPr>
      <t xml:space="preserve">Input $0.37</t>
    </r>
    <r>
      <rPr>
        <sz val="10"/>
        <color rgb="FF000000"/>
        <rFont val="Noto Sans CJK SC"/>
        <family val="2"/>
      </rPr>
      <t xml:space="preserve">／</t>
    </r>
    <r>
      <rPr>
        <sz val="10"/>
        <color rgb="FF000000"/>
        <rFont val="Arial"/>
        <family val="0"/>
        <charset val="1"/>
      </rPr>
      <t xml:space="preserve">Cached Input $0.075</t>
    </r>
    <r>
      <rPr>
        <sz val="10"/>
        <color rgb="FF000000"/>
        <rFont val="Noto Sans CJK SC"/>
        <family val="2"/>
      </rPr>
      <t xml:space="preserve">／</t>
    </r>
    <r>
      <rPr>
        <sz val="10"/>
        <color rgb="FF000000"/>
        <rFont val="Arial"/>
        <family val="0"/>
        <charset val="1"/>
      </rPr>
      <t xml:space="preserve">Output $1.25</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</si>
  <si>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SRC_ZP_275</t>
  </si>
  <si>
    <t xml:space="preserve">px_usd_glm53flashx_cache</t>
  </si>
  <si>
    <r>
      <rPr>
        <sz val="10"/>
        <color rgb="FF000000"/>
        <rFont val="Arial"/>
        <family val="0"/>
        <charset val="1"/>
      </rPr>
      <t xml:space="preserve">GLM-5.3-FlashX </t>
    </r>
    <r>
      <rPr>
        <sz val="10"/>
        <color rgb="FF000000"/>
        <rFont val="Noto Sans CJK SC"/>
        <family val="2"/>
      </rPr>
      <t xml:space="preserve">國際站牌價（快取命中輸入）</t>
    </r>
  </si>
  <si>
    <t xml:space="preserve">SRC_ZP_276</t>
  </si>
  <si>
    <t xml:space="preserve">px_usd_glm53flashx_out</t>
  </si>
  <si>
    <r>
      <rPr>
        <sz val="10"/>
        <color rgb="FF000000"/>
        <rFont val="Arial"/>
        <family val="0"/>
        <charset val="1"/>
      </rPr>
      <t xml:space="preserve">GLM-5.3-FlashX </t>
    </r>
    <r>
      <rPr>
        <sz val="10"/>
        <color rgb="FF000000"/>
        <rFont val="Noto Sans CJK SC"/>
        <family val="2"/>
      </rPr>
      <t xml:space="preserve">國際站牌價（輸出）</t>
    </r>
  </si>
  <si>
    <t xml:space="preserve">SRC_ZP_277</t>
  </si>
  <si>
    <t xml:space="preserve">px_usd_glm47flashx_in</t>
  </si>
  <si>
    <r>
      <rPr>
        <sz val="10"/>
        <color rgb="FF000000"/>
        <rFont val="Arial"/>
        <family val="0"/>
        <charset val="1"/>
      </rPr>
      <t xml:space="preserve">GLM-4.7-FlashX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</si>
  <si>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GLM-4.7-FlashX</t>
    </r>
    <r>
      <rPr>
        <sz val="10"/>
        <color rgb="FF000000"/>
        <rFont val="Noto Sans CJK SC"/>
        <family val="2"/>
      </rPr>
      <t xml:space="preserve">：</t>
    </r>
    <r>
      <rPr>
        <sz val="10"/>
        <color rgb="FF000000"/>
        <rFont val="Arial"/>
        <family val="0"/>
        <charset val="1"/>
      </rPr>
      <t xml:space="preserve">Input $0.07</t>
    </r>
    <r>
      <rPr>
        <sz val="10"/>
        <color rgb="FF000000"/>
        <rFont val="Noto Sans CJK SC"/>
        <family val="2"/>
      </rPr>
      <t xml:space="preserve">／</t>
    </r>
    <r>
      <rPr>
        <sz val="10"/>
        <color rgb="FF000000"/>
        <rFont val="Arial"/>
        <family val="0"/>
        <charset val="1"/>
      </rPr>
      <t xml:space="preserve">Cached Input $0.01</t>
    </r>
    <r>
      <rPr>
        <sz val="10"/>
        <color rgb="FF000000"/>
        <rFont val="Noto Sans CJK SC"/>
        <family val="2"/>
      </rPr>
      <t xml:space="preserve">／</t>
    </r>
    <r>
      <rPr>
        <sz val="10"/>
        <color rgb="FF000000"/>
        <rFont val="Arial"/>
        <family val="0"/>
        <charset val="1"/>
      </rPr>
      <t xml:space="preserve">Output $0.4</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</si>
  <si>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SRC_ZP_278</t>
  </si>
  <si>
    <t xml:space="preserve">px_usd_glm47flashx_cache</t>
  </si>
  <si>
    <r>
      <rPr>
        <sz val="10"/>
        <color rgb="FF000000"/>
        <rFont val="Arial"/>
        <family val="0"/>
        <charset val="1"/>
      </rPr>
      <t xml:space="preserve">GLM-4.7-FlashX </t>
    </r>
    <r>
      <rPr>
        <sz val="10"/>
        <color rgb="FF000000"/>
        <rFont val="Noto Sans CJK SC"/>
        <family val="2"/>
      </rPr>
      <t xml:space="preserve">國際站牌價（快取命中輸入）</t>
    </r>
  </si>
  <si>
    <t xml:space="preserve">SRC_ZP_279</t>
  </si>
  <si>
    <t xml:space="preserve">px_usd_glm47flashx_out</t>
  </si>
  <si>
    <r>
      <rPr>
        <sz val="10"/>
        <color rgb="FF000000"/>
        <rFont val="Arial"/>
        <family val="0"/>
        <charset val="1"/>
      </rPr>
      <t xml:space="preserve">GLM-4.7-FlashX </t>
    </r>
    <r>
      <rPr>
        <sz val="10"/>
        <color rgb="FF000000"/>
        <rFont val="Noto Sans CJK SC"/>
        <family val="2"/>
      </rPr>
      <t xml:space="preserve">國際站牌價（輸出）</t>
    </r>
  </si>
  <si>
    <t xml:space="preserve">SRC_ZP_280</t>
  </si>
  <si>
    <t xml:space="preserve">px_usd_free_flash</t>
  </si>
  <si>
    <t xml:space="preserve">國際站免費模型</t>
  </si>
  <si>
    <r>
      <rPr>
        <sz val="10"/>
        <color rgb="FF000000"/>
        <rFont val="Noto Sans CJK SC"/>
        <family val="2"/>
      </rPr>
      <t xml:space="preserve">官方表列 </t>
    </r>
    <r>
      <rPr>
        <sz val="10"/>
        <color rgb="FF000000"/>
        <rFont val="Arial"/>
        <family val="0"/>
        <charset val="1"/>
      </rPr>
      <t xml:space="preserve">GLM-4.7-Flash</t>
    </r>
    <r>
      <rPr>
        <sz val="10"/>
        <color rgb="FF000000"/>
        <rFont val="Noto Sans CJK SC"/>
        <family val="2"/>
      </rPr>
      <t xml:space="preserve">、</t>
    </r>
    <r>
      <rPr>
        <sz val="10"/>
        <color rgb="FF000000"/>
        <rFont val="Arial"/>
        <family val="0"/>
        <charset val="1"/>
      </rPr>
      <t xml:space="preserve">GLM-4.5-Flash</t>
    </r>
    <r>
      <rPr>
        <sz val="10"/>
        <color rgb="FF000000"/>
        <rFont val="Noto Sans CJK SC"/>
        <family val="2"/>
      </rPr>
      <t xml:space="preserve">、</t>
    </r>
    <r>
      <rPr>
        <sz val="10"/>
        <color rgb="FF000000"/>
        <rFont val="Arial"/>
        <family val="0"/>
        <charset val="1"/>
      </rPr>
      <t xml:space="preserve">GLM-4.6V-Flash </t>
    </r>
    <r>
      <rPr>
        <sz val="10"/>
        <color rgb="FF000000"/>
        <rFont val="Noto Sans CJK SC"/>
        <family val="2"/>
      </rPr>
      <t xml:space="preserve">輸入／輸出皆「</t>
    </r>
    <r>
      <rPr>
        <sz val="10"/>
        <color rgb="FF000000"/>
        <rFont val="Arial"/>
        <family val="0"/>
        <charset val="1"/>
      </rPr>
      <t xml:space="preserve">Free</t>
    </r>
    <r>
      <rPr>
        <sz val="10"/>
        <color rgb="FF000000"/>
        <rFont val="Noto Sans CJK SC"/>
        <family val="2"/>
      </rPr>
      <t xml:space="preserve">」</t>
    </r>
  </si>
  <si>
    <t xml:space="preserve">SRC_ZP_281</t>
  </si>
  <si>
    <t xml:space="preserve">px_usd_websearch</t>
  </si>
  <si>
    <r>
      <rPr>
        <sz val="10"/>
        <color rgb="FF000000"/>
        <rFont val="Noto Sans CJK SC"/>
        <family val="2"/>
      </rPr>
      <t xml:space="preserve">國際站內建 </t>
    </r>
    <r>
      <rPr>
        <sz val="10"/>
        <color rgb="FF000000"/>
        <rFont val="Arial"/>
        <family val="0"/>
        <charset val="1"/>
      </rPr>
      <t xml:space="preserve">Web Search </t>
    </r>
    <r>
      <rPr>
        <sz val="10"/>
        <color rgb="FF000000"/>
        <rFont val="Noto Sans CJK SC"/>
        <family val="2"/>
      </rPr>
      <t xml:space="preserve">單價</t>
    </r>
  </si>
  <si>
    <r>
      <rPr>
        <sz val="10"/>
        <color rgb="FF000000"/>
        <rFont val="Arial"/>
        <family val="0"/>
        <charset val="1"/>
      </rPr>
      <t xml:space="preserve">USD</t>
    </r>
    <r>
      <rPr>
        <sz val="10"/>
        <color rgb="FF000000"/>
        <rFont val="Noto Sans CJK SC"/>
        <family val="2"/>
      </rPr>
      <t xml:space="preserve">／次</t>
    </r>
  </si>
  <si>
    <r>
      <rPr>
        <sz val="10"/>
        <color rgb="FF000000"/>
        <rFont val="Noto Sans CJK SC"/>
        <family val="2"/>
      </rPr>
      <t xml:space="preserve">官方表列 </t>
    </r>
    <r>
      <rPr>
        <sz val="10"/>
        <color rgb="FF000000"/>
        <rFont val="Arial"/>
        <family val="0"/>
        <charset val="1"/>
      </rPr>
      <t xml:space="preserve">Web Search $0.01 per use</t>
    </r>
  </si>
  <si>
    <t xml:space="preserve">SRC_ZP_282</t>
  </si>
  <si>
    <t xml:space="preserve">px_usd_glm5turbo_in</t>
  </si>
  <si>
    <r>
      <rPr>
        <sz val="10"/>
        <color rgb="FF000000"/>
        <rFont val="Arial"/>
        <family val="0"/>
        <charset val="1"/>
      </rPr>
      <t xml:space="preserve">GLM-5-Turbo </t>
    </r>
    <r>
      <rPr>
        <sz val="10"/>
        <color rgb="FF000000"/>
        <rFont val="Noto Sans CJK SC"/>
        <family val="2"/>
      </rPr>
      <t xml:space="preserve">國際站牌價（輸入）</t>
    </r>
  </si>
  <si>
    <r>
      <rPr>
        <sz val="10"/>
        <color rgb="FF000000"/>
        <rFont val="Arial"/>
        <family val="0"/>
        <charset val="1"/>
      </rPr>
      <t xml:space="preserve">2026-07-22 </t>
    </r>
    <r>
      <rPr>
        <sz val="10"/>
        <color rgb="FF000000"/>
        <rFont val="Noto Sans CJK SC"/>
        <family val="2"/>
      </rPr>
      <t xml:space="preserve">擷取</t>
    </r>
  </si>
  <si>
    <r>
      <rPr>
        <sz val="10"/>
        <color rgb="FF000000"/>
        <rFont val="Arial"/>
        <family val="0"/>
        <charset val="1"/>
      </rPr>
      <t xml:space="preserve">UsagePricing</t>
    </r>
    <r>
      <rPr>
        <sz val="10"/>
        <color rgb="FF000000"/>
        <rFont val="Noto Sans CJK SC"/>
        <family val="2"/>
      </rPr>
      <t xml:space="preserve">〈</t>
    </r>
    <r>
      <rPr>
        <sz val="10"/>
        <color rgb="FF000000"/>
        <rFont val="Arial"/>
        <family val="0"/>
        <charset val="1"/>
      </rPr>
      <t xml:space="preserve">Zhipu AI 2026-07-22 price change</t>
    </r>
    <r>
      <rPr>
        <sz val="10"/>
        <color rgb="FF000000"/>
        <rFont val="Noto Sans CJK SC"/>
        <family val="2"/>
      </rPr>
      <t xml:space="preserve">〉（官方 </t>
    </r>
    <r>
      <rPr>
        <sz val="10"/>
        <color rgb="FF000000"/>
        <rFont val="Arial"/>
        <family val="0"/>
        <charset val="1"/>
      </rPr>
      <t xml:space="preserve">API </t>
    </r>
    <r>
      <rPr>
        <sz val="10"/>
        <color rgb="FF000000"/>
        <rFont val="Noto Sans CJK SC"/>
        <family val="2"/>
      </rPr>
      <t xml:space="preserve">文件截圖）</t>
    </r>
  </si>
  <si>
    <t xml:space="preserve">https://usagepricing.com/blueprint/activity/zhipu-ai-2026-07-22-price-change</t>
  </si>
  <si>
    <t xml:space="preserve">2026-07-22</t>
  </si>
  <si>
    <t xml:space="preserve">公司數字經第三方轉錄（見備註）；誘因同公司公告</t>
  </si>
  <si>
    <r>
      <rPr>
        <sz val="10"/>
        <color rgb="FF000000"/>
        <rFont val="Noto Sans CJK SC"/>
        <family val="2"/>
      </rPr>
      <t xml:space="preserve">轉錄官方 </t>
    </r>
    <r>
      <rPr>
        <sz val="10"/>
        <color rgb="FF000000"/>
        <rFont val="Arial"/>
        <family val="0"/>
        <charset val="1"/>
      </rPr>
      <t xml:space="preserve">API </t>
    </r>
    <r>
      <rPr>
        <sz val="10"/>
        <color rgb="FF000000"/>
        <rFont val="Noto Sans CJK SC"/>
        <family val="2"/>
      </rPr>
      <t xml:space="preserve">頁截圖：</t>
    </r>
    <r>
      <rPr>
        <sz val="10"/>
        <color rgb="FF000000"/>
        <rFont val="Arial"/>
        <family val="0"/>
        <charset val="1"/>
      </rPr>
      <t xml:space="preserve">GLM-5-Turbo $1.2 input</t>
    </r>
    <r>
      <rPr>
        <sz val="10"/>
        <color rgb="FF000000"/>
        <rFont val="Noto Sans CJK SC"/>
        <family val="2"/>
      </rPr>
      <t xml:space="preserve">／</t>
    </r>
    <r>
      <rPr>
        <sz val="10"/>
        <color rgb="FF000000"/>
        <rFont val="Arial"/>
        <family val="0"/>
        <charset val="1"/>
      </rPr>
      <t xml:space="preserve">$4.0 output</t>
    </r>
    <r>
      <rPr>
        <sz val="10"/>
        <color rgb="FF000000"/>
        <rFont val="Noto Sans CJK SC"/>
        <family val="2"/>
      </rPr>
      <t xml:space="preserve">；現行 </t>
    </r>
    <r>
      <rPr>
        <sz val="10"/>
        <color rgb="FF000000"/>
        <rFont val="Arial"/>
        <family val="0"/>
        <charset val="1"/>
      </rPr>
      <t xml:space="preserve">docs.z.ai </t>
    </r>
    <r>
      <rPr>
        <sz val="10"/>
        <color rgb="FF000000"/>
        <rFont val="Noto Sans CJK SC"/>
        <family val="2"/>
      </rPr>
      <t xml:space="preserve">定價頁已未列此型號</t>
    </r>
  </si>
  <si>
    <t xml:space="preserve">SRC_ZP_283</t>
  </si>
  <si>
    <t xml:space="preserve">px_usd_glm5turbo_out</t>
  </si>
  <si>
    <r>
      <rPr>
        <sz val="10"/>
        <color rgb="FF000000"/>
        <rFont val="Arial"/>
        <family val="0"/>
        <charset val="1"/>
      </rPr>
      <t xml:space="preserve">GLM-5-Turbo </t>
    </r>
    <r>
      <rPr>
        <sz val="10"/>
        <color rgb="FF000000"/>
        <rFont val="Noto Sans CJK SC"/>
        <family val="2"/>
      </rPr>
      <t xml:space="preserve">國際站牌價（輸出）</t>
    </r>
  </si>
  <si>
    <t xml:space="preserve">同上</t>
  </si>
  <si>
    <t xml:space="preserve">SRC_ZP_284</t>
  </si>
  <si>
    <t xml:space="preserve">px_rmb_glm53_in</t>
  </si>
  <si>
    <r>
      <rPr>
        <sz val="10"/>
        <color rgb="FF000000"/>
        <rFont val="Arial"/>
        <family val="0"/>
        <charset val="1"/>
      </rPr>
      <t xml:space="preserve">GLM-5.3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全量（不分段），輸入）</t>
    </r>
  </si>
  <si>
    <r>
      <rPr>
        <sz val="10"/>
        <color rgb="FF000000"/>
        <rFont val="Arial"/>
        <family val="0"/>
        <charset val="1"/>
      </rPr>
      <t xml:space="preserve">RMB </t>
    </r>
    <r>
      <rPr>
        <sz val="10"/>
        <color rgb="FF000000"/>
        <rFont val="Noto Sans CJK SC"/>
        <family val="2"/>
      </rPr>
      <t xml:space="preserve">元／百萬 </t>
    </r>
    <r>
      <rPr>
        <sz val="10"/>
        <color rgb="FF000000"/>
        <rFont val="Arial"/>
        <family val="0"/>
        <charset val="1"/>
      </rPr>
      <t xml:space="preserve">token</t>
    </r>
  </si>
  <si>
    <r>
      <rPr>
        <sz val="10"/>
        <color rgb="FF000000"/>
        <rFont val="Arial"/>
        <family val="0"/>
        <charset val="1"/>
      </rPr>
      <t xml:space="preserve">2026-08-09</t>
    </r>
    <r>
      <rPr>
        <sz val="10"/>
        <color rgb="FF000000"/>
        <rFont val="Noto Sans CJK SC"/>
        <family val="2"/>
      </rPr>
      <t xml:space="preserve">（</t>
    </r>
    <r>
      <rPr>
        <sz val="10"/>
        <color rgb="FF000000"/>
        <rFont val="Arial"/>
        <family val="0"/>
        <charset val="1"/>
      </rPr>
      <t xml:space="preserve">GLM-5.3 </t>
    </r>
    <r>
      <rPr>
        <sz val="10"/>
        <color rgb="FF000000"/>
        <rFont val="Noto Sans CJK SC"/>
        <family val="2"/>
      </rPr>
      <t xml:space="preserve">系列 </t>
    </r>
    <r>
      <rPr>
        <sz val="10"/>
        <color rgb="FF000000"/>
        <rFont val="Arial"/>
        <family val="0"/>
        <charset val="1"/>
      </rPr>
      <t xml:space="preserve">2026-09-28</t>
    </r>
    <r>
      <rPr>
        <sz val="10"/>
        <color rgb="FF000000"/>
        <rFont val="Noto Sans CJK SC"/>
        <family val="2"/>
      </rPr>
      <t xml:space="preserve">）</t>
    </r>
  </si>
  <si>
    <r>
      <rPr>
        <sz val="10"/>
        <color rgb="FF000000"/>
        <rFont val="Noto Sans CJK SC"/>
        <family val="2"/>
      </rPr>
      <t xml:space="preserve">奇連 </t>
    </r>
    <r>
      <rPr>
        <sz val="10"/>
        <color rgb="FF000000"/>
        <rFont val="Arial"/>
        <family val="0"/>
        <charset val="1"/>
      </rPr>
      <t xml:space="preserve">AI</t>
    </r>
    <r>
      <rPr>
        <sz val="10"/>
        <color rgb="FF000000"/>
        <rFont val="Noto Sans CJK SC"/>
        <family val="2"/>
      </rPr>
      <t xml:space="preserve">〈</t>
    </r>
    <r>
      <rPr>
        <sz val="10"/>
        <color rgb="FF000000"/>
        <rFont val="Arial"/>
        <family val="0"/>
        <charset val="1"/>
      </rPr>
      <t xml:space="preserve">GLM API </t>
    </r>
    <r>
      <rPr>
        <sz val="10"/>
        <color rgb="FF000000"/>
        <rFont val="Noto Sans CJK SC"/>
        <family val="2"/>
      </rPr>
      <t xml:space="preserve">價格怎麼算〉（轉錄 </t>
    </r>
    <r>
      <rPr>
        <sz val="10"/>
        <color rgb="FF000000"/>
        <rFont val="Arial"/>
        <family val="0"/>
        <charset val="1"/>
      </rPr>
      <t xml:space="preserve">bigmodel.cn/pricing</t>
    </r>
    <r>
      <rPr>
        <sz val="10"/>
        <color rgb="FF000000"/>
        <rFont val="Noto Sans CJK SC"/>
        <family val="2"/>
      </rPr>
      <t xml:space="preserve">，資料截至 </t>
    </r>
    <r>
      <rPr>
        <sz val="10"/>
        <color rgb="FF000000"/>
        <rFont val="Arial"/>
        <family val="0"/>
        <charset val="1"/>
      </rPr>
      <t xml:space="preserve">2026-08-09</t>
    </r>
    <r>
      <rPr>
        <sz val="10"/>
        <color rgb="FF000000"/>
        <rFont val="Noto Sans CJK SC"/>
        <family val="2"/>
      </rPr>
      <t xml:space="preserve">，</t>
    </r>
    <r>
      <rPr>
        <sz val="10"/>
        <color rgb="FF000000"/>
        <rFont val="Arial"/>
        <family val="0"/>
        <charset val="1"/>
      </rPr>
      <t xml:space="preserve">09-28 </t>
    </r>
    <r>
      <rPr>
        <sz val="10"/>
        <color rgb="FF000000"/>
        <rFont val="Noto Sans CJK SC"/>
        <family val="2"/>
      </rPr>
      <t xml:space="preserve">補 </t>
    </r>
    <r>
      <rPr>
        <sz val="10"/>
        <color rgb="FF000000"/>
        <rFont val="Arial"/>
        <family val="0"/>
        <charset val="1"/>
      </rPr>
      <t xml:space="preserve">GLM-5.3</t>
    </r>
    <r>
      <rPr>
        <sz val="10"/>
        <color rgb="FF000000"/>
        <rFont val="Noto Sans CJK SC"/>
        <family val="2"/>
      </rPr>
      <t xml:space="preserve">）</t>
    </r>
  </si>
  <si>
    <t xml:space="preserve">https://iqilian.com/learn/glm-api-jifei/</t>
  </si>
  <si>
    <t xml:space="preserve">2026-09-28</t>
  </si>
  <si>
    <t xml:space="preserve">二手（含一手公告轉載）</t>
  </si>
  <si>
    <r>
      <rPr>
        <sz val="10"/>
        <color rgb="FF000000"/>
        <rFont val="Noto Sans CJK SC"/>
        <family val="2"/>
      </rPr>
      <t xml:space="preserve">轉錄官方表 </t>
    </r>
    <r>
      <rPr>
        <sz val="10"/>
        <color rgb="FF000000"/>
        <rFont val="Arial"/>
        <family val="0"/>
        <charset val="1"/>
      </rPr>
      <t xml:space="preserve">GLM-5.3 1M </t>
    </r>
    <r>
      <rPr>
        <sz val="10"/>
        <color rgb="FF000000"/>
        <rFont val="Noto Sans CJK SC"/>
        <family val="2"/>
      </rPr>
      <t xml:space="preserve">全量（不分段）：輸入 </t>
    </r>
    <r>
      <rPr>
        <sz val="10"/>
        <color rgb="FF000000"/>
        <rFont val="Arial"/>
        <family val="0"/>
        <charset val="1"/>
      </rPr>
      <t xml:space="preserve">8</t>
    </r>
    <r>
      <rPr>
        <sz val="10"/>
        <color rgb="FF000000"/>
        <rFont val="Noto Sans CJK SC"/>
        <family val="2"/>
      </rPr>
      <t xml:space="preserve">／快取 </t>
    </r>
    <r>
      <rPr>
        <sz val="10"/>
        <color rgb="FF000000"/>
        <rFont val="Arial"/>
        <family val="0"/>
        <charset val="1"/>
      </rPr>
      <t xml:space="preserve">2</t>
    </r>
    <r>
      <rPr>
        <sz val="10"/>
        <color rgb="FF000000"/>
        <rFont val="Noto Sans CJK SC"/>
        <family val="2"/>
      </rPr>
      <t xml:space="preserve">／輸出 </t>
    </r>
    <r>
      <rPr>
        <sz val="10"/>
        <color rgb="FF000000"/>
        <rFont val="Arial"/>
        <family val="0"/>
        <charset val="1"/>
      </rPr>
      <t xml:space="preserve">28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</si>
  <si>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SRC_ZP_285</t>
  </si>
  <si>
    <t xml:space="preserve">px_rmb_glm53_cache</t>
  </si>
  <si>
    <r>
      <rPr>
        <sz val="10"/>
        <color rgb="FF000000"/>
        <rFont val="Arial"/>
        <family val="0"/>
        <charset val="1"/>
      </rPr>
      <t xml:space="preserve">GLM-5.3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全量（不分段），快取命中）</t>
    </r>
  </si>
  <si>
    <t xml:space="preserve">SRC_ZP_286</t>
  </si>
  <si>
    <t xml:space="preserve">px_rmb_glm53_out</t>
  </si>
  <si>
    <r>
      <rPr>
        <sz val="10"/>
        <color rgb="FF000000"/>
        <rFont val="Arial"/>
        <family val="0"/>
        <charset val="1"/>
      </rPr>
      <t xml:space="preserve">GLM-5.3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全量（不分段），輸出）</t>
    </r>
  </si>
  <si>
    <t xml:space="preserve">SRC_ZP_287</t>
  </si>
  <si>
    <t xml:space="preserve">px_rmb_glm52_in</t>
  </si>
  <si>
    <r>
      <rPr>
        <sz val="10"/>
        <color rgb="FF000000"/>
        <rFont val="Arial"/>
        <family val="0"/>
        <charset val="1"/>
      </rPr>
      <t xml:space="preserve">GLM-5.2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全量（不分段），輸入）</t>
    </r>
  </si>
  <si>
    <r>
      <rPr>
        <sz val="10"/>
        <color rgb="FF000000"/>
        <rFont val="Noto Sans CJK SC"/>
        <family val="2"/>
      </rPr>
      <t xml:space="preserve">轉錄官方表 </t>
    </r>
    <r>
      <rPr>
        <sz val="10"/>
        <color rgb="FF000000"/>
        <rFont val="Arial"/>
        <family val="0"/>
        <charset val="1"/>
      </rPr>
      <t xml:space="preserve">GLM-5.2 1M </t>
    </r>
    <r>
      <rPr>
        <sz val="10"/>
        <color rgb="FF000000"/>
        <rFont val="Noto Sans CJK SC"/>
        <family val="2"/>
      </rPr>
      <t xml:space="preserve">全量（不分段）：輸入 </t>
    </r>
    <r>
      <rPr>
        <sz val="10"/>
        <color rgb="FF000000"/>
        <rFont val="Arial"/>
        <family val="0"/>
        <charset val="1"/>
      </rPr>
      <t xml:space="preserve">8</t>
    </r>
    <r>
      <rPr>
        <sz val="10"/>
        <color rgb="FF000000"/>
        <rFont val="Noto Sans CJK SC"/>
        <family val="2"/>
      </rPr>
      <t xml:space="preserve">／快取 </t>
    </r>
    <r>
      <rPr>
        <sz val="10"/>
        <color rgb="FF000000"/>
        <rFont val="Arial"/>
        <family val="0"/>
        <charset val="1"/>
      </rPr>
      <t xml:space="preserve">2</t>
    </r>
    <r>
      <rPr>
        <sz val="10"/>
        <color rgb="FF000000"/>
        <rFont val="Noto Sans CJK SC"/>
        <family val="2"/>
      </rPr>
      <t xml:space="preserve">／輸出 </t>
    </r>
    <r>
      <rPr>
        <sz val="10"/>
        <color rgb="FF000000"/>
        <rFont val="Arial"/>
        <family val="0"/>
        <charset val="1"/>
      </rPr>
      <t xml:space="preserve">28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</si>
  <si>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SRC_ZP_288</t>
  </si>
  <si>
    <t xml:space="preserve">px_rmb_glm52_cache</t>
  </si>
  <si>
    <r>
      <rPr>
        <sz val="10"/>
        <color rgb="FF000000"/>
        <rFont val="Arial"/>
        <family val="0"/>
        <charset val="1"/>
      </rPr>
      <t xml:space="preserve">GLM-5.2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全量（不分段），快取命中）</t>
    </r>
  </si>
  <si>
    <t xml:space="preserve">SRC_ZP_289</t>
  </si>
  <si>
    <t xml:space="preserve">px_rmb_glm52_out</t>
  </si>
  <si>
    <r>
      <rPr>
        <sz val="10"/>
        <color rgb="FF000000"/>
        <rFont val="Arial"/>
        <family val="0"/>
        <charset val="1"/>
      </rPr>
      <t xml:space="preserve">GLM-5.2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全量（不分段），輸出）</t>
    </r>
  </si>
  <si>
    <t xml:space="preserve">SRC_ZP_290</t>
  </si>
  <si>
    <t xml:space="preserve">px_rmb_glm51_lt32k_in</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</si>
  <si>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</si>
  <si>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GLM-5.1 </t>
    </r>
    <r>
      <rPr>
        <sz val="10"/>
        <color rgb="FF000000"/>
        <rFont val="Noto Sans CJK SC"/>
        <family val="2"/>
      </rPr>
      <t xml:space="preserve">輸入 </t>
    </r>
    <r>
      <rPr>
        <sz val="10"/>
        <color rgb="FF000000"/>
        <rFont val="Arial"/>
        <family val="0"/>
        <charset val="1"/>
      </rPr>
      <t xml:space="preserve">&lt;32K</t>
    </r>
    <r>
      <rPr>
        <sz val="10"/>
        <color rgb="FF000000"/>
        <rFont val="Noto Sans CJK SC"/>
        <family val="2"/>
      </rPr>
      <t xml:space="preserve">：輸入 </t>
    </r>
    <r>
      <rPr>
        <sz val="10"/>
        <color rgb="FF000000"/>
        <rFont val="Arial"/>
        <family val="0"/>
        <charset val="1"/>
      </rPr>
      <t xml:space="preserve">6</t>
    </r>
    <r>
      <rPr>
        <sz val="10"/>
        <color rgb="FF000000"/>
        <rFont val="Noto Sans CJK SC"/>
        <family val="2"/>
      </rPr>
      <t xml:space="preserve">／快取 </t>
    </r>
    <r>
      <rPr>
        <sz val="10"/>
        <color rgb="FF000000"/>
        <rFont val="Arial"/>
        <family val="0"/>
        <charset val="1"/>
      </rPr>
      <t xml:space="preserve">1.3</t>
    </r>
    <r>
      <rPr>
        <sz val="10"/>
        <color rgb="FF000000"/>
        <rFont val="Noto Sans CJK SC"/>
        <family val="2"/>
      </rPr>
      <t xml:space="preserve">／輸出 </t>
    </r>
    <r>
      <rPr>
        <sz val="10"/>
        <color rgb="FF000000"/>
        <rFont val="Arial"/>
        <family val="0"/>
        <charset val="1"/>
      </rPr>
      <t xml:space="preserve">24</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</si>
  <si>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SRC_ZP_291</t>
  </si>
  <si>
    <t xml:space="preserve">px_rmb_glm51_lt32k_cache</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</si>
  <si>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，快取命中）</t>
    </r>
  </si>
  <si>
    <t xml:space="preserve">SRC_ZP_292</t>
  </si>
  <si>
    <t xml:space="preserve">px_rmb_glm51_lt32k_out</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</si>
  <si>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，輸出）</t>
    </r>
  </si>
  <si>
    <t xml:space="preserve">SRC_ZP_293</t>
  </si>
  <si>
    <t xml:space="preserve">px_rmb_glm51_ge32k_in</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</si>
  <si>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</si>
  <si>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GLM-5.1 </t>
    </r>
    <r>
      <rPr>
        <sz val="10"/>
        <color rgb="FF000000"/>
        <rFont val="Noto Sans CJK SC"/>
        <family val="2"/>
      </rPr>
      <t xml:space="preserve">輸入 ≥</t>
    </r>
    <r>
      <rPr>
        <sz val="10"/>
        <color rgb="FF000000"/>
        <rFont val="Arial"/>
        <family val="0"/>
        <charset val="1"/>
      </rPr>
      <t xml:space="preserve">32K</t>
    </r>
    <r>
      <rPr>
        <sz val="10"/>
        <color rgb="FF000000"/>
        <rFont val="Noto Sans CJK SC"/>
        <family val="2"/>
      </rPr>
      <t xml:space="preserve">：輸入 </t>
    </r>
    <r>
      <rPr>
        <sz val="10"/>
        <color rgb="FF000000"/>
        <rFont val="Arial"/>
        <family val="0"/>
        <charset val="1"/>
      </rPr>
      <t xml:space="preserve">8</t>
    </r>
    <r>
      <rPr>
        <sz val="10"/>
        <color rgb="FF000000"/>
        <rFont val="Noto Sans CJK SC"/>
        <family val="2"/>
      </rPr>
      <t xml:space="preserve">／快取 </t>
    </r>
    <r>
      <rPr>
        <sz val="10"/>
        <color rgb="FF000000"/>
        <rFont val="Arial"/>
        <family val="0"/>
        <charset val="1"/>
      </rPr>
      <t xml:space="preserve">2</t>
    </r>
    <r>
      <rPr>
        <sz val="10"/>
        <color rgb="FF000000"/>
        <rFont val="Noto Sans CJK SC"/>
        <family val="2"/>
      </rPr>
      <t xml:space="preserve">／輸出 </t>
    </r>
    <r>
      <rPr>
        <sz val="10"/>
        <color rgb="FF000000"/>
        <rFont val="Arial"/>
        <family val="0"/>
        <charset val="1"/>
      </rPr>
      <t xml:space="preserve">28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</si>
  <si>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SRC_ZP_294</t>
  </si>
  <si>
    <t xml:space="preserve">px_rmb_glm51_ge32k_cache</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</si>
  <si>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，快取命中）</t>
    </r>
  </si>
  <si>
    <t xml:space="preserve">SRC_ZP_295</t>
  </si>
  <si>
    <t xml:space="preserve">px_rmb_glm51_ge32k_out</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</si>
  <si>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，輸出）</t>
    </r>
  </si>
  <si>
    <t xml:space="preserve">SRC_ZP_296</t>
  </si>
  <si>
    <t xml:space="preserve">px_rmb_glm5turbo_lt32k_in</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</si>
  <si>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</si>
  <si>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GLM-5-Turbo </t>
    </r>
    <r>
      <rPr>
        <sz val="10"/>
        <color rgb="FF000000"/>
        <rFont val="Noto Sans CJK SC"/>
        <family val="2"/>
      </rPr>
      <t xml:space="preserve">輸入 </t>
    </r>
    <r>
      <rPr>
        <sz val="10"/>
        <color rgb="FF000000"/>
        <rFont val="Arial"/>
        <family val="0"/>
        <charset val="1"/>
      </rPr>
      <t xml:space="preserve">&lt;32K</t>
    </r>
    <r>
      <rPr>
        <sz val="10"/>
        <color rgb="FF000000"/>
        <rFont val="Noto Sans CJK SC"/>
        <family val="2"/>
      </rPr>
      <t xml:space="preserve">：輸入 </t>
    </r>
    <r>
      <rPr>
        <sz val="10"/>
        <color rgb="FF000000"/>
        <rFont val="Arial"/>
        <family val="0"/>
        <charset val="1"/>
      </rPr>
      <t xml:space="preserve">5</t>
    </r>
    <r>
      <rPr>
        <sz val="10"/>
        <color rgb="FF000000"/>
        <rFont val="Noto Sans CJK SC"/>
        <family val="2"/>
      </rPr>
      <t xml:space="preserve">／快取 </t>
    </r>
    <r>
      <rPr>
        <sz val="10"/>
        <color rgb="FF000000"/>
        <rFont val="Arial"/>
        <family val="0"/>
        <charset val="1"/>
      </rPr>
      <t xml:space="preserve">1.2</t>
    </r>
    <r>
      <rPr>
        <sz val="10"/>
        <color rgb="FF000000"/>
        <rFont val="Noto Sans CJK SC"/>
        <family val="2"/>
      </rPr>
      <t xml:space="preserve">／輸出 </t>
    </r>
    <r>
      <rPr>
        <sz val="10"/>
        <color rgb="FF000000"/>
        <rFont val="Arial"/>
        <family val="0"/>
        <charset val="1"/>
      </rPr>
      <t xml:space="preserve">22</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</si>
  <si>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SRC_ZP_297</t>
  </si>
  <si>
    <t xml:space="preserve">px_rmb_glm5turbo_lt32k_cache</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</si>
  <si>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，快取命中）</t>
    </r>
  </si>
  <si>
    <t xml:space="preserve">SRC_ZP_298</t>
  </si>
  <si>
    <t xml:space="preserve">px_rmb_glm5turbo_lt32k_out</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</si>
  <si>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，輸出）</t>
    </r>
  </si>
  <si>
    <t xml:space="preserve">SRC_ZP_299</t>
  </si>
  <si>
    <t xml:space="preserve">px_rmb_glm5turbo_ge32k_in</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</si>
  <si>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</si>
  <si>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GLM-5-Turbo </t>
    </r>
    <r>
      <rPr>
        <sz val="10"/>
        <color rgb="FF000000"/>
        <rFont val="Noto Sans CJK SC"/>
        <family val="2"/>
      </rPr>
      <t xml:space="preserve">輸入 ≥</t>
    </r>
    <r>
      <rPr>
        <sz val="10"/>
        <color rgb="FF000000"/>
        <rFont val="Arial"/>
        <family val="0"/>
        <charset val="1"/>
      </rPr>
      <t xml:space="preserve">32K</t>
    </r>
    <r>
      <rPr>
        <sz val="10"/>
        <color rgb="FF000000"/>
        <rFont val="Noto Sans CJK SC"/>
        <family val="2"/>
      </rPr>
      <t xml:space="preserve">：輸入 </t>
    </r>
    <r>
      <rPr>
        <sz val="10"/>
        <color rgb="FF000000"/>
        <rFont val="Arial"/>
        <family val="0"/>
        <charset val="1"/>
      </rPr>
      <t xml:space="preserve">7</t>
    </r>
    <r>
      <rPr>
        <sz val="10"/>
        <color rgb="FF000000"/>
        <rFont val="Noto Sans CJK SC"/>
        <family val="2"/>
      </rPr>
      <t xml:space="preserve">／快取 </t>
    </r>
    <r>
      <rPr>
        <sz val="10"/>
        <color rgb="FF000000"/>
        <rFont val="Arial"/>
        <family val="0"/>
        <charset val="1"/>
      </rPr>
      <t xml:space="preserve">1.8</t>
    </r>
    <r>
      <rPr>
        <sz val="10"/>
        <color rgb="FF000000"/>
        <rFont val="Noto Sans CJK SC"/>
        <family val="2"/>
      </rPr>
      <t xml:space="preserve">／輸出 </t>
    </r>
    <r>
      <rPr>
        <sz val="10"/>
        <color rgb="FF000000"/>
        <rFont val="Arial"/>
        <family val="0"/>
        <charset val="1"/>
      </rPr>
      <t xml:space="preserve">26</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</si>
  <si>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SRC_ZP_300</t>
  </si>
  <si>
    <t xml:space="preserve">px_rmb_glm5turbo_ge32k_cache</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</si>
  <si>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，快取命中）</t>
    </r>
  </si>
  <si>
    <t xml:space="preserve">SRC_ZP_301</t>
  </si>
  <si>
    <t xml:space="preserve">px_rmb_glm5turbo_ge32k_out</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</si>
  <si>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，輸出）</t>
    </r>
  </si>
  <si>
    <t xml:space="preserve">SRC_ZP_302</t>
  </si>
  <si>
    <t xml:space="preserve">px_rmb_glm5_lt32k_in</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</si>
  <si>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</si>
  <si>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 </t>
    </r>
    <r>
      <rPr>
        <sz val="10"/>
        <color rgb="FF000000"/>
        <rFont val="Noto Sans CJK SC"/>
        <family val="2"/>
      </rPr>
      <t xml:space="preserve">輸入 </t>
    </r>
    <r>
      <rPr>
        <sz val="10"/>
        <color rgb="FF000000"/>
        <rFont val="Arial"/>
        <family val="0"/>
        <charset val="1"/>
      </rPr>
      <t xml:space="preserve">&lt;32K</t>
    </r>
    <r>
      <rPr>
        <sz val="10"/>
        <color rgb="FF000000"/>
        <rFont val="Noto Sans CJK SC"/>
        <family val="2"/>
      </rPr>
      <t xml:space="preserve">：輸入 </t>
    </r>
    <r>
      <rPr>
        <sz val="10"/>
        <color rgb="FF000000"/>
        <rFont val="Arial"/>
        <family val="0"/>
        <charset val="1"/>
      </rPr>
      <t xml:space="preserve">4</t>
    </r>
    <r>
      <rPr>
        <sz val="10"/>
        <color rgb="FF000000"/>
        <rFont val="Noto Sans CJK SC"/>
        <family val="2"/>
      </rPr>
      <t xml:space="preserve">／快取 </t>
    </r>
    <r>
      <rPr>
        <sz val="10"/>
        <color rgb="FF000000"/>
        <rFont val="Arial"/>
        <family val="0"/>
        <charset val="1"/>
      </rPr>
      <t xml:space="preserve">1</t>
    </r>
    <r>
      <rPr>
        <sz val="10"/>
        <color rgb="FF000000"/>
        <rFont val="Noto Sans CJK SC"/>
        <family val="2"/>
      </rPr>
      <t xml:space="preserve">／輸出 </t>
    </r>
    <r>
      <rPr>
        <sz val="10"/>
        <color rgb="FF000000"/>
        <rFont val="Arial"/>
        <family val="0"/>
        <charset val="1"/>
      </rPr>
      <t xml:space="preserve">18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</si>
  <si>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SRC_ZP_303</t>
  </si>
  <si>
    <t xml:space="preserve">px_rmb_glm5_lt32k_cache</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</si>
  <si>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，快取命中）</t>
    </r>
  </si>
  <si>
    <t xml:space="preserve">SRC_ZP_304</t>
  </si>
  <si>
    <t xml:space="preserve">px_rmb_glm5_lt32k_out</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</si>
  <si>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，輸出）</t>
    </r>
  </si>
  <si>
    <t xml:space="preserve">SRC_ZP_305</t>
  </si>
  <si>
    <t xml:space="preserve">px_rmb_glm5_ge32k_in</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</si>
  <si>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</si>
  <si>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 </t>
    </r>
    <r>
      <rPr>
        <sz val="10"/>
        <color rgb="FF000000"/>
        <rFont val="Noto Sans CJK SC"/>
        <family val="2"/>
      </rPr>
      <t xml:space="preserve">輸入 ≥</t>
    </r>
    <r>
      <rPr>
        <sz val="10"/>
        <color rgb="FF000000"/>
        <rFont val="Arial"/>
        <family val="0"/>
        <charset val="1"/>
      </rPr>
      <t xml:space="preserve">32K</t>
    </r>
    <r>
      <rPr>
        <sz val="10"/>
        <color rgb="FF000000"/>
        <rFont val="Noto Sans CJK SC"/>
        <family val="2"/>
      </rPr>
      <t xml:space="preserve">：輸入 </t>
    </r>
    <r>
      <rPr>
        <sz val="10"/>
        <color rgb="FF000000"/>
        <rFont val="Arial"/>
        <family val="0"/>
        <charset val="1"/>
      </rPr>
      <t xml:space="preserve">6</t>
    </r>
    <r>
      <rPr>
        <sz val="10"/>
        <color rgb="FF000000"/>
        <rFont val="Noto Sans CJK SC"/>
        <family val="2"/>
      </rPr>
      <t xml:space="preserve">／快取 </t>
    </r>
    <r>
      <rPr>
        <sz val="10"/>
        <color rgb="FF000000"/>
        <rFont val="Arial"/>
        <family val="0"/>
        <charset val="1"/>
      </rPr>
      <t xml:space="preserve">1.5</t>
    </r>
    <r>
      <rPr>
        <sz val="10"/>
        <color rgb="FF000000"/>
        <rFont val="Noto Sans CJK SC"/>
        <family val="2"/>
      </rPr>
      <t xml:space="preserve">／輸出 </t>
    </r>
    <r>
      <rPr>
        <sz val="10"/>
        <color rgb="FF000000"/>
        <rFont val="Arial"/>
        <family val="0"/>
        <charset val="1"/>
      </rPr>
      <t xml:space="preserve">22</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</si>
  <si>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SRC_ZP_306</t>
  </si>
  <si>
    <t xml:space="preserve">px_rmb_glm5_ge32k_cache</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</si>
  <si>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，快取命中）</t>
    </r>
  </si>
  <si>
    <t xml:space="preserve">SRC_ZP_307</t>
  </si>
  <si>
    <t xml:space="preserve">px_rmb_glm5_ge32k_out</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</si>
  <si>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，輸出）</t>
    </r>
  </si>
  <si>
    <t xml:space="preserve">SRC_ZP_308</t>
  </si>
  <si>
    <t xml:space="preserve">px_rmb_glm47_short_in</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</si>
  <si>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</si>
  <si>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GLM-4.7 </t>
    </r>
    <r>
      <rPr>
        <sz val="10"/>
        <color rgb="FF000000"/>
        <rFont val="Noto Sans CJK SC"/>
        <family val="2"/>
      </rPr>
      <t xml:space="preserve">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：輸入 </t>
    </r>
    <r>
      <rPr>
        <sz val="10"/>
        <color rgb="FF000000"/>
        <rFont val="Arial"/>
        <family val="0"/>
        <charset val="1"/>
      </rPr>
      <t xml:space="preserve">2</t>
    </r>
    <r>
      <rPr>
        <sz val="10"/>
        <color rgb="FF000000"/>
        <rFont val="Noto Sans CJK SC"/>
        <family val="2"/>
      </rPr>
      <t xml:space="preserve">／快取 </t>
    </r>
    <r>
      <rPr>
        <sz val="10"/>
        <color rgb="FF000000"/>
        <rFont val="Arial"/>
        <family val="0"/>
        <charset val="1"/>
      </rPr>
      <t xml:space="preserve">0.4</t>
    </r>
    <r>
      <rPr>
        <sz val="10"/>
        <color rgb="FF000000"/>
        <rFont val="Noto Sans CJK SC"/>
        <family val="2"/>
      </rPr>
      <t xml:space="preserve">／輸出 </t>
    </r>
    <r>
      <rPr>
        <sz val="10"/>
        <color rgb="FF000000"/>
        <rFont val="Arial"/>
        <family val="0"/>
        <charset val="1"/>
      </rPr>
      <t xml:space="preserve">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</si>
  <si>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SRC_ZP_309</t>
  </si>
  <si>
    <t xml:space="preserve">px_rmb_glm47_short_cache</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</si>
  <si>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，快取命中）</t>
    </r>
  </si>
  <si>
    <t xml:space="preserve">SRC_ZP_310</t>
  </si>
  <si>
    <t xml:space="preserve">px_rmb_glm47_short_out</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</si>
  <si>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，輸出）</t>
    </r>
  </si>
  <si>
    <t xml:space="preserve">SRC_ZP_311</t>
  </si>
  <si>
    <t xml:space="preserve">px_rmb_glm47_long_out_in</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</si>
  <si>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</si>
  <si>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GLM-4.7 </t>
    </r>
    <r>
      <rPr>
        <sz val="10"/>
        <color rgb="FF000000"/>
        <rFont val="Noto Sans CJK SC"/>
        <family val="2"/>
      </rPr>
      <t xml:space="preserve">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：輸入 </t>
    </r>
    <r>
      <rPr>
        <sz val="10"/>
        <color rgb="FF000000"/>
        <rFont val="Arial"/>
        <family val="0"/>
        <charset val="1"/>
      </rPr>
      <t xml:space="preserve">3</t>
    </r>
    <r>
      <rPr>
        <sz val="10"/>
        <color rgb="FF000000"/>
        <rFont val="Noto Sans CJK SC"/>
        <family val="2"/>
      </rPr>
      <t xml:space="preserve">／快取 </t>
    </r>
    <r>
      <rPr>
        <sz val="10"/>
        <color rgb="FF000000"/>
        <rFont val="Arial"/>
        <family val="0"/>
        <charset val="1"/>
      </rPr>
      <t xml:space="preserve">0.6</t>
    </r>
    <r>
      <rPr>
        <sz val="10"/>
        <color rgb="FF000000"/>
        <rFont val="Noto Sans CJK SC"/>
        <family val="2"/>
      </rPr>
      <t xml:space="preserve">／輸出 </t>
    </r>
    <r>
      <rPr>
        <sz val="10"/>
        <color rgb="FF000000"/>
        <rFont val="Arial"/>
        <family val="0"/>
        <charset val="1"/>
      </rPr>
      <t xml:space="preserve">14</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</si>
  <si>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SRC_ZP_312</t>
  </si>
  <si>
    <t xml:space="preserve">px_rmb_glm47_long_out_cache</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</si>
  <si>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，快取命中）</t>
    </r>
  </si>
  <si>
    <t xml:space="preserve">SRC_ZP_313</t>
  </si>
  <si>
    <t xml:space="preserve">px_rmb_glm47_long_out_out</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</si>
  <si>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，輸出）</t>
    </r>
  </si>
  <si>
    <t xml:space="preserve">SRC_ZP_314</t>
  </si>
  <si>
    <t xml:space="preserve">px_rmb_glm47_32k200k_in</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</si>
  <si>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32K–200K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</si>
  <si>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GLM-4.7 </t>
    </r>
    <r>
      <rPr>
        <sz val="10"/>
        <color rgb="FF000000"/>
        <rFont val="Noto Sans CJK SC"/>
        <family val="2"/>
      </rPr>
      <t xml:space="preserve">輸入 </t>
    </r>
    <r>
      <rPr>
        <sz val="10"/>
        <color rgb="FF000000"/>
        <rFont val="Arial"/>
        <family val="0"/>
        <charset val="1"/>
      </rPr>
      <t xml:space="preserve">32K–200K</t>
    </r>
    <r>
      <rPr>
        <sz val="10"/>
        <color rgb="FF000000"/>
        <rFont val="Noto Sans CJK SC"/>
        <family val="2"/>
      </rPr>
      <t xml:space="preserve">：輸入 </t>
    </r>
    <r>
      <rPr>
        <sz val="10"/>
        <color rgb="FF000000"/>
        <rFont val="Arial"/>
        <family val="0"/>
        <charset val="1"/>
      </rPr>
      <t xml:space="preserve">4</t>
    </r>
    <r>
      <rPr>
        <sz val="10"/>
        <color rgb="FF000000"/>
        <rFont val="Noto Sans CJK SC"/>
        <family val="2"/>
      </rPr>
      <t xml:space="preserve">／快取 </t>
    </r>
    <r>
      <rPr>
        <sz val="10"/>
        <color rgb="FF000000"/>
        <rFont val="Arial"/>
        <family val="0"/>
        <charset val="1"/>
      </rPr>
      <t xml:space="preserve">0.8</t>
    </r>
    <r>
      <rPr>
        <sz val="10"/>
        <color rgb="FF000000"/>
        <rFont val="Noto Sans CJK SC"/>
        <family val="2"/>
      </rPr>
      <t xml:space="preserve">／輸出 </t>
    </r>
    <r>
      <rPr>
        <sz val="10"/>
        <color rgb="FF000000"/>
        <rFont val="Arial"/>
        <family val="0"/>
        <charset val="1"/>
      </rPr>
      <t xml:space="preserve">16</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</si>
  <si>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SRC_ZP_315</t>
  </si>
  <si>
    <t xml:space="preserve">px_rmb_glm47_32k200k_cache</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</si>
  <si>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32K–200K</t>
    </r>
    <r>
      <rPr>
        <sz val="10"/>
        <color rgb="FF000000"/>
        <rFont val="Noto Sans CJK SC"/>
        <family val="2"/>
      </rPr>
      <t xml:space="preserve">，快取命中）</t>
    </r>
  </si>
  <si>
    <t xml:space="preserve">SRC_ZP_316</t>
  </si>
  <si>
    <t xml:space="preserve">px_rmb_glm47_32k200k_out</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</si>
  <si>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32K–200K</t>
    </r>
    <r>
      <rPr>
        <sz val="10"/>
        <color rgb="FF000000"/>
        <rFont val="Noto Sans CJK SC"/>
        <family val="2"/>
      </rPr>
      <t xml:space="preserve">，輸出）</t>
    </r>
  </si>
  <si>
    <t xml:space="preserve">SRC_ZP_317</t>
  </si>
  <si>
    <t xml:space="preserve">px_rmb_glm45air_short_in</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</si>
  <si>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</si>
  <si>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GLM-4.5-Air </t>
    </r>
    <r>
      <rPr>
        <sz val="10"/>
        <color rgb="FF000000"/>
        <rFont val="Noto Sans CJK SC"/>
        <family val="2"/>
      </rPr>
      <t xml:space="preserve">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：輸入 </t>
    </r>
    <r>
      <rPr>
        <sz val="10"/>
        <color rgb="FF000000"/>
        <rFont val="Arial"/>
        <family val="0"/>
        <charset val="1"/>
      </rPr>
      <t xml:space="preserve">0.8</t>
    </r>
    <r>
      <rPr>
        <sz val="10"/>
        <color rgb="FF000000"/>
        <rFont val="Noto Sans CJK SC"/>
        <family val="2"/>
      </rPr>
      <t xml:space="preserve">／快取 </t>
    </r>
    <r>
      <rPr>
        <sz val="10"/>
        <color rgb="FF000000"/>
        <rFont val="Arial"/>
        <family val="0"/>
        <charset val="1"/>
      </rPr>
      <t xml:space="preserve">0.16</t>
    </r>
    <r>
      <rPr>
        <sz val="10"/>
        <color rgb="FF000000"/>
        <rFont val="Noto Sans CJK SC"/>
        <family val="2"/>
      </rPr>
      <t xml:space="preserve">／輸出 </t>
    </r>
    <r>
      <rPr>
        <sz val="10"/>
        <color rgb="FF000000"/>
        <rFont val="Arial"/>
        <family val="0"/>
        <charset val="1"/>
      </rPr>
      <t xml:space="preserve">2</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</si>
  <si>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SRC_ZP_318</t>
  </si>
  <si>
    <t xml:space="preserve">px_rmb_glm45air_short_cache</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</si>
  <si>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，快取命中）</t>
    </r>
  </si>
  <si>
    <t xml:space="preserve">SRC_ZP_319</t>
  </si>
  <si>
    <t xml:space="preserve">px_rmb_glm45air_short_out</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</si>
  <si>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，輸出）</t>
    </r>
  </si>
  <si>
    <t xml:space="preserve">SRC_ZP_320</t>
  </si>
  <si>
    <t xml:space="preserve">px_rmb_glm45air_long_out_in</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</si>
  <si>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</si>
  <si>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GLM-4.5-Air </t>
    </r>
    <r>
      <rPr>
        <sz val="10"/>
        <color rgb="FF000000"/>
        <rFont val="Noto Sans CJK SC"/>
        <family val="2"/>
      </rPr>
      <t xml:space="preserve">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：輸入 </t>
    </r>
    <r>
      <rPr>
        <sz val="10"/>
        <color rgb="FF000000"/>
        <rFont val="Arial"/>
        <family val="0"/>
        <charset val="1"/>
      </rPr>
      <t xml:space="preserve">0.8</t>
    </r>
    <r>
      <rPr>
        <sz val="10"/>
        <color rgb="FF000000"/>
        <rFont val="Noto Sans CJK SC"/>
        <family val="2"/>
      </rPr>
      <t xml:space="preserve">／快取 </t>
    </r>
    <r>
      <rPr>
        <sz val="10"/>
        <color rgb="FF000000"/>
        <rFont val="Arial"/>
        <family val="0"/>
        <charset val="1"/>
      </rPr>
      <t xml:space="preserve">0.16</t>
    </r>
    <r>
      <rPr>
        <sz val="10"/>
        <color rgb="FF000000"/>
        <rFont val="Noto Sans CJK SC"/>
        <family val="2"/>
      </rPr>
      <t xml:space="preserve">／輸出 </t>
    </r>
    <r>
      <rPr>
        <sz val="10"/>
        <color rgb="FF000000"/>
        <rFont val="Arial"/>
        <family val="0"/>
        <charset val="1"/>
      </rPr>
      <t xml:space="preserve">6</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</si>
  <si>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SRC_ZP_321</t>
  </si>
  <si>
    <t xml:space="preserve">px_rmb_glm45air_long_out_cache</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</si>
  <si>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，快取命中）</t>
    </r>
  </si>
  <si>
    <t xml:space="preserve">SRC_ZP_322</t>
  </si>
  <si>
    <t xml:space="preserve">px_rmb_glm45air_long_out_out</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</si>
  <si>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，輸出）</t>
    </r>
  </si>
  <si>
    <t xml:space="preserve">SRC_ZP_323</t>
  </si>
  <si>
    <t xml:space="preserve">px_rmb_glm45air_32k128k_in</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</si>
  <si>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32K–128K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</si>
  <si>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GLM-4.5-Air </t>
    </r>
    <r>
      <rPr>
        <sz val="10"/>
        <color rgb="FF000000"/>
        <rFont val="Noto Sans CJK SC"/>
        <family val="2"/>
      </rPr>
      <t xml:space="preserve">輸入 </t>
    </r>
    <r>
      <rPr>
        <sz val="10"/>
        <color rgb="FF000000"/>
        <rFont val="Arial"/>
        <family val="0"/>
        <charset val="1"/>
      </rPr>
      <t xml:space="preserve">32K–128K</t>
    </r>
    <r>
      <rPr>
        <sz val="10"/>
        <color rgb="FF000000"/>
        <rFont val="Noto Sans CJK SC"/>
        <family val="2"/>
      </rPr>
      <t xml:space="preserve">：輸入 </t>
    </r>
    <r>
      <rPr>
        <sz val="10"/>
        <color rgb="FF000000"/>
        <rFont val="Arial"/>
        <family val="0"/>
        <charset val="1"/>
      </rPr>
      <t xml:space="preserve">1.2</t>
    </r>
    <r>
      <rPr>
        <sz val="10"/>
        <color rgb="FF000000"/>
        <rFont val="Noto Sans CJK SC"/>
        <family val="2"/>
      </rPr>
      <t xml:space="preserve">／快取 </t>
    </r>
    <r>
      <rPr>
        <sz val="10"/>
        <color rgb="FF000000"/>
        <rFont val="Arial"/>
        <family val="0"/>
        <charset val="1"/>
      </rPr>
      <t xml:space="preserve">0.24</t>
    </r>
    <r>
      <rPr>
        <sz val="10"/>
        <color rgb="FF000000"/>
        <rFont val="Noto Sans CJK SC"/>
        <family val="2"/>
      </rPr>
      <t xml:space="preserve">／輸出 </t>
    </r>
    <r>
      <rPr>
        <sz val="10"/>
        <color rgb="FF000000"/>
        <rFont val="Arial"/>
        <family val="0"/>
        <charset val="1"/>
      </rPr>
      <t xml:space="preserve">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</si>
  <si>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SRC_ZP_324</t>
  </si>
  <si>
    <t xml:space="preserve">px_rmb_glm45air_32k128k_cache</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</si>
  <si>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32K–128K</t>
    </r>
    <r>
      <rPr>
        <sz val="10"/>
        <color rgb="FF000000"/>
        <rFont val="Noto Sans CJK SC"/>
        <family val="2"/>
      </rPr>
      <t xml:space="preserve">，快取命中）</t>
    </r>
  </si>
  <si>
    <t xml:space="preserve">SRC_ZP_325</t>
  </si>
  <si>
    <t xml:space="preserve">px_rmb_glm45air_32k128k_out</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</si>
  <si>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32K–128K</t>
    </r>
    <r>
      <rPr>
        <sz val="10"/>
        <color rgb="FF000000"/>
        <rFont val="Noto Sans CJK SC"/>
        <family val="2"/>
      </rPr>
      <t xml:space="preserve">，輸出）</t>
    </r>
  </si>
  <si>
    <t xml:space="preserve">SRC_ZP_326</t>
  </si>
  <si>
    <t xml:space="preserve">px_rmb_glm47flashx_in</t>
  </si>
  <si>
    <r>
      <rPr>
        <sz val="10"/>
        <color rgb="FF000000"/>
        <rFont val="Arial"/>
        <family val="0"/>
        <charset val="1"/>
      </rPr>
      <t xml:space="preserve">GLM-4.7-FlashX </t>
    </r>
    <r>
      <rPr>
        <sz val="10"/>
        <color rgb="FF000000"/>
        <rFont val="Noto Sans CJK SC"/>
        <family val="2"/>
      </rPr>
      <t xml:space="preserve">開放平台牌價（</t>
    </r>
    <r>
      <rPr>
        <sz val="10"/>
        <color rgb="FF000000"/>
        <rFont val="Arial"/>
        <family val="0"/>
        <charset val="1"/>
      </rPr>
      <t xml:space="preserve">200K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</si>
  <si>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GLM-4.7-FlashX 200K</t>
    </r>
    <r>
      <rPr>
        <sz val="10"/>
        <color rgb="FF000000"/>
        <rFont val="Noto Sans CJK SC"/>
        <family val="2"/>
      </rPr>
      <t xml:space="preserve">：輸入 </t>
    </r>
    <r>
      <rPr>
        <sz val="10"/>
        <color rgb="FF000000"/>
        <rFont val="Arial"/>
        <family val="0"/>
        <charset val="1"/>
      </rPr>
      <t xml:space="preserve">0.5</t>
    </r>
    <r>
      <rPr>
        <sz val="10"/>
        <color rgb="FF000000"/>
        <rFont val="Noto Sans CJK SC"/>
        <family val="2"/>
      </rPr>
      <t xml:space="preserve">／快取 </t>
    </r>
    <r>
      <rPr>
        <sz val="10"/>
        <color rgb="FF000000"/>
        <rFont val="Arial"/>
        <family val="0"/>
        <charset val="1"/>
      </rPr>
      <t xml:space="preserve">0.1</t>
    </r>
    <r>
      <rPr>
        <sz val="10"/>
        <color rgb="FF000000"/>
        <rFont val="Noto Sans CJK SC"/>
        <family val="2"/>
      </rPr>
      <t xml:space="preserve">／輸出 </t>
    </r>
    <r>
      <rPr>
        <sz val="10"/>
        <color rgb="FF000000"/>
        <rFont val="Arial"/>
        <family val="0"/>
        <charset val="1"/>
      </rPr>
      <t xml:space="preserve">3</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</si>
  <si>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SRC_ZP_327</t>
  </si>
  <si>
    <t xml:space="preserve">px_rmb_glm47flashx_cache</t>
  </si>
  <si>
    <r>
      <rPr>
        <sz val="10"/>
        <color rgb="FF000000"/>
        <rFont val="Arial"/>
        <family val="0"/>
        <charset val="1"/>
      </rPr>
      <t xml:space="preserve">GLM-4.7-FlashX </t>
    </r>
    <r>
      <rPr>
        <sz val="10"/>
        <color rgb="FF000000"/>
        <rFont val="Noto Sans CJK SC"/>
        <family val="2"/>
      </rPr>
      <t xml:space="preserve">開放平台牌價（</t>
    </r>
    <r>
      <rPr>
        <sz val="10"/>
        <color rgb="FF000000"/>
        <rFont val="Arial"/>
        <family val="0"/>
        <charset val="1"/>
      </rPr>
      <t xml:space="preserve">200K</t>
    </r>
    <r>
      <rPr>
        <sz val="10"/>
        <color rgb="FF000000"/>
        <rFont val="Noto Sans CJK SC"/>
        <family val="2"/>
      </rPr>
      <t xml:space="preserve">，快取命中）</t>
    </r>
  </si>
  <si>
    <t xml:space="preserve">SRC_ZP_328</t>
  </si>
  <si>
    <t xml:space="preserve">px_rmb_glm47flashx_out</t>
  </si>
  <si>
    <r>
      <rPr>
        <sz val="10"/>
        <color rgb="FF000000"/>
        <rFont val="Arial"/>
        <family val="0"/>
        <charset val="1"/>
      </rPr>
      <t xml:space="preserve">GLM-4.7-FlashX </t>
    </r>
    <r>
      <rPr>
        <sz val="10"/>
        <color rgb="FF000000"/>
        <rFont val="Noto Sans CJK SC"/>
        <family val="2"/>
      </rPr>
      <t xml:space="preserve">開放平台牌價（</t>
    </r>
    <r>
      <rPr>
        <sz val="10"/>
        <color rgb="FF000000"/>
        <rFont val="Arial"/>
        <family val="0"/>
        <charset val="1"/>
      </rPr>
      <t xml:space="preserve">200K</t>
    </r>
    <r>
      <rPr>
        <sz val="10"/>
        <color rgb="FF000000"/>
        <rFont val="Noto Sans CJK SC"/>
        <family val="2"/>
      </rPr>
      <t xml:space="preserve">，輸出）</t>
    </r>
  </si>
  <si>
    <t xml:space="preserve">SRC_ZP_329</t>
  </si>
  <si>
    <t xml:space="preserve">px_rmb_glm53flash_in</t>
  </si>
  <si>
    <r>
      <rPr>
        <sz val="10"/>
        <color rgb="FF000000"/>
        <rFont val="Arial"/>
        <family val="0"/>
        <charset val="1"/>
      </rPr>
      <t xml:space="preserve">GLM-5.3-Flash </t>
    </r>
    <r>
      <rPr>
        <sz val="10"/>
        <color rgb="FF000000"/>
        <rFont val="Noto Sans CJK SC"/>
        <family val="2"/>
      </rPr>
      <t xml:space="preserve">開放平台牌價（</t>
    </r>
    <r>
      <rPr>
        <sz val="10"/>
        <color rgb="FF000000"/>
        <rFont val="Arial"/>
        <family val="0"/>
        <charset val="1"/>
      </rPr>
      <t xml:space="preserve">1M</t>
    </r>
    <r>
      <rPr>
        <sz val="10"/>
        <color rgb="FF000000"/>
        <rFont val="Noto Sans CJK SC"/>
        <family val="2"/>
      </rPr>
      <t xml:space="preserve">（原價；限時五折見 </t>
    </r>
    <r>
      <rPr>
        <sz val="10"/>
        <color rgb="FF000000"/>
        <rFont val="Arial"/>
        <family val="0"/>
        <charset val="1"/>
      </rPr>
      <t xml:space="preserve">note</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</si>
  <si>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GLM-5.3-Flash 1M</t>
    </r>
    <r>
      <rPr>
        <sz val="10"/>
        <color rgb="FF000000"/>
        <rFont val="Noto Sans CJK SC"/>
        <family val="2"/>
      </rPr>
      <t xml:space="preserve">（原價；限時五折見 </t>
    </r>
    <r>
      <rPr>
        <sz val="10"/>
        <color rgb="FF000000"/>
        <rFont val="Arial"/>
        <family val="0"/>
        <charset val="1"/>
      </rPr>
      <t xml:space="preserve">note</t>
    </r>
    <r>
      <rPr>
        <sz val="10"/>
        <color rgb="FF000000"/>
        <rFont val="Noto Sans CJK SC"/>
        <family val="2"/>
      </rPr>
      <t xml:space="preserve">）：輸入 </t>
    </r>
    <r>
      <rPr>
        <sz val="10"/>
        <color rgb="FF000000"/>
        <rFont val="Arial"/>
        <family val="0"/>
        <charset val="1"/>
      </rPr>
      <t xml:space="preserve">0.8</t>
    </r>
    <r>
      <rPr>
        <sz val="10"/>
        <color rgb="FF000000"/>
        <rFont val="Noto Sans CJK SC"/>
        <family val="2"/>
      </rPr>
      <t xml:space="preserve">／快取 </t>
    </r>
    <r>
      <rPr>
        <sz val="10"/>
        <color rgb="FF000000"/>
        <rFont val="Arial"/>
        <family val="0"/>
        <charset val="1"/>
      </rPr>
      <t xml:space="preserve">0.23</t>
    </r>
    <r>
      <rPr>
        <sz val="10"/>
        <color rgb="FF000000"/>
        <rFont val="Noto Sans CJK SC"/>
        <family val="2"/>
      </rPr>
      <t xml:space="preserve">／輸出 </t>
    </r>
    <r>
      <rPr>
        <sz val="10"/>
        <color rgb="FF000000"/>
        <rFont val="Arial"/>
        <family val="0"/>
        <charset val="1"/>
      </rPr>
      <t xml:space="preserve">2.8</t>
    </r>
    <r>
      <rPr>
        <sz val="10"/>
        <color rgb="FF000000"/>
        <rFont val="Noto Sans CJK SC"/>
        <family val="2"/>
      </rPr>
      <t xml:space="preserve">；限時五折 </t>
    </r>
    <r>
      <rPr>
        <sz val="10"/>
        <color rgb="FF000000"/>
        <rFont val="Arial"/>
        <family val="0"/>
        <charset val="1"/>
      </rPr>
      <t xml:space="preserve">0.4</t>
    </r>
    <r>
      <rPr>
        <sz val="10"/>
        <color rgb="FF000000"/>
        <rFont val="Noto Sans CJK SC"/>
        <family val="2"/>
      </rPr>
      <t xml:space="preserve">／</t>
    </r>
    <r>
      <rPr>
        <sz val="10"/>
        <color rgb="FF000000"/>
        <rFont val="Arial"/>
        <family val="0"/>
        <charset val="1"/>
      </rPr>
      <t xml:space="preserve">0.115</t>
    </r>
    <r>
      <rPr>
        <sz val="10"/>
        <color rgb="FF000000"/>
        <rFont val="Noto Sans CJK SC"/>
        <family val="2"/>
      </rPr>
      <t xml:space="preserve">／</t>
    </r>
    <r>
      <rPr>
        <sz val="10"/>
        <color rgb="FF000000"/>
        <rFont val="Arial"/>
        <family val="0"/>
        <charset val="1"/>
      </rPr>
      <t xml:space="preserve">1.4</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</si>
  <si>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SRC_ZP_330</t>
  </si>
  <si>
    <t xml:space="preserve">px_rmb_glm53flash_cache</t>
  </si>
  <si>
    <r>
      <rPr>
        <sz val="10"/>
        <color rgb="FF000000"/>
        <rFont val="Arial"/>
        <family val="0"/>
        <charset val="1"/>
      </rPr>
      <t xml:space="preserve">GLM-5.3-Flash </t>
    </r>
    <r>
      <rPr>
        <sz val="10"/>
        <color rgb="FF000000"/>
        <rFont val="Noto Sans CJK SC"/>
        <family val="2"/>
      </rPr>
      <t xml:space="preserve">開放平台牌價（</t>
    </r>
    <r>
      <rPr>
        <sz val="10"/>
        <color rgb="FF000000"/>
        <rFont val="Arial"/>
        <family val="0"/>
        <charset val="1"/>
      </rPr>
      <t xml:space="preserve">1M</t>
    </r>
    <r>
      <rPr>
        <sz val="10"/>
        <color rgb="FF000000"/>
        <rFont val="Noto Sans CJK SC"/>
        <family val="2"/>
      </rPr>
      <t xml:space="preserve">（原價；限時五折見 </t>
    </r>
    <r>
      <rPr>
        <sz val="10"/>
        <color rgb="FF000000"/>
        <rFont val="Arial"/>
        <family val="0"/>
        <charset val="1"/>
      </rPr>
      <t xml:space="preserve">note</t>
    </r>
    <r>
      <rPr>
        <sz val="10"/>
        <color rgb="FF000000"/>
        <rFont val="Noto Sans CJK SC"/>
        <family val="2"/>
      </rPr>
      <t xml:space="preserve">），快取命中）</t>
    </r>
  </si>
  <si>
    <t xml:space="preserve">SRC_ZP_331</t>
  </si>
  <si>
    <t xml:space="preserve">px_rmb_glm53flash_out</t>
  </si>
  <si>
    <r>
      <rPr>
        <sz val="10"/>
        <color rgb="FF000000"/>
        <rFont val="Arial"/>
        <family val="0"/>
        <charset val="1"/>
      </rPr>
      <t xml:space="preserve">GLM-5.3-Flash </t>
    </r>
    <r>
      <rPr>
        <sz val="10"/>
        <color rgb="FF000000"/>
        <rFont val="Noto Sans CJK SC"/>
        <family val="2"/>
      </rPr>
      <t xml:space="preserve">開放平台牌價（</t>
    </r>
    <r>
      <rPr>
        <sz val="10"/>
        <color rgb="FF000000"/>
        <rFont val="Arial"/>
        <family val="0"/>
        <charset val="1"/>
      </rPr>
      <t xml:space="preserve">1M</t>
    </r>
    <r>
      <rPr>
        <sz val="10"/>
        <color rgb="FF000000"/>
        <rFont val="Noto Sans CJK SC"/>
        <family val="2"/>
      </rPr>
      <t xml:space="preserve">（原價；限時五折見 </t>
    </r>
    <r>
      <rPr>
        <sz val="10"/>
        <color rgb="FF000000"/>
        <rFont val="Arial"/>
        <family val="0"/>
        <charset val="1"/>
      </rPr>
      <t xml:space="preserve">note</t>
    </r>
    <r>
      <rPr>
        <sz val="10"/>
        <color rgb="FF000000"/>
        <rFont val="Noto Sans CJK SC"/>
        <family val="2"/>
      </rPr>
      <t xml:space="preserve">），輸出）</t>
    </r>
  </si>
  <si>
    <t xml:space="preserve">SRC_ZP_332</t>
  </si>
  <si>
    <t xml:space="preserve">px_rmb_batch_discount</t>
  </si>
  <si>
    <r>
      <rPr>
        <sz val="10"/>
        <color rgb="FF000000"/>
        <rFont val="Noto Sans CJK SC"/>
        <family val="2"/>
      </rPr>
      <t xml:space="preserve">開放平台 </t>
    </r>
    <r>
      <rPr>
        <sz val="10"/>
        <color rgb="FF000000"/>
        <rFont val="Arial"/>
        <family val="0"/>
        <charset val="1"/>
      </rPr>
      <t xml:space="preserve">Batch API </t>
    </r>
    <r>
      <rPr>
        <sz val="10"/>
        <color rgb="FF000000"/>
        <rFont val="Noto Sans CJK SC"/>
        <family val="2"/>
      </rPr>
      <t xml:space="preserve">折扣</t>
    </r>
  </si>
  <si>
    <t xml:space="preserve">倍（原價）</t>
  </si>
  <si>
    <t xml:space="preserve">2026-08</t>
  </si>
  <si>
    <r>
      <rPr>
        <sz val="10"/>
        <color rgb="FF000000"/>
        <rFont val="Noto Sans CJK SC"/>
        <family val="2"/>
      </rPr>
      <t xml:space="preserve">引官方說明 </t>
    </r>
    <r>
      <rPr>
        <sz val="10"/>
        <color rgb="FF000000"/>
        <rFont val="Arial"/>
        <family val="0"/>
        <charset val="1"/>
      </rPr>
      <t xml:space="preserve">Batch API</t>
    </r>
    <r>
      <rPr>
        <sz val="10"/>
        <color rgb="FF000000"/>
        <rFont val="Noto Sans CJK SC"/>
        <family val="2"/>
      </rPr>
      <t xml:space="preserve">「只需五折費用」</t>
    </r>
  </si>
  <si>
    <t xml:space="preserve">SRC_ZP_333</t>
  </si>
  <si>
    <t xml:space="preserve">px_rmb_glm47flash_free</t>
  </si>
  <si>
    <r>
      <rPr>
        <sz val="10"/>
        <color rgb="FF000000"/>
        <rFont val="Arial"/>
        <family val="0"/>
        <charset val="1"/>
      </rPr>
      <t xml:space="preserve">GLM-4.7-Flash </t>
    </r>
    <r>
      <rPr>
        <sz val="10"/>
        <color rgb="FF000000"/>
        <rFont val="Noto Sans CJK SC"/>
        <family val="2"/>
      </rPr>
      <t xml:space="preserve">開放平台價格</t>
    </r>
  </si>
  <si>
    <r>
      <rPr>
        <sz val="10"/>
        <color rgb="FF000000"/>
        <rFont val="Noto Sans CJK SC"/>
        <family val="2"/>
      </rPr>
      <t xml:space="preserve">價目表輸入／輸出／快取皆標「免費」，稱長期免費；</t>
    </r>
    <r>
      <rPr>
        <sz val="10"/>
        <color rgb="FF000000"/>
        <rFont val="Arial"/>
        <family val="0"/>
        <charset val="1"/>
      </rPr>
      <t xml:space="preserve">GLM-4.5-Flash </t>
    </r>
    <r>
      <rPr>
        <sz val="10"/>
        <color rgb="FF000000"/>
        <rFont val="Noto Sans CJK SC"/>
        <family val="2"/>
      </rPr>
      <t xml:space="preserve">已於 </t>
    </r>
    <r>
      <rPr>
        <sz val="10"/>
        <color rgb="FF000000"/>
        <rFont val="Arial"/>
        <family val="0"/>
        <charset val="1"/>
      </rPr>
      <t xml:space="preserve">2026-01-30 </t>
    </r>
    <r>
      <rPr>
        <sz val="10"/>
        <color rgb="FF000000"/>
        <rFont val="Noto Sans CJK SC"/>
        <family val="2"/>
      </rPr>
      <t xml:space="preserve">下線改路由至 </t>
    </r>
    <r>
      <rPr>
        <sz val="10"/>
        <color rgb="FF000000"/>
        <rFont val="Arial"/>
        <family val="0"/>
        <charset val="1"/>
      </rPr>
      <t xml:space="preserve">4.7-Flash</t>
    </r>
  </si>
  <si>
    <t xml:space="preserve">SRC_ZP_334</t>
  </si>
  <si>
    <t xml:space="preserve">px_rmb_glm52_huaweicloud_in</t>
  </si>
  <si>
    <r>
      <rPr>
        <sz val="10"/>
        <color rgb="FF000000"/>
        <rFont val="Arial"/>
        <family val="0"/>
        <charset val="1"/>
      </rPr>
      <t xml:space="preserve">GLM-5.2 </t>
    </r>
    <r>
      <rPr>
        <sz val="10"/>
        <color rgb="FF000000"/>
        <rFont val="Noto Sans CJK SC"/>
        <family val="2"/>
      </rPr>
      <t xml:space="preserve">華為雲 </t>
    </r>
    <r>
      <rPr>
        <sz val="10"/>
        <color rgb="FF000000"/>
        <rFont val="Arial"/>
        <family val="0"/>
        <charset val="1"/>
      </rPr>
      <t xml:space="preserve">MaaS </t>
    </r>
    <r>
      <rPr>
        <sz val="10"/>
        <color rgb="FF000000"/>
        <rFont val="Noto Sans CJK SC"/>
        <family val="2"/>
      </rPr>
      <t xml:space="preserve">價（輸入，區間）</t>
    </r>
  </si>
  <si>
    <r>
      <rPr>
        <sz val="10"/>
        <color rgb="FF000000"/>
        <rFont val="Noto Sans CJK SC"/>
        <family val="2"/>
      </rPr>
      <t xml:space="preserve">華為雲 </t>
    </r>
    <r>
      <rPr>
        <sz val="10"/>
        <color rgb="FF000000"/>
        <rFont val="Arial"/>
        <family val="0"/>
        <charset val="1"/>
      </rPr>
      <t xml:space="preserve">ModelArts Studio MaaS GLM </t>
    </r>
    <r>
      <rPr>
        <sz val="10"/>
        <color rgb="FF000000"/>
        <rFont val="Noto Sans CJK SC"/>
        <family val="2"/>
      </rPr>
      <t xml:space="preserve">頁</t>
    </r>
  </si>
  <si>
    <t xml:space="preserve">https://www.huaweicloud.com/product/modelarts/studio/maas-GLM.html</t>
  </si>
  <si>
    <t xml:space="preserve">華為雲：合作方宣傳、雲平台導流誘因</t>
  </si>
  <si>
    <t xml:space="preserve">未評</t>
  </si>
  <si>
    <r>
      <rPr>
        <sz val="10"/>
        <color rgb="FF000000"/>
        <rFont val="Noto Sans CJK SC"/>
        <family val="2"/>
      </rPr>
      <t xml:space="preserve">頁示「推理輸入 </t>
    </r>
    <r>
      <rPr>
        <sz val="10"/>
        <color rgb="FF000000"/>
        <rFont val="Arial"/>
        <family val="0"/>
        <charset val="1"/>
      </rPr>
      <t xml:space="preserve">¥5.60 - ¥8.00 / </t>
    </r>
    <r>
      <rPr>
        <sz val="10"/>
        <color rgb="FF000000"/>
        <rFont val="Noto Sans CJK SC"/>
        <family val="2"/>
      </rPr>
      <t xml:space="preserve">百萬</t>
    </r>
    <r>
      <rPr>
        <sz val="10"/>
        <color rgb="FF000000"/>
        <rFont val="Arial"/>
        <family val="0"/>
        <charset val="1"/>
      </rPr>
      <t xml:space="preserve">tokens</t>
    </r>
    <r>
      <rPr>
        <sz val="10"/>
        <color rgb="FF000000"/>
        <rFont val="Noto Sans CJK SC"/>
        <family val="2"/>
      </rPr>
      <t xml:space="preserve">」；與 </t>
    </r>
    <r>
      <rPr>
        <sz val="10"/>
        <color rgb="FF000000"/>
        <rFont val="Arial"/>
        <family val="0"/>
        <charset val="1"/>
      </rPr>
      <t xml:space="preserve">bigmodel 8 </t>
    </r>
    <r>
      <rPr>
        <sz val="10"/>
        <color rgb="FF000000"/>
        <rFont val="Noto Sans CJK SC"/>
        <family val="2"/>
      </rPr>
      <t xml:space="preserve">元上限一致，低端或為折扣價</t>
    </r>
  </si>
  <si>
    <t xml:space="preserve">SRC_ZP_335</t>
  </si>
  <si>
    <t xml:space="preserve">px_rmb_glm52_huaweicloud_out</t>
  </si>
  <si>
    <r>
      <rPr>
        <sz val="10"/>
        <color rgb="FF000000"/>
        <rFont val="Arial"/>
        <family val="0"/>
        <charset val="1"/>
      </rPr>
      <t xml:space="preserve">GLM-5.2 </t>
    </r>
    <r>
      <rPr>
        <sz val="10"/>
        <color rgb="FF000000"/>
        <rFont val="Noto Sans CJK SC"/>
        <family val="2"/>
      </rPr>
      <t xml:space="preserve">華為雲 </t>
    </r>
    <r>
      <rPr>
        <sz val="10"/>
        <color rgb="FF000000"/>
        <rFont val="Arial"/>
        <family val="0"/>
        <charset val="1"/>
      </rPr>
      <t xml:space="preserve">MaaS </t>
    </r>
    <r>
      <rPr>
        <sz val="10"/>
        <color rgb="FF000000"/>
        <rFont val="Noto Sans CJK SC"/>
        <family val="2"/>
      </rPr>
      <t xml:space="preserve">價（輸出，區間）</t>
    </r>
  </si>
  <si>
    <r>
      <rPr>
        <sz val="10"/>
        <color rgb="FF000000"/>
        <rFont val="Noto Sans CJK SC"/>
        <family val="2"/>
      </rPr>
      <t xml:space="preserve">頁示「推理輸出 </t>
    </r>
    <r>
      <rPr>
        <sz val="10"/>
        <color rgb="FF000000"/>
        <rFont val="Arial"/>
        <family val="0"/>
        <charset val="1"/>
      </rPr>
      <t xml:space="preserve">¥19.60 - ¥28.00 / </t>
    </r>
    <r>
      <rPr>
        <sz val="10"/>
        <color rgb="FF000000"/>
        <rFont val="Noto Sans CJK SC"/>
        <family val="2"/>
      </rPr>
      <t xml:space="preserve">百萬</t>
    </r>
    <r>
      <rPr>
        <sz val="10"/>
        <color rgb="FF000000"/>
        <rFont val="Arial"/>
        <family val="0"/>
        <charset val="1"/>
      </rPr>
      <t xml:space="preserve">tokens</t>
    </r>
    <r>
      <rPr>
        <sz val="10"/>
        <color rgb="FF000000"/>
        <rFont val="Noto Sans CJK SC"/>
        <family val="2"/>
      </rPr>
      <t xml:space="preserve">」</t>
    </r>
  </si>
  <si>
    <t xml:space="preserve">SRC_ZP_336</t>
  </si>
  <si>
    <t xml:space="preserve">px_rmb_glm45_launch_in</t>
  </si>
  <si>
    <r>
      <rPr>
        <sz val="10"/>
        <color rgb="FF000000"/>
        <rFont val="Arial"/>
        <family val="0"/>
        <charset val="1"/>
      </rPr>
      <t xml:space="preserve">GLM-4.5 </t>
    </r>
    <r>
      <rPr>
        <sz val="10"/>
        <color rgb="FF000000"/>
        <rFont val="Noto Sans CJK SC"/>
        <family val="2"/>
      </rPr>
      <t xml:space="preserve">上市時開放平台價（輸入，最低檔）</t>
    </r>
  </si>
  <si>
    <t xml:space="preserve">2025-07</t>
  </si>
  <si>
    <t xml:space="preserve">愛范兒〈智譜發布新開源模型〉</t>
  </si>
  <si>
    <t xml:space="preserve">https://www.ifanr.com/1632223</t>
  </si>
  <si>
    <t xml:space="preserve">2025-07-29</t>
  </si>
  <si>
    <r>
      <rPr>
        <sz val="10"/>
        <color rgb="FF000000"/>
        <rFont val="Noto Sans CJK SC"/>
        <family val="2"/>
      </rPr>
      <t xml:space="preserve">原文「輸入 </t>
    </r>
    <r>
      <rPr>
        <sz val="10"/>
        <color rgb="FF000000"/>
        <rFont val="Arial"/>
        <family val="0"/>
        <charset val="1"/>
      </rPr>
      <t xml:space="preserve">0.8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百萬</t>
    </r>
    <r>
      <rPr>
        <sz val="10"/>
        <color rgb="FF000000"/>
        <rFont val="Arial"/>
        <family val="0"/>
        <charset val="1"/>
      </rPr>
      <t xml:space="preserve">tokens</t>
    </r>
    <r>
      <rPr>
        <sz val="10"/>
        <color rgb="FF000000"/>
        <rFont val="Noto Sans CJK SC"/>
        <family val="2"/>
      </rPr>
      <t xml:space="preserve">」「輸出 </t>
    </r>
    <r>
      <rPr>
        <sz val="10"/>
        <color rgb="FF000000"/>
        <rFont val="Arial"/>
        <family val="0"/>
        <charset val="1"/>
      </rPr>
      <t xml:space="preserve">2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百萬</t>
    </r>
    <r>
      <rPr>
        <sz val="10"/>
        <color rgb="FF000000"/>
        <rFont val="Arial"/>
        <family val="0"/>
        <charset val="1"/>
      </rPr>
      <t xml:space="preserve">tokens</t>
    </r>
    <r>
      <rPr>
        <sz val="10"/>
        <color rgb="FF000000"/>
        <rFont val="Noto Sans CJK SC"/>
        <family val="2"/>
      </rPr>
      <t xml:space="preserve">」；為最低檔位價，未列長上下文檔</t>
    </r>
  </si>
  <si>
    <t xml:space="preserve">SRC_ZP_337</t>
  </si>
  <si>
    <t xml:space="preserve">px_rmb_glm45_launch_out</t>
  </si>
  <si>
    <r>
      <rPr>
        <sz val="10"/>
        <color rgb="FF000000"/>
        <rFont val="Arial"/>
        <family val="0"/>
        <charset val="1"/>
      </rPr>
      <t xml:space="preserve">GLM-4.5 </t>
    </r>
    <r>
      <rPr>
        <sz val="10"/>
        <color rgb="FF000000"/>
        <rFont val="Noto Sans CJK SC"/>
        <family val="2"/>
      </rPr>
      <t xml:space="preserve">上市時開放平台價（輸出，最低檔）</t>
    </r>
  </si>
  <si>
    <t xml:space="preserve">SRC_ZP_338</t>
  </si>
  <si>
    <t xml:space="preserve">px_rmb_glm4plus_cut_2025</t>
  </si>
  <si>
    <r>
      <rPr>
        <sz val="10"/>
        <color rgb="FF000000"/>
        <rFont val="Arial"/>
        <family val="0"/>
        <charset val="1"/>
      </rPr>
      <t xml:space="preserve">GLM-4-Plus </t>
    </r>
    <r>
      <rPr>
        <sz val="10"/>
        <color rgb="FF000000"/>
        <rFont val="Noto Sans CJK SC"/>
        <family val="2"/>
      </rPr>
      <t xml:space="preserve">降價後價格</t>
    </r>
  </si>
  <si>
    <t xml:space="preserve">2025-04-24</t>
  </si>
  <si>
    <r>
      <rPr>
        <sz val="10"/>
        <color rgb="FF000000"/>
        <rFont val="Noto Sans CJK SC"/>
        <family val="2"/>
      </rPr>
      <t xml:space="preserve">愛范兒〈</t>
    </r>
    <r>
      <rPr>
        <sz val="10"/>
        <color rgb="FF000000"/>
        <rFont val="Arial"/>
        <family val="0"/>
        <charset val="1"/>
      </rPr>
      <t xml:space="preserve">BigModel </t>
    </r>
    <r>
      <rPr>
        <sz val="10"/>
        <color rgb="FF000000"/>
        <rFont val="Noto Sans CJK SC"/>
        <family val="2"/>
      </rPr>
      <t xml:space="preserve">進入「億」時代〉</t>
    </r>
  </si>
  <si>
    <t xml:space="preserve">https://www.ifanr.com/1621829</t>
  </si>
  <si>
    <r>
      <rPr>
        <sz val="10"/>
        <color rgb="FF000000"/>
        <rFont val="Arial"/>
        <family val="0"/>
        <charset val="1"/>
      </rPr>
      <t xml:space="preserve">GLM-4-Plus </t>
    </r>
    <r>
      <rPr>
        <sz val="10"/>
        <color rgb="FF000000"/>
        <rFont val="Noto Sans CJK SC"/>
        <family val="2"/>
      </rPr>
      <t xml:space="preserve">降價 </t>
    </r>
    <r>
      <rPr>
        <sz val="10"/>
        <color rgb="FF000000"/>
        <rFont val="Arial"/>
        <family val="0"/>
        <charset val="1"/>
      </rPr>
      <t xml:space="preserve">90%</t>
    </r>
    <r>
      <rPr>
        <sz val="10"/>
        <color rgb="FF000000"/>
        <rFont val="Noto Sans CJK SC"/>
        <family val="2"/>
      </rPr>
      <t xml:space="preserve">，由 </t>
    </r>
    <r>
      <rPr>
        <sz val="10"/>
        <color rgb="FF000000"/>
        <rFont val="Arial"/>
        <family val="0"/>
        <charset val="1"/>
      </rPr>
      <t xml:space="preserve">50 </t>
    </r>
    <r>
      <rPr>
        <sz val="10"/>
        <color rgb="FF000000"/>
        <rFont val="Noto Sans CJK SC"/>
        <family val="2"/>
      </rPr>
      <t xml:space="preserve">元降至 </t>
    </r>
    <r>
      <rPr>
        <sz val="10"/>
        <color rgb="FF000000"/>
        <rFont val="Arial"/>
        <family val="0"/>
        <charset val="1"/>
      </rPr>
      <t xml:space="preserve">5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百萬 </t>
    </r>
    <r>
      <rPr>
        <sz val="10"/>
        <color rgb="FF000000"/>
        <rFont val="Arial"/>
        <family val="0"/>
        <charset val="1"/>
      </rPr>
      <t xml:space="preserve">Tokens</t>
    </r>
    <r>
      <rPr>
        <sz val="10"/>
        <color rgb="FF000000"/>
        <rFont val="Noto Sans CJK SC"/>
        <family val="2"/>
      </rPr>
      <t xml:space="preserve">（輸入輸出同價）；價格戰期間事件</t>
    </r>
  </si>
  <si>
    <t xml:space="preserve">SRC_ZP_339</t>
  </si>
  <si>
    <t xml:space="preserve">px_usd_glm46_launch_in</t>
  </si>
  <si>
    <r>
      <rPr>
        <sz val="10"/>
        <color rgb="FF000000"/>
        <rFont val="Arial"/>
        <family val="0"/>
        <charset val="1"/>
      </rPr>
      <t xml:space="preserve">GLM-4.6 </t>
    </r>
    <r>
      <rPr>
        <sz val="10"/>
        <color rgb="FF000000"/>
        <rFont val="Noto Sans CJK SC"/>
        <family val="2"/>
      </rPr>
      <t xml:space="preserve">上市時國際站價（輸入）</t>
    </r>
  </si>
  <si>
    <t xml:space="preserve">2025-09-30</t>
  </si>
  <si>
    <r>
      <rPr>
        <sz val="10"/>
        <color rgb="FF000000"/>
        <rFont val="Arial"/>
        <family val="0"/>
        <charset val="1"/>
      </rPr>
      <t xml:space="preserve">TypingMind Zhipu GLM-4.6 </t>
    </r>
    <r>
      <rPr>
        <sz val="10"/>
        <color rgb="FF000000"/>
        <rFont val="Noto Sans CJK SC"/>
        <family val="2"/>
      </rPr>
      <t xml:space="preserve">價格頁</t>
    </r>
  </si>
  <si>
    <t xml:space="preserve">https://custom.typingmind.com/tools/estimate-llm-usage-costs/zhipuai/glm-4-6</t>
  </si>
  <si>
    <t xml:space="preserve">Analogy</t>
  </si>
  <si>
    <t xml:space="preserve">第三方</t>
  </si>
  <si>
    <t xml:space="preserve">第三方量測或類比資料，非智譜利害方；只作區間參考</t>
  </si>
  <si>
    <r>
      <rPr>
        <sz val="10"/>
        <color rgb="FF000000"/>
        <rFont val="Noto Sans CJK SC"/>
        <family val="2"/>
      </rPr>
      <t xml:space="preserve">頁示 </t>
    </r>
    <r>
      <rPr>
        <sz val="10"/>
        <color rgb="FF000000"/>
        <rFont val="Arial"/>
        <family val="0"/>
        <charset val="1"/>
      </rPr>
      <t xml:space="preserve">Input $0.6000</t>
    </r>
    <r>
      <rPr>
        <sz val="10"/>
        <color rgb="FF000000"/>
        <rFont val="Noto Sans CJK SC"/>
        <family val="2"/>
      </rPr>
      <t xml:space="preserve">、</t>
    </r>
    <r>
      <rPr>
        <sz val="10"/>
        <color rgb="FF000000"/>
        <rFont val="Arial"/>
        <family val="0"/>
        <charset val="1"/>
      </rPr>
      <t xml:space="preserve">Cache read $0.11</t>
    </r>
    <r>
      <rPr>
        <sz val="10"/>
        <color rgb="FF000000"/>
        <rFont val="Noto Sans CJK SC"/>
        <family val="2"/>
      </rPr>
      <t xml:space="preserve">、</t>
    </r>
    <r>
      <rPr>
        <sz val="10"/>
        <color rgb="FF000000"/>
        <rFont val="Arial"/>
        <family val="0"/>
        <charset val="1"/>
      </rPr>
      <t xml:space="preserve">Output $2.20</t>
    </r>
    <r>
      <rPr>
        <sz val="10"/>
        <color rgb="FF000000"/>
        <rFont val="Noto Sans CJK SC"/>
        <family val="2"/>
      </rPr>
      <t xml:space="preserve">，更新日 </t>
    </r>
    <r>
      <rPr>
        <sz val="10"/>
        <color rgb="FF000000"/>
        <rFont val="Arial"/>
        <family val="0"/>
        <charset val="1"/>
      </rPr>
      <t xml:space="preserve">2025-09-30</t>
    </r>
    <r>
      <rPr>
        <sz val="10"/>
        <color rgb="FF000000"/>
        <rFont val="Noto Sans CJK SC"/>
        <family val="2"/>
      </rPr>
      <t xml:space="preserve">；第三方彙整，與現行官方表一致（即上市後未改價）</t>
    </r>
  </si>
  <si>
    <t xml:space="preserve">SRC_ZP_340</t>
  </si>
  <si>
    <t xml:space="preserve">px_usd_glm5_launch_in</t>
  </si>
  <si>
    <r>
      <rPr>
        <sz val="10"/>
        <color rgb="FF000000"/>
        <rFont val="Arial"/>
        <family val="0"/>
        <charset val="1"/>
      </rPr>
      <t xml:space="preserve">GLM-5 </t>
    </r>
    <r>
      <rPr>
        <sz val="10"/>
        <color rgb="FF000000"/>
        <rFont val="Noto Sans CJK SC"/>
        <family val="2"/>
      </rPr>
      <t xml:space="preserve">上市時國際站價（輸入）</t>
    </r>
  </si>
  <si>
    <t xml:space="preserve">2026-02-11</t>
  </si>
  <si>
    <r>
      <rPr>
        <sz val="10"/>
        <color rgb="FF000000"/>
        <rFont val="Arial"/>
        <family val="0"/>
        <charset val="1"/>
      </rPr>
      <t xml:space="preserve">TypingMind Zhipu GLM-5 </t>
    </r>
    <r>
      <rPr>
        <sz val="10"/>
        <color rgb="FF000000"/>
        <rFont val="Noto Sans CJK SC"/>
        <family val="2"/>
      </rPr>
      <t xml:space="preserve">價格頁</t>
    </r>
  </si>
  <si>
    <t xml:space="preserve">https://custom.typingmind.com/tools/estimate-llm-usage-costs/zhipuai/glm-5</t>
  </si>
  <si>
    <r>
      <rPr>
        <sz val="10"/>
        <color rgb="FF000000"/>
        <rFont val="Noto Sans CJK SC"/>
        <family val="2"/>
      </rPr>
      <t xml:space="preserve">「</t>
    </r>
    <r>
      <rPr>
        <sz val="10"/>
        <color rgb="FF000000"/>
        <rFont val="Arial"/>
        <family val="0"/>
        <charset val="1"/>
      </rPr>
      <t xml:space="preserve">priced at $1.00/1M input tokens and $3.20/1M output tokens</t>
    </r>
    <r>
      <rPr>
        <sz val="10"/>
        <color rgb="FF000000"/>
        <rFont val="Noto Sans CJK SC"/>
        <family val="2"/>
      </rPr>
      <t xml:space="preserve">」；更新日 </t>
    </r>
    <r>
      <rPr>
        <sz val="10"/>
        <color rgb="FF000000"/>
        <rFont val="Arial"/>
        <family val="0"/>
        <charset val="1"/>
      </rPr>
      <t xml:space="preserve">2026-02-11</t>
    </r>
    <r>
      <rPr>
        <sz val="10"/>
        <color rgb="FF000000"/>
        <rFont val="Noto Sans CJK SC"/>
        <family val="2"/>
      </rPr>
      <t xml:space="preserve">；與現行官方表一致</t>
    </r>
  </si>
  <si>
    <t xml:space="preserve">SRC_ZP_341</t>
  </si>
  <si>
    <t xml:space="preserve">px_usd_glm53flash_launch</t>
  </si>
  <si>
    <r>
      <rPr>
        <sz val="10"/>
        <color rgb="FF000000"/>
        <rFont val="Arial"/>
        <family val="0"/>
        <charset val="1"/>
      </rPr>
      <t xml:space="preserve">GLM-5.3-Flash </t>
    </r>
    <r>
      <rPr>
        <sz val="10"/>
        <color rgb="FF000000"/>
        <rFont val="Noto Sans CJK SC"/>
        <family val="2"/>
      </rPr>
      <t xml:space="preserve">上市國際站價（輸入）</t>
    </r>
  </si>
  <si>
    <t xml:space="preserve">2026-08-26</t>
  </si>
  <si>
    <r>
      <rPr>
        <sz val="10"/>
        <color rgb="FF000000"/>
        <rFont val="Arial"/>
        <family val="0"/>
        <charset val="1"/>
      </rPr>
      <t xml:space="preserve">80AJ</t>
    </r>
    <r>
      <rPr>
        <sz val="10"/>
        <color rgb="FF000000"/>
        <rFont val="Noto Sans CJK SC"/>
        <family val="2"/>
      </rPr>
      <t xml:space="preserve">〈</t>
    </r>
    <r>
      <rPr>
        <sz val="10"/>
        <color rgb="FF000000"/>
        <rFont val="Arial"/>
        <family val="0"/>
        <charset val="1"/>
      </rPr>
      <t xml:space="preserve">GLM-5.3-Flash </t>
    </r>
    <r>
      <rPr>
        <sz val="10"/>
        <color rgb="FF000000"/>
        <rFont val="Noto Sans CJK SC"/>
        <family val="2"/>
      </rPr>
      <t xml:space="preserve">價格〉（引官方博客）</t>
    </r>
  </si>
  <si>
    <t xml:space="preserve">https://www.80aj.com/2026/08/26/glm-5-3-flash-price-drop/</t>
  </si>
  <si>
    <r>
      <rPr>
        <sz val="10"/>
        <color rgb="FF000000"/>
        <rFont val="Noto Sans CJK SC"/>
        <family val="2"/>
      </rPr>
      <t xml:space="preserve">原文「每百萬 </t>
    </r>
    <r>
      <rPr>
        <sz val="10"/>
        <color rgb="FF000000"/>
        <rFont val="Arial"/>
        <family val="0"/>
        <charset val="1"/>
      </rPr>
      <t xml:space="preserve">tokens </t>
    </r>
    <r>
      <rPr>
        <sz val="10"/>
        <color rgb="FF000000"/>
        <rFont val="Noto Sans CJK SC"/>
        <family val="2"/>
      </rPr>
      <t xml:space="preserve">輸入 </t>
    </r>
    <r>
      <rPr>
        <sz val="10"/>
        <color rgb="FF000000"/>
        <rFont val="Arial"/>
        <family val="0"/>
        <charset val="1"/>
      </rPr>
      <t xml:space="preserve">0.15 </t>
    </r>
    <r>
      <rPr>
        <sz val="10"/>
        <color rgb="FF000000"/>
        <rFont val="Noto Sans CJK SC"/>
        <family val="2"/>
      </rPr>
      <t xml:space="preserve">美元」「輸出 </t>
    </r>
    <r>
      <rPr>
        <sz val="10"/>
        <color rgb="FF000000"/>
        <rFont val="Arial"/>
        <family val="0"/>
        <charset val="1"/>
      </rPr>
      <t xml:space="preserve">0.50 </t>
    </r>
    <r>
      <rPr>
        <sz val="10"/>
        <color rgb="FF000000"/>
        <rFont val="Noto Sans CJK SC"/>
        <family val="2"/>
      </rPr>
      <t xml:space="preserve">美元」快取「</t>
    </r>
    <r>
      <rPr>
        <sz val="10"/>
        <color rgb="FF000000"/>
        <rFont val="Arial"/>
        <family val="0"/>
        <charset val="1"/>
      </rPr>
      <t xml:space="preserve">0.03 </t>
    </r>
    <r>
      <rPr>
        <sz val="10"/>
        <color rgb="FF000000"/>
        <rFont val="Noto Sans CJK SC"/>
        <family val="2"/>
      </rPr>
      <t xml:space="preserve">美元」；與官方表一致</t>
    </r>
  </si>
  <si>
    <t xml:space="preserve">SRC_ZP_342</t>
  </si>
  <si>
    <t xml:space="preserve">pxev_api_overseas_feb2026</t>
  </si>
  <si>
    <r>
      <rPr>
        <sz val="10"/>
        <color rgb="FF000000"/>
        <rFont val="Noto Sans CJK SC"/>
        <family val="2"/>
      </rPr>
      <t xml:space="preserve">海外 </t>
    </r>
    <r>
      <rPr>
        <sz val="10"/>
        <color rgb="FF000000"/>
        <rFont val="Arial"/>
        <family val="0"/>
        <charset val="1"/>
      </rPr>
      <t xml:space="preserve">API </t>
    </r>
    <r>
      <rPr>
        <sz val="10"/>
        <color rgb="FF000000"/>
        <rFont val="Noto Sans CJK SC"/>
        <family val="2"/>
      </rPr>
      <t xml:space="preserve">呼叫價格上調幅度（</t>
    </r>
    <r>
      <rPr>
        <sz val="10"/>
        <color rgb="FF000000"/>
        <rFont val="Arial"/>
        <family val="0"/>
        <charset val="1"/>
      </rPr>
      <t xml:space="preserve">2026-02-12</t>
    </r>
    <r>
      <rPr>
        <sz val="10"/>
        <color rgb="FF000000"/>
        <rFont val="Noto Sans CJK SC"/>
        <family val="2"/>
      </rPr>
      <t xml:space="preserve">）</t>
    </r>
  </si>
  <si>
    <t xml:space="preserve">2026-02-12</t>
  </si>
  <si>
    <r>
      <rPr>
        <sz val="10"/>
        <color rgb="FF000000"/>
        <rFont val="Arial"/>
        <family val="0"/>
        <charset val="1"/>
      </rPr>
      <t xml:space="preserve">AIbase</t>
    </r>
    <r>
      <rPr>
        <sz val="10"/>
        <color rgb="FF000000"/>
        <rFont val="Noto Sans CJK SC"/>
        <family val="2"/>
      </rPr>
      <t xml:space="preserve">〈智譜連發兩項重磅動作〉</t>
    </r>
  </si>
  <si>
    <t xml:space="preserve">https://www.aibase.com/zh/news/25514</t>
  </si>
  <si>
    <t xml:space="preserve">2026-02-13</t>
  </si>
  <si>
    <r>
      <rPr>
        <sz val="10"/>
        <color rgb="FF000000"/>
        <rFont val="Noto Sans CJK SC"/>
        <family val="2"/>
      </rPr>
      <t xml:space="preserve">媒體（</t>
    </r>
    <r>
      <rPr>
        <sz val="10"/>
        <color rgb="FF000000"/>
        <rFont val="Arial"/>
        <family val="0"/>
        <charset val="1"/>
      </rPr>
      <t xml:space="preserve">AIbase</t>
    </r>
    <r>
      <rPr>
        <sz val="10"/>
        <color rgb="FF000000"/>
        <rFont val="Noto Sans CJK SC"/>
        <family val="2"/>
      </rPr>
      <t xml:space="preserve">）轉述智譜調價函；智譜誘因同上</t>
    </r>
  </si>
  <si>
    <r>
      <rPr>
        <sz val="10"/>
        <color rgb="FF000000"/>
        <rFont val="Noto Sans CJK SC"/>
        <family val="2"/>
      </rPr>
      <t xml:space="preserve">原文「</t>
    </r>
    <r>
      <rPr>
        <sz val="10"/>
        <color rgb="FF000000"/>
        <rFont val="Arial"/>
        <family val="0"/>
        <charset val="1"/>
      </rPr>
      <t xml:space="preserve">API </t>
    </r>
    <r>
      <rPr>
        <sz val="10"/>
        <color rgb="FF000000"/>
        <rFont val="Noto Sans CJK SC"/>
        <family val="2"/>
      </rPr>
      <t xml:space="preserve">調用價格更是直接提升了 </t>
    </r>
    <r>
      <rPr>
        <sz val="10"/>
        <color rgb="FF000000"/>
        <rFont val="Arial"/>
        <family val="0"/>
        <charset val="1"/>
      </rPr>
      <t xml:space="preserve">67%-100%</t>
    </r>
    <r>
      <rPr>
        <sz val="10"/>
        <color rgb="FF000000"/>
        <rFont val="Noto Sans CJK SC"/>
        <family val="2"/>
      </rPr>
      <t xml:space="preserve">」；媒體轉述，未見官方百分比；</t>
    </r>
    <r>
      <rPr>
        <sz val="10"/>
        <color rgb="FF000000"/>
        <rFont val="Arial"/>
        <family val="0"/>
        <charset val="1"/>
      </rPr>
      <t xml:space="preserve">GLM-4.7 $0.6/$2.2→GLM-5 $1.0/$3.2 </t>
    </r>
    <r>
      <rPr>
        <sz val="10"/>
        <color rgb="FF000000"/>
        <rFont val="Noto Sans CJK SC"/>
        <family val="2"/>
      </rPr>
      <t xml:space="preserve">合 </t>
    </r>
    <r>
      <rPr>
        <sz val="10"/>
        <color rgb="FF000000"/>
        <rFont val="Arial"/>
        <family val="0"/>
        <charset val="1"/>
      </rPr>
      <t xml:space="preserve">+67%/+45%</t>
    </r>
  </si>
  <si>
    <t xml:space="preserve">SRC_ZP_343</t>
  </si>
  <si>
    <t xml:space="preserve">pxev_api_glm51_apr2026</t>
  </si>
  <si>
    <r>
      <rPr>
        <sz val="10"/>
        <color rgb="FF000000"/>
        <rFont val="Arial"/>
        <family val="0"/>
        <charset val="1"/>
      </rPr>
      <t xml:space="preserve">GLM-5.1 </t>
    </r>
    <r>
      <rPr>
        <sz val="10"/>
        <color rgb="FF000000"/>
        <rFont val="Noto Sans CJK SC"/>
        <family val="2"/>
      </rPr>
      <t xml:space="preserve">上線時 </t>
    </r>
    <r>
      <rPr>
        <sz val="10"/>
        <color rgb="FF000000"/>
        <rFont val="Arial"/>
        <family val="0"/>
        <charset val="1"/>
      </rPr>
      <t xml:space="preserve">API </t>
    </r>
    <r>
      <rPr>
        <sz val="10"/>
        <color rgb="FF000000"/>
        <rFont val="Noto Sans CJK SC"/>
        <family val="2"/>
      </rPr>
      <t xml:space="preserve">再漲幅（</t>
    </r>
    <r>
      <rPr>
        <sz val="10"/>
        <color rgb="FF000000"/>
        <rFont val="Arial"/>
        <family val="0"/>
        <charset val="1"/>
      </rPr>
      <t xml:space="preserve">2026-04</t>
    </r>
    <r>
      <rPr>
        <sz val="10"/>
        <color rgb="FF000000"/>
        <rFont val="Noto Sans CJK SC"/>
        <family val="2"/>
      </rPr>
      <t xml:space="preserve">）</t>
    </r>
  </si>
  <si>
    <t xml:space="preserve">2026-04-07</t>
  </si>
  <si>
    <r>
      <rPr>
        <sz val="10"/>
        <color rgb="FF000000"/>
        <rFont val="Noto Sans CJK SC"/>
        <family val="2"/>
      </rPr>
      <t xml:space="preserve">騰訊新聞（</t>
    </r>
    <r>
      <rPr>
        <sz val="10"/>
        <color rgb="FF000000"/>
        <rFont val="Arial"/>
        <family val="0"/>
        <charset val="1"/>
      </rPr>
      <t xml:space="preserve">2026-04-08</t>
    </r>
    <r>
      <rPr>
        <sz val="10"/>
        <color rgb="FF000000"/>
        <rFont val="Noto Sans CJK SC"/>
        <family val="2"/>
      </rPr>
      <t xml:space="preserve">）</t>
    </r>
  </si>
  <si>
    <t xml:space="preserve">https://news.qq.com/rain/a/20260408A05BMM00</t>
  </si>
  <si>
    <t xml:space="preserve">2026-04-08</t>
  </si>
  <si>
    <t xml:space="preserve">媒體轉述；智譜：上市後股價誘因</t>
  </si>
  <si>
    <r>
      <rPr>
        <sz val="10"/>
        <color rgb="FF000000"/>
        <rFont val="Noto Sans CJK SC"/>
        <family val="2"/>
      </rPr>
      <t xml:space="preserve">原文「智譜</t>
    </r>
    <r>
      <rPr>
        <sz val="10"/>
        <color rgb="FF000000"/>
        <rFont val="Arial"/>
        <family val="0"/>
        <charset val="1"/>
      </rPr>
      <t xml:space="preserve">GLM</t>
    </r>
    <r>
      <rPr>
        <sz val="10"/>
        <color rgb="FF000000"/>
        <rFont val="Noto Sans CJK SC"/>
        <family val="2"/>
      </rPr>
      <t xml:space="preserve">再提價</t>
    </r>
    <r>
      <rPr>
        <sz val="10"/>
        <color rgb="FF000000"/>
        <rFont val="Arial"/>
        <family val="0"/>
        <charset val="1"/>
      </rPr>
      <t xml:space="preserve">10%</t>
    </r>
    <r>
      <rPr>
        <sz val="10"/>
        <color rgb="FF000000"/>
        <rFont val="Noto Sans CJK SC"/>
        <family val="2"/>
      </rPr>
      <t xml:space="preserve">」；另稱雲端調用價「較舊版</t>
    </r>
    <r>
      <rPr>
        <sz val="10"/>
        <color rgb="FF000000"/>
        <rFont val="Arial"/>
        <family val="0"/>
        <charset val="1"/>
      </rPr>
      <t xml:space="preserve">GLM-5 Turbo</t>
    </r>
    <r>
      <rPr>
        <sz val="10"/>
        <color rgb="FF000000"/>
        <rFont val="Noto Sans CJK SC"/>
        <family val="2"/>
      </rPr>
      <t xml:space="preserve">上調</t>
    </r>
    <r>
      <rPr>
        <sz val="10"/>
        <color rgb="FF000000"/>
        <rFont val="Arial"/>
        <family val="0"/>
        <charset val="1"/>
      </rPr>
      <t xml:space="preserve">8%</t>
    </r>
    <r>
      <rPr>
        <sz val="10"/>
        <color rgb="FF000000"/>
        <rFont val="Noto Sans CJK SC"/>
        <family val="2"/>
      </rPr>
      <t xml:space="preserve">至</t>
    </r>
    <r>
      <rPr>
        <sz val="10"/>
        <color rgb="FF000000"/>
        <rFont val="Arial"/>
        <family val="0"/>
        <charset val="1"/>
      </rPr>
      <t xml:space="preserve">17%</t>
    </r>
    <r>
      <rPr>
        <sz val="10"/>
        <color rgb="FF000000"/>
        <rFont val="Noto Sans CJK SC"/>
        <family val="2"/>
      </rPr>
      <t xml:space="preserve">不等」；</t>
    </r>
    <r>
      <rPr>
        <sz val="10"/>
        <color rgb="FF000000"/>
        <rFont val="Arial"/>
        <family val="0"/>
        <charset val="1"/>
      </rPr>
      <t xml:space="preserve">Wikipedia </t>
    </r>
    <r>
      <rPr>
        <sz val="10"/>
        <color rgb="FF000000"/>
        <rFont val="Noto Sans CJK SC"/>
        <family val="2"/>
      </rPr>
      <t xml:space="preserve">引 </t>
    </r>
    <r>
      <rPr>
        <sz val="10"/>
        <color rgb="FF000000"/>
        <rFont val="Arial"/>
        <family val="0"/>
        <charset val="1"/>
      </rPr>
      <t xml:space="preserve">SCMP </t>
    </r>
    <r>
      <rPr>
        <sz val="10"/>
        <color rgb="FF000000"/>
        <rFont val="Noto Sans CJK SC"/>
        <family val="2"/>
      </rPr>
      <t xml:space="preserve">同稱 </t>
    </r>
    <r>
      <rPr>
        <sz val="10"/>
        <color rgb="FF000000"/>
        <rFont val="Arial"/>
        <family val="0"/>
        <charset val="1"/>
      </rPr>
      <t xml:space="preserve">API </t>
    </r>
    <r>
      <rPr>
        <sz val="10"/>
        <color rgb="FF000000"/>
        <rFont val="Noto Sans CJK SC"/>
        <family val="2"/>
      </rPr>
      <t xml:space="preserve">漲 </t>
    </r>
    <r>
      <rPr>
        <sz val="10"/>
        <color rgb="FF000000"/>
        <rFont val="Arial"/>
        <family val="0"/>
        <charset val="1"/>
      </rPr>
      <t xml:space="preserve">10%</t>
    </r>
  </si>
  <si>
    <t xml:space="preserve">SRC_ZP_344</t>
  </si>
  <si>
    <t xml:space="preserve">pxev_api_glm51_vs_turbo</t>
  </si>
  <si>
    <r>
      <rPr>
        <sz val="10"/>
        <color rgb="FF000000"/>
        <rFont val="Arial"/>
        <family val="0"/>
        <charset val="1"/>
      </rPr>
      <t xml:space="preserve">GLM-5.1 </t>
    </r>
    <r>
      <rPr>
        <sz val="10"/>
        <color rgb="FF000000"/>
        <rFont val="Noto Sans CJK SC"/>
        <family val="2"/>
      </rPr>
      <t xml:space="preserve">雲端調用價較 </t>
    </r>
    <r>
      <rPr>
        <sz val="10"/>
        <color rgb="FF000000"/>
        <rFont val="Arial"/>
        <family val="0"/>
        <charset val="1"/>
      </rPr>
      <t xml:space="preserve">GLM-5-Turbo </t>
    </r>
    <r>
      <rPr>
        <sz val="10"/>
        <color rgb="FF000000"/>
        <rFont val="Noto Sans CJK SC"/>
        <family val="2"/>
      </rPr>
      <t xml:space="preserve">漲幅</t>
    </r>
  </si>
  <si>
    <t xml:space="preserve">2026-04</t>
  </si>
  <si>
    <r>
      <rPr>
        <sz val="10"/>
        <color rgb="FF000000"/>
        <rFont val="Noto Sans CJK SC"/>
        <family val="2"/>
      </rPr>
      <t xml:space="preserve">原文「較舊版</t>
    </r>
    <r>
      <rPr>
        <sz val="10"/>
        <color rgb="FF000000"/>
        <rFont val="Arial"/>
        <family val="0"/>
        <charset val="1"/>
      </rPr>
      <t xml:space="preserve">GLM-5 Turbo</t>
    </r>
    <r>
      <rPr>
        <sz val="10"/>
        <color rgb="FF000000"/>
        <rFont val="Noto Sans CJK SC"/>
        <family val="2"/>
      </rPr>
      <t xml:space="preserve">上調</t>
    </r>
    <r>
      <rPr>
        <sz val="10"/>
        <color rgb="FF000000"/>
        <rFont val="Arial"/>
        <family val="0"/>
        <charset val="1"/>
      </rPr>
      <t xml:space="preserve">8%</t>
    </r>
    <r>
      <rPr>
        <sz val="10"/>
        <color rgb="FF000000"/>
        <rFont val="Noto Sans CJK SC"/>
        <family val="2"/>
      </rPr>
      <t xml:space="preserve">至</t>
    </r>
    <r>
      <rPr>
        <sz val="10"/>
        <color rgb="FF000000"/>
        <rFont val="Arial"/>
        <family val="0"/>
        <charset val="1"/>
      </rPr>
      <t xml:space="preserve">17%</t>
    </r>
    <r>
      <rPr>
        <sz val="10"/>
        <color rgb="FF000000"/>
        <rFont val="Noto Sans CJK SC"/>
        <family val="2"/>
      </rPr>
      <t xml:space="preserve">不等」；</t>
    </r>
    <r>
      <rPr>
        <sz val="10"/>
        <color rgb="FF000000"/>
        <rFont val="Arial"/>
        <family val="0"/>
        <charset val="1"/>
      </rPr>
      <t xml:space="preserve">bigmodel </t>
    </r>
    <r>
      <rPr>
        <sz val="10"/>
        <color rgb="FF000000"/>
        <rFont val="Noto Sans CJK SC"/>
        <family val="2"/>
      </rPr>
      <t xml:space="preserve">牌價 </t>
    </r>
    <r>
      <rPr>
        <sz val="10"/>
        <color rgb="FF000000"/>
        <rFont val="Arial"/>
        <family val="0"/>
        <charset val="1"/>
      </rPr>
      <t xml:space="preserve">5→6</t>
    </r>
    <r>
      <rPr>
        <sz val="10"/>
        <color rgb="FF000000"/>
        <rFont val="Noto Sans CJK SC"/>
        <family val="2"/>
      </rPr>
      <t xml:space="preserve">、</t>
    </r>
    <r>
      <rPr>
        <sz val="10"/>
        <color rgb="FF000000"/>
        <rFont val="Arial"/>
        <family val="0"/>
        <charset val="1"/>
      </rPr>
      <t xml:space="preserve">22→24</t>
    </r>
    <r>
      <rPr>
        <sz val="10"/>
        <color rgb="FF000000"/>
        <rFont val="Noto Sans CJK SC"/>
        <family val="2"/>
      </rPr>
      <t xml:space="preserve">、</t>
    </r>
    <r>
      <rPr>
        <sz val="10"/>
        <color rgb="FF000000"/>
        <rFont val="Arial"/>
        <family val="0"/>
        <charset val="1"/>
      </rPr>
      <t xml:space="preserve">7→8</t>
    </r>
    <r>
      <rPr>
        <sz val="10"/>
        <color rgb="FF000000"/>
        <rFont val="Noto Sans CJK SC"/>
        <family val="2"/>
      </rPr>
      <t xml:space="preserve">、</t>
    </r>
    <r>
      <rPr>
        <sz val="10"/>
        <color rgb="FF000000"/>
        <rFont val="Arial"/>
        <family val="0"/>
        <charset val="1"/>
      </rPr>
      <t xml:space="preserve">26→28 </t>
    </r>
    <r>
      <rPr>
        <sz val="10"/>
        <color rgb="FF000000"/>
        <rFont val="Noto Sans CJK SC"/>
        <family val="2"/>
      </rPr>
      <t xml:space="preserve">合 </t>
    </r>
    <r>
      <rPr>
        <sz val="10"/>
        <color rgb="FF000000"/>
        <rFont val="Arial"/>
        <family val="0"/>
        <charset val="1"/>
      </rPr>
      <t xml:space="preserve">+8%</t>
    </r>
    <r>
      <rPr>
        <sz val="10"/>
        <color rgb="FF000000"/>
        <rFont val="Noto Sans CJK SC"/>
        <family val="2"/>
      </rPr>
      <t xml:space="preserve">～</t>
    </r>
    <r>
      <rPr>
        <sz val="10"/>
        <color rgb="FF000000"/>
        <rFont val="Arial"/>
        <family val="0"/>
        <charset val="1"/>
      </rPr>
      <t xml:space="preserve">+20%</t>
    </r>
  </si>
  <si>
    <t xml:space="preserve">SRC_ZP_345</t>
  </si>
  <si>
    <t xml:space="preserve">pxev_api_cum_feb_apr2026</t>
  </si>
  <si>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04 API </t>
    </r>
    <r>
      <rPr>
        <sz val="10"/>
        <color rgb="FF000000"/>
        <rFont val="Noto Sans CJK SC"/>
        <family val="2"/>
      </rPr>
      <t xml:space="preserve">連續三次漲價累計幅度</t>
    </r>
  </si>
  <si>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2026-04</t>
    </r>
  </si>
  <si>
    <r>
      <rPr>
        <sz val="10"/>
        <color rgb="FF000000"/>
        <rFont val="Noto Sans CJK SC"/>
        <family val="2"/>
      </rPr>
      <t xml:space="preserve">虎嗅（</t>
    </r>
    <r>
      <rPr>
        <sz val="10"/>
        <color rgb="FF000000"/>
        <rFont val="Arial"/>
        <family val="0"/>
        <charset val="1"/>
      </rPr>
      <t xml:space="preserve">2026-09-14</t>
    </r>
    <r>
      <rPr>
        <sz val="10"/>
        <color rgb="FF000000"/>
        <rFont val="Noto Sans CJK SC"/>
        <family val="2"/>
      </rPr>
      <t xml:space="preserve">）</t>
    </r>
  </si>
  <si>
    <t xml:space="preserve">https://m.huxiu.com/article/4890871.html</t>
  </si>
  <si>
    <t xml:space="preserve">2026-09-14</t>
  </si>
  <si>
    <t xml:space="preserve">媒體轉述公司數字；智譜誘因同上</t>
  </si>
  <si>
    <r>
      <rPr>
        <sz val="10"/>
        <color rgb="FF000000"/>
        <rFont val="Noto Sans CJK SC"/>
        <family val="2"/>
      </rPr>
      <t xml:space="preserve">原文「</t>
    </r>
    <r>
      <rPr>
        <sz val="10"/>
        <color rgb="FF000000"/>
        <rFont val="Arial"/>
        <family val="0"/>
        <charset val="1"/>
      </rPr>
      <t xml:space="preserve">2026</t>
    </r>
    <r>
      <rPr>
        <sz val="10"/>
        <color rgb="FF000000"/>
        <rFont val="Noto Sans CJK SC"/>
        <family val="2"/>
      </rPr>
      <t xml:space="preserve">年</t>
    </r>
    <r>
      <rPr>
        <sz val="10"/>
        <color rgb="FF000000"/>
        <rFont val="Arial"/>
        <family val="0"/>
        <charset val="1"/>
      </rPr>
      <t xml:space="preserve">2</t>
    </r>
    <r>
      <rPr>
        <sz val="10"/>
        <color rgb="FF000000"/>
        <rFont val="Noto Sans CJK SC"/>
        <family val="2"/>
      </rPr>
      <t xml:space="preserve">月到</t>
    </r>
    <r>
      <rPr>
        <sz val="10"/>
        <color rgb="FF000000"/>
        <rFont val="Arial"/>
        <family val="0"/>
        <charset val="1"/>
      </rPr>
      <t xml:space="preserve">4</t>
    </r>
    <r>
      <rPr>
        <sz val="10"/>
        <color rgb="FF000000"/>
        <rFont val="Noto Sans CJK SC"/>
        <family val="2"/>
      </rPr>
      <t xml:space="preserve">月，智譜連續三次上調</t>
    </r>
    <r>
      <rPr>
        <sz val="10"/>
        <color rgb="FF000000"/>
        <rFont val="Arial"/>
        <family val="0"/>
        <charset val="1"/>
      </rPr>
      <t xml:space="preserve">API</t>
    </r>
    <r>
      <rPr>
        <sz val="10"/>
        <color rgb="FF000000"/>
        <rFont val="Noto Sans CJK SC"/>
        <family val="2"/>
      </rPr>
      <t xml:space="preserve">價格，累計漲幅超過</t>
    </r>
    <r>
      <rPr>
        <sz val="10"/>
        <color rgb="FF000000"/>
        <rFont val="Arial"/>
        <family val="0"/>
        <charset val="1"/>
      </rPr>
      <t xml:space="preserve">83%</t>
    </r>
    <r>
      <rPr>
        <sz val="10"/>
        <color rgb="FF000000"/>
        <rFont val="Noto Sans CJK SC"/>
        <family val="2"/>
      </rPr>
      <t xml:space="preserve">」；與年度業績公告 </t>
    </r>
    <r>
      <rPr>
        <sz val="10"/>
        <color rgb="FF000000"/>
        <rFont val="Arial"/>
        <family val="0"/>
        <charset val="1"/>
      </rPr>
      <t xml:space="preserve">83% </t>
    </r>
    <r>
      <rPr>
        <sz val="10"/>
        <color rgb="FF000000"/>
        <rFont val="Noto Sans CJK SC"/>
        <family val="2"/>
      </rPr>
      <t xml:space="preserve">同數，口徑疑為同一數</t>
    </r>
  </si>
  <si>
    <t xml:space="preserve">SRC_ZP_346</t>
  </si>
  <si>
    <t xml:space="preserve">pxev_api_price_vs_ye2025</t>
  </si>
  <si>
    <r>
      <rPr>
        <sz val="10"/>
        <color rgb="FF000000"/>
        <rFont val="Arial"/>
        <family val="0"/>
        <charset val="1"/>
      </rPr>
      <t xml:space="preserve">API </t>
    </r>
    <r>
      <rPr>
        <sz val="10"/>
        <color rgb="FF000000"/>
        <rFont val="Noto Sans CJK SC"/>
        <family val="2"/>
      </rPr>
      <t xml:space="preserve">呼叫定價較 </t>
    </r>
    <r>
      <rPr>
        <sz val="10"/>
        <color rgb="FF000000"/>
        <rFont val="Arial"/>
        <family val="0"/>
        <charset val="1"/>
      </rPr>
      <t xml:space="preserve">2025 </t>
    </r>
    <r>
      <rPr>
        <sz val="10"/>
        <color rgb="FF000000"/>
        <rFont val="Noto Sans CJK SC"/>
        <family val="2"/>
      </rPr>
      <t xml:space="preserve">年底上升</t>
    </r>
  </si>
  <si>
    <r>
      <rPr>
        <sz val="10"/>
        <color rgb="FF000000"/>
        <rFont val="Noto Sans CJK SC"/>
        <family val="2"/>
      </rPr>
      <t xml:space="preserve">截至 </t>
    </r>
    <r>
      <rPr>
        <sz val="10"/>
        <color rgb="FF000000"/>
        <rFont val="Arial"/>
        <family val="0"/>
        <charset val="1"/>
      </rPr>
      <t xml:space="preserve">2026-03</t>
    </r>
  </si>
  <si>
    <r>
      <rPr>
        <sz val="10"/>
        <color rgb="FF000000"/>
        <rFont val="Noto Sans CJK SC"/>
        <family val="2"/>
      </rPr>
      <t xml:space="preserve">智譜 </t>
    </r>
    <r>
      <rPr>
        <sz val="10"/>
        <color rgb="FF000000"/>
        <rFont val="Arial"/>
        <family val="0"/>
        <charset val="1"/>
      </rPr>
      <t xml:space="preserve">2025 </t>
    </r>
    <r>
      <rPr>
        <sz val="10"/>
        <color rgb="FF000000"/>
        <rFont val="Noto Sans CJK SC"/>
        <family val="2"/>
      </rPr>
      <t xml:space="preserve">年度業績公告（截至 </t>
    </r>
    <r>
      <rPr>
        <sz val="10"/>
        <color rgb="FF000000"/>
        <rFont val="Arial"/>
        <family val="0"/>
        <charset val="1"/>
      </rPr>
      <t xml:space="preserve">2025-12-31</t>
    </r>
    <r>
      <rPr>
        <sz val="10"/>
        <color rgb="FF000000"/>
        <rFont val="Noto Sans CJK SC"/>
        <family val="2"/>
      </rPr>
      <t xml:space="preserve">）（第 </t>
    </r>
    <r>
      <rPr>
        <sz val="10"/>
        <color rgb="FF000000"/>
        <rFont val="Arial"/>
        <family val="0"/>
        <charset val="1"/>
      </rPr>
      <t xml:space="preserve">4 </t>
    </r>
    <r>
      <rPr>
        <sz val="10"/>
        <color rgb="FF000000"/>
        <rFont val="Noto Sans CJK SC"/>
        <family val="2"/>
      </rPr>
      <t xml:space="preserve">頁）</t>
    </r>
  </si>
  <si>
    <t xml:space="preserve">智譜：上市後股價、配售、招募誘因</t>
  </si>
  <si>
    <r>
      <rPr>
        <sz val="10"/>
        <color rgb="FF000000"/>
        <rFont val="Noto Sans CJK SC"/>
        <family val="2"/>
      </rPr>
      <t xml:space="preserve">原文「</t>
    </r>
    <r>
      <rPr>
        <sz val="10"/>
        <color rgb="FF000000"/>
        <rFont val="Arial"/>
        <family val="0"/>
        <charset val="1"/>
      </rPr>
      <t xml:space="preserve">despite an 83% increase in API call pricing compared to the end of last year</t>
    </r>
    <r>
      <rPr>
        <sz val="10"/>
        <color rgb="FF000000"/>
        <rFont val="Noto Sans CJK SC"/>
        <family val="2"/>
      </rPr>
      <t xml:space="preserve">」；口徑：牌價或呼叫定價，非實現 </t>
    </r>
    <r>
      <rPr>
        <sz val="10"/>
        <color rgb="FF000000"/>
        <rFont val="Arial"/>
        <family val="0"/>
        <charset val="1"/>
      </rPr>
      <t xml:space="preserve">ASP</t>
    </r>
  </si>
  <si>
    <t xml:space="preserve">SRC_ZP_347</t>
  </si>
  <si>
    <t xml:space="preserve">pxev_api_asp_1h26</t>
  </si>
  <si>
    <r>
      <rPr>
        <sz val="10"/>
        <color rgb="FF000000"/>
        <rFont val="Arial"/>
        <family val="0"/>
        <charset val="1"/>
      </rPr>
      <t xml:space="preserve">API </t>
    </r>
    <r>
      <rPr>
        <sz val="10"/>
        <color rgb="FF000000"/>
        <rFont val="Noto Sans CJK SC"/>
        <family val="2"/>
      </rPr>
      <t xml:space="preserve">平均售價較年初上升（中期口徑）</t>
    </r>
  </si>
  <si>
    <r>
      <rPr>
        <sz val="10"/>
        <color rgb="FF000000"/>
        <rFont val="Arial"/>
        <family val="0"/>
        <charset val="1"/>
      </rPr>
      <t xml:space="preserve">2026-01-01→2026-06-30</t>
    </r>
    <r>
      <rPr>
        <sz val="10"/>
        <color rgb="FF000000"/>
        <rFont val="Noto Sans CJK SC"/>
        <family val="2"/>
      </rPr>
      <t xml:space="preserve">（或公告日）</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</si>
  <si>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14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</si>
  <si>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the average API selling price increased by approximately 101%</t>
    </r>
    <r>
      <rPr>
        <sz val="10"/>
        <color rgb="FF000000"/>
        <rFont val="Noto Sans CJK SC"/>
        <family val="2"/>
      </rPr>
      <t xml:space="preserve">」；基期「</t>
    </r>
    <r>
      <rPr>
        <sz val="10"/>
        <color rgb="FF000000"/>
        <rFont val="Arial"/>
        <family val="0"/>
        <charset val="1"/>
      </rPr>
      <t xml:space="preserve">from the beginning of 2026</t>
    </r>
    <r>
      <rPr>
        <sz val="10"/>
        <color rgb="FF000000"/>
        <rFont val="Noto Sans CJK SC"/>
        <family val="2"/>
      </rPr>
      <t xml:space="preserve">」；實現售價口徑（收入</t>
    </r>
    <r>
      <rPr>
        <sz val="10"/>
        <color rgb="FF000000"/>
        <rFont val="Arial"/>
        <family val="0"/>
        <charset val="1"/>
      </rPr>
      <t xml:space="preserve">÷token</t>
    </r>
    <r>
      <rPr>
        <sz val="10"/>
        <color rgb="FF000000"/>
        <rFont val="Noto Sans CJK SC"/>
        <family val="2"/>
      </rPr>
      <t xml:space="preserve">），非牌價</t>
    </r>
  </si>
  <si>
    <t xml:space="preserve">SRC_ZP_348</t>
  </si>
  <si>
    <t xml:space="preserve">pxev_api_asp_1h26_b</t>
  </si>
  <si>
    <r>
      <rPr>
        <sz val="10"/>
        <color rgb="FF000000"/>
        <rFont val="Arial"/>
        <family val="0"/>
        <charset val="1"/>
      </rPr>
      <t xml:space="preserve">API </t>
    </r>
    <r>
      <rPr>
        <sz val="10"/>
        <color rgb="FF000000"/>
        <rFont val="Noto Sans CJK SC"/>
        <family val="2"/>
      </rPr>
      <t xml:space="preserve">平均售價較年初上升（媒體中文轉述）</t>
    </r>
  </si>
  <si>
    <t xml:space="preserve">科創板日報（財聯社）</t>
  </si>
  <si>
    <t xml:space="preserve">https://m.cls.cn/detail/2470120</t>
  </si>
  <si>
    <r>
      <rPr>
        <sz val="10"/>
        <color rgb="FF000000"/>
        <rFont val="Noto Sans CJK SC"/>
        <family val="2"/>
      </rPr>
      <t xml:space="preserve">原文「</t>
    </r>
    <r>
      <rPr>
        <sz val="10"/>
        <color rgb="FF000000"/>
        <rFont val="Arial"/>
        <family val="0"/>
        <charset val="1"/>
      </rPr>
      <t xml:space="preserve">API</t>
    </r>
    <r>
      <rPr>
        <sz val="10"/>
        <color rgb="FF000000"/>
        <rFont val="Noto Sans CJK SC"/>
        <family val="2"/>
      </rPr>
      <t xml:space="preserve">平均售價提高約</t>
    </r>
    <r>
      <rPr>
        <sz val="10"/>
        <color rgb="FF000000"/>
        <rFont val="Arial"/>
        <family val="0"/>
        <charset val="1"/>
      </rPr>
      <t xml:space="preserve">101%</t>
    </r>
    <r>
      <rPr>
        <sz val="10"/>
        <color rgb="FF000000"/>
        <rFont val="Noto Sans CJK SC"/>
        <family val="2"/>
      </rPr>
      <t xml:space="preserve">，推動該業務毛利率由負轉正至</t>
    </r>
    <r>
      <rPr>
        <sz val="10"/>
        <color rgb="FF000000"/>
        <rFont val="Arial"/>
        <family val="0"/>
        <charset val="1"/>
      </rPr>
      <t xml:space="preserve">24.6%</t>
    </r>
    <r>
      <rPr>
        <sz val="10"/>
        <color rgb="FF000000"/>
        <rFont val="Noto Sans CJK SC"/>
        <family val="2"/>
      </rPr>
      <t xml:space="preserve">」；與公告一致</t>
    </r>
  </si>
  <si>
    <t xml:space="preserve">SRC_ZP_349</t>
  </si>
  <si>
    <t xml:space="preserve">pxev_cp_cn_feb2026</t>
  </si>
  <si>
    <r>
      <rPr>
        <sz val="10"/>
        <color rgb="FF000000"/>
        <rFont val="Arial"/>
        <family val="0"/>
        <charset val="1"/>
      </rPr>
      <t xml:space="preserve">GLM Coding Plan</t>
    </r>
    <r>
      <rPr>
        <sz val="10"/>
        <color rgb="FF000000"/>
        <rFont val="Noto Sans CJK SC"/>
        <family val="2"/>
      </rPr>
      <t xml:space="preserve">（國內）結構性漲價幅度</t>
    </r>
  </si>
  <si>
    <r>
      <rPr>
        <sz val="10"/>
        <color rgb="FF000000"/>
        <rFont val="Noto Sans CJK SC"/>
        <family val="2"/>
      </rPr>
      <t xml:space="preserve">財聯社〈智譜：對</t>
    </r>
    <r>
      <rPr>
        <sz val="10"/>
        <color rgb="FF000000"/>
        <rFont val="Arial"/>
        <family val="0"/>
        <charset val="1"/>
      </rPr>
      <t xml:space="preserve">GLM Coding Plan</t>
    </r>
    <r>
      <rPr>
        <sz val="10"/>
        <color rgb="FF000000"/>
        <rFont val="Noto Sans CJK SC"/>
        <family val="2"/>
      </rPr>
      <t xml:space="preserve">套餐價格進行結構性調整〉</t>
    </r>
  </si>
  <si>
    <t xml:space="preserve">https://m.cls.cn/detail/2287878</t>
  </si>
  <si>
    <r>
      <rPr>
        <sz val="10"/>
        <color rgb="FF000000"/>
        <rFont val="Noto Sans CJK SC"/>
        <family val="2"/>
      </rPr>
      <t xml:space="preserve">原文「整體漲幅自</t>
    </r>
    <r>
      <rPr>
        <sz val="10"/>
        <color rgb="FF000000"/>
        <rFont val="Arial"/>
        <family val="0"/>
        <charset val="1"/>
      </rPr>
      <t xml:space="preserve">30%</t>
    </r>
    <r>
      <rPr>
        <sz val="10"/>
        <color rgb="FF000000"/>
        <rFont val="Noto Sans CJK SC"/>
        <family val="2"/>
      </rPr>
      <t xml:space="preserve">起」，生效 </t>
    </r>
    <r>
      <rPr>
        <sz val="10"/>
        <color rgb="FF000000"/>
        <rFont val="Arial"/>
        <family val="0"/>
        <charset val="1"/>
      </rPr>
      <t xml:space="preserve">2026-02-12</t>
    </r>
    <r>
      <rPr>
        <sz val="10"/>
        <color rgb="FF000000"/>
        <rFont val="Noto Sans CJK SC"/>
        <family val="2"/>
      </rPr>
      <t xml:space="preserve">；取消首購優惠，保留包季包年折扣，「已訂閱用戶價格保持不變」</t>
    </r>
  </si>
  <si>
    <t xml:space="preserve">SRC_ZP_350</t>
  </si>
  <si>
    <t xml:space="preserve">pxev_cp_ar_feb2026</t>
  </si>
  <si>
    <r>
      <rPr>
        <sz val="10"/>
        <color rgb="FF000000"/>
        <rFont val="Arial"/>
        <family val="0"/>
        <charset val="1"/>
      </rPr>
      <t xml:space="preserve">Coding Plan </t>
    </r>
    <r>
      <rPr>
        <sz val="10"/>
        <color rgb="FF000000"/>
        <rFont val="Noto Sans CJK SC"/>
        <family val="2"/>
      </rPr>
      <t xml:space="preserve">漲價（年度業績公告口徑）</t>
    </r>
  </si>
  <si>
    <t xml:space="preserve">2026-02</t>
  </si>
  <si>
    <r>
      <rPr>
        <sz val="10"/>
        <color rgb="FF000000"/>
        <rFont val="Noto Sans CJK SC"/>
        <family val="2"/>
      </rPr>
      <t xml:space="preserve">原文「</t>
    </r>
    <r>
      <rPr>
        <sz val="10"/>
        <color rgb="FF000000"/>
        <rFont val="Arial"/>
        <family val="0"/>
        <charset val="1"/>
      </rPr>
      <t xml:space="preserve">we proactively raised prices by 30%</t>
    </r>
    <r>
      <rPr>
        <sz val="10"/>
        <color rgb="FF000000"/>
        <rFont val="Noto Sans CJK SC"/>
        <family val="2"/>
      </rPr>
      <t xml:space="preserve">」並取消首購優惠（</t>
    </r>
    <r>
      <rPr>
        <sz val="10"/>
        <color rgb="FF000000"/>
        <rFont val="Arial"/>
        <family val="0"/>
        <charset val="1"/>
      </rPr>
      <t xml:space="preserve">2026-02</t>
    </r>
    <r>
      <rPr>
        <sz val="10"/>
        <color rgb="FF000000"/>
        <rFont val="Noto Sans CJK SC"/>
        <family val="2"/>
      </rPr>
      <t xml:space="preserve">）</t>
    </r>
  </si>
  <si>
    <t xml:space="preserve">SRC_ZP_351</t>
  </si>
  <si>
    <t xml:space="preserve">pxev_cp_overseas_feb2026</t>
  </si>
  <si>
    <r>
      <rPr>
        <sz val="10"/>
        <color rgb="FF000000"/>
        <rFont val="Noto Sans CJK SC"/>
        <family val="2"/>
      </rPr>
      <t xml:space="preserve">海外 </t>
    </r>
    <r>
      <rPr>
        <sz val="10"/>
        <color rgb="FF000000"/>
        <rFont val="Arial"/>
        <family val="0"/>
        <charset val="1"/>
      </rPr>
      <t xml:space="preserve">Coding Plan </t>
    </r>
    <r>
      <rPr>
        <sz val="10"/>
        <color rgb="FF000000"/>
        <rFont val="Noto Sans CJK SC"/>
        <family val="2"/>
      </rPr>
      <t xml:space="preserve">漲幅（</t>
    </r>
    <r>
      <rPr>
        <sz val="10"/>
        <color rgb="FF000000"/>
        <rFont val="Arial"/>
        <family val="0"/>
        <charset val="1"/>
      </rPr>
      <t xml:space="preserve">2026-02</t>
    </r>
    <r>
      <rPr>
        <sz val="10"/>
        <color rgb="FF000000"/>
        <rFont val="Noto Sans CJK SC"/>
        <family val="2"/>
      </rPr>
      <t xml:space="preserve">）</t>
    </r>
  </si>
  <si>
    <r>
      <rPr>
        <sz val="10"/>
        <color rgb="FF000000"/>
        <rFont val="Arial"/>
        <family val="0"/>
        <charset val="1"/>
      </rPr>
      <t xml:space="preserve">AIbase</t>
    </r>
    <r>
      <rPr>
        <sz val="10"/>
        <color rgb="FF000000"/>
        <rFont val="Noto Sans CJK SC"/>
        <family val="2"/>
      </rPr>
      <t xml:space="preserve">（</t>
    </r>
    <r>
      <rPr>
        <sz val="10"/>
        <color rgb="FF000000"/>
        <rFont val="Arial"/>
        <family val="0"/>
        <charset val="1"/>
      </rPr>
      <t xml:space="preserve">2026-02-13</t>
    </r>
    <r>
      <rPr>
        <sz val="10"/>
        <color rgb="FF000000"/>
        <rFont val="Noto Sans CJK SC"/>
        <family val="2"/>
      </rPr>
      <t xml:space="preserve">）</t>
    </r>
  </si>
  <si>
    <r>
      <rPr>
        <sz val="10"/>
        <color rgb="FF000000"/>
        <rFont val="Noto Sans CJK SC"/>
        <family val="2"/>
      </rPr>
      <t xml:space="preserve">原文海外 </t>
    </r>
    <r>
      <rPr>
        <sz val="10"/>
        <color rgb="FF000000"/>
        <rFont val="Arial"/>
        <family val="0"/>
        <charset val="1"/>
      </rPr>
      <t xml:space="preserve">Coding Plan </t>
    </r>
    <r>
      <rPr>
        <sz val="10"/>
        <color rgb="FF000000"/>
        <rFont val="Noto Sans CJK SC"/>
        <family val="2"/>
      </rPr>
      <t xml:space="preserve">訂閱上調 </t>
    </r>
    <r>
      <rPr>
        <sz val="10"/>
        <color rgb="FF000000"/>
        <rFont val="Arial"/>
        <family val="0"/>
        <charset val="1"/>
      </rPr>
      <t xml:space="preserve">30%</t>
    </r>
    <r>
      <rPr>
        <sz val="10"/>
        <color rgb="FF000000"/>
        <rFont val="Noto Sans CJK SC"/>
        <family val="2"/>
      </rPr>
      <t xml:space="preserve">～</t>
    </r>
    <r>
      <rPr>
        <sz val="10"/>
        <color rgb="FF000000"/>
        <rFont val="Arial"/>
        <family val="0"/>
        <charset val="1"/>
      </rPr>
      <t xml:space="preserve">60%</t>
    </r>
  </si>
  <si>
    <t xml:space="preserve">SRC_ZP_352</t>
  </si>
  <si>
    <t xml:space="preserve">pxev_cp_overseas_feb2026_b</t>
  </si>
  <si>
    <r>
      <rPr>
        <sz val="10"/>
        <color rgb="FF000000"/>
        <rFont val="Noto Sans CJK SC"/>
        <family val="2"/>
      </rPr>
      <t xml:space="preserve">海外 </t>
    </r>
    <r>
      <rPr>
        <sz val="10"/>
        <color rgb="FF000000"/>
        <rFont val="Arial"/>
        <family val="0"/>
        <charset val="1"/>
      </rPr>
      <t xml:space="preserve">Coding Plan </t>
    </r>
    <r>
      <rPr>
        <sz val="10"/>
        <color rgb="FF000000"/>
        <rFont val="Noto Sans CJK SC"/>
        <family val="2"/>
      </rPr>
      <t xml:space="preserve">漲幅（虎嗅口徑）</t>
    </r>
  </si>
  <si>
    <r>
      <rPr>
        <sz val="10"/>
        <color rgb="FF000000"/>
        <rFont val="Arial"/>
        <family val="0"/>
        <charset val="1"/>
      </rPr>
      <t xml:space="preserve">2026</t>
    </r>
    <r>
      <rPr>
        <sz val="10"/>
        <color rgb="FF000000"/>
        <rFont val="Noto Sans CJK SC"/>
        <family val="2"/>
      </rPr>
      <t xml:space="preserve">（未明）</t>
    </r>
  </si>
  <si>
    <r>
      <rPr>
        <sz val="10"/>
        <color rgb="FF000000"/>
        <rFont val="Noto Sans CJK SC"/>
        <family val="2"/>
      </rPr>
      <t xml:space="preserve">原文「海外版</t>
    </r>
    <r>
      <rPr>
        <sz val="10"/>
        <color rgb="FF000000"/>
        <rFont val="Arial"/>
        <family val="0"/>
        <charset val="1"/>
      </rPr>
      <t xml:space="preserve">Coding Plan</t>
    </r>
    <r>
      <rPr>
        <sz val="10"/>
        <color rgb="FF000000"/>
        <rFont val="Noto Sans CJK SC"/>
        <family val="2"/>
      </rPr>
      <t xml:space="preserve">漲幅在</t>
    </r>
    <r>
      <rPr>
        <sz val="10"/>
        <color rgb="FF000000"/>
        <rFont val="Arial"/>
        <family val="0"/>
        <charset val="1"/>
      </rPr>
      <t xml:space="preserve">80%</t>
    </r>
    <r>
      <rPr>
        <sz val="10"/>
        <color rgb="FF000000"/>
        <rFont val="Noto Sans CJK SC"/>
        <family val="2"/>
      </rPr>
      <t xml:space="preserve">到</t>
    </r>
    <r>
      <rPr>
        <sz val="10"/>
        <color rgb="FF000000"/>
        <rFont val="Arial"/>
        <family val="0"/>
        <charset val="1"/>
      </rPr>
      <t xml:space="preserve">150%</t>
    </r>
    <r>
      <rPr>
        <sz val="10"/>
        <color rgb="FF000000"/>
        <rFont val="Noto Sans CJK SC"/>
        <family val="2"/>
      </rPr>
      <t xml:space="preserve">之間」；與 </t>
    </r>
    <r>
      <rPr>
        <sz val="10"/>
        <color rgb="FF000000"/>
        <rFont val="Arial"/>
        <family val="0"/>
        <charset val="1"/>
      </rPr>
      <t xml:space="preserve">AIbase 30–60% </t>
    </r>
    <r>
      <rPr>
        <sz val="10"/>
        <color rgb="FF000000"/>
        <rFont val="Noto Sans CJK SC"/>
        <family val="2"/>
      </rPr>
      <t xml:space="preserve">矛盾，疑為累計（含 </t>
    </r>
    <r>
      <rPr>
        <sz val="10"/>
        <color rgb="FF000000"/>
        <rFont val="Arial"/>
        <family val="0"/>
        <charset val="1"/>
      </rPr>
      <t xml:space="preserve">2026-07 </t>
    </r>
    <r>
      <rPr>
        <sz val="10"/>
        <color rgb="FF000000"/>
        <rFont val="Noto Sans CJK SC"/>
        <family val="2"/>
      </rPr>
      <t xml:space="preserve">再調價）</t>
    </r>
  </si>
  <si>
    <t xml:space="preserve">SRC_ZP_353</t>
  </si>
  <si>
    <t xml:space="preserve">pxev_cp_oldplan_apr2026</t>
  </si>
  <si>
    <r>
      <rPr>
        <sz val="10"/>
        <color rgb="FF000000"/>
        <rFont val="Arial"/>
        <family val="0"/>
        <charset val="1"/>
      </rPr>
      <t xml:space="preserve">Coding Plan </t>
    </r>
    <r>
      <rPr>
        <sz val="10"/>
        <color rgb="FF000000"/>
        <rFont val="Noto Sans CJK SC"/>
        <family val="2"/>
      </rPr>
      <t xml:space="preserve">舊套餐（無週限額）停止自動續訂日</t>
    </r>
  </si>
  <si>
    <t xml:space="preserve">日期</t>
  </si>
  <si>
    <t xml:space="preserve">2026-04-30</t>
  </si>
  <si>
    <r>
      <rPr>
        <sz val="10"/>
        <color rgb="FF000000"/>
        <rFont val="Arial"/>
        <family val="0"/>
        <charset val="1"/>
      </rPr>
      <t xml:space="preserve">IT</t>
    </r>
    <r>
      <rPr>
        <sz val="10"/>
        <color rgb="FF000000"/>
        <rFont val="Noto Sans CJK SC"/>
        <family val="2"/>
      </rPr>
      <t xml:space="preserve">之家（</t>
    </r>
    <r>
      <rPr>
        <sz val="10"/>
        <color rgb="FF000000"/>
        <rFont val="Arial"/>
        <family val="0"/>
        <charset val="1"/>
      </rPr>
      <t xml:space="preserve">2026-04-22</t>
    </r>
    <r>
      <rPr>
        <sz val="10"/>
        <color rgb="FF000000"/>
        <rFont val="Noto Sans CJK SC"/>
        <family val="2"/>
      </rPr>
      <t xml:space="preserve">）</t>
    </r>
  </si>
  <si>
    <t xml:space="preserve">https://www.ithome.com/0/941/977.htm</t>
  </si>
  <si>
    <t xml:space="preserve">2026-04-22</t>
  </si>
  <si>
    <r>
      <rPr>
        <sz val="10"/>
        <color rgb="FF000000"/>
        <rFont val="Noto Sans CJK SC"/>
        <family val="2"/>
      </rPr>
      <t xml:space="preserve">原文「</t>
    </r>
    <r>
      <rPr>
        <sz val="10"/>
        <color rgb="FF000000"/>
        <rFont val="Arial"/>
        <family val="0"/>
        <charset val="1"/>
      </rPr>
      <t xml:space="preserve">GLM Coding Plan </t>
    </r>
    <r>
      <rPr>
        <sz val="10"/>
        <color rgb="FF000000"/>
        <rFont val="Noto Sans CJK SC"/>
        <family val="2"/>
      </rPr>
      <t xml:space="preserve">老套餐（無周限額版本）將停止自動續訂」</t>
    </r>
    <r>
      <rPr>
        <sz val="10"/>
        <color rgb="FF000000"/>
        <rFont val="Arial"/>
        <family val="0"/>
        <charset val="1"/>
      </rPr>
      <t xml:space="preserve">2026-04-30 10:00 </t>
    </r>
    <r>
      <rPr>
        <sz val="10"/>
        <color rgb="FF000000"/>
        <rFont val="Noto Sans CJK SC"/>
        <family val="2"/>
      </rPr>
      <t xml:space="preserve">起；改新套餐並贈 </t>
    </r>
    <r>
      <rPr>
        <sz val="10"/>
        <color rgb="FF000000"/>
        <rFont val="Arial"/>
        <family val="0"/>
        <charset val="1"/>
      </rPr>
      <t xml:space="preserve">2 </t>
    </r>
    <r>
      <rPr>
        <sz val="10"/>
        <color rgb="FF000000"/>
        <rFont val="Noto Sans CJK SC"/>
        <family val="2"/>
      </rPr>
      <t xml:space="preserve">個月，實質加週限額＝變相漲價</t>
    </r>
  </si>
  <si>
    <t xml:space="preserve">SRC_ZP_354</t>
  </si>
  <si>
    <t xml:space="preserve">pxev_cp_cn_launch_2025</t>
  </si>
  <si>
    <r>
      <rPr>
        <sz val="10"/>
        <color rgb="FF000000"/>
        <rFont val="Arial"/>
        <family val="0"/>
        <charset val="1"/>
      </rPr>
      <t xml:space="preserve">GLM Coding Plan </t>
    </r>
    <r>
      <rPr>
        <sz val="10"/>
        <color rgb="FF000000"/>
        <rFont val="Noto Sans CJK SC"/>
        <family val="2"/>
      </rPr>
      <t xml:space="preserve">國內上市價（</t>
    </r>
    <r>
      <rPr>
        <sz val="10"/>
        <color rgb="FF000000"/>
        <rFont val="Arial"/>
        <family val="0"/>
        <charset val="1"/>
      </rPr>
      <t xml:space="preserve">2025-09</t>
    </r>
    <r>
      <rPr>
        <sz val="10"/>
        <color rgb="FF000000"/>
        <rFont val="Noto Sans CJK SC"/>
        <family val="2"/>
      </rPr>
      <t xml:space="preserve">）</t>
    </r>
  </si>
  <si>
    <r>
      <rPr>
        <sz val="10"/>
        <color rgb="FF000000"/>
        <rFont val="Arial"/>
        <family val="0"/>
        <charset val="1"/>
      </rPr>
      <t xml:space="preserve">RMB </t>
    </r>
    <r>
      <rPr>
        <sz val="10"/>
        <color rgb="FF000000"/>
        <rFont val="Noto Sans CJK SC"/>
        <family val="2"/>
      </rPr>
      <t xml:space="preserve">元／月</t>
    </r>
  </si>
  <si>
    <t xml:space="preserve">2025-09-01</t>
  </si>
  <si>
    <r>
      <rPr>
        <sz val="10"/>
        <color rgb="FF000000"/>
        <rFont val="Noto Sans CJK SC"/>
        <family val="2"/>
      </rPr>
      <t xml:space="preserve">鳳凰網科技（</t>
    </r>
    <r>
      <rPr>
        <sz val="10"/>
        <color rgb="FF000000"/>
        <rFont val="Arial"/>
        <family val="0"/>
        <charset val="1"/>
      </rPr>
      <t xml:space="preserve">2025-09-02</t>
    </r>
    <r>
      <rPr>
        <sz val="10"/>
        <color rgb="FF000000"/>
        <rFont val="Noto Sans CJK SC"/>
        <family val="2"/>
      </rPr>
      <t xml:space="preserve">）</t>
    </r>
  </si>
  <si>
    <t xml:space="preserve">https://tech.ifeng.com/c/8mJoak9q60M</t>
  </si>
  <si>
    <t xml:space="preserve">2025-09-02</t>
  </si>
  <si>
    <r>
      <rPr>
        <sz val="10"/>
        <color rgb="FF000000"/>
        <rFont val="Noto Sans CJK SC"/>
        <family val="2"/>
      </rPr>
      <t xml:space="preserve">原文「每月 </t>
    </r>
    <r>
      <rPr>
        <sz val="10"/>
        <color rgb="FF000000"/>
        <rFont val="Arial"/>
        <family val="0"/>
        <charset val="1"/>
      </rPr>
      <t xml:space="preserve">20~100 </t>
    </r>
    <r>
      <rPr>
        <sz val="10"/>
        <color rgb="FF000000"/>
        <rFont val="Noto Sans CJK SC"/>
        <family val="2"/>
      </rPr>
      <t xml:space="preserve">元」，「自 </t>
    </r>
    <r>
      <rPr>
        <sz val="10"/>
        <color rgb="FF000000"/>
        <rFont val="Arial"/>
        <family val="0"/>
        <charset val="1"/>
      </rPr>
      <t xml:space="preserve">9 </t>
    </r>
    <r>
      <rPr>
        <sz val="10"/>
        <color rgb="FF000000"/>
        <rFont val="Noto Sans CJK SC"/>
        <family val="2"/>
      </rPr>
      <t xml:space="preserve">月 </t>
    </r>
    <r>
      <rPr>
        <sz val="10"/>
        <color rgb="FF000000"/>
        <rFont val="Arial"/>
        <family val="0"/>
        <charset val="1"/>
      </rPr>
      <t xml:space="preserve">1 </t>
    </r>
    <r>
      <rPr>
        <sz val="10"/>
        <color rgb="FF000000"/>
        <rFont val="Noto Sans CJK SC"/>
        <family val="2"/>
      </rPr>
      <t xml:space="preserve">日起」；未分方案</t>
    </r>
  </si>
  <si>
    <t xml:space="preserve">SRC_ZP_355</t>
  </si>
  <si>
    <t xml:space="preserve">pxev_cp_intl_promo_pre2026</t>
  </si>
  <si>
    <r>
      <rPr>
        <sz val="10"/>
        <color rgb="FF000000"/>
        <rFont val="Noto Sans CJK SC"/>
        <family val="2"/>
      </rPr>
      <t xml:space="preserve">國際站 </t>
    </r>
    <r>
      <rPr>
        <sz val="10"/>
        <color rgb="FF000000"/>
        <rFont val="Arial"/>
        <family val="0"/>
        <charset val="1"/>
      </rPr>
      <t xml:space="preserve">Coding Plan </t>
    </r>
    <r>
      <rPr>
        <sz val="10"/>
        <color rgb="FF000000"/>
        <rFont val="Noto Sans CJK SC"/>
        <family val="2"/>
      </rPr>
      <t xml:space="preserve">舊促銷價（</t>
    </r>
    <r>
      <rPr>
        <sz val="10"/>
        <color rgb="FF000000"/>
        <rFont val="Arial"/>
        <family val="0"/>
        <charset val="1"/>
      </rPr>
      <t xml:space="preserve">Lite</t>
    </r>
    <r>
      <rPr>
        <sz val="10"/>
        <color rgb="FF000000"/>
        <rFont val="Noto Sans CJK SC"/>
        <family val="2"/>
      </rPr>
      <t xml:space="preserve">）</t>
    </r>
  </si>
  <si>
    <r>
      <rPr>
        <sz val="10"/>
        <color rgb="FF000000"/>
        <rFont val="Arial"/>
        <family val="0"/>
        <charset val="1"/>
      </rPr>
      <t xml:space="preserve">USD</t>
    </r>
    <r>
      <rPr>
        <sz val="10"/>
        <color rgb="FF000000"/>
        <rFont val="Noto Sans CJK SC"/>
        <family val="2"/>
      </rPr>
      <t xml:space="preserve">／月</t>
    </r>
  </si>
  <si>
    <r>
      <rPr>
        <sz val="10"/>
        <color rgb="FF000000"/>
        <rFont val="Arial"/>
        <family val="0"/>
        <charset val="1"/>
      </rPr>
      <t xml:space="preserve">2026-02-11 </t>
    </r>
    <r>
      <rPr>
        <sz val="10"/>
        <color rgb="FF000000"/>
        <rFont val="Noto Sans CJK SC"/>
        <family val="2"/>
      </rPr>
      <t xml:space="preserve">前</t>
    </r>
  </si>
  <si>
    <r>
      <rPr>
        <sz val="10"/>
        <color rgb="FF000000"/>
        <rFont val="Arial"/>
        <family val="0"/>
        <charset val="1"/>
      </rPr>
      <t xml:space="preserve">Labmemo</t>
    </r>
    <r>
      <rPr>
        <sz val="10"/>
        <color rgb="FF000000"/>
        <rFont val="Noto Sans CJK SC"/>
        <family val="2"/>
      </rPr>
      <t xml:space="preserve">〈</t>
    </r>
    <r>
      <rPr>
        <sz val="10"/>
        <color rgb="FF000000"/>
        <rFont val="Arial"/>
        <family val="0"/>
        <charset val="1"/>
      </rPr>
      <t xml:space="preserve">Zai GLM Coding Plan </t>
    </r>
    <r>
      <rPr>
        <sz val="10"/>
        <color rgb="FF000000"/>
        <rFont val="Noto Sans CJK SC"/>
        <family val="2"/>
      </rPr>
      <t xml:space="preserve">値上げ完了〉</t>
    </r>
  </si>
  <si>
    <t xml:space="preserve">https://labmemo.com/zai-glm-price-increase-2026/</t>
  </si>
  <si>
    <t xml:space="preserve">2026-04-14</t>
  </si>
  <si>
    <r>
      <rPr>
        <sz val="10"/>
        <color rgb="FF000000"/>
        <rFont val="Noto Sans CJK SC"/>
        <family val="2"/>
      </rPr>
      <t xml:space="preserve">原文「</t>
    </r>
    <r>
      <rPr>
        <sz val="10"/>
        <color rgb="FF000000"/>
        <rFont val="Arial"/>
        <family val="0"/>
        <charset val="1"/>
      </rPr>
      <t xml:space="preserve">$3/</t>
    </r>
    <r>
      <rPr>
        <sz val="10"/>
        <color rgb="FF000000"/>
        <rFont val="Noto Sans CJK SC"/>
        <family val="2"/>
      </rPr>
      <t xml:space="preserve">月という破格のプロモーション価格が廃止され」</t>
    </r>
    <r>
      <rPr>
        <sz val="10"/>
        <color rgb="FF000000"/>
        <rFont val="Arial"/>
        <family val="0"/>
        <charset val="1"/>
      </rPr>
      <t xml:space="preserve">2026-02-11 </t>
    </r>
    <r>
      <rPr>
        <sz val="10"/>
        <color rgb="FF000000"/>
        <rFont val="Noto Sans CJK SC"/>
        <family val="2"/>
      </rPr>
      <t xml:space="preserve">起改三段定額；第三方部落格</t>
    </r>
  </si>
  <si>
    <t xml:space="preserve">SRC_ZP_356</t>
  </si>
  <si>
    <t xml:space="preserve">cp_rmb_lite_month</t>
  </si>
  <si>
    <r>
      <rPr>
        <sz val="10"/>
        <color rgb="FF000000"/>
        <rFont val="Arial"/>
        <family val="0"/>
        <charset val="1"/>
      </rPr>
      <t xml:space="preserve">GLM Coding Plan Lite</t>
    </r>
    <r>
      <rPr>
        <sz val="10"/>
        <color rgb="FF000000"/>
        <rFont val="Noto Sans CJK SC"/>
        <family val="2"/>
      </rPr>
      <t xml:space="preserve">（國內）月付</t>
    </r>
  </si>
  <si>
    <r>
      <rPr>
        <sz val="10"/>
        <color rgb="FF000000"/>
        <rFont val="Arial"/>
        <family val="0"/>
        <charset val="1"/>
      </rPr>
      <t xml:space="preserve">2026-05</t>
    </r>
    <r>
      <rPr>
        <sz val="10"/>
        <color rgb="FF000000"/>
        <rFont val="Noto Sans CJK SC"/>
        <family val="2"/>
      </rPr>
      <t xml:space="preserve">（</t>
    </r>
    <r>
      <rPr>
        <sz val="10"/>
        <color rgb="FF000000"/>
        <rFont val="Arial"/>
        <family val="0"/>
        <charset val="1"/>
      </rPr>
      <t xml:space="preserve">2026-02 </t>
    </r>
    <r>
      <rPr>
        <sz val="10"/>
        <color rgb="FF000000"/>
        <rFont val="Noto Sans CJK SC"/>
        <family val="2"/>
      </rPr>
      <t xml:space="preserve">漲價後）</t>
    </r>
  </si>
  <si>
    <r>
      <rPr>
        <sz val="10"/>
        <color rgb="FF000000"/>
        <rFont val="Arial"/>
        <family val="0"/>
        <charset val="1"/>
      </rPr>
      <t xml:space="preserve">CodePick</t>
    </r>
    <r>
      <rPr>
        <sz val="10"/>
        <color rgb="FF000000"/>
        <rFont val="Noto Sans CJK SC"/>
        <family val="2"/>
      </rPr>
      <t xml:space="preserve">〈國內 </t>
    </r>
    <r>
      <rPr>
        <sz val="10"/>
        <color rgb="FF000000"/>
        <rFont val="Arial"/>
        <family val="0"/>
        <charset val="1"/>
      </rPr>
      <t xml:space="preserve">Coding API </t>
    </r>
    <r>
      <rPr>
        <sz val="10"/>
        <color rgb="FF000000"/>
        <rFont val="Noto Sans CJK SC"/>
        <family val="2"/>
      </rPr>
      <t xml:space="preserve">橫評 </t>
    </r>
    <r>
      <rPr>
        <sz val="10"/>
        <color rgb="FF000000"/>
        <rFont val="Arial"/>
        <family val="0"/>
        <charset val="1"/>
      </rPr>
      <t xml:space="preserve">2026</t>
    </r>
    <r>
      <rPr>
        <sz val="10"/>
        <color rgb="FF000000"/>
        <rFont val="Noto Sans CJK SC"/>
        <family val="2"/>
      </rPr>
      <t xml:space="preserve">〉</t>
    </r>
  </si>
  <si>
    <t xml:space="preserve">https://codepick.dev/zh/guides/china-coding-api-roundup-2026/</t>
  </si>
  <si>
    <t xml:space="preserve">2026-05-19</t>
  </si>
  <si>
    <r>
      <rPr>
        <sz val="10"/>
        <color rgb="FF000000"/>
        <rFont val="Noto Sans CJK SC"/>
        <family val="2"/>
      </rPr>
      <t xml:space="preserve">表列 </t>
    </r>
    <r>
      <rPr>
        <sz val="10"/>
        <color rgb="FF000000"/>
        <rFont val="Arial"/>
        <family val="0"/>
        <charset val="1"/>
      </rPr>
      <t xml:space="preserve">Lite </t>
    </r>
    <r>
      <rPr>
        <sz val="10"/>
        <color rgb="FF000000"/>
        <rFont val="Noto Sans CJK SC"/>
        <family val="2"/>
      </rPr>
      <t xml:space="preserve">月付 </t>
    </r>
    <r>
      <rPr>
        <sz val="10"/>
        <color rgb="FF000000"/>
        <rFont val="Arial"/>
        <family val="0"/>
        <charset val="1"/>
      </rPr>
      <t xml:space="preserve">¥49</t>
    </r>
    <r>
      <rPr>
        <sz val="10"/>
        <color rgb="FF000000"/>
        <rFont val="Noto Sans CJK SC"/>
        <family val="2"/>
      </rPr>
      <t xml:space="preserve">、包季每月 </t>
    </r>
    <r>
      <rPr>
        <sz val="10"/>
        <color rgb="FF000000"/>
        <rFont val="Arial"/>
        <family val="0"/>
        <charset val="1"/>
      </rPr>
      <t xml:space="preserve">¥44</t>
    </r>
    <r>
      <rPr>
        <sz val="10"/>
        <color rgb="FF000000"/>
        <rFont val="Noto Sans CJK SC"/>
        <family val="2"/>
      </rPr>
      <t xml:space="preserve">、包年每月 </t>
    </r>
    <r>
      <rPr>
        <sz val="10"/>
        <color rgb="FF000000"/>
        <rFont val="Arial"/>
        <family val="0"/>
        <charset val="1"/>
      </rPr>
      <t xml:space="preserve">¥34</t>
    </r>
    <r>
      <rPr>
        <sz val="10"/>
        <color rgb="FF000000"/>
        <rFont val="Noto Sans CJK SC"/>
        <family val="2"/>
      </rPr>
      <t xml:space="preserve">；「包季 </t>
    </r>
    <r>
      <rPr>
        <sz val="10"/>
        <color rgb="FF000000"/>
        <rFont val="Arial"/>
        <family val="0"/>
        <charset val="1"/>
      </rPr>
      <t xml:space="preserve">9 </t>
    </r>
    <r>
      <rPr>
        <sz val="10"/>
        <color rgb="FF000000"/>
        <rFont val="Noto Sans CJK SC"/>
        <family val="2"/>
      </rPr>
      <t xml:space="preserve">折／包年 </t>
    </r>
    <r>
      <rPr>
        <sz val="10"/>
        <color rgb="FF000000"/>
        <rFont val="Arial"/>
        <family val="0"/>
        <charset val="1"/>
      </rPr>
      <t xml:space="preserve">7 </t>
    </r>
    <r>
      <rPr>
        <sz val="10"/>
        <color rgb="FF000000"/>
        <rFont val="Noto Sans CJK SC"/>
        <family val="2"/>
      </rPr>
      <t xml:space="preserve">折」；第三方整理官方價</t>
    </r>
  </si>
  <si>
    <t xml:space="preserve">SRC_ZP_357</t>
  </si>
  <si>
    <t xml:space="preserve">cp_rmb_lite_qtr_permonth</t>
  </si>
  <si>
    <r>
      <rPr>
        <sz val="10"/>
        <color rgb="FF000000"/>
        <rFont val="Arial"/>
        <family val="0"/>
        <charset val="1"/>
      </rPr>
      <t xml:space="preserve">GLM Coding Plan Lite</t>
    </r>
    <r>
      <rPr>
        <sz val="10"/>
        <color rgb="FF000000"/>
        <rFont val="Noto Sans CJK SC"/>
        <family val="2"/>
      </rPr>
      <t xml:space="preserve">（國內）包季折合每月</t>
    </r>
  </si>
  <si>
    <t xml:space="preserve">2026-05</t>
  </si>
  <si>
    <r>
      <rPr>
        <sz val="10"/>
        <color rgb="FF000000"/>
        <rFont val="Noto Sans CJK SC"/>
        <family val="2"/>
      </rPr>
      <t xml:space="preserve">同上（</t>
    </r>
    <r>
      <rPr>
        <sz val="10"/>
        <color rgb="FF000000"/>
        <rFont val="Arial"/>
        <family val="0"/>
        <charset val="1"/>
      </rPr>
      <t xml:space="preserve">9 </t>
    </r>
    <r>
      <rPr>
        <sz val="10"/>
        <color rgb="FF000000"/>
        <rFont val="Noto Sans CJK SC"/>
        <family val="2"/>
      </rPr>
      <t xml:space="preserve">折）</t>
    </r>
  </si>
  <si>
    <t xml:space="preserve">SRC_ZP_358</t>
  </si>
  <si>
    <t xml:space="preserve">cp_rmb_lite_yr_permonth</t>
  </si>
  <si>
    <r>
      <rPr>
        <sz val="10"/>
        <color rgb="FF000000"/>
        <rFont val="Arial"/>
        <family val="0"/>
        <charset val="1"/>
      </rPr>
      <t xml:space="preserve">GLM Coding Plan Lite</t>
    </r>
    <r>
      <rPr>
        <sz val="10"/>
        <color rgb="FF000000"/>
        <rFont val="Noto Sans CJK SC"/>
        <family val="2"/>
      </rPr>
      <t xml:space="preserve">（國內）包年折合每月</t>
    </r>
  </si>
  <si>
    <r>
      <rPr>
        <sz val="10"/>
        <color rgb="FF000000"/>
        <rFont val="Noto Sans CJK SC"/>
        <family val="2"/>
      </rPr>
      <t xml:space="preserve">同上（</t>
    </r>
    <r>
      <rPr>
        <sz val="10"/>
        <color rgb="FF000000"/>
        <rFont val="Arial"/>
        <family val="0"/>
        <charset val="1"/>
      </rPr>
      <t xml:space="preserve">7 </t>
    </r>
    <r>
      <rPr>
        <sz val="10"/>
        <color rgb="FF000000"/>
        <rFont val="Noto Sans CJK SC"/>
        <family val="2"/>
      </rPr>
      <t xml:space="preserve">折）</t>
    </r>
  </si>
  <si>
    <t xml:space="preserve">SRC_ZP_359</t>
  </si>
  <si>
    <t xml:space="preserve">cp_rmb_pro_month</t>
  </si>
  <si>
    <r>
      <rPr>
        <sz val="10"/>
        <color rgb="FF000000"/>
        <rFont val="Arial"/>
        <family val="0"/>
        <charset val="1"/>
      </rPr>
      <t xml:space="preserve">GLM Coding Plan Pro</t>
    </r>
    <r>
      <rPr>
        <sz val="10"/>
        <color rgb="FF000000"/>
        <rFont val="Noto Sans CJK SC"/>
        <family val="2"/>
      </rPr>
      <t xml:space="preserve">（國內）月付</t>
    </r>
  </si>
  <si>
    <r>
      <rPr>
        <sz val="10"/>
        <color rgb="FF000000"/>
        <rFont val="Noto Sans CJK SC"/>
        <family val="2"/>
      </rPr>
      <t xml:space="preserve">表列 </t>
    </r>
    <r>
      <rPr>
        <sz val="10"/>
        <color rgb="FF000000"/>
        <rFont val="Arial"/>
        <family val="0"/>
        <charset val="1"/>
      </rPr>
      <t xml:space="preserve">Pro </t>
    </r>
    <r>
      <rPr>
        <sz val="10"/>
        <color rgb="FF000000"/>
        <rFont val="Noto Sans CJK SC"/>
        <family val="2"/>
      </rPr>
      <t xml:space="preserve">月付 </t>
    </r>
    <r>
      <rPr>
        <sz val="10"/>
        <color rgb="FF000000"/>
        <rFont val="Arial"/>
        <family val="0"/>
        <charset val="1"/>
      </rPr>
      <t xml:space="preserve">¥149</t>
    </r>
    <r>
      <rPr>
        <sz val="10"/>
        <color rgb="FF000000"/>
        <rFont val="Noto Sans CJK SC"/>
        <family val="2"/>
      </rPr>
      <t xml:space="preserve">、包季每月 </t>
    </r>
    <r>
      <rPr>
        <sz val="10"/>
        <color rgb="FF000000"/>
        <rFont val="Arial"/>
        <family val="0"/>
        <charset val="1"/>
      </rPr>
      <t xml:space="preserve">¥134</t>
    </r>
    <r>
      <rPr>
        <sz val="10"/>
        <color rgb="FF000000"/>
        <rFont val="Noto Sans CJK SC"/>
        <family val="2"/>
      </rPr>
      <t xml:space="preserve">、包年每月 </t>
    </r>
    <r>
      <rPr>
        <sz val="10"/>
        <color rgb="FF000000"/>
        <rFont val="Arial"/>
        <family val="0"/>
        <charset val="1"/>
      </rPr>
      <t xml:space="preserve">¥104</t>
    </r>
    <r>
      <rPr>
        <sz val="10"/>
        <color rgb="FF000000"/>
        <rFont val="Noto Sans CJK SC"/>
        <family val="2"/>
      </rPr>
      <t xml:space="preserve">；「包季 </t>
    </r>
    <r>
      <rPr>
        <sz val="10"/>
        <color rgb="FF000000"/>
        <rFont val="Arial"/>
        <family val="0"/>
        <charset val="1"/>
      </rPr>
      <t xml:space="preserve">9 </t>
    </r>
    <r>
      <rPr>
        <sz val="10"/>
        <color rgb="FF000000"/>
        <rFont val="Noto Sans CJK SC"/>
        <family val="2"/>
      </rPr>
      <t xml:space="preserve">折／包年 </t>
    </r>
    <r>
      <rPr>
        <sz val="10"/>
        <color rgb="FF000000"/>
        <rFont val="Arial"/>
        <family val="0"/>
        <charset val="1"/>
      </rPr>
      <t xml:space="preserve">7 </t>
    </r>
    <r>
      <rPr>
        <sz val="10"/>
        <color rgb="FF000000"/>
        <rFont val="Noto Sans CJK SC"/>
        <family val="2"/>
      </rPr>
      <t xml:space="preserve">折」；第三方整理官方價</t>
    </r>
  </si>
  <si>
    <t xml:space="preserve">SRC_ZP_360</t>
  </si>
  <si>
    <t xml:space="preserve">cp_rmb_pro_qtr_permonth</t>
  </si>
  <si>
    <r>
      <rPr>
        <sz val="10"/>
        <color rgb="FF000000"/>
        <rFont val="Arial"/>
        <family val="0"/>
        <charset val="1"/>
      </rPr>
      <t xml:space="preserve">GLM Coding Plan Pro</t>
    </r>
    <r>
      <rPr>
        <sz val="10"/>
        <color rgb="FF000000"/>
        <rFont val="Noto Sans CJK SC"/>
        <family val="2"/>
      </rPr>
      <t xml:space="preserve">（國內）包季折合每月</t>
    </r>
  </si>
  <si>
    <t xml:space="preserve">SRC_ZP_361</t>
  </si>
  <si>
    <t xml:space="preserve">cp_rmb_pro_yr_permonth</t>
  </si>
  <si>
    <r>
      <rPr>
        <sz val="10"/>
        <color rgb="FF000000"/>
        <rFont val="Arial"/>
        <family val="0"/>
        <charset val="1"/>
      </rPr>
      <t xml:space="preserve">GLM Coding Plan Pro</t>
    </r>
    <r>
      <rPr>
        <sz val="10"/>
        <color rgb="FF000000"/>
        <rFont val="Noto Sans CJK SC"/>
        <family val="2"/>
      </rPr>
      <t xml:space="preserve">（國內）包年折合每月</t>
    </r>
  </si>
  <si>
    <t xml:space="preserve">SRC_ZP_362</t>
  </si>
  <si>
    <t xml:space="preserve">cp_rmb_max_month</t>
  </si>
  <si>
    <r>
      <rPr>
        <sz val="10"/>
        <color rgb="FF000000"/>
        <rFont val="Arial"/>
        <family val="0"/>
        <charset val="1"/>
      </rPr>
      <t xml:space="preserve">GLM Coding Plan Max</t>
    </r>
    <r>
      <rPr>
        <sz val="10"/>
        <color rgb="FF000000"/>
        <rFont val="Noto Sans CJK SC"/>
        <family val="2"/>
      </rPr>
      <t xml:space="preserve">（國內）月付</t>
    </r>
  </si>
  <si>
    <r>
      <rPr>
        <sz val="10"/>
        <color rgb="FF000000"/>
        <rFont val="Noto Sans CJK SC"/>
        <family val="2"/>
      </rPr>
      <t xml:space="preserve">表列 </t>
    </r>
    <r>
      <rPr>
        <sz val="10"/>
        <color rgb="FF000000"/>
        <rFont val="Arial"/>
        <family val="0"/>
        <charset val="1"/>
      </rPr>
      <t xml:space="preserve">Max </t>
    </r>
    <r>
      <rPr>
        <sz val="10"/>
        <color rgb="FF000000"/>
        <rFont val="Noto Sans CJK SC"/>
        <family val="2"/>
      </rPr>
      <t xml:space="preserve">月付 </t>
    </r>
    <r>
      <rPr>
        <sz val="10"/>
        <color rgb="FF000000"/>
        <rFont val="Arial"/>
        <family val="0"/>
        <charset val="1"/>
      </rPr>
      <t xml:space="preserve">¥469</t>
    </r>
    <r>
      <rPr>
        <sz val="10"/>
        <color rgb="FF000000"/>
        <rFont val="Noto Sans CJK SC"/>
        <family val="2"/>
      </rPr>
      <t xml:space="preserve">、包季每月 </t>
    </r>
    <r>
      <rPr>
        <sz val="10"/>
        <color rgb="FF000000"/>
        <rFont val="Arial"/>
        <family val="0"/>
        <charset val="1"/>
      </rPr>
      <t xml:space="preserve">¥422</t>
    </r>
    <r>
      <rPr>
        <sz val="10"/>
        <color rgb="FF000000"/>
        <rFont val="Noto Sans CJK SC"/>
        <family val="2"/>
      </rPr>
      <t xml:space="preserve">、包年每月 </t>
    </r>
    <r>
      <rPr>
        <sz val="10"/>
        <color rgb="FF000000"/>
        <rFont val="Arial"/>
        <family val="0"/>
        <charset val="1"/>
      </rPr>
      <t xml:space="preserve">¥328</t>
    </r>
    <r>
      <rPr>
        <sz val="10"/>
        <color rgb="FF000000"/>
        <rFont val="Noto Sans CJK SC"/>
        <family val="2"/>
      </rPr>
      <t xml:space="preserve">；「包季 </t>
    </r>
    <r>
      <rPr>
        <sz val="10"/>
        <color rgb="FF000000"/>
        <rFont val="Arial"/>
        <family val="0"/>
        <charset val="1"/>
      </rPr>
      <t xml:space="preserve">9 </t>
    </r>
    <r>
      <rPr>
        <sz val="10"/>
        <color rgb="FF000000"/>
        <rFont val="Noto Sans CJK SC"/>
        <family val="2"/>
      </rPr>
      <t xml:space="preserve">折／包年 </t>
    </r>
    <r>
      <rPr>
        <sz val="10"/>
        <color rgb="FF000000"/>
        <rFont val="Arial"/>
        <family val="0"/>
        <charset val="1"/>
      </rPr>
      <t xml:space="preserve">7 </t>
    </r>
    <r>
      <rPr>
        <sz val="10"/>
        <color rgb="FF000000"/>
        <rFont val="Noto Sans CJK SC"/>
        <family val="2"/>
      </rPr>
      <t xml:space="preserve">折」；第三方整理官方價</t>
    </r>
  </si>
  <si>
    <t xml:space="preserve">SRC_ZP_363</t>
  </si>
  <si>
    <t xml:space="preserve">cp_rmb_max_qtr_permonth</t>
  </si>
  <si>
    <r>
      <rPr>
        <sz val="10"/>
        <color rgb="FF000000"/>
        <rFont val="Arial"/>
        <family val="0"/>
        <charset val="1"/>
      </rPr>
      <t xml:space="preserve">GLM Coding Plan Max</t>
    </r>
    <r>
      <rPr>
        <sz val="10"/>
        <color rgb="FF000000"/>
        <rFont val="Noto Sans CJK SC"/>
        <family val="2"/>
      </rPr>
      <t xml:space="preserve">（國內）包季折合每月</t>
    </r>
  </si>
  <si>
    <t xml:space="preserve">SRC_ZP_364</t>
  </si>
  <si>
    <t xml:space="preserve">cp_rmb_max_yr_permonth</t>
  </si>
  <si>
    <r>
      <rPr>
        <sz val="10"/>
        <color rgb="FF000000"/>
        <rFont val="Arial"/>
        <family val="0"/>
        <charset val="1"/>
      </rPr>
      <t xml:space="preserve">GLM Coding Plan Max</t>
    </r>
    <r>
      <rPr>
        <sz val="10"/>
        <color rgb="FF000000"/>
        <rFont val="Noto Sans CJK SC"/>
        <family val="2"/>
      </rPr>
      <t xml:space="preserve">（國內）包年折合每月</t>
    </r>
  </si>
  <si>
    <t xml:space="preserve">SRC_ZP_365</t>
  </si>
  <si>
    <t xml:space="preserve">cp_rmb_pro_qtr</t>
  </si>
  <si>
    <r>
      <rPr>
        <sz val="10"/>
        <color rgb="FF000000"/>
        <rFont val="Arial"/>
        <family val="0"/>
        <charset val="1"/>
      </rPr>
      <t xml:space="preserve">GLM Coding Pro </t>
    </r>
    <r>
      <rPr>
        <sz val="10"/>
        <color rgb="FF000000"/>
        <rFont val="Noto Sans CJK SC"/>
        <family val="2"/>
      </rPr>
      <t xml:space="preserve">連續包季</t>
    </r>
  </si>
  <si>
    <r>
      <rPr>
        <sz val="10"/>
        <color rgb="FF000000"/>
        <rFont val="Arial"/>
        <family val="0"/>
        <charset val="1"/>
      </rPr>
      <t xml:space="preserve">RMB </t>
    </r>
    <r>
      <rPr>
        <sz val="10"/>
        <color rgb="FF000000"/>
        <rFont val="Noto Sans CJK SC"/>
        <family val="2"/>
      </rPr>
      <t xml:space="preserve">元／季</t>
    </r>
  </si>
  <si>
    <r>
      <rPr>
        <sz val="10"/>
        <color rgb="FF000000"/>
        <rFont val="Arial"/>
        <family val="0"/>
        <charset val="1"/>
      </rPr>
      <t xml:space="preserve">17173 </t>
    </r>
    <r>
      <rPr>
        <sz val="10"/>
        <color rgb="FF000000"/>
        <rFont val="Noto Sans CJK SC"/>
        <family val="2"/>
      </rPr>
      <t xml:space="preserve">新聞（</t>
    </r>
    <r>
      <rPr>
        <sz val="10"/>
        <color rgb="FF000000"/>
        <rFont val="Arial"/>
        <family val="0"/>
        <charset val="1"/>
      </rPr>
      <t xml:space="preserve">2026-02-13</t>
    </r>
    <r>
      <rPr>
        <sz val="10"/>
        <color rgb="FF000000"/>
        <rFont val="Noto Sans CJK SC"/>
        <family val="2"/>
      </rPr>
      <t xml:space="preserve">）</t>
    </r>
  </si>
  <si>
    <t xml:space="preserve">https://news.17173.com/content/02132026/080853761.shtml</t>
  </si>
  <si>
    <r>
      <rPr>
        <sz val="10"/>
        <color rgb="FF000000"/>
        <rFont val="Noto Sans CJK SC"/>
        <family val="2"/>
      </rPr>
      <t xml:space="preserve">原文「連續包季享受 </t>
    </r>
    <r>
      <rPr>
        <sz val="10"/>
        <color rgb="FF000000"/>
        <rFont val="Arial"/>
        <family val="0"/>
        <charset val="1"/>
      </rPr>
      <t xml:space="preserve">9 </t>
    </r>
    <r>
      <rPr>
        <sz val="10"/>
        <color rgb="FF000000"/>
        <rFont val="Noto Sans CJK SC"/>
        <family val="2"/>
      </rPr>
      <t xml:space="preserve">折優惠（</t>
    </r>
    <r>
      <rPr>
        <sz val="10"/>
        <color rgb="FF000000"/>
        <rFont val="Arial"/>
        <family val="0"/>
        <charset val="1"/>
      </rPr>
      <t xml:space="preserve">402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季）」；月付「</t>
    </r>
    <r>
      <rPr>
        <sz val="10"/>
        <color rgb="FF000000"/>
        <rFont val="Arial"/>
        <family val="0"/>
        <charset val="1"/>
      </rPr>
      <t xml:space="preserve">149 </t>
    </r>
    <r>
      <rPr>
        <sz val="10"/>
        <color rgb="FF000000"/>
        <rFont val="Noto Sans CJK SC"/>
        <family val="2"/>
      </rPr>
      <t xml:space="preserve">元 </t>
    </r>
    <r>
      <rPr>
        <sz val="10"/>
        <color rgb="FF000000"/>
        <rFont val="Arial"/>
        <family val="0"/>
        <charset val="1"/>
      </rPr>
      <t xml:space="preserve">/ </t>
    </r>
    <r>
      <rPr>
        <sz val="10"/>
        <color rgb="FF000000"/>
        <rFont val="Noto Sans CJK SC"/>
        <family val="2"/>
      </rPr>
      <t xml:space="preserve">月」；與 </t>
    </r>
    <r>
      <rPr>
        <sz val="10"/>
        <color rgb="FF000000"/>
        <rFont val="Arial"/>
        <family val="0"/>
        <charset val="1"/>
      </rPr>
      <t xml:space="preserve">CodePick 134×3=402 </t>
    </r>
    <r>
      <rPr>
        <sz val="10"/>
        <color rgb="FF000000"/>
        <rFont val="Noto Sans CJK SC"/>
        <family val="2"/>
      </rPr>
      <t xml:space="preserve">一致</t>
    </r>
  </si>
  <si>
    <t xml:space="preserve">SRC_ZP_366</t>
  </si>
  <si>
    <t xml:space="preserve">cp_rmb_pro_yr</t>
  </si>
  <si>
    <r>
      <rPr>
        <sz val="10"/>
        <color rgb="FF000000"/>
        <rFont val="Arial"/>
        <family val="0"/>
        <charset val="1"/>
      </rPr>
      <t xml:space="preserve">GLM Coding Pro </t>
    </r>
    <r>
      <rPr>
        <sz val="10"/>
        <color rgb="FF000000"/>
        <rFont val="Noto Sans CJK SC"/>
        <family val="2"/>
      </rPr>
      <t xml:space="preserve">連續包年</t>
    </r>
  </si>
  <si>
    <r>
      <rPr>
        <sz val="10"/>
        <color rgb="FF000000"/>
        <rFont val="Arial"/>
        <family val="0"/>
        <charset val="1"/>
      </rPr>
      <t xml:space="preserve">RMB </t>
    </r>
    <r>
      <rPr>
        <sz val="10"/>
        <color rgb="FF000000"/>
        <rFont val="Noto Sans CJK SC"/>
        <family val="2"/>
      </rPr>
      <t xml:space="preserve">元／年</t>
    </r>
  </si>
  <si>
    <r>
      <rPr>
        <sz val="10"/>
        <color rgb="FF000000"/>
        <rFont val="Noto Sans CJK SC"/>
        <family val="2"/>
      </rPr>
      <t xml:space="preserve">原文「連續包年享 </t>
    </r>
    <r>
      <rPr>
        <sz val="10"/>
        <color rgb="FF000000"/>
        <rFont val="Arial"/>
        <family val="0"/>
        <charset val="1"/>
      </rPr>
      <t xml:space="preserve">7 </t>
    </r>
    <r>
      <rPr>
        <sz val="10"/>
        <color rgb="FF000000"/>
        <rFont val="Noto Sans CJK SC"/>
        <family val="2"/>
      </rPr>
      <t xml:space="preserve">折優惠（</t>
    </r>
    <r>
      <rPr>
        <sz val="10"/>
        <color rgb="FF000000"/>
        <rFont val="Arial"/>
        <family val="0"/>
        <charset val="1"/>
      </rPr>
      <t xml:space="preserve">1251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年）」；與 </t>
    </r>
    <r>
      <rPr>
        <sz val="10"/>
        <color rgb="FF000000"/>
        <rFont val="Arial"/>
        <family val="0"/>
        <charset val="1"/>
      </rPr>
      <t xml:space="preserve">CodePick 104×12=1248 </t>
    </r>
    <r>
      <rPr>
        <sz val="10"/>
        <color rgb="FF000000"/>
        <rFont val="Noto Sans CJK SC"/>
        <family val="2"/>
      </rPr>
      <t xml:space="preserve">差 </t>
    </r>
    <r>
      <rPr>
        <sz val="10"/>
        <color rgb="FF000000"/>
        <rFont val="Arial"/>
        <family val="0"/>
        <charset val="1"/>
      </rPr>
      <t xml:space="preserve">3 </t>
    </r>
    <r>
      <rPr>
        <sz val="10"/>
        <color rgb="FF000000"/>
        <rFont val="Noto Sans CJK SC"/>
        <family val="2"/>
      </rPr>
      <t xml:space="preserve">元（四捨五入）</t>
    </r>
  </si>
  <si>
    <t xml:space="preserve">SRC_ZP_367</t>
  </si>
  <si>
    <t xml:space="preserve">cp_usd_lite_list</t>
  </si>
  <si>
    <r>
      <rPr>
        <sz val="10"/>
        <color rgb="FF000000"/>
        <rFont val="Arial"/>
        <family val="0"/>
        <charset val="1"/>
      </rPr>
      <t xml:space="preserve">GLM Coding Plan Lite</t>
    </r>
    <r>
      <rPr>
        <sz val="10"/>
        <color rgb="FF000000"/>
        <rFont val="Noto Sans CJK SC"/>
        <family val="2"/>
      </rPr>
      <t xml:space="preserve">（國際）牌價</t>
    </r>
  </si>
  <si>
    <r>
      <rPr>
        <sz val="10"/>
        <color rgb="FF000000"/>
        <rFont val="Arial"/>
        <family val="0"/>
        <charset val="1"/>
      </rPr>
      <t xml:space="preserve">2026-07-03 </t>
    </r>
    <r>
      <rPr>
        <sz val="10"/>
        <color rgb="FF000000"/>
        <rFont val="Noto Sans CJK SC"/>
        <family val="2"/>
      </rPr>
      <t xml:space="preserve">起（快照）</t>
    </r>
  </si>
  <si>
    <r>
      <rPr>
        <sz val="10"/>
        <color rgb="FF000000"/>
        <rFont val="Arial"/>
        <family val="0"/>
        <charset val="1"/>
      </rPr>
      <t xml:space="preserve">Digital Applied</t>
    </r>
    <r>
      <rPr>
        <sz val="10"/>
        <color rgb="FF000000"/>
        <rFont val="Noto Sans CJK SC"/>
        <family val="2"/>
      </rPr>
      <t xml:space="preserve">〈</t>
    </r>
    <r>
      <rPr>
        <sz val="10"/>
        <color rgb="FF000000"/>
        <rFont val="Arial"/>
        <family val="0"/>
        <charset val="1"/>
      </rPr>
      <t xml:space="preserve">GLM Coding Plan worth it 2026</t>
    </r>
    <r>
      <rPr>
        <sz val="10"/>
        <color rgb="FF000000"/>
        <rFont val="Noto Sans CJK SC"/>
        <family val="2"/>
      </rPr>
      <t xml:space="preserve">〉</t>
    </r>
  </si>
  <si>
    <t xml:space="preserve">https://www.digitalapplied.com/blog/glm-coding-plan-worth-it-2026-value-analysis</t>
  </si>
  <si>
    <t xml:space="preserve">2026-07-03</t>
  </si>
  <si>
    <r>
      <rPr>
        <sz val="10"/>
        <color rgb="FF000000"/>
        <rFont val="Noto Sans CJK SC"/>
        <family val="2"/>
      </rPr>
      <t xml:space="preserve">表列 </t>
    </r>
    <r>
      <rPr>
        <sz val="10"/>
        <color rgb="FF000000"/>
        <rFont val="Arial"/>
        <family val="0"/>
        <charset val="1"/>
      </rPr>
      <t xml:space="preserve">Lite </t>
    </r>
    <r>
      <rPr>
        <sz val="10"/>
        <color rgb="FF000000"/>
        <rFont val="Noto Sans CJK SC"/>
        <family val="2"/>
      </rPr>
      <t xml:space="preserve">牌價 </t>
    </r>
    <r>
      <rPr>
        <sz val="10"/>
        <color rgb="FF000000"/>
        <rFont val="Arial"/>
        <family val="0"/>
        <charset val="1"/>
      </rPr>
      <t xml:space="preserve">$18</t>
    </r>
    <r>
      <rPr>
        <sz val="10"/>
        <color rgb="FF000000"/>
        <rFont val="Noto Sans CJK SC"/>
        <family val="2"/>
      </rPr>
      <t xml:space="preserve">；月付 −</t>
    </r>
    <r>
      <rPr>
        <sz val="10"/>
        <color rgb="FF000000"/>
        <rFont val="Arial"/>
        <family val="0"/>
        <charset val="1"/>
      </rPr>
      <t xml:space="preserve">10% $16.2</t>
    </r>
    <r>
      <rPr>
        <sz val="10"/>
        <color rgb="FF000000"/>
        <rFont val="Noto Sans CJK SC"/>
        <family val="2"/>
      </rPr>
      <t xml:space="preserve">；季付 −</t>
    </r>
    <r>
      <rPr>
        <sz val="10"/>
        <color rgb="FF000000"/>
        <rFont val="Arial"/>
        <family val="0"/>
        <charset val="1"/>
      </rPr>
      <t xml:space="preserve">20% $14.4/</t>
    </r>
    <r>
      <rPr>
        <sz val="10"/>
        <color rgb="FF000000"/>
        <rFont val="Noto Sans CJK SC"/>
        <family val="2"/>
      </rPr>
      <t xml:space="preserve">月；年付 −</t>
    </r>
    <r>
      <rPr>
        <sz val="10"/>
        <color rgb="FF000000"/>
        <rFont val="Arial"/>
        <family val="0"/>
        <charset val="1"/>
      </rPr>
      <t xml:space="preserve">30% $12.6/</t>
    </r>
    <r>
      <rPr>
        <sz val="10"/>
        <color rgb="FF000000"/>
        <rFont val="Noto Sans CJK SC"/>
        <family val="2"/>
      </rPr>
      <t xml:space="preserve">月；</t>
    </r>
    <r>
      <rPr>
        <sz val="10"/>
        <color rgb="FF000000"/>
        <rFont val="Arial"/>
        <family val="0"/>
        <charset val="1"/>
      </rPr>
      <t xml:space="preserve">aipricing.guru 2026-10-07 </t>
    </r>
    <r>
      <rPr>
        <sz val="10"/>
        <color rgb="FF000000"/>
        <rFont val="Noto Sans CJK SC"/>
        <family val="2"/>
      </rPr>
      <t xml:space="preserve">核對同價</t>
    </r>
  </si>
  <si>
    <t xml:space="preserve">SRC_ZP_368</t>
  </si>
  <si>
    <t xml:space="preserve">cp_usd_lite_yr_permonth</t>
  </si>
  <si>
    <r>
      <rPr>
        <sz val="10"/>
        <color rgb="FF000000"/>
        <rFont val="Arial"/>
        <family val="0"/>
        <charset val="1"/>
      </rPr>
      <t xml:space="preserve">GLM Coding Plan Lite</t>
    </r>
    <r>
      <rPr>
        <sz val="10"/>
        <color rgb="FF000000"/>
        <rFont val="Noto Sans CJK SC"/>
        <family val="2"/>
      </rPr>
      <t xml:space="preserve">（國際）年付折合每月</t>
    </r>
  </si>
  <si>
    <r>
      <rPr>
        <sz val="10"/>
        <color rgb="FF000000"/>
        <rFont val="Arial"/>
        <family val="0"/>
        <charset val="1"/>
      </rPr>
      <t xml:space="preserve">2026-07</t>
    </r>
    <r>
      <rPr>
        <sz val="10"/>
        <color rgb="FF000000"/>
        <rFont val="Noto Sans CJK SC"/>
        <family val="2"/>
      </rPr>
      <t xml:space="preserve">～</t>
    </r>
    <r>
      <rPr>
        <sz val="10"/>
        <color rgb="FF000000"/>
        <rFont val="Arial"/>
        <family val="0"/>
        <charset val="1"/>
      </rPr>
      <t xml:space="preserve">2026-10</t>
    </r>
  </si>
  <si>
    <r>
      <rPr>
        <sz val="10"/>
        <color rgb="FF000000"/>
        <rFont val="Arial"/>
        <family val="0"/>
        <charset val="1"/>
      </rPr>
      <t xml:space="preserve">UsagePricing</t>
    </r>
    <r>
      <rPr>
        <sz val="10"/>
        <color rgb="FF000000"/>
        <rFont val="Noto Sans CJK SC"/>
        <family val="2"/>
      </rPr>
      <t xml:space="preserve">〈</t>
    </r>
    <r>
      <rPr>
        <sz val="10"/>
        <color rgb="FF000000"/>
        <rFont val="Arial"/>
        <family val="0"/>
        <charset val="1"/>
      </rPr>
      <t xml:space="preserve">2026-07-22 price change</t>
    </r>
    <r>
      <rPr>
        <sz val="10"/>
        <color rgb="FF000000"/>
        <rFont val="Noto Sans CJK SC"/>
        <family val="2"/>
      </rPr>
      <t xml:space="preserve">〉</t>
    </r>
  </si>
  <si>
    <r>
      <rPr>
        <sz val="10"/>
        <color rgb="FF000000"/>
        <rFont val="Noto Sans CJK SC"/>
        <family val="2"/>
      </rPr>
      <t xml:space="preserve">年付 </t>
    </r>
    <r>
      <rPr>
        <sz val="10"/>
        <color rgb="FF000000"/>
        <rFont val="Arial"/>
        <family val="0"/>
        <charset val="1"/>
      </rPr>
      <t xml:space="preserve">30% off</t>
    </r>
    <r>
      <rPr>
        <sz val="10"/>
        <color rgb="FF000000"/>
        <rFont val="Noto Sans CJK SC"/>
        <family val="2"/>
      </rPr>
      <t xml:space="preserve">：</t>
    </r>
    <r>
      <rPr>
        <sz val="10"/>
        <color rgb="FF000000"/>
        <rFont val="Arial"/>
        <family val="0"/>
        <charset val="1"/>
      </rPr>
      <t xml:space="preserve">$12.6</t>
    </r>
    <r>
      <rPr>
        <sz val="10"/>
        <color rgb="FF000000"/>
        <rFont val="Noto Sans CJK SC"/>
        <family val="2"/>
      </rPr>
      <t xml:space="preserve">／</t>
    </r>
    <r>
      <rPr>
        <sz val="10"/>
        <color rgb="FF000000"/>
        <rFont val="Arial"/>
        <family val="0"/>
        <charset val="1"/>
      </rPr>
      <t xml:space="preserve">$50.4</t>
    </r>
    <r>
      <rPr>
        <sz val="10"/>
        <color rgb="FF000000"/>
        <rFont val="Noto Sans CJK SC"/>
        <family val="2"/>
      </rPr>
      <t xml:space="preserve">／</t>
    </r>
    <r>
      <rPr>
        <sz val="10"/>
        <color rgb="FF000000"/>
        <rFont val="Arial"/>
        <family val="0"/>
        <charset val="1"/>
      </rPr>
      <t xml:space="preserve">$112</t>
    </r>
    <r>
      <rPr>
        <sz val="10"/>
        <color rgb="FF000000"/>
        <rFont val="Noto Sans CJK SC"/>
        <family val="2"/>
      </rPr>
      <t xml:space="preserve">；季付 </t>
    </r>
    <r>
      <rPr>
        <sz val="10"/>
        <color rgb="FF000000"/>
        <rFont val="Arial"/>
        <family val="0"/>
        <charset val="1"/>
      </rPr>
      <t xml:space="preserve">20% off</t>
    </r>
    <r>
      <rPr>
        <sz val="10"/>
        <color rgb="FF000000"/>
        <rFont val="Noto Sans CJK SC"/>
        <family val="2"/>
      </rPr>
      <t xml:space="preserve">：</t>
    </r>
    <r>
      <rPr>
        <sz val="10"/>
        <color rgb="FF000000"/>
        <rFont val="Arial"/>
        <family val="0"/>
        <charset val="1"/>
      </rPr>
      <t xml:space="preserve">$14.4</t>
    </r>
    <r>
      <rPr>
        <sz val="10"/>
        <color rgb="FF000000"/>
        <rFont val="Noto Sans CJK SC"/>
        <family val="2"/>
      </rPr>
      <t xml:space="preserve">／</t>
    </r>
    <r>
      <rPr>
        <sz val="10"/>
        <color rgb="FF000000"/>
        <rFont val="Arial"/>
        <family val="0"/>
        <charset val="1"/>
      </rPr>
      <t xml:space="preserve">$57.6</t>
    </r>
    <r>
      <rPr>
        <sz val="10"/>
        <color rgb="FF000000"/>
        <rFont val="Noto Sans CJK SC"/>
        <family val="2"/>
      </rPr>
      <t xml:space="preserve">／</t>
    </r>
    <r>
      <rPr>
        <sz val="10"/>
        <color rgb="FF000000"/>
        <rFont val="Arial"/>
        <family val="0"/>
        <charset val="1"/>
      </rPr>
      <t xml:space="preserve">$128</t>
    </r>
  </si>
  <si>
    <t xml:space="preserve">SRC_ZP_369</t>
  </si>
  <si>
    <t xml:space="preserve">cp_usd_pro_list</t>
  </si>
  <si>
    <r>
      <rPr>
        <sz val="10"/>
        <color rgb="FF000000"/>
        <rFont val="Arial"/>
        <family val="0"/>
        <charset val="1"/>
      </rPr>
      <t xml:space="preserve">GLM Coding Plan Pro</t>
    </r>
    <r>
      <rPr>
        <sz val="10"/>
        <color rgb="FF000000"/>
        <rFont val="Noto Sans CJK SC"/>
        <family val="2"/>
      </rPr>
      <t xml:space="preserve">（國際）牌價</t>
    </r>
  </si>
  <si>
    <r>
      <rPr>
        <sz val="10"/>
        <color rgb="FF000000"/>
        <rFont val="Noto Sans CJK SC"/>
        <family val="2"/>
      </rPr>
      <t xml:space="preserve">表列 </t>
    </r>
    <r>
      <rPr>
        <sz val="10"/>
        <color rgb="FF000000"/>
        <rFont val="Arial"/>
        <family val="0"/>
        <charset val="1"/>
      </rPr>
      <t xml:space="preserve">Pro </t>
    </r>
    <r>
      <rPr>
        <sz val="10"/>
        <color rgb="FF000000"/>
        <rFont val="Noto Sans CJK SC"/>
        <family val="2"/>
      </rPr>
      <t xml:space="preserve">牌價 </t>
    </r>
    <r>
      <rPr>
        <sz val="10"/>
        <color rgb="FF000000"/>
        <rFont val="Arial"/>
        <family val="0"/>
        <charset val="1"/>
      </rPr>
      <t xml:space="preserve">$72</t>
    </r>
    <r>
      <rPr>
        <sz val="10"/>
        <color rgb="FF000000"/>
        <rFont val="Noto Sans CJK SC"/>
        <family val="2"/>
      </rPr>
      <t xml:space="preserve">；月付 −</t>
    </r>
    <r>
      <rPr>
        <sz val="10"/>
        <color rgb="FF000000"/>
        <rFont val="Arial"/>
        <family val="0"/>
        <charset val="1"/>
      </rPr>
      <t xml:space="preserve">10% $64.8</t>
    </r>
    <r>
      <rPr>
        <sz val="10"/>
        <color rgb="FF000000"/>
        <rFont val="Noto Sans CJK SC"/>
        <family val="2"/>
      </rPr>
      <t xml:space="preserve">；季付 −</t>
    </r>
    <r>
      <rPr>
        <sz val="10"/>
        <color rgb="FF000000"/>
        <rFont val="Arial"/>
        <family val="0"/>
        <charset val="1"/>
      </rPr>
      <t xml:space="preserve">20% $57.6/</t>
    </r>
    <r>
      <rPr>
        <sz val="10"/>
        <color rgb="FF000000"/>
        <rFont val="Noto Sans CJK SC"/>
        <family val="2"/>
      </rPr>
      <t xml:space="preserve">月；年付 −</t>
    </r>
    <r>
      <rPr>
        <sz val="10"/>
        <color rgb="FF000000"/>
        <rFont val="Arial"/>
        <family val="0"/>
        <charset val="1"/>
      </rPr>
      <t xml:space="preserve">30% $50.4/</t>
    </r>
    <r>
      <rPr>
        <sz val="10"/>
        <color rgb="FF000000"/>
        <rFont val="Noto Sans CJK SC"/>
        <family val="2"/>
      </rPr>
      <t xml:space="preserve">月；</t>
    </r>
    <r>
      <rPr>
        <sz val="10"/>
        <color rgb="FF000000"/>
        <rFont val="Arial"/>
        <family val="0"/>
        <charset val="1"/>
      </rPr>
      <t xml:space="preserve">aipricing.guru 2026-10-07 </t>
    </r>
    <r>
      <rPr>
        <sz val="10"/>
        <color rgb="FF000000"/>
        <rFont val="Noto Sans CJK SC"/>
        <family val="2"/>
      </rPr>
      <t xml:space="preserve">核對同價</t>
    </r>
  </si>
  <si>
    <t xml:space="preserve">SRC_ZP_370</t>
  </si>
  <si>
    <t xml:space="preserve">cp_usd_pro_yr_permonth</t>
  </si>
  <si>
    <r>
      <rPr>
        <sz val="10"/>
        <color rgb="FF000000"/>
        <rFont val="Arial"/>
        <family val="0"/>
        <charset val="1"/>
      </rPr>
      <t xml:space="preserve">GLM Coding Plan Pro</t>
    </r>
    <r>
      <rPr>
        <sz val="10"/>
        <color rgb="FF000000"/>
        <rFont val="Noto Sans CJK SC"/>
        <family val="2"/>
      </rPr>
      <t xml:space="preserve">（國際）年付折合每月</t>
    </r>
  </si>
  <si>
    <t xml:space="preserve">SRC_ZP_371</t>
  </si>
  <si>
    <t xml:space="preserve">cp_usd_max_list</t>
  </si>
  <si>
    <r>
      <rPr>
        <sz val="10"/>
        <color rgb="FF000000"/>
        <rFont val="Arial"/>
        <family val="0"/>
        <charset val="1"/>
      </rPr>
      <t xml:space="preserve">GLM Coding Plan Max</t>
    </r>
    <r>
      <rPr>
        <sz val="10"/>
        <color rgb="FF000000"/>
        <rFont val="Noto Sans CJK SC"/>
        <family val="2"/>
      </rPr>
      <t xml:space="preserve">（國際）牌價</t>
    </r>
  </si>
  <si>
    <r>
      <rPr>
        <sz val="10"/>
        <color rgb="FF000000"/>
        <rFont val="Noto Sans CJK SC"/>
        <family val="2"/>
      </rPr>
      <t xml:space="preserve">表列 </t>
    </r>
    <r>
      <rPr>
        <sz val="10"/>
        <color rgb="FF000000"/>
        <rFont val="Arial"/>
        <family val="0"/>
        <charset val="1"/>
      </rPr>
      <t xml:space="preserve">Max </t>
    </r>
    <r>
      <rPr>
        <sz val="10"/>
        <color rgb="FF000000"/>
        <rFont val="Noto Sans CJK SC"/>
        <family val="2"/>
      </rPr>
      <t xml:space="preserve">牌價 </t>
    </r>
    <r>
      <rPr>
        <sz val="10"/>
        <color rgb="FF000000"/>
        <rFont val="Arial"/>
        <family val="0"/>
        <charset val="1"/>
      </rPr>
      <t xml:space="preserve">$160</t>
    </r>
    <r>
      <rPr>
        <sz val="10"/>
        <color rgb="FF000000"/>
        <rFont val="Noto Sans CJK SC"/>
        <family val="2"/>
      </rPr>
      <t xml:space="preserve">；月付 −</t>
    </r>
    <r>
      <rPr>
        <sz val="10"/>
        <color rgb="FF000000"/>
        <rFont val="Arial"/>
        <family val="0"/>
        <charset val="1"/>
      </rPr>
      <t xml:space="preserve">10% $144</t>
    </r>
    <r>
      <rPr>
        <sz val="10"/>
        <color rgb="FF000000"/>
        <rFont val="Noto Sans CJK SC"/>
        <family val="2"/>
      </rPr>
      <t xml:space="preserve">；季付 −</t>
    </r>
    <r>
      <rPr>
        <sz val="10"/>
        <color rgb="FF000000"/>
        <rFont val="Arial"/>
        <family val="0"/>
        <charset val="1"/>
      </rPr>
      <t xml:space="preserve">20% $128/</t>
    </r>
    <r>
      <rPr>
        <sz val="10"/>
        <color rgb="FF000000"/>
        <rFont val="Noto Sans CJK SC"/>
        <family val="2"/>
      </rPr>
      <t xml:space="preserve">月；年付 −</t>
    </r>
    <r>
      <rPr>
        <sz val="10"/>
        <color rgb="FF000000"/>
        <rFont val="Arial"/>
        <family val="0"/>
        <charset val="1"/>
      </rPr>
      <t xml:space="preserve">30% $112/</t>
    </r>
    <r>
      <rPr>
        <sz val="10"/>
        <color rgb="FF000000"/>
        <rFont val="Noto Sans CJK SC"/>
        <family val="2"/>
      </rPr>
      <t xml:space="preserve">月；</t>
    </r>
    <r>
      <rPr>
        <sz val="10"/>
        <color rgb="FF000000"/>
        <rFont val="Arial"/>
        <family val="0"/>
        <charset val="1"/>
      </rPr>
      <t xml:space="preserve">aipricing.guru 2026-10-07 </t>
    </r>
    <r>
      <rPr>
        <sz val="10"/>
        <color rgb="FF000000"/>
        <rFont val="Noto Sans CJK SC"/>
        <family val="2"/>
      </rPr>
      <t xml:space="preserve">核對同價</t>
    </r>
  </si>
  <si>
    <t xml:space="preserve">SRC_ZP_372</t>
  </si>
  <si>
    <t xml:space="preserve">cp_usd_max_yr_permonth</t>
  </si>
  <si>
    <r>
      <rPr>
        <sz val="10"/>
        <color rgb="FF000000"/>
        <rFont val="Arial"/>
        <family val="0"/>
        <charset val="1"/>
      </rPr>
      <t xml:space="preserve">GLM Coding Plan Max</t>
    </r>
    <r>
      <rPr>
        <sz val="10"/>
        <color rgb="FF000000"/>
        <rFont val="Noto Sans CJK SC"/>
        <family val="2"/>
      </rPr>
      <t xml:space="preserve">（國際）年付折合每月</t>
    </r>
  </si>
  <si>
    <t xml:space="preserve">SRC_ZP_373</t>
  </si>
  <si>
    <t xml:space="preserve">cp_usd_lite_qtr_feb2026</t>
  </si>
  <si>
    <r>
      <rPr>
        <sz val="10"/>
        <color rgb="FF000000"/>
        <rFont val="Arial"/>
        <family val="0"/>
        <charset val="1"/>
      </rPr>
      <t xml:space="preserve">GLM Coding Plan Lite</t>
    </r>
    <r>
      <rPr>
        <sz val="10"/>
        <color rgb="FF000000"/>
        <rFont val="Noto Sans CJK SC"/>
        <family val="2"/>
      </rPr>
      <t xml:space="preserve">（國際）</t>
    </r>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07 </t>
    </r>
    <r>
      <rPr>
        <sz val="10"/>
        <color rgb="FF000000"/>
        <rFont val="Noto Sans CJK SC"/>
        <family val="2"/>
      </rPr>
      <t xml:space="preserve">季付價</t>
    </r>
  </si>
  <si>
    <r>
      <rPr>
        <sz val="10"/>
        <color rgb="FF000000"/>
        <rFont val="Arial"/>
        <family val="0"/>
        <charset val="1"/>
      </rPr>
      <t xml:space="preserve">USD</t>
    </r>
    <r>
      <rPr>
        <sz val="10"/>
        <color rgb="FF000000"/>
        <rFont val="Noto Sans CJK SC"/>
        <family val="2"/>
      </rPr>
      <t xml:space="preserve">／季</t>
    </r>
  </si>
  <si>
    <r>
      <rPr>
        <sz val="10"/>
        <color rgb="FF000000"/>
        <rFont val="Arial"/>
        <family val="0"/>
        <charset val="1"/>
      </rPr>
      <t xml:space="preserve">2026-02-11</t>
    </r>
    <r>
      <rPr>
        <sz val="10"/>
        <color rgb="FF000000"/>
        <rFont val="Noto Sans CJK SC"/>
        <family val="2"/>
      </rPr>
      <t xml:space="preserve">～</t>
    </r>
    <r>
      <rPr>
        <sz val="10"/>
        <color rgb="FF000000"/>
        <rFont val="Arial"/>
        <family val="0"/>
        <charset val="1"/>
      </rPr>
      <t xml:space="preserve">2026-07</t>
    </r>
  </si>
  <si>
    <r>
      <rPr>
        <sz val="10"/>
        <color rgb="FF000000"/>
        <rFont val="Arial"/>
        <family val="0"/>
        <charset val="1"/>
      </rPr>
      <t xml:space="preserve">UsagePricing</t>
    </r>
    <r>
      <rPr>
        <sz val="10"/>
        <color rgb="FF000000"/>
        <rFont val="Noto Sans CJK SC"/>
        <family val="2"/>
      </rPr>
      <t xml:space="preserve">〈</t>
    </r>
    <r>
      <rPr>
        <sz val="10"/>
        <color rgb="FF000000"/>
        <rFont val="Arial"/>
        <family val="0"/>
        <charset val="1"/>
      </rPr>
      <t xml:space="preserve">2026-07-22 price change</t>
    </r>
    <r>
      <rPr>
        <sz val="10"/>
        <color rgb="FF000000"/>
        <rFont val="Noto Sans CJK SC"/>
        <family val="2"/>
      </rPr>
      <t xml:space="preserve">〉（</t>
    </r>
    <r>
      <rPr>
        <sz val="10"/>
        <color rgb="FF000000"/>
        <rFont val="Arial"/>
        <family val="0"/>
        <charset val="1"/>
      </rPr>
      <t xml:space="preserve">before </t>
    </r>
    <r>
      <rPr>
        <sz val="10"/>
        <color rgb="FF000000"/>
        <rFont val="Noto Sans CJK SC"/>
        <family val="2"/>
      </rPr>
      <t xml:space="preserve">欄）</t>
    </r>
  </si>
  <si>
    <r>
      <rPr>
        <sz val="10"/>
        <color rgb="FF000000"/>
        <rFont val="Arial"/>
        <family val="0"/>
        <charset val="1"/>
      </rPr>
      <t xml:space="preserve">before</t>
    </r>
    <r>
      <rPr>
        <sz val="10"/>
        <color rgb="FF000000"/>
        <rFont val="Noto Sans CJK SC"/>
        <family val="2"/>
      </rPr>
      <t xml:space="preserve">：約 </t>
    </r>
    <r>
      <rPr>
        <sz val="10"/>
        <color rgb="FF000000"/>
        <rFont val="Arial"/>
        <family val="0"/>
        <charset val="1"/>
      </rPr>
      <t xml:space="preserve">$30/</t>
    </r>
    <r>
      <rPr>
        <sz val="10"/>
        <color rgb="FF000000"/>
        <rFont val="Noto Sans CJK SC"/>
        <family val="2"/>
      </rPr>
      <t xml:space="preserve">季（約 </t>
    </r>
    <r>
      <rPr>
        <sz val="10"/>
        <color rgb="FF000000"/>
        <rFont val="Arial"/>
        <family val="0"/>
        <charset val="1"/>
      </rPr>
      <t xml:space="preserve">$10/</t>
    </r>
    <r>
      <rPr>
        <sz val="10"/>
        <color rgb="FF000000"/>
        <rFont val="Noto Sans CJK SC"/>
        <family val="2"/>
      </rPr>
      <t xml:space="preserve">月）；</t>
    </r>
    <r>
      <rPr>
        <sz val="10"/>
        <color rgb="FF000000"/>
        <rFont val="Arial"/>
        <family val="0"/>
        <charset val="1"/>
      </rPr>
      <t xml:space="preserve">Labmemo 2026-04 </t>
    </r>
    <r>
      <rPr>
        <sz val="10"/>
        <color rgb="FF000000"/>
        <rFont val="Noto Sans CJK SC"/>
        <family val="2"/>
      </rPr>
      <t xml:space="preserve">同列 </t>
    </r>
    <r>
      <rPr>
        <sz val="10"/>
        <color rgb="FF000000"/>
        <rFont val="Arial"/>
        <family val="0"/>
        <charset val="1"/>
      </rPr>
      <t xml:space="preserve">$30/$90/$240 </t>
    </r>
    <r>
      <rPr>
        <sz val="10"/>
        <color rgb="FF000000"/>
        <rFont val="Noto Sans CJK SC"/>
        <family val="2"/>
      </rPr>
      <t xml:space="preserve">季付</t>
    </r>
  </si>
  <si>
    <t xml:space="preserve">SRC_ZP_374</t>
  </si>
  <si>
    <t xml:space="preserve">cp_usd_pro_qtr_feb2026</t>
  </si>
  <si>
    <r>
      <rPr>
        <sz val="10"/>
        <color rgb="FF000000"/>
        <rFont val="Arial"/>
        <family val="0"/>
        <charset val="1"/>
      </rPr>
      <t xml:space="preserve">GLM Coding Plan Pro</t>
    </r>
    <r>
      <rPr>
        <sz val="10"/>
        <color rgb="FF000000"/>
        <rFont val="Noto Sans CJK SC"/>
        <family val="2"/>
      </rPr>
      <t xml:space="preserve">（國際）</t>
    </r>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07 </t>
    </r>
    <r>
      <rPr>
        <sz val="10"/>
        <color rgb="FF000000"/>
        <rFont val="Noto Sans CJK SC"/>
        <family val="2"/>
      </rPr>
      <t xml:space="preserve">季付價</t>
    </r>
  </si>
  <si>
    <r>
      <rPr>
        <sz val="10"/>
        <color rgb="FF000000"/>
        <rFont val="Arial"/>
        <family val="0"/>
        <charset val="1"/>
      </rPr>
      <t xml:space="preserve">before</t>
    </r>
    <r>
      <rPr>
        <sz val="10"/>
        <color rgb="FF000000"/>
        <rFont val="Noto Sans CJK SC"/>
        <family val="2"/>
      </rPr>
      <t xml:space="preserve">：約 </t>
    </r>
    <r>
      <rPr>
        <sz val="10"/>
        <color rgb="FF000000"/>
        <rFont val="Arial"/>
        <family val="0"/>
        <charset val="1"/>
      </rPr>
      <t xml:space="preserve">$90/</t>
    </r>
    <r>
      <rPr>
        <sz val="10"/>
        <color rgb="FF000000"/>
        <rFont val="Noto Sans CJK SC"/>
        <family val="2"/>
      </rPr>
      <t xml:space="preserve">季（約 </t>
    </r>
    <r>
      <rPr>
        <sz val="10"/>
        <color rgb="FF000000"/>
        <rFont val="Arial"/>
        <family val="0"/>
        <charset val="1"/>
      </rPr>
      <t xml:space="preserve">$30/</t>
    </r>
    <r>
      <rPr>
        <sz val="10"/>
        <color rgb="FF000000"/>
        <rFont val="Noto Sans CJK SC"/>
        <family val="2"/>
      </rPr>
      <t xml:space="preserve">月）；</t>
    </r>
    <r>
      <rPr>
        <sz val="10"/>
        <color rgb="FF000000"/>
        <rFont val="Arial"/>
        <family val="0"/>
        <charset val="1"/>
      </rPr>
      <t xml:space="preserve">Labmemo 2026-04 </t>
    </r>
    <r>
      <rPr>
        <sz val="10"/>
        <color rgb="FF000000"/>
        <rFont val="Noto Sans CJK SC"/>
        <family val="2"/>
      </rPr>
      <t xml:space="preserve">同列 </t>
    </r>
    <r>
      <rPr>
        <sz val="10"/>
        <color rgb="FF000000"/>
        <rFont val="Arial"/>
        <family val="0"/>
        <charset val="1"/>
      </rPr>
      <t xml:space="preserve">$30/$90/$240 </t>
    </r>
    <r>
      <rPr>
        <sz val="10"/>
        <color rgb="FF000000"/>
        <rFont val="Noto Sans CJK SC"/>
        <family val="2"/>
      </rPr>
      <t xml:space="preserve">季付</t>
    </r>
  </si>
  <si>
    <t xml:space="preserve">SRC_ZP_375</t>
  </si>
  <si>
    <t xml:space="preserve">cp_usd_max_qtr_feb2026</t>
  </si>
  <si>
    <r>
      <rPr>
        <sz val="10"/>
        <color rgb="FF000000"/>
        <rFont val="Arial"/>
        <family val="0"/>
        <charset val="1"/>
      </rPr>
      <t xml:space="preserve">GLM Coding Plan Max</t>
    </r>
    <r>
      <rPr>
        <sz val="10"/>
        <color rgb="FF000000"/>
        <rFont val="Noto Sans CJK SC"/>
        <family val="2"/>
      </rPr>
      <t xml:space="preserve">（國際）</t>
    </r>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07 </t>
    </r>
    <r>
      <rPr>
        <sz val="10"/>
        <color rgb="FF000000"/>
        <rFont val="Noto Sans CJK SC"/>
        <family val="2"/>
      </rPr>
      <t xml:space="preserve">季付價</t>
    </r>
  </si>
  <si>
    <r>
      <rPr>
        <sz val="10"/>
        <color rgb="FF000000"/>
        <rFont val="Arial"/>
        <family val="0"/>
        <charset val="1"/>
      </rPr>
      <t xml:space="preserve">before</t>
    </r>
    <r>
      <rPr>
        <sz val="10"/>
        <color rgb="FF000000"/>
        <rFont val="Noto Sans CJK SC"/>
        <family val="2"/>
      </rPr>
      <t xml:space="preserve">：約 </t>
    </r>
    <r>
      <rPr>
        <sz val="10"/>
        <color rgb="FF000000"/>
        <rFont val="Arial"/>
        <family val="0"/>
        <charset val="1"/>
      </rPr>
      <t xml:space="preserve">$240/</t>
    </r>
    <r>
      <rPr>
        <sz val="10"/>
        <color rgb="FF000000"/>
        <rFont val="Noto Sans CJK SC"/>
        <family val="2"/>
      </rPr>
      <t xml:space="preserve">季（約 </t>
    </r>
    <r>
      <rPr>
        <sz val="10"/>
        <color rgb="FF000000"/>
        <rFont val="Arial"/>
        <family val="0"/>
        <charset val="1"/>
      </rPr>
      <t xml:space="preserve">$80/</t>
    </r>
    <r>
      <rPr>
        <sz val="10"/>
        <color rgb="FF000000"/>
        <rFont val="Noto Sans CJK SC"/>
        <family val="2"/>
      </rPr>
      <t xml:space="preserve">月）；</t>
    </r>
    <r>
      <rPr>
        <sz val="10"/>
        <color rgb="FF000000"/>
        <rFont val="Arial"/>
        <family val="0"/>
        <charset val="1"/>
      </rPr>
      <t xml:space="preserve">Labmemo 2026-04 </t>
    </r>
    <r>
      <rPr>
        <sz val="10"/>
        <color rgb="FF000000"/>
        <rFont val="Noto Sans CJK SC"/>
        <family val="2"/>
      </rPr>
      <t xml:space="preserve">同列 </t>
    </r>
    <r>
      <rPr>
        <sz val="10"/>
        <color rgb="FF000000"/>
        <rFont val="Arial"/>
        <family val="0"/>
        <charset val="1"/>
      </rPr>
      <t xml:space="preserve">$30/$90/$240 </t>
    </r>
    <r>
      <rPr>
        <sz val="10"/>
        <color rgb="FF000000"/>
        <rFont val="Noto Sans CJK SC"/>
        <family val="2"/>
      </rPr>
      <t xml:space="preserve">季付</t>
    </r>
  </si>
  <si>
    <t xml:space="preserve">SRC_ZP_376</t>
  </si>
  <si>
    <t xml:space="preserve">cp_quota_lite_5h</t>
  </si>
  <si>
    <r>
      <rPr>
        <sz val="10"/>
        <color rgb="FF000000"/>
        <rFont val="Arial"/>
        <family val="0"/>
        <charset val="1"/>
      </rPr>
      <t xml:space="preserve">Coding Plan Lite </t>
    </r>
    <r>
      <rPr>
        <sz val="10"/>
        <color rgb="FF000000"/>
        <rFont val="Noto Sans CJK SC"/>
        <family val="2"/>
      </rPr>
      <t xml:space="preserve">額度（每 </t>
    </r>
    <r>
      <rPr>
        <sz val="10"/>
        <color rgb="FF000000"/>
        <rFont val="Arial"/>
        <family val="0"/>
        <charset val="1"/>
      </rPr>
      <t xml:space="preserve">5 </t>
    </r>
    <r>
      <rPr>
        <sz val="10"/>
        <color rgb="FF000000"/>
        <rFont val="Noto Sans CJK SC"/>
        <family val="2"/>
      </rPr>
      <t xml:space="preserve">小時）</t>
    </r>
  </si>
  <si>
    <r>
      <rPr>
        <sz val="10"/>
        <color rgb="FF000000"/>
        <rFont val="Arial"/>
        <family val="0"/>
        <charset val="1"/>
      </rPr>
      <t xml:space="preserve">prompts</t>
    </r>
    <r>
      <rPr>
        <sz val="10"/>
        <color rgb="FF000000"/>
        <rFont val="Noto Sans CJK SC"/>
        <family val="2"/>
      </rPr>
      <t xml:space="preserve">／</t>
    </r>
    <r>
      <rPr>
        <sz val="10"/>
        <color rgb="FF000000"/>
        <rFont val="Arial"/>
        <family val="0"/>
        <charset val="1"/>
      </rPr>
      <t xml:space="preserve">5 </t>
    </r>
    <r>
      <rPr>
        <sz val="10"/>
        <color rgb="FF000000"/>
        <rFont val="Noto Sans CJK SC"/>
        <family val="2"/>
      </rPr>
      <t xml:space="preserve">小時</t>
    </r>
  </si>
  <si>
    <r>
      <rPr>
        <sz val="10"/>
        <color rgb="FF000000"/>
        <rFont val="Arial"/>
        <family val="0"/>
        <charset val="1"/>
      </rPr>
      <t xml:space="preserve">2026-04-30 </t>
    </r>
    <r>
      <rPr>
        <sz val="10"/>
        <color rgb="FF000000"/>
        <rFont val="Noto Sans CJK SC"/>
        <family val="2"/>
      </rPr>
      <t xml:space="preserve">起</t>
    </r>
  </si>
  <si>
    <r>
      <rPr>
        <sz val="10"/>
        <color rgb="FF000000"/>
        <rFont val="Arial"/>
        <family val="0"/>
        <charset val="1"/>
      </rPr>
      <t xml:space="preserve">Lite ~80</t>
    </r>
    <r>
      <rPr>
        <sz val="10"/>
        <color rgb="FF000000"/>
        <rFont val="Noto Sans CJK SC"/>
        <family val="2"/>
      </rPr>
      <t xml:space="preserve">／</t>
    </r>
    <r>
      <rPr>
        <sz val="10"/>
        <color rgb="FF000000"/>
        <rFont val="Arial"/>
        <family val="0"/>
        <charset val="1"/>
      </rPr>
      <t xml:space="preserve">5h</t>
    </r>
    <r>
      <rPr>
        <sz val="10"/>
        <color rgb="FF000000"/>
        <rFont val="Noto Sans CJK SC"/>
        <family val="2"/>
      </rPr>
      <t xml:space="preserve">、</t>
    </r>
    <r>
      <rPr>
        <sz val="10"/>
        <color rgb="FF000000"/>
        <rFont val="Arial"/>
        <family val="0"/>
        <charset val="1"/>
      </rPr>
      <t xml:space="preserve">~400</t>
    </r>
    <r>
      <rPr>
        <sz val="10"/>
        <color rgb="FF000000"/>
        <rFont val="Noto Sans CJK SC"/>
        <family val="2"/>
      </rPr>
      <t xml:space="preserve">／週；</t>
    </r>
    <r>
      <rPr>
        <sz val="10"/>
        <color rgb="FF000000"/>
        <rFont val="Arial"/>
        <family val="0"/>
        <charset val="1"/>
      </rPr>
      <t xml:space="preserve">Pro ~400</t>
    </r>
    <r>
      <rPr>
        <sz val="10"/>
        <color rgb="FF000000"/>
        <rFont val="Noto Sans CJK SC"/>
        <family val="2"/>
      </rPr>
      <t xml:space="preserve">／</t>
    </r>
    <r>
      <rPr>
        <sz val="10"/>
        <color rgb="FF000000"/>
        <rFont val="Arial"/>
        <family val="0"/>
        <charset val="1"/>
      </rPr>
      <t xml:space="preserve">~2000</t>
    </r>
    <r>
      <rPr>
        <sz val="10"/>
        <color rgb="FF000000"/>
        <rFont val="Noto Sans CJK SC"/>
        <family val="2"/>
      </rPr>
      <t xml:space="preserve">；</t>
    </r>
    <r>
      <rPr>
        <sz val="10"/>
        <color rgb="FF000000"/>
        <rFont val="Arial"/>
        <family val="0"/>
        <charset val="1"/>
      </rPr>
      <t xml:space="preserve">Max ~1600</t>
    </r>
    <r>
      <rPr>
        <sz val="10"/>
        <color rgb="FF000000"/>
        <rFont val="Noto Sans CJK SC"/>
        <family val="2"/>
      </rPr>
      <t xml:space="preserve">／</t>
    </r>
    <r>
      <rPr>
        <sz val="10"/>
        <color rgb="FF000000"/>
        <rFont val="Arial"/>
        <family val="0"/>
        <charset val="1"/>
      </rPr>
      <t xml:space="preserve">~8000</t>
    </r>
    <r>
      <rPr>
        <sz val="10"/>
        <color rgb="FF000000"/>
        <rFont val="Noto Sans CJK SC"/>
        <family val="2"/>
      </rPr>
      <t xml:space="preserve">；每 </t>
    </r>
    <r>
      <rPr>
        <sz val="10"/>
        <color rgb="FF000000"/>
        <rFont val="Arial"/>
        <family val="0"/>
        <charset val="1"/>
      </rPr>
      <t xml:space="preserve">prompt </t>
    </r>
    <r>
      <rPr>
        <sz val="10"/>
        <color rgb="FF000000"/>
        <rFont val="Noto Sans CJK SC"/>
        <family val="2"/>
      </rPr>
      <t xml:space="preserve">約 </t>
    </r>
    <r>
      <rPr>
        <sz val="10"/>
        <color rgb="FF000000"/>
        <rFont val="Arial"/>
        <family val="0"/>
        <charset val="1"/>
      </rPr>
      <t xml:space="preserve">15–20 </t>
    </r>
    <r>
      <rPr>
        <sz val="10"/>
        <color rgb="FF000000"/>
        <rFont val="Noto Sans CJK SC"/>
        <family val="2"/>
      </rPr>
      <t xml:space="preserve">次模型呼叫</t>
    </r>
  </si>
  <si>
    <t xml:space="preserve">SRC_ZP_377</t>
  </si>
  <si>
    <t xml:space="preserve">cp_quota_pro_5h</t>
  </si>
  <si>
    <r>
      <rPr>
        <sz val="10"/>
        <color rgb="FF000000"/>
        <rFont val="Arial"/>
        <family val="0"/>
        <charset val="1"/>
      </rPr>
      <t xml:space="preserve">Coding Plan Pro </t>
    </r>
    <r>
      <rPr>
        <sz val="10"/>
        <color rgb="FF000000"/>
        <rFont val="Noto Sans CJK SC"/>
        <family val="2"/>
      </rPr>
      <t xml:space="preserve">額度（每 </t>
    </r>
    <r>
      <rPr>
        <sz val="10"/>
        <color rgb="FF000000"/>
        <rFont val="Arial"/>
        <family val="0"/>
        <charset val="1"/>
      </rPr>
      <t xml:space="preserve">5 </t>
    </r>
    <r>
      <rPr>
        <sz val="10"/>
        <color rgb="FF000000"/>
        <rFont val="Noto Sans CJK SC"/>
        <family val="2"/>
      </rPr>
      <t xml:space="preserve">小時）</t>
    </r>
  </si>
  <si>
    <r>
      <rPr>
        <sz val="10"/>
        <color rgb="FF000000"/>
        <rFont val="Arial"/>
        <family val="0"/>
        <charset val="1"/>
      </rPr>
      <t xml:space="preserve">Pro</t>
    </r>
    <r>
      <rPr>
        <sz val="10"/>
        <color rgb="FF000000"/>
        <rFont val="Noto Sans CJK SC"/>
        <family val="2"/>
      </rPr>
      <t xml:space="preserve">＝</t>
    </r>
    <r>
      <rPr>
        <sz val="10"/>
        <color rgb="FF000000"/>
        <rFont val="Arial"/>
        <family val="0"/>
        <charset val="1"/>
      </rPr>
      <t xml:space="preserve">5× Lite</t>
    </r>
    <r>
      <rPr>
        <sz val="10"/>
        <color rgb="FF000000"/>
        <rFont val="Noto Sans CJK SC"/>
        <family val="2"/>
      </rPr>
      <t xml:space="preserve">；週 </t>
    </r>
    <r>
      <rPr>
        <sz val="10"/>
        <color rgb="FF000000"/>
        <rFont val="Arial"/>
        <family val="0"/>
        <charset val="1"/>
      </rPr>
      <t xml:space="preserve">~2000</t>
    </r>
  </si>
  <si>
    <t xml:space="preserve">SRC_ZP_378</t>
  </si>
  <si>
    <t xml:space="preserve">cp_quota_max_5h</t>
  </si>
  <si>
    <r>
      <rPr>
        <sz val="10"/>
        <color rgb="FF000000"/>
        <rFont val="Arial"/>
        <family val="0"/>
        <charset val="1"/>
      </rPr>
      <t xml:space="preserve">Coding Plan Max </t>
    </r>
    <r>
      <rPr>
        <sz val="10"/>
        <color rgb="FF000000"/>
        <rFont val="Noto Sans CJK SC"/>
        <family val="2"/>
      </rPr>
      <t xml:space="preserve">額度（每 </t>
    </r>
    <r>
      <rPr>
        <sz val="10"/>
        <color rgb="FF000000"/>
        <rFont val="Arial"/>
        <family val="0"/>
        <charset val="1"/>
      </rPr>
      <t xml:space="preserve">5 </t>
    </r>
    <r>
      <rPr>
        <sz val="10"/>
        <color rgb="FF000000"/>
        <rFont val="Noto Sans CJK SC"/>
        <family val="2"/>
      </rPr>
      <t xml:space="preserve">小時）</t>
    </r>
  </si>
  <si>
    <r>
      <rPr>
        <sz val="10"/>
        <color rgb="FF000000"/>
        <rFont val="Arial"/>
        <family val="0"/>
        <charset val="1"/>
      </rPr>
      <t xml:space="preserve">Max</t>
    </r>
    <r>
      <rPr>
        <sz val="10"/>
        <color rgb="FF000000"/>
        <rFont val="Noto Sans CJK SC"/>
        <family val="2"/>
      </rPr>
      <t xml:space="preserve">＝</t>
    </r>
    <r>
      <rPr>
        <sz val="10"/>
        <color rgb="FF000000"/>
        <rFont val="Arial"/>
        <family val="0"/>
        <charset val="1"/>
      </rPr>
      <t xml:space="preserve">20× Lite</t>
    </r>
    <r>
      <rPr>
        <sz val="10"/>
        <color rgb="FF000000"/>
        <rFont val="Noto Sans CJK SC"/>
        <family val="2"/>
      </rPr>
      <t xml:space="preserve">；週 </t>
    </r>
    <r>
      <rPr>
        <sz val="10"/>
        <color rgb="FF000000"/>
        <rFont val="Arial"/>
        <family val="0"/>
        <charset val="1"/>
      </rPr>
      <t xml:space="preserve">~8000</t>
    </r>
  </si>
  <si>
    <t xml:space="preserve">SRC_ZP_379</t>
  </si>
  <si>
    <t xml:space="preserve">cp_calls_per_prompt</t>
  </si>
  <si>
    <r>
      <rPr>
        <sz val="10"/>
        <color rgb="FF000000"/>
        <rFont val="Noto Sans CJK SC"/>
        <family val="2"/>
      </rPr>
      <t xml:space="preserve">每 </t>
    </r>
    <r>
      <rPr>
        <sz val="10"/>
        <color rgb="FF000000"/>
        <rFont val="Arial"/>
        <family val="0"/>
        <charset val="1"/>
      </rPr>
      <t xml:space="preserve">prompt </t>
    </r>
    <r>
      <rPr>
        <sz val="10"/>
        <color rgb="FF000000"/>
        <rFont val="Noto Sans CJK SC"/>
        <family val="2"/>
      </rPr>
      <t xml:space="preserve">對應模型呼叫次數</t>
    </r>
  </si>
  <si>
    <t xml:space="preserve">次</t>
  </si>
  <si>
    <r>
      <rPr>
        <sz val="10"/>
        <color rgb="FF000000"/>
        <rFont val="Noto Sans CJK SC"/>
        <family val="2"/>
      </rPr>
      <t xml:space="preserve">原文每 </t>
    </r>
    <r>
      <rPr>
        <sz val="10"/>
        <color rgb="FF000000"/>
        <rFont val="Arial"/>
        <family val="0"/>
        <charset val="1"/>
      </rPr>
      <t xml:space="preserve">prompt</t>
    </r>
    <r>
      <rPr>
        <sz val="10"/>
        <color rgb="FF000000"/>
        <rFont val="Noto Sans CJK SC"/>
        <family val="2"/>
      </rPr>
      <t xml:space="preserve">「預計可調用模型 </t>
    </r>
    <r>
      <rPr>
        <sz val="10"/>
        <color rgb="FF000000"/>
        <rFont val="Arial"/>
        <family val="0"/>
        <charset val="1"/>
      </rPr>
      <t xml:space="preserve">15–20 </t>
    </r>
    <r>
      <rPr>
        <sz val="10"/>
        <color rgb="FF000000"/>
        <rFont val="Noto Sans CJK SC"/>
        <family val="2"/>
      </rPr>
      <t xml:space="preserve">次」；公司估計</t>
    </r>
  </si>
  <si>
    <t xml:space="preserve">SRC_ZP_380</t>
  </si>
  <si>
    <t xml:space="preserve">qy_iap_auto_month</t>
  </si>
  <si>
    <r>
      <rPr>
        <sz val="10"/>
        <color rgb="FF000000"/>
        <rFont val="Noto Sans CJK SC"/>
        <family val="2"/>
      </rPr>
      <t xml:space="preserve">清言連續包月會員（</t>
    </r>
    <r>
      <rPr>
        <sz val="10"/>
        <color rgb="FF000000"/>
        <rFont val="Arial"/>
        <family val="0"/>
        <charset val="1"/>
      </rPr>
      <t xml:space="preserve">App </t>
    </r>
    <r>
      <rPr>
        <sz val="10"/>
        <color rgb="FF000000"/>
        <rFont val="Noto Sans CJK SC"/>
        <family val="2"/>
      </rPr>
      <t xml:space="preserve">內購）</t>
    </r>
  </si>
  <si>
    <r>
      <rPr>
        <sz val="10"/>
        <color rgb="FF000000"/>
        <rFont val="Arial"/>
        <family val="0"/>
        <charset val="1"/>
      </rPr>
      <t xml:space="preserve">2026-10</t>
    </r>
    <r>
      <rPr>
        <sz val="10"/>
        <color rgb="FF000000"/>
        <rFont val="Noto Sans CJK SC"/>
        <family val="2"/>
      </rPr>
      <t xml:space="preserve">（</t>
    </r>
    <r>
      <rPr>
        <sz val="10"/>
        <color rgb="FF000000"/>
        <rFont val="Arial"/>
        <family val="0"/>
        <charset val="1"/>
      </rPr>
      <t xml:space="preserve">App Store </t>
    </r>
    <r>
      <rPr>
        <sz val="10"/>
        <color rgb="FF000000"/>
        <rFont val="Noto Sans CJK SC"/>
        <family val="2"/>
      </rPr>
      <t xml:space="preserve">現行）</t>
    </r>
  </si>
  <si>
    <r>
      <rPr>
        <sz val="10"/>
        <color rgb="FF000000"/>
        <rFont val="Arial"/>
        <family val="0"/>
        <charset val="1"/>
      </rPr>
      <t xml:space="preserve">Apple App Store </t>
    </r>
    <r>
      <rPr>
        <sz val="10"/>
        <color rgb="FF000000"/>
        <rFont val="Noto Sans CJK SC"/>
        <family val="2"/>
      </rPr>
      <t xml:space="preserve">中國區「智譜清言」頁</t>
    </r>
  </si>
  <si>
    <t xml:space="preserve">https://apps.apple.com/cn/app/%E6%99%BA%E8%B0%B1%E6%B8%85%E8%A8%80-%E5%B7%A5%E4%BD%9C%E7%94%9F%E6%B4%BB%E5%AD%A6%E4%B9%A0ai%E5%8A%A9%E6%89%8B/id6450893458</t>
  </si>
  <si>
    <r>
      <rPr>
        <sz val="10"/>
        <color rgb="FF000000"/>
        <rFont val="Arial"/>
        <family val="0"/>
        <charset val="1"/>
      </rPr>
      <t xml:space="preserve">App </t>
    </r>
    <r>
      <rPr>
        <sz val="10"/>
        <color rgb="FF000000"/>
        <rFont val="Noto Sans CJK SC"/>
        <family val="2"/>
      </rPr>
      <t xml:space="preserve">內購買列「連續包月會員 </t>
    </r>
    <r>
      <rPr>
        <sz val="10"/>
        <color rgb="FF000000"/>
        <rFont val="Arial"/>
        <family val="0"/>
        <charset val="1"/>
      </rPr>
      <t xml:space="preserve">¥79.00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</si>
  <si>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SRC_ZP_381</t>
  </si>
  <si>
    <t xml:space="preserve">qy_iap_auto_qtr</t>
  </si>
  <si>
    <r>
      <rPr>
        <sz val="10"/>
        <color rgb="FF000000"/>
        <rFont val="Noto Sans CJK SC"/>
        <family val="2"/>
      </rPr>
      <t xml:space="preserve">清言連續包季會員（</t>
    </r>
    <r>
      <rPr>
        <sz val="10"/>
        <color rgb="FF000000"/>
        <rFont val="Arial"/>
        <family val="0"/>
        <charset val="1"/>
      </rPr>
      <t xml:space="preserve">App </t>
    </r>
    <r>
      <rPr>
        <sz val="10"/>
        <color rgb="FF000000"/>
        <rFont val="Noto Sans CJK SC"/>
        <family val="2"/>
      </rPr>
      <t xml:space="preserve">內購）</t>
    </r>
  </si>
  <si>
    <r>
      <rPr>
        <sz val="10"/>
        <color rgb="FF000000"/>
        <rFont val="Noto Sans CJK SC"/>
        <family val="2"/>
      </rPr>
      <t xml:space="preserve">「連續包季會員 </t>
    </r>
    <r>
      <rPr>
        <sz val="10"/>
        <color rgb="FF000000"/>
        <rFont val="Arial"/>
        <family val="0"/>
        <charset val="1"/>
      </rPr>
      <t xml:space="preserve">¥219.00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</si>
  <si>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SRC_ZP_382</t>
  </si>
  <si>
    <t xml:space="preserve">qy_iap_auto_year</t>
  </si>
  <si>
    <r>
      <rPr>
        <sz val="10"/>
        <color rgb="FF000000"/>
        <rFont val="Noto Sans CJK SC"/>
        <family val="2"/>
      </rPr>
      <t xml:space="preserve">清言連續包年會員（</t>
    </r>
    <r>
      <rPr>
        <sz val="10"/>
        <color rgb="FF000000"/>
        <rFont val="Arial"/>
        <family val="0"/>
        <charset val="1"/>
      </rPr>
      <t xml:space="preserve">App </t>
    </r>
    <r>
      <rPr>
        <sz val="10"/>
        <color rgb="FF000000"/>
        <rFont val="Noto Sans CJK SC"/>
        <family val="2"/>
      </rPr>
      <t xml:space="preserve">內購）</t>
    </r>
  </si>
  <si>
    <r>
      <rPr>
        <sz val="10"/>
        <color rgb="FF000000"/>
        <rFont val="Noto Sans CJK SC"/>
        <family val="2"/>
      </rPr>
      <t xml:space="preserve">「連續包年會員 </t>
    </r>
    <r>
      <rPr>
        <sz val="10"/>
        <color rgb="FF000000"/>
        <rFont val="Arial"/>
        <family val="0"/>
        <charset val="1"/>
      </rPr>
      <t xml:space="preserve">¥859.00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</si>
  <si>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SRC_ZP_383</t>
  </si>
  <si>
    <t xml:space="preserve">qy_iap_month_card</t>
  </si>
  <si>
    <r>
      <rPr>
        <sz val="10"/>
        <color rgb="FF000000"/>
        <rFont val="Noto Sans CJK SC"/>
        <family val="2"/>
      </rPr>
      <t xml:space="preserve">清言月卡會員（</t>
    </r>
    <r>
      <rPr>
        <sz val="10"/>
        <color rgb="FF000000"/>
        <rFont val="Arial"/>
        <family val="0"/>
        <charset val="1"/>
      </rPr>
      <t xml:space="preserve">App </t>
    </r>
    <r>
      <rPr>
        <sz val="10"/>
        <color rgb="FF000000"/>
        <rFont val="Noto Sans CJK SC"/>
        <family val="2"/>
      </rPr>
      <t xml:space="preserve">內購）</t>
    </r>
  </si>
  <si>
    <r>
      <rPr>
        <sz val="10"/>
        <color rgb="FF000000"/>
        <rFont val="Noto Sans CJK SC"/>
        <family val="2"/>
      </rPr>
      <t xml:space="preserve">「清言月卡會員 </t>
    </r>
    <r>
      <rPr>
        <sz val="10"/>
        <color rgb="FF000000"/>
        <rFont val="Arial"/>
        <family val="0"/>
        <charset val="1"/>
      </rPr>
      <t xml:space="preserve">¥119.00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</si>
  <si>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SRC_ZP_384</t>
  </si>
  <si>
    <t xml:space="preserve">qy_iap_svip_month</t>
  </si>
  <si>
    <r>
      <rPr>
        <sz val="10"/>
        <color rgb="FF000000"/>
        <rFont val="Noto Sans CJK SC"/>
        <family val="2"/>
      </rPr>
      <t xml:space="preserve">清言 </t>
    </r>
    <r>
      <rPr>
        <sz val="10"/>
        <color rgb="FF000000"/>
        <rFont val="Arial"/>
        <family val="0"/>
        <charset val="1"/>
      </rPr>
      <t xml:space="preserve">SVIP </t>
    </r>
    <r>
      <rPr>
        <sz val="10"/>
        <color rgb="FF000000"/>
        <rFont val="Noto Sans CJK SC"/>
        <family val="2"/>
      </rPr>
      <t xml:space="preserve">連續包月（</t>
    </r>
    <r>
      <rPr>
        <sz val="10"/>
        <color rgb="FF000000"/>
        <rFont val="Arial"/>
        <family val="0"/>
        <charset val="1"/>
      </rPr>
      <t xml:space="preserve">App </t>
    </r>
    <r>
      <rPr>
        <sz val="10"/>
        <color rgb="FF000000"/>
        <rFont val="Noto Sans CJK SC"/>
        <family val="2"/>
      </rPr>
      <t xml:space="preserve">內購）</t>
    </r>
  </si>
  <si>
    <r>
      <rPr>
        <sz val="10"/>
        <color rgb="FF000000"/>
        <rFont val="Noto Sans CJK SC"/>
        <family val="2"/>
      </rPr>
      <t xml:space="preserve">「清言</t>
    </r>
    <r>
      <rPr>
        <sz val="10"/>
        <color rgb="FF000000"/>
        <rFont val="Arial"/>
        <family val="0"/>
        <charset val="1"/>
      </rPr>
      <t xml:space="preserve">SVIP</t>
    </r>
    <r>
      <rPr>
        <sz val="10"/>
        <color rgb="FF000000"/>
        <rFont val="Noto Sans CJK SC"/>
        <family val="2"/>
      </rPr>
      <t xml:space="preserve">連續包月 </t>
    </r>
    <r>
      <rPr>
        <sz val="10"/>
        <color rgb="FF000000"/>
        <rFont val="Arial"/>
        <family val="0"/>
        <charset val="1"/>
      </rPr>
      <t xml:space="preserve">¥229.00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</si>
  <si>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SRC_ZP_385</t>
  </si>
  <si>
    <t xml:space="preserve">qy_desc_auto_month_b</t>
  </si>
  <si>
    <r>
      <rPr>
        <sz val="10"/>
        <color rgb="FF000000"/>
        <rFont val="Noto Sans CJK SC"/>
        <family val="2"/>
      </rPr>
      <t xml:space="preserve">清言連續包月（</t>
    </r>
    <r>
      <rPr>
        <sz val="10"/>
        <color rgb="FF000000"/>
        <rFont val="Arial"/>
        <family val="0"/>
        <charset val="1"/>
      </rPr>
      <t xml:space="preserve">App </t>
    </r>
    <r>
      <rPr>
        <sz val="10"/>
        <color rgb="FF000000"/>
        <rFont val="Noto Sans CJK SC"/>
        <family val="2"/>
      </rPr>
      <t xml:space="preserve">描述文字）</t>
    </r>
  </si>
  <si>
    <t xml:space="preserve">描述文字（日期未明）</t>
  </si>
  <si>
    <r>
      <rPr>
        <sz val="10"/>
        <color rgb="FF000000"/>
        <rFont val="Noto Sans CJK SC"/>
        <family val="2"/>
      </rPr>
      <t xml:space="preserve">描述「連續包月（</t>
    </r>
    <r>
      <rPr>
        <sz val="10"/>
        <color rgb="FF000000"/>
        <rFont val="Arial"/>
        <family val="0"/>
        <charset val="1"/>
      </rPr>
      <t xml:space="preserve">¥19/</t>
    </r>
    <r>
      <rPr>
        <sz val="10"/>
        <color rgb="FF000000"/>
        <rFont val="Noto Sans CJK SC"/>
        <family val="2"/>
      </rPr>
      <t xml:space="preserve">月）」「連續包季（</t>
    </r>
    <r>
      <rPr>
        <sz val="10"/>
        <color rgb="FF000000"/>
        <rFont val="Arial"/>
        <family val="0"/>
        <charset val="1"/>
      </rPr>
      <t xml:space="preserve">¥79/</t>
    </r>
    <r>
      <rPr>
        <sz val="10"/>
        <color rgb="FF000000"/>
        <rFont val="Noto Sans CJK SC"/>
        <family val="2"/>
      </rPr>
      <t xml:space="preserve">季）」「連續包年（</t>
    </r>
    <r>
      <rPr>
        <sz val="10"/>
        <color rgb="FF000000"/>
        <rFont val="Arial"/>
        <family val="0"/>
        <charset val="1"/>
      </rPr>
      <t xml:space="preserve">¥299/</t>
    </r>
    <r>
      <rPr>
        <sz val="10"/>
        <color rgb="FF000000"/>
        <rFont val="Noto Sans CJK SC"/>
        <family val="2"/>
      </rPr>
      <t xml:space="preserve">年）」「單月</t>
    </r>
    <r>
      <rPr>
        <sz val="10"/>
        <color rgb="FF000000"/>
        <rFont val="Arial"/>
        <family val="0"/>
        <charset val="1"/>
      </rPr>
      <t xml:space="preserve">¥59</t>
    </r>
    <r>
      <rPr>
        <sz val="10"/>
        <color rgb="FF000000"/>
        <rFont val="Noto Sans CJK SC"/>
        <family val="2"/>
      </rPr>
      <t xml:space="preserve">」「年卡 </t>
    </r>
    <r>
      <rPr>
        <sz val="10"/>
        <color rgb="FF000000"/>
        <rFont val="Arial"/>
        <family val="0"/>
        <charset val="1"/>
      </rPr>
      <t xml:space="preserve">¥399</t>
    </r>
    <r>
      <rPr>
        <sz val="10"/>
        <color rgb="FF000000"/>
        <rFont val="Noto Sans CJK SC"/>
        <family val="2"/>
      </rPr>
      <t xml:space="preserve">」；與內購清單 </t>
    </r>
    <r>
      <rPr>
        <sz val="10"/>
        <color rgb="FF000000"/>
        <rFont val="Arial"/>
        <family val="0"/>
        <charset val="1"/>
      </rPr>
      <t xml:space="preserve">¥79/219/859 </t>
    </r>
    <r>
      <rPr>
        <sz val="10"/>
        <color rgb="FF000000"/>
        <rFont val="Noto Sans CJK SC"/>
        <family val="2"/>
      </rPr>
      <t xml:space="preserve">矛盾，疑描述為舊版或不同檔位</t>
    </r>
  </si>
  <si>
    <t xml:space="preserve">SRC_ZP_386</t>
  </si>
  <si>
    <t xml:space="preserve">rel_glm45</t>
  </si>
  <si>
    <r>
      <rPr>
        <sz val="10"/>
        <color rgb="FF000000"/>
        <rFont val="Arial"/>
        <family val="0"/>
        <charset val="1"/>
      </rPr>
      <t xml:space="preserve">GLM-4.5</t>
    </r>
    <r>
      <rPr>
        <sz val="10"/>
        <color rgb="FF000000"/>
        <rFont val="Noto Sans CJK SC"/>
        <family val="2"/>
      </rPr>
      <t xml:space="preserve">／</t>
    </r>
    <r>
      <rPr>
        <sz val="10"/>
        <color rgb="FF000000"/>
        <rFont val="Arial"/>
        <family val="0"/>
        <charset val="1"/>
      </rPr>
      <t xml:space="preserve">4.5-Air </t>
    </r>
    <r>
      <rPr>
        <sz val="10"/>
        <color rgb="FF000000"/>
        <rFont val="Noto Sans CJK SC"/>
        <family val="2"/>
      </rPr>
      <t xml:space="preserve">發布日</t>
    </r>
  </si>
  <si>
    <t xml:space="preserve">2025-07-28</t>
  </si>
  <si>
    <r>
      <rPr>
        <sz val="10"/>
        <color rgb="FF000000"/>
        <rFont val="Arial"/>
        <family val="0"/>
        <charset val="1"/>
      </rPr>
      <t xml:space="preserve">Wikipedia</t>
    </r>
    <r>
      <rPr>
        <sz val="10"/>
        <color rgb="FF000000"/>
        <rFont val="Noto Sans CJK SC"/>
        <family val="2"/>
      </rPr>
      <t xml:space="preserve">〈</t>
    </r>
    <r>
      <rPr>
        <sz val="10"/>
        <color rgb="FF000000"/>
        <rFont val="Arial"/>
        <family val="0"/>
        <charset val="1"/>
      </rPr>
      <t xml:space="preserve">Z.ai</t>
    </r>
    <r>
      <rPr>
        <sz val="10"/>
        <color rgb="FF000000"/>
        <rFont val="Noto Sans CJK SC"/>
        <family val="2"/>
      </rPr>
      <t xml:space="preserve">〉（引 </t>
    </r>
    <r>
      <rPr>
        <sz val="10"/>
        <color rgb="FF000000"/>
        <rFont val="Arial"/>
        <family val="0"/>
        <charset val="1"/>
      </rPr>
      <t xml:space="preserve">Z.ai blog</t>
    </r>
    <r>
      <rPr>
        <sz val="10"/>
        <color rgb="FF000000"/>
        <rFont val="Noto Sans CJK SC"/>
        <family val="2"/>
      </rPr>
      <t xml:space="preserve">）</t>
    </r>
  </si>
  <si>
    <t xml:space="preserve">https://en.wikipedia.org/wiki/Z.ai</t>
  </si>
  <si>
    <r>
      <rPr>
        <sz val="10"/>
        <color rgb="FF000000"/>
        <rFont val="Noto Sans CJK SC"/>
        <family val="2"/>
      </rPr>
      <t xml:space="preserve">引 </t>
    </r>
    <r>
      <rPr>
        <sz val="10"/>
        <color rgb="FF000000"/>
        <rFont val="Arial"/>
        <family val="0"/>
        <charset val="1"/>
      </rPr>
      <t xml:space="preserve">Z.ai blog</t>
    </r>
    <r>
      <rPr>
        <sz val="10"/>
        <color rgb="FF000000"/>
        <rFont val="Noto Sans CJK SC"/>
        <family val="2"/>
      </rPr>
      <t xml:space="preserve">〈</t>
    </r>
    <r>
      <rPr>
        <sz val="10"/>
        <color rgb="FF000000"/>
        <rFont val="Arial"/>
        <family val="0"/>
        <charset val="1"/>
      </rPr>
      <t xml:space="preserve">GLM-4.5: Reasoning, Coding, and Agentic Abilities</t>
    </r>
    <r>
      <rPr>
        <sz val="10"/>
        <color rgb="FF000000"/>
        <rFont val="Noto Sans CJK SC"/>
        <family val="2"/>
      </rPr>
      <t xml:space="preserve">〉</t>
    </r>
    <r>
      <rPr>
        <sz val="10"/>
        <color rgb="FF000000"/>
        <rFont val="Arial"/>
        <family val="0"/>
        <charset val="1"/>
      </rPr>
      <t xml:space="preserve">28 July 2025</t>
    </r>
    <r>
      <rPr>
        <sz val="10"/>
        <color rgb="FF000000"/>
        <rFont val="Noto Sans CJK SC"/>
        <family val="2"/>
      </rPr>
      <t xml:space="preserve">；愛范兒 </t>
    </r>
    <r>
      <rPr>
        <sz val="10"/>
        <color rgb="FF000000"/>
        <rFont val="Arial"/>
        <family val="0"/>
        <charset val="1"/>
      </rPr>
      <t xml:space="preserve">2025-07-29 07:44 </t>
    </r>
    <r>
      <rPr>
        <sz val="10"/>
        <color rgb="FF000000"/>
        <rFont val="Noto Sans CJK SC"/>
        <family val="2"/>
      </rPr>
      <t xml:space="preserve">稱「就在剛剛」</t>
    </r>
  </si>
  <si>
    <t xml:space="preserve">SRC_ZP_387</t>
  </si>
  <si>
    <t xml:space="preserve">rel_glm45_b</t>
  </si>
  <si>
    <r>
      <rPr>
        <sz val="10"/>
        <color rgb="FF000000"/>
        <rFont val="Arial"/>
        <family val="0"/>
        <charset val="1"/>
      </rPr>
      <t xml:space="preserve">GLM-4.5 </t>
    </r>
    <r>
      <rPr>
        <sz val="10"/>
        <color rgb="FF000000"/>
        <rFont val="Noto Sans CJK SC"/>
        <family val="2"/>
      </rPr>
      <t xml:space="preserve">發布日（彙整站）</t>
    </r>
  </si>
  <si>
    <t xml:space="preserve">2025-07-25</t>
  </si>
  <si>
    <r>
      <rPr>
        <sz val="10"/>
        <color rgb="FF000000"/>
        <rFont val="Arial"/>
        <family val="0"/>
        <charset val="1"/>
      </rPr>
      <t xml:space="preserve">The GTM Directory GLM </t>
    </r>
    <r>
      <rPr>
        <sz val="10"/>
        <color rgb="FF000000"/>
        <rFont val="Noto Sans CJK SC"/>
        <family val="2"/>
      </rPr>
      <t xml:space="preserve">頁</t>
    </r>
  </si>
  <si>
    <t xml:space="preserve">https://thegtmdirectory.com/models/z-ai-glm</t>
  </si>
  <si>
    <r>
      <rPr>
        <sz val="10"/>
        <color rgb="FF000000"/>
        <rFont val="Noto Sans CJK SC"/>
        <family val="2"/>
      </rPr>
      <t xml:space="preserve">表列 </t>
    </r>
    <r>
      <rPr>
        <sz val="10"/>
        <color rgb="FF000000"/>
        <rFont val="Arial"/>
        <family val="0"/>
        <charset val="1"/>
      </rPr>
      <t xml:space="preserve">2025-07-25</t>
    </r>
    <r>
      <rPr>
        <sz val="10"/>
        <color rgb="FF000000"/>
        <rFont val="Noto Sans CJK SC"/>
        <family val="2"/>
      </rPr>
      <t xml:space="preserve">；與 </t>
    </r>
    <r>
      <rPr>
        <sz val="10"/>
        <color rgb="FF000000"/>
        <rFont val="Arial"/>
        <family val="0"/>
        <charset val="1"/>
      </rPr>
      <t xml:space="preserve">07-28 </t>
    </r>
    <r>
      <rPr>
        <sz val="10"/>
        <color rgb="FF000000"/>
        <rFont val="Noto Sans CJK SC"/>
        <family val="2"/>
      </rPr>
      <t xml:space="preserve">矛盾，以官方 </t>
    </r>
    <r>
      <rPr>
        <sz val="10"/>
        <color rgb="FF000000"/>
        <rFont val="Arial"/>
        <family val="0"/>
        <charset val="1"/>
      </rPr>
      <t xml:space="preserve">blog 07-28 </t>
    </r>
    <r>
      <rPr>
        <sz val="10"/>
        <color rgb="FF000000"/>
        <rFont val="Noto Sans CJK SC"/>
        <family val="2"/>
      </rPr>
      <t xml:space="preserve">為準</t>
    </r>
  </si>
  <si>
    <t xml:space="preserve">SRC_ZP_388</t>
  </si>
  <si>
    <t xml:space="preserve">rel_glm46</t>
  </si>
  <si>
    <r>
      <rPr>
        <sz val="10"/>
        <color rgb="FF000000"/>
        <rFont val="Arial"/>
        <family val="0"/>
        <charset val="1"/>
      </rPr>
      <t xml:space="preserve">GLM-4.6 </t>
    </r>
    <r>
      <rPr>
        <sz val="10"/>
        <color rgb="FF000000"/>
        <rFont val="Noto Sans CJK SC"/>
        <family val="2"/>
      </rPr>
      <t xml:space="preserve">發布日</t>
    </r>
  </si>
  <si>
    <r>
      <rPr>
        <sz val="10"/>
        <color rgb="FF000000"/>
        <rFont val="Noto Sans CJK SC"/>
        <family val="2"/>
      </rPr>
      <t xml:space="preserve">「</t>
    </r>
    <r>
      <rPr>
        <sz val="10"/>
        <color rgb="FF000000"/>
        <rFont val="Arial"/>
        <family val="0"/>
        <charset val="1"/>
      </rPr>
      <t xml:space="preserve">reported as 30 September 2025</t>
    </r>
    <r>
      <rPr>
        <sz val="10"/>
        <color rgb="FF000000"/>
        <rFont val="Noto Sans CJK SC"/>
        <family val="2"/>
      </rPr>
      <t xml:space="preserve">」；</t>
    </r>
    <r>
      <rPr>
        <sz val="10"/>
        <color rgb="FF000000"/>
        <rFont val="Arial"/>
        <family val="0"/>
        <charset val="1"/>
      </rPr>
      <t xml:space="preserve">GTM Directory </t>
    </r>
    <r>
      <rPr>
        <sz val="10"/>
        <color rgb="FF000000"/>
        <rFont val="Noto Sans CJK SC"/>
        <family val="2"/>
      </rPr>
      <t xml:space="preserve">同</t>
    </r>
  </si>
  <si>
    <t xml:space="preserve">SRC_ZP_389</t>
  </si>
  <si>
    <t xml:space="preserve">rel_glm47</t>
  </si>
  <si>
    <r>
      <rPr>
        <sz val="10"/>
        <color rgb="FF000000"/>
        <rFont val="Arial"/>
        <family val="0"/>
        <charset val="1"/>
      </rPr>
      <t xml:space="preserve">GLM-4.7 </t>
    </r>
    <r>
      <rPr>
        <sz val="10"/>
        <color rgb="FF000000"/>
        <rFont val="Noto Sans CJK SC"/>
        <family val="2"/>
      </rPr>
      <t xml:space="preserve">發布日</t>
    </r>
  </si>
  <si>
    <t xml:space="preserve">2025-12-22</t>
  </si>
  <si>
    <r>
      <rPr>
        <sz val="10"/>
        <color rgb="FF000000"/>
        <rFont val="Noto Sans CJK SC"/>
        <family val="2"/>
      </rPr>
      <t xml:space="preserve">表列 </t>
    </r>
    <r>
      <rPr>
        <sz val="10"/>
        <color rgb="FF000000"/>
        <rFont val="Arial"/>
        <family val="0"/>
        <charset val="1"/>
      </rPr>
      <t xml:space="preserve">2025-12-22</t>
    </r>
    <r>
      <rPr>
        <sz val="10"/>
        <color rgb="FF000000"/>
        <rFont val="Noto Sans CJK SC"/>
        <family val="2"/>
      </rPr>
      <t xml:space="preserve">；</t>
    </r>
    <r>
      <rPr>
        <sz val="10"/>
        <color rgb="FF000000"/>
        <rFont val="Arial"/>
        <family val="0"/>
        <charset val="1"/>
      </rPr>
      <t xml:space="preserve">Wikipedia </t>
    </r>
    <r>
      <rPr>
        <sz val="10"/>
        <color rgb="FF000000"/>
        <rFont val="Noto Sans CJK SC"/>
        <family val="2"/>
      </rPr>
      <t xml:space="preserve">稱 </t>
    </r>
    <r>
      <rPr>
        <sz val="10"/>
        <color rgb="FF000000"/>
        <rFont val="Arial"/>
        <family val="0"/>
        <charset val="1"/>
      </rPr>
      <t xml:space="preserve">December 2025</t>
    </r>
    <r>
      <rPr>
        <sz val="10"/>
        <color rgb="FF000000"/>
        <rFont val="Noto Sans CJK SC"/>
        <family val="2"/>
      </rPr>
      <t xml:space="preserve">（</t>
    </r>
    <r>
      <rPr>
        <sz val="10"/>
        <color rgb="FF000000"/>
        <rFont val="Arial"/>
        <family val="0"/>
        <charset val="1"/>
      </rPr>
      <t xml:space="preserve">Gigazine 23 Dec 2025</t>
    </r>
    <r>
      <rPr>
        <sz val="10"/>
        <color rgb="FF000000"/>
        <rFont val="Noto Sans CJK SC"/>
        <family val="2"/>
      </rPr>
      <t xml:space="preserve">）</t>
    </r>
  </si>
  <si>
    <t xml:space="preserve">SRC_ZP_390</t>
  </si>
  <si>
    <t xml:space="preserve">rel_glm5</t>
  </si>
  <si>
    <r>
      <rPr>
        <sz val="10"/>
        <color rgb="FF000000"/>
        <rFont val="Arial"/>
        <family val="0"/>
        <charset val="1"/>
      </rPr>
      <t xml:space="preserve">GLM-5 </t>
    </r>
    <r>
      <rPr>
        <sz val="10"/>
        <color rgb="FF000000"/>
        <rFont val="Noto Sans CJK SC"/>
        <family val="2"/>
      </rPr>
      <t xml:space="preserve">發布日</t>
    </r>
  </si>
  <si>
    <r>
      <rPr>
        <sz val="10"/>
        <color rgb="FF000000"/>
        <rFont val="Noto Sans CJK SC"/>
        <family val="2"/>
      </rPr>
      <t xml:space="preserve">上海證券報（同花順 </t>
    </r>
    <r>
      <rPr>
        <sz val="10"/>
        <color rgb="FF000000"/>
        <rFont val="Arial"/>
        <family val="0"/>
        <charset val="1"/>
      </rPr>
      <t xml:space="preserve">2026-02-13</t>
    </r>
    <r>
      <rPr>
        <sz val="10"/>
        <color rgb="FF000000"/>
        <rFont val="Noto Sans CJK SC"/>
        <family val="2"/>
      </rPr>
      <t xml:space="preserve">）</t>
    </r>
  </si>
  <si>
    <t xml:space="preserve">https://stock.10jqka.com.cn/20260213/c674781266.shtml</t>
  </si>
  <si>
    <r>
      <rPr>
        <sz val="10"/>
        <color rgb="FF000000"/>
        <rFont val="Arial"/>
        <family val="0"/>
        <charset val="1"/>
      </rPr>
      <t xml:space="preserve">GLM-5</t>
    </r>
    <r>
      <rPr>
        <sz val="10"/>
        <color rgb="FF000000"/>
        <rFont val="Noto Sans CJK SC"/>
        <family val="2"/>
      </rPr>
      <t xml:space="preserve">「正式開源並上線」於 </t>
    </r>
    <r>
      <rPr>
        <sz val="10"/>
        <color rgb="FF000000"/>
        <rFont val="Arial"/>
        <family val="0"/>
        <charset val="1"/>
      </rPr>
      <t xml:space="preserve">2 </t>
    </r>
    <r>
      <rPr>
        <sz val="10"/>
        <color rgb="FF000000"/>
        <rFont val="Noto Sans CJK SC"/>
        <family val="2"/>
      </rPr>
      <t xml:space="preserve">月 </t>
    </r>
    <r>
      <rPr>
        <sz val="10"/>
        <color rgb="FF000000"/>
        <rFont val="Arial"/>
        <family val="0"/>
        <charset val="1"/>
      </rPr>
      <t xml:space="preserve">12 </t>
    </r>
    <r>
      <rPr>
        <sz val="10"/>
        <color rgb="FF000000"/>
        <rFont val="Noto Sans CJK SC"/>
        <family val="2"/>
      </rPr>
      <t xml:space="preserve">日；同日發 </t>
    </r>
    <r>
      <rPr>
        <sz val="10"/>
        <color rgb="FF000000"/>
        <rFont val="Arial"/>
        <family val="0"/>
        <charset val="1"/>
      </rPr>
      <t xml:space="preserve">Coding Plan </t>
    </r>
    <r>
      <rPr>
        <sz val="10"/>
        <color rgb="FF000000"/>
        <rFont val="Noto Sans CJK SC"/>
        <family val="2"/>
      </rPr>
      <t xml:space="preserve">調價函</t>
    </r>
  </si>
  <si>
    <t xml:space="preserve">SRC_ZP_391</t>
  </si>
  <si>
    <t xml:space="preserve">rel_glm5_b</t>
  </si>
  <si>
    <r>
      <rPr>
        <sz val="10"/>
        <color rgb="FF000000"/>
        <rFont val="Arial"/>
        <family val="0"/>
        <charset val="1"/>
      </rPr>
      <t xml:space="preserve">GLM-5 </t>
    </r>
    <r>
      <rPr>
        <sz val="10"/>
        <color rgb="FF000000"/>
        <rFont val="Noto Sans CJK SC"/>
        <family val="2"/>
      </rPr>
      <t xml:space="preserve">發布日（彙整站／</t>
    </r>
    <r>
      <rPr>
        <sz val="10"/>
        <color rgb="FF000000"/>
        <rFont val="Arial"/>
        <family val="0"/>
        <charset val="1"/>
      </rPr>
      <t xml:space="preserve">Reuters</t>
    </r>
    <r>
      <rPr>
        <sz val="10"/>
        <color rgb="FF000000"/>
        <rFont val="Noto Sans CJK SC"/>
        <family val="2"/>
      </rPr>
      <t xml:space="preserve">）</t>
    </r>
  </si>
  <si>
    <r>
      <rPr>
        <sz val="10"/>
        <color rgb="FF000000"/>
        <rFont val="Noto Sans CJK SC"/>
        <family val="2"/>
      </rPr>
      <t xml:space="preserve">表列 </t>
    </r>
    <r>
      <rPr>
        <sz val="10"/>
        <color rgb="FF000000"/>
        <rFont val="Arial"/>
        <family val="0"/>
        <charset val="1"/>
      </rPr>
      <t xml:space="preserve">2026-02-11</t>
    </r>
    <r>
      <rPr>
        <sz val="10"/>
        <color rgb="FF000000"/>
        <rFont val="Noto Sans CJK SC"/>
        <family val="2"/>
      </rPr>
      <t xml:space="preserve">；</t>
    </r>
    <r>
      <rPr>
        <sz val="10"/>
        <color rgb="FF000000"/>
        <rFont val="Arial"/>
        <family val="0"/>
        <charset val="1"/>
      </rPr>
      <t xml:space="preserve">Wikipedia </t>
    </r>
    <r>
      <rPr>
        <sz val="10"/>
        <color rgb="FF000000"/>
        <rFont val="Noto Sans CJK SC"/>
        <family val="2"/>
      </rPr>
      <t xml:space="preserve">稱 </t>
    </r>
    <r>
      <rPr>
        <sz val="10"/>
        <color rgb="FF000000"/>
        <rFont val="Arial"/>
        <family val="0"/>
        <charset val="1"/>
      </rPr>
      <t xml:space="preserve">Reuters </t>
    </r>
    <r>
      <rPr>
        <sz val="10"/>
        <color rgb="FF000000"/>
        <rFont val="Noto Sans CJK SC"/>
        <family val="2"/>
      </rPr>
      <t xml:space="preserve">記 </t>
    </r>
    <r>
      <rPr>
        <sz val="10"/>
        <color rgb="FF000000"/>
        <rFont val="Arial"/>
        <family val="0"/>
        <charset val="1"/>
      </rPr>
      <t xml:space="preserve">11 February</t>
    </r>
    <r>
      <rPr>
        <sz val="10"/>
        <color rgb="FF000000"/>
        <rFont val="Noto Sans CJK SC"/>
        <family val="2"/>
      </rPr>
      <t xml:space="preserve">（時區差）</t>
    </r>
  </si>
  <si>
    <t xml:space="preserve">SRC_ZP_392</t>
  </si>
  <si>
    <t xml:space="preserve">rel_glm51</t>
  </si>
  <si>
    <r>
      <rPr>
        <sz val="10"/>
        <color rgb="FF000000"/>
        <rFont val="Arial"/>
        <family val="0"/>
        <charset val="1"/>
      </rPr>
      <t xml:space="preserve">GLM-5.1 </t>
    </r>
    <r>
      <rPr>
        <sz val="10"/>
        <color rgb="FF000000"/>
        <rFont val="Noto Sans CJK SC"/>
        <family val="2"/>
      </rPr>
      <t xml:space="preserve">開源發布日</t>
    </r>
  </si>
  <si>
    <r>
      <rPr>
        <sz val="10"/>
        <color rgb="FF000000"/>
        <rFont val="Arial"/>
        <family val="0"/>
        <charset val="1"/>
      </rPr>
      <t xml:space="preserve">Wikipedia</t>
    </r>
    <r>
      <rPr>
        <sz val="10"/>
        <color rgb="FF000000"/>
        <rFont val="Noto Sans CJK SC"/>
        <family val="2"/>
      </rPr>
      <t xml:space="preserve">〈</t>
    </r>
    <r>
      <rPr>
        <sz val="10"/>
        <color rgb="FF000000"/>
        <rFont val="Arial"/>
        <family val="0"/>
        <charset val="1"/>
      </rPr>
      <t xml:space="preserve">Z.ai</t>
    </r>
    <r>
      <rPr>
        <sz val="10"/>
        <color rgb="FF000000"/>
        <rFont val="Noto Sans CJK SC"/>
        <family val="2"/>
      </rPr>
      <t xml:space="preserve">〉（引 </t>
    </r>
    <r>
      <rPr>
        <sz val="10"/>
        <color rgb="FF000000"/>
        <rFont val="Arial"/>
        <family val="0"/>
        <charset val="1"/>
      </rPr>
      <t xml:space="preserve">SCMP</t>
    </r>
    <r>
      <rPr>
        <sz val="10"/>
        <color rgb="FF000000"/>
        <rFont val="Noto Sans CJK SC"/>
        <family val="2"/>
      </rPr>
      <t xml:space="preserve">、</t>
    </r>
    <r>
      <rPr>
        <sz val="10"/>
        <color rgb="FF000000"/>
        <rFont val="Arial"/>
        <family val="0"/>
        <charset val="1"/>
      </rPr>
      <t xml:space="preserve">Computerworld</t>
    </r>
    <r>
      <rPr>
        <sz val="10"/>
        <color rgb="FF000000"/>
        <rFont val="Noto Sans CJK SC"/>
        <family val="2"/>
      </rPr>
      <t xml:space="preserve">）</t>
    </r>
  </si>
  <si>
    <r>
      <rPr>
        <sz val="10"/>
        <color rgb="FF000000"/>
        <rFont val="Noto Sans CJK SC"/>
        <family val="2"/>
      </rPr>
      <t xml:space="preserve">「</t>
    </r>
    <r>
      <rPr>
        <sz val="10"/>
        <color rgb="FF000000"/>
        <rFont val="Arial"/>
        <family val="0"/>
        <charset val="1"/>
      </rPr>
      <t xml:space="preserve">released as open-source on 7 April 2026</t>
    </r>
    <r>
      <rPr>
        <sz val="10"/>
        <color rgb="FF000000"/>
        <rFont val="Noto Sans CJK SC"/>
        <family val="2"/>
      </rPr>
      <t xml:space="preserve">」；</t>
    </r>
    <r>
      <rPr>
        <sz val="10"/>
        <color rgb="FF000000"/>
        <rFont val="Arial"/>
        <family val="0"/>
        <charset val="1"/>
      </rPr>
      <t xml:space="preserve">3 </t>
    </r>
    <r>
      <rPr>
        <sz val="10"/>
        <color rgb="FF000000"/>
        <rFont val="Noto Sans CJK SC"/>
        <family val="2"/>
      </rPr>
      <t xml:space="preserve">月底先推訂閱用戶；</t>
    </r>
    <r>
      <rPr>
        <sz val="10"/>
        <color rgb="FF000000"/>
        <rFont val="Arial"/>
        <family val="0"/>
        <charset val="1"/>
      </rPr>
      <t xml:space="preserve">GTM </t>
    </r>
    <r>
      <rPr>
        <sz val="10"/>
        <color rgb="FF000000"/>
        <rFont val="Noto Sans CJK SC"/>
        <family val="2"/>
      </rPr>
      <t xml:space="preserve">列 </t>
    </r>
    <r>
      <rPr>
        <sz val="10"/>
        <color rgb="FF000000"/>
        <rFont val="Arial"/>
        <family val="0"/>
        <charset val="1"/>
      </rPr>
      <t xml:space="preserve">04-06</t>
    </r>
  </si>
  <si>
    <t xml:space="preserve">SRC_ZP_393</t>
  </si>
  <si>
    <t xml:space="preserve">rel_glm52</t>
  </si>
  <si>
    <r>
      <rPr>
        <sz val="10"/>
        <color rgb="FF000000"/>
        <rFont val="Arial"/>
        <family val="0"/>
        <charset val="1"/>
      </rPr>
      <t xml:space="preserve">GLM-5.2 </t>
    </r>
    <r>
      <rPr>
        <sz val="10"/>
        <color rgb="FF000000"/>
        <rFont val="Noto Sans CJK SC"/>
        <family val="2"/>
      </rPr>
      <t xml:space="preserve">發布日</t>
    </r>
  </si>
  <si>
    <t xml:space="preserve">2026-06-16</t>
  </si>
  <si>
    <r>
      <rPr>
        <sz val="10"/>
        <color rgb="FF000000"/>
        <rFont val="Arial"/>
        <family val="0"/>
        <charset val="1"/>
      </rPr>
      <t xml:space="preserve">36</t>
    </r>
    <r>
      <rPr>
        <sz val="10"/>
        <color rgb="FF000000"/>
        <rFont val="Noto Sans CJK SC"/>
        <family val="2"/>
      </rPr>
      <t xml:space="preserve">氪（</t>
    </r>
    <r>
      <rPr>
        <sz val="10"/>
        <color rgb="FF000000"/>
        <rFont val="Arial"/>
        <family val="0"/>
        <charset val="1"/>
      </rPr>
      <t xml:space="preserve">2026-06-18</t>
    </r>
    <r>
      <rPr>
        <sz val="10"/>
        <color rgb="FF000000"/>
        <rFont val="Noto Sans CJK SC"/>
        <family val="2"/>
      </rPr>
      <t xml:space="preserve">）</t>
    </r>
  </si>
  <si>
    <t xml:space="preserve">https://www.36kr.com/p/3858548611709828</t>
  </si>
  <si>
    <t xml:space="preserve">2026-06-18</t>
  </si>
  <si>
    <r>
      <rPr>
        <sz val="10"/>
        <color rgb="FF000000"/>
        <rFont val="Noto Sans CJK SC"/>
        <family val="2"/>
      </rPr>
      <t xml:space="preserve">原文「</t>
    </r>
    <r>
      <rPr>
        <sz val="10"/>
        <color rgb="FF000000"/>
        <rFont val="Arial"/>
        <family val="0"/>
        <charset val="1"/>
      </rPr>
      <t xml:space="preserve">6</t>
    </r>
    <r>
      <rPr>
        <sz val="10"/>
        <color rgb="FF000000"/>
        <rFont val="Noto Sans CJK SC"/>
        <family val="2"/>
      </rPr>
      <t xml:space="preserve">月</t>
    </r>
    <r>
      <rPr>
        <sz val="10"/>
        <color rgb="FF000000"/>
        <rFont val="Arial"/>
        <family val="0"/>
        <charset val="1"/>
      </rPr>
      <t xml:space="preserve">16</t>
    </r>
    <r>
      <rPr>
        <sz val="10"/>
        <color rgb="FF000000"/>
        <rFont val="Noto Sans CJK SC"/>
        <family val="2"/>
      </rPr>
      <t xml:space="preserve">日晚，智譜正式開源新一代旗艦模型</t>
    </r>
    <r>
      <rPr>
        <sz val="10"/>
        <color rgb="FF000000"/>
        <rFont val="Arial"/>
        <family val="0"/>
        <charset val="1"/>
      </rPr>
      <t xml:space="preserve">GLM-5.2</t>
    </r>
    <r>
      <rPr>
        <sz val="10"/>
        <color rgb="FF000000"/>
        <rFont val="Noto Sans CJK SC"/>
        <family val="2"/>
      </rPr>
      <t xml:space="preserve">」；</t>
    </r>
    <r>
      <rPr>
        <sz val="10"/>
        <color rgb="FF000000"/>
        <rFont val="Arial"/>
        <family val="0"/>
        <charset val="1"/>
      </rPr>
      <t xml:space="preserve">1M </t>
    </r>
    <r>
      <rPr>
        <sz val="10"/>
        <color rgb="FF000000"/>
        <rFont val="Noto Sans CJK SC"/>
        <family val="2"/>
      </rPr>
      <t xml:space="preserve">上下文</t>
    </r>
  </si>
  <si>
    <t xml:space="preserve">SRC_ZP_394</t>
  </si>
  <si>
    <t xml:space="preserve">rel_glm52_b</t>
  </si>
  <si>
    <r>
      <rPr>
        <sz val="10"/>
        <color rgb="FF000000"/>
        <rFont val="Arial"/>
        <family val="0"/>
        <charset val="1"/>
      </rPr>
      <t xml:space="preserve">GLM-5.2 </t>
    </r>
    <r>
      <rPr>
        <sz val="10"/>
        <color rgb="FF000000"/>
        <rFont val="Noto Sans CJK SC"/>
        <family val="2"/>
      </rPr>
      <t xml:space="preserve">發布日（華為雲）</t>
    </r>
  </si>
  <si>
    <t xml:space="preserve">2026-06-17</t>
  </si>
  <si>
    <r>
      <rPr>
        <sz val="10"/>
        <color rgb="FF000000"/>
        <rFont val="Noto Sans CJK SC"/>
        <family val="2"/>
      </rPr>
      <t xml:space="preserve">華為雲 </t>
    </r>
    <r>
      <rPr>
        <sz val="10"/>
        <color rgb="FF000000"/>
        <rFont val="Arial"/>
        <family val="0"/>
        <charset val="1"/>
      </rPr>
      <t xml:space="preserve">MaaS GLM </t>
    </r>
    <r>
      <rPr>
        <sz val="10"/>
        <color rgb="FF000000"/>
        <rFont val="Noto Sans CJK SC"/>
        <family val="2"/>
      </rPr>
      <t xml:space="preserve">頁</t>
    </r>
  </si>
  <si>
    <r>
      <rPr>
        <sz val="10"/>
        <color rgb="FF000000"/>
        <rFont val="Noto Sans CJK SC"/>
        <family val="2"/>
      </rPr>
      <t xml:space="preserve">頁示「</t>
    </r>
    <r>
      <rPr>
        <sz val="10"/>
        <color rgb="FF000000"/>
        <rFont val="Arial"/>
        <family val="0"/>
        <charset val="1"/>
      </rPr>
      <t xml:space="preserve">GLM-5.2 20260617</t>
    </r>
    <r>
      <rPr>
        <sz val="10"/>
        <color rgb="FF000000"/>
        <rFont val="Noto Sans CJK SC"/>
        <family val="2"/>
      </rPr>
      <t xml:space="preserve">」；與 </t>
    </r>
    <r>
      <rPr>
        <sz val="10"/>
        <color rgb="FF000000"/>
        <rFont val="Arial"/>
        <family val="0"/>
        <charset val="1"/>
      </rPr>
      <t xml:space="preserve">06-16 </t>
    </r>
    <r>
      <rPr>
        <sz val="10"/>
        <color rgb="FF000000"/>
        <rFont val="Noto Sans CJK SC"/>
        <family val="2"/>
      </rPr>
      <t xml:space="preserve">晚差一日</t>
    </r>
  </si>
  <si>
    <t xml:space="preserve">SRC_ZP_395</t>
  </si>
  <si>
    <t xml:space="preserve">rel_glm53</t>
  </si>
  <si>
    <r>
      <rPr>
        <sz val="10"/>
        <color rgb="FF000000"/>
        <rFont val="Arial"/>
        <family val="0"/>
        <charset val="1"/>
      </rPr>
      <t xml:space="preserve">GLM-5.3 </t>
    </r>
    <r>
      <rPr>
        <sz val="10"/>
        <color rgb="FF000000"/>
        <rFont val="Noto Sans CJK SC"/>
        <family val="2"/>
      </rPr>
      <t xml:space="preserve">發布日</t>
    </r>
  </si>
  <si>
    <t xml:space="preserve">2026-08-14</t>
  </si>
  <si>
    <r>
      <rPr>
        <sz val="10"/>
        <color rgb="FF000000"/>
        <rFont val="Arial"/>
        <family val="0"/>
        <charset val="1"/>
      </rPr>
      <t xml:space="preserve">DataNorth</t>
    </r>
    <r>
      <rPr>
        <sz val="10"/>
        <color rgb="FF000000"/>
        <rFont val="Noto Sans CJK SC"/>
        <family val="2"/>
      </rPr>
      <t xml:space="preserve">〈</t>
    </r>
    <r>
      <rPr>
        <sz val="10"/>
        <color rgb="FF000000"/>
        <rFont val="Arial"/>
        <family val="0"/>
        <charset val="1"/>
      </rPr>
      <t xml:space="preserve">Z.ai releases GLM-5.3</t>
    </r>
    <r>
      <rPr>
        <sz val="10"/>
        <color rgb="FF000000"/>
        <rFont val="Noto Sans CJK SC"/>
        <family val="2"/>
      </rPr>
      <t xml:space="preserve">〉</t>
    </r>
  </si>
  <si>
    <t xml:space="preserve">https://datanorth.ai/news/z-ai-releases-glm-5-3</t>
  </si>
  <si>
    <t xml:space="preserve">2026-08-17</t>
  </si>
  <si>
    <r>
      <rPr>
        <sz val="10"/>
        <color rgb="FF000000"/>
        <rFont val="Noto Sans CJK SC"/>
        <family val="2"/>
      </rPr>
      <t xml:space="preserve">「</t>
    </r>
    <r>
      <rPr>
        <sz val="10"/>
        <color rgb="FF000000"/>
        <rFont val="Arial"/>
        <family val="0"/>
        <charset val="1"/>
      </rPr>
      <t xml:space="preserve">released GLM-5.3 on 14 August 2026</t>
    </r>
    <r>
      <rPr>
        <sz val="10"/>
        <color rgb="FF000000"/>
        <rFont val="Noto Sans CJK SC"/>
        <family val="2"/>
      </rPr>
      <t xml:space="preserve">」，</t>
    </r>
    <r>
      <rPr>
        <sz val="10"/>
        <color rgb="FF000000"/>
        <rFont val="Arial"/>
        <family val="0"/>
        <charset val="1"/>
      </rPr>
      <t xml:space="preserve">API </t>
    </r>
    <r>
      <rPr>
        <sz val="10"/>
        <color rgb="FF000000"/>
        <rFont val="Noto Sans CJK SC"/>
        <family val="2"/>
      </rPr>
      <t xml:space="preserve">上市時「</t>
    </r>
    <r>
      <rPr>
        <sz val="10"/>
        <color rgb="FF000000"/>
        <rFont val="Arial"/>
        <family val="0"/>
        <charset val="1"/>
      </rPr>
      <t xml:space="preserve">coming soon</t>
    </r>
    <r>
      <rPr>
        <sz val="10"/>
        <color rgb="FF000000"/>
        <rFont val="Noto Sans CJK SC"/>
        <family val="2"/>
      </rPr>
      <t xml:space="preserve">」，先經 </t>
    </r>
    <r>
      <rPr>
        <sz val="10"/>
        <color rgb="FF000000"/>
        <rFont val="Arial"/>
        <family val="0"/>
        <charset val="1"/>
      </rPr>
      <t xml:space="preserve">Coding Plan</t>
    </r>
    <r>
      <rPr>
        <sz val="10"/>
        <color rgb="FF000000"/>
        <rFont val="Noto Sans CJK SC"/>
        <family val="2"/>
      </rPr>
      <t xml:space="preserve">；權重約 </t>
    </r>
    <r>
      <rPr>
        <sz val="10"/>
        <color rgb="FF000000"/>
        <rFont val="Arial"/>
        <family val="0"/>
        <charset val="1"/>
      </rPr>
      <t xml:space="preserve">08-28</t>
    </r>
    <r>
      <rPr>
        <sz val="10"/>
        <color rgb="FF000000"/>
        <rFont val="Noto Sans CJK SC"/>
        <family val="2"/>
      </rPr>
      <t xml:space="preserve">；</t>
    </r>
    <r>
      <rPr>
        <sz val="10"/>
        <color rgb="FF000000"/>
        <rFont val="Arial"/>
        <family val="0"/>
        <charset val="1"/>
      </rPr>
      <t xml:space="preserve">DataLearner </t>
    </r>
    <r>
      <rPr>
        <sz val="10"/>
        <color rgb="FF000000"/>
        <rFont val="Noto Sans CJK SC"/>
        <family val="2"/>
      </rPr>
      <t xml:space="preserve">同 </t>
    </r>
    <r>
      <rPr>
        <sz val="10"/>
        <color rgb="FF000000"/>
        <rFont val="Arial"/>
        <family val="0"/>
        <charset val="1"/>
      </rPr>
      <t xml:space="preserve">08-14</t>
    </r>
    <r>
      <rPr>
        <sz val="10"/>
        <color rgb="FF000000"/>
        <rFont val="Noto Sans CJK SC"/>
        <family val="2"/>
      </rPr>
      <t xml:space="preserve">；</t>
    </r>
    <r>
      <rPr>
        <sz val="10"/>
        <color rgb="FF000000"/>
        <rFont val="Arial"/>
        <family val="0"/>
        <charset val="1"/>
      </rPr>
      <t xml:space="preserve">GTM </t>
    </r>
    <r>
      <rPr>
        <sz val="10"/>
        <color rgb="FF000000"/>
        <rFont val="Noto Sans CJK SC"/>
        <family val="2"/>
      </rPr>
      <t xml:space="preserve">列 </t>
    </r>
    <r>
      <rPr>
        <sz val="10"/>
        <color rgb="FF000000"/>
        <rFont val="Arial"/>
        <family val="0"/>
        <charset val="1"/>
      </rPr>
      <t xml:space="preserve">08-16</t>
    </r>
  </si>
  <si>
    <t xml:space="preserve">SRC_ZP_396</t>
  </si>
  <si>
    <t xml:space="preserve">rel_glm53flash</t>
  </si>
  <si>
    <r>
      <rPr>
        <sz val="10"/>
        <color rgb="FF000000"/>
        <rFont val="Arial"/>
        <family val="0"/>
        <charset val="1"/>
      </rPr>
      <t xml:space="preserve">GLM-5.3-Flash </t>
    </r>
    <r>
      <rPr>
        <sz val="10"/>
        <color rgb="FF000000"/>
        <rFont val="Noto Sans CJK SC"/>
        <family val="2"/>
      </rPr>
      <t xml:space="preserve">發布日</t>
    </r>
  </si>
  <si>
    <r>
      <rPr>
        <sz val="10"/>
        <color rgb="FF000000"/>
        <rFont val="Arial"/>
        <family val="0"/>
        <charset val="1"/>
      </rPr>
      <t xml:space="preserve">AIToolly</t>
    </r>
    <r>
      <rPr>
        <sz val="10"/>
        <color rgb="FF000000"/>
        <rFont val="Noto Sans CJK SC"/>
        <family val="2"/>
      </rPr>
      <t xml:space="preserve">（</t>
    </r>
    <r>
      <rPr>
        <sz val="10"/>
        <color rgb="FF000000"/>
        <rFont val="Arial"/>
        <family val="0"/>
        <charset val="1"/>
      </rPr>
      <t xml:space="preserve">2026-08-27</t>
    </r>
    <r>
      <rPr>
        <sz val="10"/>
        <color rgb="FF000000"/>
        <rFont val="Noto Sans CJK SC"/>
        <family val="2"/>
      </rPr>
      <t xml:space="preserve">）</t>
    </r>
  </si>
  <si>
    <t xml:space="preserve">https://aitoolly.com/zh/ai-news/article/2026-08-27-glm-53-flash-zhipu-ais-strategic-leap-in-high-efficiency-language-model-performance</t>
  </si>
  <si>
    <t xml:space="preserve">2026-08-27</t>
  </si>
  <si>
    <r>
      <rPr>
        <sz val="10"/>
        <color rgb="FF000000"/>
        <rFont val="Noto Sans CJK SC"/>
        <family val="2"/>
      </rPr>
      <t xml:space="preserve">原文「</t>
    </r>
    <r>
      <rPr>
        <sz val="10"/>
        <color rgb="FF000000"/>
        <rFont val="Arial"/>
        <family val="0"/>
        <charset val="1"/>
      </rPr>
      <t xml:space="preserve">2026</t>
    </r>
    <r>
      <rPr>
        <sz val="10"/>
        <color rgb="FF000000"/>
        <rFont val="Noto Sans CJK SC"/>
        <family val="2"/>
      </rPr>
      <t xml:space="preserve">年</t>
    </r>
    <r>
      <rPr>
        <sz val="10"/>
        <color rgb="FF000000"/>
        <rFont val="Arial"/>
        <family val="0"/>
        <charset val="1"/>
      </rPr>
      <t xml:space="preserve">8</t>
    </r>
    <r>
      <rPr>
        <sz val="10"/>
        <color rgb="FF000000"/>
        <rFont val="Noto Sans CJK SC"/>
        <family val="2"/>
      </rPr>
      <t xml:space="preserve">月</t>
    </r>
    <r>
      <rPr>
        <sz val="10"/>
        <color rgb="FF000000"/>
        <rFont val="Arial"/>
        <family val="0"/>
        <charset val="1"/>
      </rPr>
      <t xml:space="preserve">26</t>
    </r>
    <r>
      <rPr>
        <sz val="10"/>
        <color rgb="FF000000"/>
        <rFont val="Noto Sans CJK SC"/>
        <family val="2"/>
      </rPr>
      <t xml:space="preserve">日，關於 </t>
    </r>
    <r>
      <rPr>
        <sz val="10"/>
        <color rgb="FF000000"/>
        <rFont val="Arial"/>
        <family val="0"/>
        <charset val="1"/>
      </rPr>
      <t xml:space="preserve">GLM-5.3-Flash </t>
    </r>
    <r>
      <rPr>
        <sz val="10"/>
        <color rgb="FF000000"/>
        <rFont val="Noto Sans CJK SC"/>
        <family val="2"/>
      </rPr>
      <t xml:space="preserve">的消息在 </t>
    </r>
    <r>
      <rPr>
        <sz val="10"/>
        <color rgb="FF000000"/>
        <rFont val="Arial"/>
        <family val="0"/>
        <charset val="1"/>
      </rPr>
      <t xml:space="preserve">Hacker News </t>
    </r>
    <r>
      <rPr>
        <sz val="10"/>
        <color rgb="FF000000"/>
        <rFont val="Noto Sans CJK SC"/>
        <family val="2"/>
      </rPr>
      <t xml:space="preserve">及 </t>
    </r>
    <r>
      <rPr>
        <sz val="10"/>
        <color rgb="FF000000"/>
        <rFont val="Arial"/>
        <family val="0"/>
        <charset val="1"/>
      </rPr>
      <t xml:space="preserve">z.ai </t>
    </r>
    <r>
      <rPr>
        <sz val="10"/>
        <color rgb="FF000000"/>
        <rFont val="Noto Sans CJK SC"/>
        <family val="2"/>
      </rPr>
      <t xml:space="preserve">博客上發布」；上市前以代號 </t>
    </r>
    <r>
      <rPr>
        <sz val="10"/>
        <color rgb="FF000000"/>
        <rFont val="Arial"/>
        <family val="0"/>
        <charset val="1"/>
      </rPr>
      <t xml:space="preserve">Ox-Alpha </t>
    </r>
    <r>
      <rPr>
        <sz val="10"/>
        <color rgb="FF000000"/>
        <rFont val="Noto Sans CJK SC"/>
        <family val="2"/>
      </rPr>
      <t xml:space="preserve">匿名測試（中期公告）</t>
    </r>
  </si>
  <si>
    <t xml:space="preserve">SRC_ZP_397</t>
  </si>
  <si>
    <t xml:space="preserve">usr_maas_1h26_pe</t>
  </si>
  <si>
    <r>
      <rPr>
        <sz val="10"/>
        <color rgb="FF000000"/>
        <rFont val="Arial"/>
        <family val="0"/>
        <charset val="1"/>
      </rPr>
      <t xml:space="preserve">GLM MaaS </t>
    </r>
    <r>
      <rPr>
        <sz val="10"/>
        <color rgb="FF000000"/>
        <rFont val="Noto Sans CJK SC"/>
        <family val="2"/>
      </rPr>
      <t xml:space="preserve">平台企業及開發者用戶數（期末）</t>
    </r>
  </si>
  <si>
    <t xml:space="preserve">萬</t>
  </si>
  <si>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3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</si>
  <si>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enterprise and developer users on the GLM MaaS platform exceeded 5.8 million</t>
    </r>
    <r>
      <rPr>
        <sz val="10"/>
        <color rgb="FF000000"/>
        <rFont val="Noto Sans CJK SC"/>
        <family val="2"/>
      </rPr>
      <t xml:space="preserve">」（報告期末）</t>
    </r>
  </si>
  <si>
    <t xml:space="preserve">SRC_ZP_398</t>
  </si>
  <si>
    <t xml:space="preserve">usr_maas_ann</t>
  </si>
  <si>
    <r>
      <rPr>
        <sz val="10"/>
        <color rgb="FF000000"/>
        <rFont val="Arial"/>
        <family val="0"/>
        <charset val="1"/>
      </rPr>
      <t xml:space="preserve">GLM MaaS </t>
    </r>
    <r>
      <rPr>
        <sz val="10"/>
        <color rgb="FF000000"/>
        <rFont val="Noto Sans CJK SC"/>
        <family val="2"/>
      </rPr>
      <t xml:space="preserve">平台企業及開發者用戶數（公告日）</t>
    </r>
  </si>
  <si>
    <r>
      <rPr>
        <sz val="10"/>
        <color rgb="FF000000"/>
        <rFont val="Arial"/>
        <family val="0"/>
        <charset val="1"/>
      </rPr>
      <t xml:space="preserve">2026-08-31</t>
    </r>
    <r>
      <rPr>
        <sz val="10"/>
        <color rgb="FF000000"/>
        <rFont val="Noto Sans CJK SC"/>
        <family val="2"/>
      </rPr>
      <t xml:space="preserve">（公告日）</t>
    </r>
  </si>
  <si>
    <r>
      <rPr>
        <sz val="10"/>
        <color rgb="FF000000"/>
        <rFont val="Noto Sans CJK SC"/>
        <family val="2"/>
      </rPr>
      <t xml:space="preserve">原文「</t>
    </r>
    <r>
      <rPr>
        <sz val="10"/>
        <color rgb="FF000000"/>
        <rFont val="Arial"/>
        <family val="0"/>
        <charset val="1"/>
      </rPr>
      <t xml:space="preserve">As of the date of this announcement ... over 7.4 million enterprise and developer users</t>
    </r>
    <r>
      <rPr>
        <sz val="10"/>
        <color rgb="FF000000"/>
        <rFont val="Noto Sans CJK SC"/>
        <family val="2"/>
      </rPr>
      <t xml:space="preserve">」；第 </t>
    </r>
    <r>
      <rPr>
        <sz val="10"/>
        <color rgb="FF000000"/>
        <rFont val="Arial"/>
        <family val="0"/>
        <charset val="1"/>
      </rPr>
      <t xml:space="preserve">15 </t>
    </r>
    <r>
      <rPr>
        <sz val="10"/>
        <color rgb="FF000000"/>
        <rFont val="Noto Sans CJK SC"/>
        <family val="2"/>
      </rPr>
      <t xml:space="preserve">頁稱較年初 </t>
    </r>
    <r>
      <rPr>
        <sz val="10"/>
        <color rgb="FF000000"/>
        <rFont val="Arial"/>
        <family val="0"/>
        <charset val="1"/>
      </rPr>
      <t xml:space="preserve">+144%</t>
    </r>
  </si>
  <si>
    <t xml:space="preserve">SRC_ZP_399</t>
  </si>
  <si>
    <t xml:space="preserve">usr_maas_growth_ytd</t>
  </si>
  <si>
    <r>
      <rPr>
        <sz val="10"/>
        <color rgb="FF000000"/>
        <rFont val="Arial"/>
        <family val="0"/>
        <charset val="1"/>
      </rPr>
      <t xml:space="preserve">MaaS </t>
    </r>
    <r>
      <rPr>
        <sz val="10"/>
        <color rgb="FF000000"/>
        <rFont val="Noto Sans CJK SC"/>
        <family val="2"/>
      </rPr>
      <t xml:space="preserve">用戶數較年初增幅</t>
    </r>
  </si>
  <si>
    <r>
      <rPr>
        <sz val="10"/>
        <color rgb="FF000000"/>
        <rFont val="Arial"/>
        <family val="0"/>
        <charset val="1"/>
      </rPr>
      <t xml:space="preserve">2026-01-01→</t>
    </r>
    <r>
      <rPr>
        <sz val="10"/>
        <color rgb="FF000000"/>
        <rFont val="Noto Sans CJK SC"/>
        <family val="2"/>
      </rPr>
      <t xml:space="preserve">公告日</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</si>
  <si>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15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</si>
  <si>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over 7.4 million users, an increase of 144% from the beginning of 2026</t>
    </r>
    <r>
      <rPr>
        <sz val="10"/>
        <color rgb="FF000000"/>
        <rFont val="Noto Sans CJK SC"/>
        <family val="2"/>
      </rPr>
      <t xml:space="preserve">」；反推年初約 </t>
    </r>
    <r>
      <rPr>
        <sz val="10"/>
        <color rgb="FF000000"/>
        <rFont val="Arial"/>
        <family val="0"/>
        <charset val="1"/>
      </rPr>
      <t xml:space="preserve">303 </t>
    </r>
    <r>
      <rPr>
        <sz val="10"/>
        <color rgb="FF000000"/>
        <rFont val="Noto Sans CJK SC"/>
        <family val="2"/>
      </rPr>
      <t xml:space="preserve">萬（</t>
    </r>
    <r>
      <rPr>
        <sz val="10"/>
        <color rgb="FF000000"/>
        <rFont val="Arial"/>
        <family val="0"/>
        <charset val="1"/>
      </rPr>
      <t xml:space="preserve">Derived</t>
    </r>
    <r>
      <rPr>
        <sz val="10"/>
        <color rgb="FF000000"/>
        <rFont val="Noto Sans CJK SC"/>
        <family val="2"/>
      </rPr>
      <t xml:space="preserve">）</t>
    </r>
  </si>
  <si>
    <t xml:space="preserve">SRC_ZP_400</t>
  </si>
  <si>
    <t xml:space="preserve">usr_maas_mar26</t>
  </si>
  <si>
    <t xml:space="preserve">開放平台註冊用戶數</t>
  </si>
  <si>
    <t xml:space="preserve">2026-03</t>
  </si>
  <si>
    <r>
      <rPr>
        <sz val="10"/>
        <color rgb="FF000000"/>
        <rFont val="Noto Sans CJK SC"/>
        <family val="2"/>
      </rPr>
      <t xml:space="preserve">原文「</t>
    </r>
    <r>
      <rPr>
        <sz val="10"/>
        <color rgb="FF000000"/>
        <rFont val="Arial"/>
        <family val="0"/>
        <charset val="1"/>
      </rPr>
      <t xml:space="preserve">surpassed 4 million registered users as of March 2026</t>
    </r>
    <r>
      <rPr>
        <sz val="10"/>
        <color rgb="FF000000"/>
        <rFont val="Noto Sans CJK SC"/>
        <family val="2"/>
      </rPr>
      <t xml:space="preserve">」；另稱合作「</t>
    </r>
    <r>
      <rPr>
        <sz val="10"/>
        <color rgb="FF000000"/>
        <rFont val="Arial"/>
        <family val="0"/>
        <charset val="1"/>
      </rPr>
      <t xml:space="preserve">over 4 million small and medium-sized enterprises and developers</t>
    </r>
    <r>
      <rPr>
        <sz val="10"/>
        <color rgb="FF000000"/>
        <rFont val="Noto Sans CJK SC"/>
        <family val="2"/>
      </rPr>
      <t xml:space="preserve">」</t>
    </r>
  </si>
  <si>
    <t xml:space="preserve">SRC_ZP_401</t>
  </si>
  <si>
    <t xml:space="preserve">usr_paid_dau_growth</t>
  </si>
  <si>
    <t xml:space="preserve">付費日活用戶較年初增幅</t>
  </si>
  <si>
    <t xml:space="preserve">2026-01-01→1H2026</t>
  </si>
  <si>
    <r>
      <rPr>
        <sz val="10"/>
        <color rgb="FF000000"/>
        <rFont val="Noto Sans CJK SC"/>
        <family val="2"/>
      </rPr>
      <t xml:space="preserve">原文「</t>
    </r>
    <r>
      <rPr>
        <sz val="10"/>
        <color rgb="FF000000"/>
        <rFont val="Arial"/>
        <family val="0"/>
        <charset val="1"/>
      </rPr>
      <t xml:space="preserve">the number of paid daily active users rising by 603%</t>
    </r>
    <r>
      <rPr>
        <sz val="10"/>
        <color rgb="FF000000"/>
        <rFont val="Noto Sans CJK SC"/>
        <family val="2"/>
      </rPr>
      <t xml:space="preserve">」；未揭露絕對數</t>
    </r>
  </si>
  <si>
    <t xml:space="preserve">SRC_ZP_402</t>
  </si>
  <si>
    <t xml:space="preserve">usr_cp_paying_dev</t>
  </si>
  <si>
    <r>
      <rPr>
        <sz val="10"/>
        <color rgb="FF000000"/>
        <rFont val="Arial"/>
        <family val="0"/>
        <charset val="1"/>
      </rPr>
      <t xml:space="preserve">GLM Coding Plan </t>
    </r>
    <r>
      <rPr>
        <sz val="10"/>
        <color rgb="FF000000"/>
        <rFont val="Noto Sans CJK SC"/>
        <family val="2"/>
      </rPr>
      <t xml:space="preserve">付費開發者數</t>
    </r>
  </si>
  <si>
    <r>
      <rPr>
        <sz val="10"/>
        <color rgb="FF000000"/>
        <rFont val="Noto Sans CJK SC"/>
        <family val="2"/>
      </rPr>
      <t xml:space="preserve">原文「</t>
    </r>
    <r>
      <rPr>
        <sz val="10"/>
        <color rgb="FF000000"/>
        <rFont val="Arial"/>
        <family val="0"/>
        <charset val="1"/>
      </rPr>
      <t xml:space="preserve">reaching over 242,000 paying developers</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段落）</t>
    </r>
  </si>
  <si>
    <t xml:space="preserve">SRC_ZP_403</t>
  </si>
  <si>
    <t xml:space="preserve">usr_clawplan_subs</t>
  </si>
  <si>
    <r>
      <rPr>
        <sz val="10"/>
        <color rgb="FF000000"/>
        <rFont val="Arial"/>
        <family val="0"/>
        <charset val="1"/>
      </rPr>
      <t xml:space="preserve">Claw Plan </t>
    </r>
    <r>
      <rPr>
        <sz val="10"/>
        <color rgb="FF000000"/>
        <rFont val="Noto Sans CJK SC"/>
        <family val="2"/>
      </rPr>
      <t xml:space="preserve">訂閱數（</t>
    </r>
    <r>
      <rPr>
        <sz val="10"/>
        <color rgb="FF000000"/>
        <rFont val="Arial"/>
        <family val="0"/>
        <charset val="1"/>
      </rPr>
      <t xml:space="preserve">20 </t>
    </r>
    <r>
      <rPr>
        <sz val="10"/>
        <color rgb="FF000000"/>
        <rFont val="Noto Sans CJK SC"/>
        <family val="2"/>
      </rPr>
      <t xml:space="preserve">天）</t>
    </r>
  </si>
  <si>
    <r>
      <rPr>
        <sz val="10"/>
        <color rgb="FF000000"/>
        <rFont val="Noto Sans CJK SC"/>
        <family val="2"/>
      </rPr>
      <t xml:space="preserve">原文「</t>
    </r>
    <r>
      <rPr>
        <sz val="10"/>
        <color rgb="FF000000"/>
        <rFont val="Arial"/>
        <family val="0"/>
        <charset val="1"/>
      </rPr>
      <t xml:space="preserve">100,000 subscribers within just two days and 400,000 subscribers within 20 days</t>
    </r>
    <r>
      <rPr>
        <sz val="10"/>
        <color rgb="FF000000"/>
        <rFont val="Noto Sans CJK SC"/>
        <family val="2"/>
      </rPr>
      <t xml:space="preserve">」；未稱付費</t>
    </r>
  </si>
  <si>
    <t xml:space="preserve">SRC_ZP_404</t>
  </si>
  <si>
    <t xml:space="preserve">usr_inst_cust_1h25</t>
  </si>
  <si>
    <t xml:space="preserve">機構客戶數</t>
  </si>
  <si>
    <t xml:space="preserve">家</t>
  </si>
  <si>
    <r>
      <rPr>
        <sz val="10"/>
        <color rgb="FF000000"/>
        <rFont val="Noto Sans CJK SC"/>
        <family val="2"/>
      </rPr>
      <t xml:space="preserve">智譜招股章程（全球發售，</t>
    </r>
    <r>
      <rPr>
        <sz val="10"/>
        <color rgb="FF000000"/>
        <rFont val="Arial"/>
        <family val="0"/>
        <charset val="1"/>
      </rPr>
      <t xml:space="preserve">2025-12-30</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</si>
  <si>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empowered over eight thousand institutional customers as of June 30, 2025</t>
    </r>
    <r>
      <rPr>
        <sz val="10"/>
        <color rgb="FF000000"/>
        <rFont val="Noto Sans CJK SC"/>
        <family val="2"/>
      </rPr>
      <t xml:space="preserve">」</t>
    </r>
  </si>
  <si>
    <t xml:space="preserve">SRC_ZP_405</t>
  </si>
  <si>
    <t xml:space="preserve">usr_inst_cust_9m25</t>
  </si>
  <si>
    <t xml:space="preserve">機構客戶數（九個月）</t>
  </si>
  <si>
    <r>
      <rPr>
        <sz val="10"/>
        <color rgb="FF000000"/>
        <rFont val="Arial"/>
        <family val="0"/>
        <charset val="1"/>
      </rPr>
      <t xml:space="preserve">9M2025</t>
    </r>
    <r>
      <rPr>
        <sz val="10"/>
        <color rgb="FF000000"/>
        <rFont val="Noto Sans CJK SC"/>
        <family val="2"/>
      </rPr>
      <t xml:space="preserve">（截至 </t>
    </r>
    <r>
      <rPr>
        <sz val="10"/>
        <color rgb="FF000000"/>
        <rFont val="Arial"/>
        <family val="0"/>
        <charset val="1"/>
      </rPr>
      <t xml:space="preserve">2025-09-30</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</si>
  <si>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over 12,000 institutional customers</t>
    </r>
    <r>
      <rPr>
        <sz val="10"/>
        <color rgb="FF000000"/>
        <rFont val="Noto Sans CJK SC"/>
        <family val="2"/>
      </rPr>
      <t xml:space="preserve">」</t>
    </r>
  </si>
  <si>
    <t xml:space="preserve">SRC_ZP_406</t>
  </si>
  <si>
    <t xml:space="preserve">usr_devices</t>
  </si>
  <si>
    <t xml:space="preserve">賦能終端設備數</t>
  </si>
  <si>
    <t xml:space="preserve">萬台</t>
  </si>
  <si>
    <r>
      <rPr>
        <sz val="10"/>
        <color rgb="FF000000"/>
        <rFont val="Noto Sans CJK SC"/>
        <family val="2"/>
      </rPr>
      <t xml:space="preserve">最後實際可行日期（</t>
    </r>
    <r>
      <rPr>
        <sz val="10"/>
        <color rgb="FF000000"/>
        <rFont val="Arial"/>
        <family val="0"/>
        <charset val="1"/>
      </rPr>
      <t xml:space="preserve">2025-12</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</si>
  <si>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approximately 80 million devices</t>
    </r>
    <r>
      <rPr>
        <sz val="10"/>
        <color rgb="FF000000"/>
        <rFont val="Noto Sans CJK SC"/>
        <family val="2"/>
      </rPr>
      <t xml:space="preserve">」</t>
    </r>
  </si>
  <si>
    <t xml:space="preserve">SRC_ZP_407</t>
  </si>
  <si>
    <t xml:space="preserve">usr_top10_internet</t>
  </si>
  <si>
    <r>
      <rPr>
        <sz val="10"/>
        <color rgb="FF000000"/>
        <rFont val="Noto Sans CJK SC"/>
        <family val="2"/>
      </rPr>
      <t xml:space="preserve">中國前十大互聯網公司中接入 </t>
    </r>
    <r>
      <rPr>
        <sz val="10"/>
        <color rgb="FF000000"/>
        <rFont val="Arial"/>
        <family val="0"/>
        <charset val="1"/>
      </rPr>
      <t xml:space="preserve">GLM </t>
    </r>
    <r>
      <rPr>
        <sz val="10"/>
        <color rgb="FF000000"/>
        <rFont val="Noto Sans CJK SC"/>
        <family val="2"/>
      </rPr>
      <t xml:space="preserve">家數</t>
    </r>
  </si>
  <si>
    <r>
      <rPr>
        <sz val="10"/>
        <color rgb="FF000000"/>
        <rFont val="Noto Sans CJK SC"/>
        <family val="2"/>
      </rPr>
      <t xml:space="preserve">智譜 </t>
    </r>
    <r>
      <rPr>
        <sz val="10"/>
        <color rgb="FF000000"/>
        <rFont val="Arial"/>
        <family val="0"/>
        <charset val="1"/>
      </rPr>
      <t xml:space="preserve">2025 </t>
    </r>
    <r>
      <rPr>
        <sz val="10"/>
        <color rgb="FF000000"/>
        <rFont val="Noto Sans CJK SC"/>
        <family val="2"/>
      </rPr>
      <t xml:space="preserve">年度業績公告（截至 </t>
    </r>
    <r>
      <rPr>
        <sz val="10"/>
        <color rgb="FF000000"/>
        <rFont val="Arial"/>
        <family val="0"/>
        <charset val="1"/>
      </rPr>
      <t xml:space="preserve">2025-12-31</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</si>
  <si>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9 of the top 10 Internet companies in China have now deeply integrated GLM</t>
    </r>
    <r>
      <rPr>
        <sz val="10"/>
        <color rgb="FF000000"/>
        <rFont val="Noto Sans CJK SC"/>
        <family val="2"/>
      </rPr>
      <t xml:space="preserve">」</t>
    </r>
  </si>
  <si>
    <t xml:space="preserve">SRC_ZP_408</t>
  </si>
  <si>
    <t xml:space="preserve">usr_countries_fy25</t>
  </si>
  <si>
    <t xml:space="preserve">用戶覆蓋國家與地區</t>
  </si>
  <si>
    <t xml:space="preserve">個</t>
  </si>
  <si>
    <r>
      <rPr>
        <sz val="10"/>
        <color rgb="FF000000"/>
        <rFont val="Noto Sans CJK SC"/>
        <family val="2"/>
      </rPr>
      <t xml:space="preserve">原文「</t>
    </r>
    <r>
      <rPr>
        <sz val="10"/>
        <color rgb="FF000000"/>
        <rFont val="Arial"/>
        <family val="0"/>
        <charset val="1"/>
      </rPr>
      <t xml:space="preserve">covering 218 countries and regions worldwide</t>
    </r>
    <r>
      <rPr>
        <sz val="10"/>
        <color rgb="FF000000"/>
        <rFont val="Noto Sans CJK SC"/>
        <family val="2"/>
      </rPr>
      <t xml:space="preserve">」</t>
    </r>
  </si>
  <si>
    <t xml:space="preserve">SRC_ZP_409</t>
  </si>
  <si>
    <t xml:space="preserve">usr_countries_1h26_b</t>
  </si>
  <si>
    <t xml:space="preserve">用戶覆蓋國家與地區（中期媒體轉述）</t>
  </si>
  <si>
    <r>
      <rPr>
        <sz val="10"/>
        <color rgb="FF000000"/>
        <rFont val="Noto Sans CJK SC"/>
        <family val="2"/>
      </rPr>
      <t xml:space="preserve">原文「用戶覆蓋</t>
    </r>
    <r>
      <rPr>
        <sz val="10"/>
        <color rgb="FF000000"/>
        <rFont val="Arial"/>
        <family val="0"/>
        <charset val="1"/>
      </rPr>
      <t xml:space="preserve">233</t>
    </r>
    <r>
      <rPr>
        <sz val="10"/>
        <color rgb="FF000000"/>
        <rFont val="Noto Sans CJK SC"/>
        <family val="2"/>
      </rPr>
      <t xml:space="preserve">個國家和地區」；公告本文未查得此句</t>
    </r>
  </si>
  <si>
    <t xml:space="preserve">SRC_ZP_410</t>
  </si>
  <si>
    <t xml:space="preserve">tok_maas_growth_ytd</t>
  </si>
  <si>
    <r>
      <rPr>
        <sz val="10"/>
        <color rgb="FF000000"/>
        <rFont val="Arial"/>
        <family val="0"/>
        <charset val="1"/>
      </rPr>
      <t xml:space="preserve">MaaS </t>
    </r>
    <r>
      <rPr>
        <sz val="10"/>
        <color rgb="FF000000"/>
        <rFont val="Noto Sans CJK SC"/>
        <family val="2"/>
      </rPr>
      <t xml:space="preserve">平台 </t>
    </r>
    <r>
      <rPr>
        <sz val="10"/>
        <color rgb="FF000000"/>
        <rFont val="Arial"/>
        <family val="0"/>
        <charset val="1"/>
      </rPr>
      <t xml:space="preserve">token </t>
    </r>
    <r>
      <rPr>
        <sz val="10"/>
        <color rgb="FF000000"/>
        <rFont val="Noto Sans CJK SC"/>
        <family val="2"/>
      </rPr>
      <t xml:space="preserve">呼叫量較年初倍數</t>
    </r>
  </si>
  <si>
    <t xml:space="preserve">倍（以上）</t>
  </si>
  <si>
    <r>
      <rPr>
        <sz val="10"/>
        <color rgb="FF000000"/>
        <rFont val="Noto Sans CJK SC"/>
        <family val="2"/>
      </rPr>
      <t xml:space="preserve">原文「</t>
    </r>
    <r>
      <rPr>
        <sz val="10"/>
        <color rgb="FF000000"/>
        <rFont val="Arial"/>
        <family val="0"/>
        <charset val="1"/>
      </rPr>
      <t xml:space="preserve">Token invocation volume of the MaaS platform had increased over 40 times from the beginning of 2026</t>
    </r>
    <r>
      <rPr>
        <sz val="10"/>
        <color rgb="FF000000"/>
        <rFont val="Noto Sans CJK SC"/>
        <family val="2"/>
      </rPr>
      <t xml:space="preserve">」</t>
    </r>
  </si>
  <si>
    <t xml:space="preserve">SRC_ZP_411</t>
  </si>
  <si>
    <t xml:space="preserve">tok_cp_growth_ytd</t>
  </si>
  <si>
    <r>
      <rPr>
        <sz val="10"/>
        <color rgb="FF000000"/>
        <rFont val="Arial"/>
        <family val="0"/>
        <charset val="1"/>
      </rPr>
      <t xml:space="preserve">Coding Plan </t>
    </r>
    <r>
      <rPr>
        <sz val="10"/>
        <color rgb="FF000000"/>
        <rFont val="Noto Sans CJK SC"/>
        <family val="2"/>
      </rPr>
      <t xml:space="preserve">呼叫量較年初倍數</t>
    </r>
  </si>
  <si>
    <r>
      <rPr>
        <sz val="10"/>
        <color rgb="FF000000"/>
        <rFont val="Noto Sans CJK SC"/>
        <family val="2"/>
      </rPr>
      <t xml:space="preserve">原文「</t>
    </r>
    <r>
      <rPr>
        <sz val="10"/>
        <color rgb="FF000000"/>
        <rFont val="Arial"/>
        <family val="0"/>
        <charset val="1"/>
      </rPr>
      <t xml:space="preserve">with Coding Plan invocation volume growing over 23 times</t>
    </r>
    <r>
      <rPr>
        <sz val="10"/>
        <color rgb="FF000000"/>
        <rFont val="Noto Sans CJK SC"/>
        <family val="2"/>
      </rPr>
      <t xml:space="preserve">」</t>
    </r>
  </si>
  <si>
    <t xml:space="preserve">SRC_ZP_412</t>
  </si>
  <si>
    <t xml:space="preserve">tok_top10_daily_growth</t>
  </si>
  <si>
    <t xml:space="preserve">前十大付費客戶日均呼叫量較年初倍數</t>
  </si>
  <si>
    <t xml:space="preserve">倍</t>
  </si>
  <si>
    <r>
      <rPr>
        <sz val="10"/>
        <color rgb="FF000000"/>
        <rFont val="Noto Sans CJK SC"/>
        <family val="2"/>
      </rPr>
      <t xml:space="preserve">原文「</t>
    </r>
    <r>
      <rPr>
        <sz val="10"/>
        <color rgb="FF000000"/>
        <rFont val="Arial"/>
        <family val="0"/>
        <charset val="1"/>
      </rPr>
      <t xml:space="preserve">For the top ten customers by revenue, the average daily invocation volume soared 98 times</t>
    </r>
    <r>
      <rPr>
        <sz val="10"/>
        <color rgb="FF000000"/>
        <rFont val="Noto Sans CJK SC"/>
        <family val="2"/>
      </rPr>
      <t xml:space="preserve">」</t>
    </r>
  </si>
  <si>
    <t xml:space="preserve">SRC_ZP_413</t>
  </si>
  <si>
    <t xml:space="preserve">tok_daily_nov25</t>
  </si>
  <si>
    <r>
      <rPr>
        <sz val="10"/>
        <color rgb="FF000000"/>
        <rFont val="Noto Sans CJK SC"/>
        <family val="2"/>
      </rPr>
      <t xml:space="preserve">日均 </t>
    </r>
    <r>
      <rPr>
        <sz val="10"/>
        <color rgb="FF000000"/>
        <rFont val="Arial"/>
        <family val="0"/>
        <charset val="1"/>
      </rPr>
      <t xml:space="preserve">token </t>
    </r>
    <r>
      <rPr>
        <sz val="10"/>
        <color rgb="FF000000"/>
        <rFont val="Noto Sans CJK SC"/>
        <family val="2"/>
      </rPr>
      <t xml:space="preserve">消耗量</t>
    </r>
  </si>
  <si>
    <r>
      <rPr>
        <sz val="10"/>
        <color rgb="FF000000"/>
        <rFont val="Arial"/>
        <family val="0"/>
        <charset val="1"/>
      </rPr>
      <t xml:space="preserve">T</t>
    </r>
    <r>
      <rPr>
        <sz val="10"/>
        <color rgb="FF000000"/>
        <rFont val="Noto Sans CJK SC"/>
        <family val="2"/>
      </rPr>
      <t xml:space="preserve">／日</t>
    </r>
  </si>
  <si>
    <t xml:space="preserve">2025-11</t>
  </si>
  <si>
    <r>
      <rPr>
        <sz val="10"/>
        <color rgb="FF000000"/>
        <rFont val="Noto Sans CJK SC"/>
        <family val="2"/>
      </rPr>
      <t xml:space="preserve">原文「</t>
    </r>
    <r>
      <rPr>
        <sz val="10"/>
        <color rgb="FF000000"/>
        <rFont val="Arial"/>
        <family val="0"/>
        <charset val="1"/>
      </rPr>
      <t xml:space="preserve">our average daily token consumption volume was 4.2 trillion in November 2025</t>
    </r>
    <r>
      <rPr>
        <sz val="10"/>
        <color rgb="FF000000"/>
        <rFont val="Noto Sans CJK SC"/>
        <family val="2"/>
      </rPr>
      <t xml:space="preserve">」；口徑可能含本地化以外全部雲端</t>
    </r>
  </si>
  <si>
    <t xml:space="preserve">SRC_ZP_414</t>
  </si>
  <si>
    <t xml:space="preserve">tok_daily_1h25_b</t>
  </si>
  <si>
    <r>
      <rPr>
        <sz val="10"/>
        <color rgb="FF000000"/>
        <rFont val="Noto Sans CJK SC"/>
        <family val="2"/>
      </rPr>
      <t xml:space="preserve">日均 </t>
    </r>
    <r>
      <rPr>
        <sz val="10"/>
        <color rgb="FF000000"/>
        <rFont val="Arial"/>
        <family val="0"/>
        <charset val="1"/>
      </rPr>
      <t xml:space="preserve">token </t>
    </r>
    <r>
      <rPr>
        <sz val="10"/>
        <color rgb="FF000000"/>
        <rFont val="Noto Sans CJK SC"/>
        <family val="2"/>
      </rPr>
      <t xml:space="preserve">消耗量（媒體轉述招股書）</t>
    </r>
  </si>
  <si>
    <r>
      <rPr>
        <sz val="10"/>
        <color rgb="FF000000"/>
        <rFont val="Noto Sans CJK SC"/>
        <family val="2"/>
      </rPr>
      <t xml:space="preserve">鈦媒體（</t>
    </r>
    <r>
      <rPr>
        <sz val="10"/>
        <color rgb="FF000000"/>
        <rFont val="Arial"/>
        <family val="0"/>
        <charset val="1"/>
      </rPr>
      <t xml:space="preserve">2025-12-26</t>
    </r>
    <r>
      <rPr>
        <sz val="10"/>
        <color rgb="FF000000"/>
        <rFont val="Noto Sans CJK SC"/>
        <family val="2"/>
      </rPr>
      <t xml:space="preserve">）</t>
    </r>
  </si>
  <si>
    <t xml:space="preserve">https://www.tmtpost.com/7821744.html</t>
  </si>
  <si>
    <r>
      <rPr>
        <sz val="10"/>
        <color rgb="FF000000"/>
        <rFont val="Noto Sans CJK SC"/>
        <family val="2"/>
      </rPr>
      <t xml:space="preserve">媒體轉述 </t>
    </r>
    <r>
      <rPr>
        <sz val="10"/>
        <color rgb="FF000000"/>
        <rFont val="Arial"/>
        <family val="0"/>
        <charset val="1"/>
      </rPr>
      <t xml:space="preserve">PHIP</t>
    </r>
    <r>
      <rPr>
        <sz val="10"/>
        <color rgb="FF000000"/>
        <rFont val="Noto Sans CJK SC"/>
        <family val="2"/>
      </rPr>
      <t xml:space="preserve">；智譜誘因同上</t>
    </r>
  </si>
  <si>
    <r>
      <rPr>
        <sz val="10"/>
        <color rgb="FF000000"/>
        <rFont val="Noto Sans CJK SC"/>
        <family val="2"/>
      </rPr>
      <t xml:space="preserve">原文「日均</t>
    </r>
    <r>
      <rPr>
        <sz val="10"/>
        <color rgb="FF000000"/>
        <rFont val="Arial"/>
        <family val="0"/>
        <charset val="1"/>
      </rPr>
      <t xml:space="preserve">token</t>
    </r>
    <r>
      <rPr>
        <sz val="10"/>
        <color rgb="FF000000"/>
        <rFont val="Noto Sans CJK SC"/>
        <family val="2"/>
      </rPr>
      <t xml:space="preserve">消耗量，從</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5</t>
    </r>
    <r>
      <rPr>
        <sz val="10"/>
        <color rgb="FF000000"/>
        <rFont val="Noto Sans CJK SC"/>
        <family val="2"/>
      </rPr>
      <t xml:space="preserve">億上升到</t>
    </r>
    <r>
      <rPr>
        <sz val="10"/>
        <color rgb="FF000000"/>
        <rFont val="Arial"/>
        <family val="0"/>
        <charset val="1"/>
      </rPr>
      <t xml:space="preserve">2025</t>
    </r>
    <r>
      <rPr>
        <sz val="10"/>
        <color rgb="FF000000"/>
        <rFont val="Noto Sans CJK SC"/>
        <family val="2"/>
      </rPr>
      <t xml:space="preserve">年上半年</t>
    </r>
    <r>
      <rPr>
        <sz val="10"/>
        <color rgb="FF000000"/>
        <rFont val="Arial"/>
        <family val="0"/>
        <charset val="1"/>
      </rPr>
      <t xml:space="preserve">4.6</t>
    </r>
    <r>
      <rPr>
        <sz val="10"/>
        <color rgb="FF000000"/>
        <rFont val="Noto Sans CJK SC"/>
        <family val="2"/>
      </rPr>
      <t xml:space="preserve">萬億」；與招股章程 </t>
    </r>
    <r>
      <rPr>
        <sz val="10"/>
        <color rgb="FF000000"/>
        <rFont val="Arial"/>
        <family val="0"/>
        <charset val="1"/>
      </rPr>
      <t xml:space="preserve">2025-11 </t>
    </r>
    <r>
      <rPr>
        <sz val="10"/>
        <color rgb="FF000000"/>
        <rFont val="Noto Sans CJK SC"/>
        <family val="2"/>
      </rPr>
      <t xml:space="preserve">的 </t>
    </r>
    <r>
      <rPr>
        <sz val="10"/>
        <color rgb="FF000000"/>
        <rFont val="Arial"/>
        <family val="0"/>
        <charset val="1"/>
      </rPr>
      <t xml:space="preserve">4.2T </t>
    </r>
    <r>
      <rPr>
        <sz val="10"/>
        <color rgb="FF000000"/>
        <rFont val="Noto Sans CJK SC"/>
        <family val="2"/>
      </rPr>
      <t xml:space="preserve">矛盾（期間不同或口徑不同），全部登錄</t>
    </r>
  </si>
  <si>
    <t xml:space="preserve">SRC_ZP_415</t>
  </si>
  <si>
    <t xml:space="preserve">tok_daily_2022_b</t>
  </si>
  <si>
    <r>
      <rPr>
        <sz val="10"/>
        <color rgb="FF000000"/>
        <rFont val="Noto Sans CJK SC"/>
        <family val="2"/>
      </rPr>
      <t xml:space="preserve">日均 </t>
    </r>
    <r>
      <rPr>
        <sz val="10"/>
        <color rgb="FF000000"/>
        <rFont val="Arial"/>
        <family val="0"/>
        <charset val="1"/>
      </rPr>
      <t xml:space="preserve">token </t>
    </r>
    <r>
      <rPr>
        <sz val="10"/>
        <color rgb="FF000000"/>
        <rFont val="Noto Sans CJK SC"/>
        <family val="2"/>
      </rPr>
      <t xml:space="preserve">消耗量（</t>
    </r>
    <r>
      <rPr>
        <sz val="10"/>
        <color rgb="FF000000"/>
        <rFont val="Arial"/>
        <family val="0"/>
        <charset val="1"/>
      </rPr>
      <t xml:space="preserve">2022</t>
    </r>
    <r>
      <rPr>
        <sz val="10"/>
        <color rgb="FF000000"/>
        <rFont val="Noto Sans CJK SC"/>
        <family val="2"/>
      </rPr>
      <t xml:space="preserve">）</t>
    </r>
  </si>
  <si>
    <r>
      <rPr>
        <sz val="10"/>
        <color rgb="FF000000"/>
        <rFont val="Noto Sans CJK SC"/>
        <family val="2"/>
      </rPr>
      <t xml:space="preserve">媒體轉述 </t>
    </r>
    <r>
      <rPr>
        <sz val="10"/>
        <color rgb="FF000000"/>
        <rFont val="Arial"/>
        <family val="0"/>
        <charset val="1"/>
      </rPr>
      <t xml:space="preserve">PHIP</t>
    </r>
  </si>
  <si>
    <r>
      <rPr>
        <sz val="10"/>
        <color rgb="FF000000"/>
        <rFont val="Noto Sans CJK SC"/>
        <family val="2"/>
      </rPr>
      <t xml:space="preserve">原文「從</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5</t>
    </r>
    <r>
      <rPr>
        <sz val="10"/>
        <color rgb="FF000000"/>
        <rFont val="Noto Sans CJK SC"/>
        <family val="2"/>
      </rPr>
      <t xml:space="preserve">億」＝</t>
    </r>
    <r>
      <rPr>
        <sz val="10"/>
        <color rgb="FF000000"/>
        <rFont val="Arial"/>
        <family val="0"/>
        <charset val="1"/>
      </rPr>
      <t xml:space="preserve">5 </t>
    </r>
    <r>
      <rPr>
        <sz val="10"/>
        <color rgb="FF000000"/>
        <rFont val="Noto Sans CJK SC"/>
        <family val="2"/>
      </rPr>
      <t xml:space="preserve">億 </t>
    </r>
    <r>
      <rPr>
        <sz val="10"/>
        <color rgb="FF000000"/>
        <rFont val="Arial"/>
        <family val="0"/>
        <charset val="1"/>
      </rPr>
      <t xml:space="preserve">token</t>
    </r>
    <r>
      <rPr>
        <sz val="10"/>
        <color rgb="FF000000"/>
        <rFont val="Noto Sans CJK SC"/>
        <family val="2"/>
      </rPr>
      <t xml:space="preserve">／日＝</t>
    </r>
    <r>
      <rPr>
        <sz val="10"/>
        <color rgb="FF000000"/>
        <rFont val="Arial"/>
        <family val="0"/>
        <charset val="1"/>
      </rPr>
      <t xml:space="preserve">0.0005T</t>
    </r>
  </si>
  <si>
    <t xml:space="preserve">SRC_ZP_416</t>
  </si>
  <si>
    <t xml:space="preserve">tok_oxalpha_6d</t>
  </si>
  <si>
    <r>
      <rPr>
        <sz val="10"/>
        <color rgb="FF000000"/>
        <rFont val="Arial"/>
        <family val="0"/>
        <charset val="1"/>
      </rPr>
      <t xml:space="preserve">GLM-5.3-Flash</t>
    </r>
    <r>
      <rPr>
        <sz val="10"/>
        <color rgb="FF000000"/>
        <rFont val="Noto Sans CJK SC"/>
        <family val="2"/>
      </rPr>
      <t xml:space="preserve">（代號 </t>
    </r>
    <r>
      <rPr>
        <sz val="10"/>
        <color rgb="FF000000"/>
        <rFont val="Arial"/>
        <family val="0"/>
        <charset val="1"/>
      </rPr>
      <t xml:space="preserve">Ox-Alpha</t>
    </r>
    <r>
      <rPr>
        <sz val="10"/>
        <color rgb="FF000000"/>
        <rFont val="Noto Sans CJK SC"/>
        <family val="2"/>
      </rPr>
      <t xml:space="preserve">）匿名測試 </t>
    </r>
    <r>
      <rPr>
        <sz val="10"/>
        <color rgb="FF000000"/>
        <rFont val="Arial"/>
        <family val="0"/>
        <charset val="1"/>
      </rPr>
      <t xml:space="preserve">6 </t>
    </r>
    <r>
      <rPr>
        <sz val="10"/>
        <color rgb="FF000000"/>
        <rFont val="Noto Sans CJK SC"/>
        <family val="2"/>
      </rPr>
      <t xml:space="preserve">日累計 </t>
    </r>
    <r>
      <rPr>
        <sz val="10"/>
        <color rgb="FF000000"/>
        <rFont val="Arial"/>
        <family val="0"/>
        <charset val="1"/>
      </rPr>
      <t xml:space="preserve">token</t>
    </r>
  </si>
  <si>
    <r>
      <rPr>
        <sz val="10"/>
        <color rgb="FF000000"/>
        <rFont val="Arial"/>
        <family val="0"/>
        <charset val="1"/>
      </rPr>
      <t xml:space="preserve">T</t>
    </r>
    <r>
      <rPr>
        <sz val="10"/>
        <color rgb="FF000000"/>
        <rFont val="Noto Sans CJK SC"/>
        <family val="2"/>
      </rPr>
      <t xml:space="preserve">（</t>
    </r>
    <r>
      <rPr>
        <sz val="10"/>
        <color rgb="FF000000"/>
        <rFont val="Arial"/>
        <family val="0"/>
        <charset val="1"/>
      </rPr>
      <t xml:space="preserve">6 </t>
    </r>
    <r>
      <rPr>
        <sz val="10"/>
        <color rgb="FF000000"/>
        <rFont val="Noto Sans CJK SC"/>
        <family val="2"/>
      </rPr>
      <t xml:space="preserve">日累計）</t>
    </r>
  </si>
  <si>
    <r>
      <rPr>
        <sz val="10"/>
        <color rgb="FF000000"/>
        <rFont val="Arial"/>
        <family val="0"/>
        <charset val="1"/>
      </rPr>
      <t xml:space="preserve">2026-08</t>
    </r>
    <r>
      <rPr>
        <sz val="10"/>
        <color rgb="FF000000"/>
        <rFont val="Noto Sans CJK SC"/>
        <family val="2"/>
      </rPr>
      <t xml:space="preserve">（上市前一週）</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</si>
  <si>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10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</si>
  <si>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6-day cumulative Token volume of more than 62 trillion</t>
    </r>
    <r>
      <rPr>
        <sz val="10"/>
        <color rgb="FF000000"/>
        <rFont val="Noto Sans CJK SC"/>
        <family val="2"/>
      </rPr>
      <t xml:space="preserve">」，於 </t>
    </r>
    <r>
      <rPr>
        <sz val="10"/>
        <color rgb="FF000000"/>
        <rFont val="Arial"/>
        <family val="0"/>
        <charset val="1"/>
      </rPr>
      <t xml:space="preserve">OpenCode</t>
    </r>
    <r>
      <rPr>
        <sz val="10"/>
        <color rgb="FF000000"/>
        <rFont val="Noto Sans CJK SC"/>
        <family val="2"/>
      </rPr>
      <t xml:space="preserve">／</t>
    </r>
    <r>
      <rPr>
        <sz val="10"/>
        <color rgb="FF000000"/>
        <rFont val="Arial"/>
        <family val="0"/>
        <charset val="1"/>
      </rPr>
      <t xml:space="preserve">OpenRouter </t>
    </r>
    <r>
      <rPr>
        <sz val="10"/>
        <color rgb="FF000000"/>
        <rFont val="Noto Sans CJK SC"/>
        <family val="2"/>
      </rPr>
      <t xml:space="preserve">匿名部署；含免費流量，非付費口徑</t>
    </r>
  </si>
  <si>
    <t xml:space="preserve">SRC_ZP_417</t>
  </si>
  <si>
    <t xml:space="preserve">arr_maas_aug26_monthly</t>
  </si>
  <si>
    <r>
      <rPr>
        <sz val="10"/>
        <color rgb="FF000000"/>
        <rFont val="Arial"/>
        <family val="0"/>
        <charset val="1"/>
      </rPr>
      <t xml:space="preserve">MaaS </t>
    </r>
    <r>
      <rPr>
        <sz val="10"/>
        <color rgb="FF000000"/>
        <rFont val="Noto Sans CJK SC"/>
        <family val="2"/>
      </rPr>
      <t xml:space="preserve">平台 </t>
    </r>
    <r>
      <rPr>
        <sz val="10"/>
        <color rgb="FF000000"/>
        <rFont val="Arial"/>
        <family val="0"/>
        <charset val="1"/>
      </rPr>
      <t xml:space="preserve">ARR</t>
    </r>
    <r>
      <rPr>
        <sz val="10"/>
        <color rgb="FF000000"/>
        <rFont val="Noto Sans CJK SC"/>
        <family val="2"/>
      </rPr>
      <t xml:space="preserve">（月度年化）</t>
    </r>
  </si>
  <si>
    <r>
      <rPr>
        <sz val="10"/>
        <color rgb="FF000000"/>
        <rFont val="Arial"/>
        <family val="0"/>
        <charset val="1"/>
      </rPr>
      <t xml:space="preserve">USD </t>
    </r>
    <r>
      <rPr>
        <sz val="10"/>
        <color rgb="FF000000"/>
        <rFont val="Noto Sans CJK SC"/>
        <family val="2"/>
      </rPr>
      <t xml:space="preserve">億</t>
    </r>
  </si>
  <si>
    <r>
      <rPr>
        <sz val="10"/>
        <color rgb="FF000000"/>
        <rFont val="Arial"/>
        <family val="0"/>
        <charset val="1"/>
      </rPr>
      <t xml:space="preserve">2026-08 </t>
    </r>
    <r>
      <rPr>
        <sz val="10"/>
        <color rgb="FF000000"/>
        <rFont val="Noto Sans CJK SC"/>
        <family val="2"/>
      </rPr>
      <t xml:space="preserve">末</t>
    </r>
  </si>
  <si>
    <t xml:space="preserve">網易科技（同花順轉載，業績電話會）</t>
  </si>
  <si>
    <t xml:space="preserve">https://stock.10jqka.com.cn/20260901/c679482271.shtml</t>
  </si>
  <si>
    <r>
      <rPr>
        <sz val="10"/>
        <color rgb="FF000000"/>
        <rFont val="Noto Sans CJK SC"/>
        <family val="2"/>
      </rPr>
      <t xml:space="preserve">原文「截至</t>
    </r>
    <r>
      <rPr>
        <sz val="10"/>
        <color rgb="FF000000"/>
        <rFont val="Arial"/>
        <family val="0"/>
        <charset val="1"/>
      </rPr>
      <t xml:space="preserve">8</t>
    </r>
    <r>
      <rPr>
        <sz val="10"/>
        <color rgb="FF000000"/>
        <rFont val="Noto Sans CJK SC"/>
        <family val="2"/>
      </rPr>
      <t xml:space="preserve">月末…</t>
    </r>
    <r>
      <rPr>
        <sz val="10"/>
        <color rgb="FF000000"/>
        <rFont val="Arial"/>
        <family val="0"/>
        <charset val="1"/>
      </rPr>
      <t xml:space="preserve">MaaS</t>
    </r>
    <r>
      <rPr>
        <sz val="10"/>
        <color rgb="FF000000"/>
        <rFont val="Noto Sans CJK SC"/>
        <family val="2"/>
      </rPr>
      <t xml:space="preserve">平台按月度收入年化計算的</t>
    </r>
    <r>
      <rPr>
        <sz val="10"/>
        <color rgb="FF000000"/>
        <rFont val="Arial"/>
        <family val="0"/>
        <charset val="1"/>
      </rPr>
      <t xml:space="preserve">ARR</t>
    </r>
    <r>
      <rPr>
        <sz val="10"/>
        <color rgb="FF000000"/>
        <rFont val="Noto Sans CJK SC"/>
        <family val="2"/>
      </rPr>
      <t xml:space="preserve">達到</t>
    </r>
    <r>
      <rPr>
        <sz val="10"/>
        <color rgb="FF000000"/>
        <rFont val="Arial"/>
        <family val="0"/>
        <charset val="1"/>
      </rPr>
      <t xml:space="preserve">16</t>
    </r>
    <r>
      <rPr>
        <sz val="10"/>
        <color rgb="FF000000"/>
        <rFont val="Noto Sans CJK SC"/>
        <family val="2"/>
      </rPr>
      <t xml:space="preserve">億美元，按周度年化口徑超過</t>
    </r>
    <r>
      <rPr>
        <sz val="10"/>
        <color rgb="FF000000"/>
        <rFont val="Arial"/>
        <family val="0"/>
        <charset val="1"/>
      </rPr>
      <t xml:space="preserve">20</t>
    </r>
    <r>
      <rPr>
        <sz val="10"/>
        <color rgb="FF000000"/>
        <rFont val="Noto Sans CJK SC"/>
        <family val="2"/>
      </rPr>
      <t xml:space="preserve">億美元」</t>
    </r>
  </si>
  <si>
    <t xml:space="preserve">SRC_ZP_418</t>
  </si>
  <si>
    <t xml:space="preserve">arr_maas_aug26_weekly_b</t>
  </si>
  <si>
    <r>
      <rPr>
        <sz val="10"/>
        <color rgb="FF000000"/>
        <rFont val="Arial"/>
        <family val="0"/>
        <charset val="1"/>
      </rPr>
      <t xml:space="preserve">MaaS </t>
    </r>
    <r>
      <rPr>
        <sz val="10"/>
        <color rgb="FF000000"/>
        <rFont val="Noto Sans CJK SC"/>
        <family val="2"/>
      </rPr>
      <t xml:space="preserve">平台 </t>
    </r>
    <r>
      <rPr>
        <sz val="10"/>
        <color rgb="FF000000"/>
        <rFont val="Arial"/>
        <family val="0"/>
        <charset val="1"/>
      </rPr>
      <t xml:space="preserve">ARR</t>
    </r>
    <r>
      <rPr>
        <sz val="10"/>
        <color rgb="FF000000"/>
        <rFont val="Noto Sans CJK SC"/>
        <family val="2"/>
      </rPr>
      <t xml:space="preserve">（週度年化）</t>
    </r>
  </si>
  <si>
    <r>
      <rPr>
        <sz val="10"/>
        <color rgb="FF000000"/>
        <rFont val="Arial"/>
        <family val="0"/>
        <charset val="1"/>
      </rPr>
      <t xml:space="preserve">USD </t>
    </r>
    <r>
      <rPr>
        <sz val="10"/>
        <color rgb="FF000000"/>
        <rFont val="Noto Sans CJK SC"/>
        <family val="2"/>
      </rPr>
      <t xml:space="preserve">億（以上）</t>
    </r>
  </si>
  <si>
    <r>
      <rPr>
        <sz val="10"/>
        <color rgb="FF000000"/>
        <rFont val="Noto Sans CJK SC"/>
        <family val="2"/>
      </rPr>
      <t xml:space="preserve">同上「按周度年化口徑超過</t>
    </r>
    <r>
      <rPr>
        <sz val="10"/>
        <color rgb="FF000000"/>
        <rFont val="Arial"/>
        <family val="0"/>
        <charset val="1"/>
      </rPr>
      <t xml:space="preserve">20</t>
    </r>
    <r>
      <rPr>
        <sz val="10"/>
        <color rgb="FF000000"/>
        <rFont val="Noto Sans CJK SC"/>
        <family val="2"/>
      </rPr>
      <t xml:space="preserve">億美元」</t>
    </r>
  </si>
  <si>
    <t xml:space="preserve">SRC_ZP_419</t>
  </si>
  <si>
    <t xml:space="preserve">arr_total_sep26</t>
  </si>
  <si>
    <r>
      <rPr>
        <sz val="10"/>
        <color rgb="FF000000"/>
        <rFont val="Noto Sans CJK SC"/>
        <family val="2"/>
      </rPr>
      <t xml:space="preserve">全業務 </t>
    </r>
    <r>
      <rPr>
        <sz val="10"/>
        <color rgb="FF000000"/>
        <rFont val="Arial"/>
        <family val="0"/>
        <charset val="1"/>
      </rPr>
      <t xml:space="preserve">ARR</t>
    </r>
  </si>
  <si>
    <t xml:space="preserve">2026-09-16</t>
  </si>
  <si>
    <r>
      <rPr>
        <sz val="10"/>
        <color rgb="FF000000"/>
        <rFont val="Noto Sans CJK SC"/>
        <family val="2"/>
      </rPr>
      <t xml:space="preserve">證券日報（同花順 </t>
    </r>
    <r>
      <rPr>
        <sz val="10"/>
        <color rgb="FF000000"/>
        <rFont val="Arial"/>
        <family val="0"/>
        <charset val="1"/>
      </rPr>
      <t xml:space="preserve">2026-09-16</t>
    </r>
    <r>
      <rPr>
        <sz val="10"/>
        <color rgb="FF000000"/>
        <rFont val="Noto Sans CJK SC"/>
        <family val="2"/>
      </rPr>
      <t xml:space="preserve">）</t>
    </r>
  </si>
  <si>
    <t xml:space="preserve">https://stock.10jqka.com.cn/20260916/c679973930.shtml</t>
  </si>
  <si>
    <r>
      <rPr>
        <sz val="10"/>
        <color rgb="FF000000"/>
        <rFont val="Noto Sans CJK SC"/>
        <family val="2"/>
      </rPr>
      <t xml:space="preserve">原文「全業務口徑</t>
    </r>
    <r>
      <rPr>
        <sz val="10"/>
        <color rgb="FF000000"/>
        <rFont val="Arial"/>
        <family val="0"/>
        <charset val="1"/>
      </rPr>
      <t xml:space="preserve">ARR…</t>
    </r>
    <r>
      <rPr>
        <sz val="10"/>
        <color rgb="FF000000"/>
        <rFont val="Noto Sans CJK SC"/>
        <family val="2"/>
      </rPr>
      <t xml:space="preserve">已經達到</t>
    </r>
    <r>
      <rPr>
        <sz val="10"/>
        <color rgb="FF000000"/>
        <rFont val="Arial"/>
        <family val="0"/>
        <charset val="1"/>
      </rPr>
      <t xml:space="preserve">18</t>
    </r>
    <r>
      <rPr>
        <sz val="10"/>
        <color rgb="FF000000"/>
        <rFont val="Noto Sans CJK SC"/>
        <family val="2"/>
      </rPr>
      <t xml:space="preserve">億美元，年末</t>
    </r>
    <r>
      <rPr>
        <sz val="10"/>
        <color rgb="FF000000"/>
        <rFont val="Arial"/>
        <family val="0"/>
        <charset val="1"/>
      </rPr>
      <t xml:space="preserve">ARR</t>
    </r>
    <r>
      <rPr>
        <sz val="10"/>
        <color rgb="FF000000"/>
        <rFont val="Noto Sans CJK SC"/>
        <family val="2"/>
      </rPr>
      <t xml:space="preserve">指引由</t>
    </r>
    <r>
      <rPr>
        <sz val="10"/>
        <color rgb="FF000000"/>
        <rFont val="Arial"/>
        <family val="0"/>
        <charset val="1"/>
      </rPr>
      <t xml:space="preserve">24</t>
    </r>
    <r>
      <rPr>
        <sz val="10"/>
        <color rgb="FF000000"/>
        <rFont val="Noto Sans CJK SC"/>
        <family val="2"/>
      </rPr>
      <t xml:space="preserve">億美元上調至</t>
    </r>
    <r>
      <rPr>
        <sz val="10"/>
        <color rgb="FF000000"/>
        <rFont val="Arial"/>
        <family val="0"/>
        <charset val="1"/>
      </rPr>
      <t xml:space="preserve">30</t>
    </r>
    <r>
      <rPr>
        <sz val="10"/>
        <color rgb="FF000000"/>
        <rFont val="Noto Sans CJK SC"/>
        <family val="2"/>
      </rPr>
      <t xml:space="preserve">億美元」；指引不得用於反推</t>
    </r>
  </si>
  <si>
    <t xml:space="preserve">SRC_ZP_420</t>
  </si>
  <si>
    <t xml:space="preserve">arr_guide_ye26</t>
  </si>
  <si>
    <r>
      <rPr>
        <sz val="10"/>
        <color rgb="FF000000"/>
        <rFont val="Noto Sans CJK SC"/>
        <family val="2"/>
      </rPr>
      <t xml:space="preserve">年末 </t>
    </r>
    <r>
      <rPr>
        <sz val="10"/>
        <color rgb="FF000000"/>
        <rFont val="Arial"/>
        <family val="0"/>
        <charset val="1"/>
      </rPr>
      <t xml:space="preserve">ARR </t>
    </r>
    <r>
      <rPr>
        <sz val="10"/>
        <color rgb="FF000000"/>
        <rFont val="Noto Sans CJK SC"/>
        <family val="2"/>
      </rPr>
      <t xml:space="preserve">指引（上調後）</t>
    </r>
  </si>
  <si>
    <r>
      <rPr>
        <sz val="10"/>
        <color rgb="FF000000"/>
        <rFont val="Arial"/>
        <family val="0"/>
        <charset val="1"/>
      </rPr>
      <t xml:space="preserve">2026-12</t>
    </r>
    <r>
      <rPr>
        <sz val="10"/>
        <color rgb="FF000000"/>
        <rFont val="Noto Sans CJK SC"/>
        <family val="2"/>
      </rPr>
      <t xml:space="preserve">（目標）</t>
    </r>
  </si>
  <si>
    <r>
      <rPr>
        <sz val="10"/>
        <color rgb="FF000000"/>
        <rFont val="Noto Sans CJK SC"/>
        <family val="2"/>
      </rPr>
      <t xml:space="preserve">由 </t>
    </r>
    <r>
      <rPr>
        <sz val="10"/>
        <color rgb="FF000000"/>
        <rFont val="Arial"/>
        <family val="0"/>
        <charset val="1"/>
      </rPr>
      <t xml:space="preserve">24 </t>
    </r>
    <r>
      <rPr>
        <sz val="10"/>
        <color rgb="FF000000"/>
        <rFont val="Noto Sans CJK SC"/>
        <family val="2"/>
      </rPr>
      <t xml:space="preserve">億美元上調至 </t>
    </r>
    <r>
      <rPr>
        <sz val="10"/>
        <color rgb="FF000000"/>
        <rFont val="Arial"/>
        <family val="0"/>
        <charset val="1"/>
      </rPr>
      <t xml:space="preserve">30 </t>
    </r>
    <r>
      <rPr>
        <sz val="10"/>
        <color rgb="FF000000"/>
        <rFont val="Noto Sans CJK SC"/>
        <family val="2"/>
      </rPr>
      <t xml:space="preserve">億美元；屬公司目標，只作對照（規格 </t>
    </r>
    <r>
      <rPr>
        <sz val="10"/>
        <color rgb="FF000000"/>
        <rFont val="Arial"/>
        <family val="0"/>
        <charset val="1"/>
      </rPr>
      <t xml:space="preserve">D22</t>
    </r>
    <r>
      <rPr>
        <sz val="10"/>
        <color rgb="FF000000"/>
        <rFont val="Noto Sans CJK SC"/>
        <family val="2"/>
      </rPr>
      <t xml:space="preserve">）</t>
    </r>
  </si>
  <si>
    <t xml:space="preserve">SRC_ZP_421</t>
  </si>
  <si>
    <t xml:space="preserve">dem_glm5_10x</t>
  </si>
  <si>
    <r>
      <rPr>
        <sz val="10"/>
        <color rgb="FF000000"/>
        <rFont val="Arial"/>
        <family val="0"/>
        <charset val="1"/>
      </rPr>
      <t xml:space="preserve">GLM-5 </t>
    </r>
    <r>
      <rPr>
        <sz val="10"/>
        <color rgb="FF000000"/>
        <rFont val="Noto Sans CJK SC"/>
        <family val="2"/>
      </rPr>
      <t xml:space="preserve">發布後模型呼叫需求倍數</t>
    </r>
  </si>
  <si>
    <r>
      <rPr>
        <sz val="10"/>
        <color rgb="FF000000"/>
        <rFont val="Arial"/>
        <family val="0"/>
        <charset val="1"/>
      </rPr>
      <t xml:space="preserve">2026-02 </t>
    </r>
    <r>
      <rPr>
        <sz val="10"/>
        <color rgb="FF000000"/>
        <rFont val="Noto Sans CJK SC"/>
        <family val="2"/>
      </rPr>
      <t xml:space="preserve">後</t>
    </r>
  </si>
  <si>
    <r>
      <rPr>
        <sz val="10"/>
        <color rgb="FF000000"/>
        <rFont val="Noto Sans CJK SC"/>
        <family val="2"/>
      </rPr>
      <t xml:space="preserve">原文「模型調用需求量比發布之前增長</t>
    </r>
    <r>
      <rPr>
        <sz val="10"/>
        <color rgb="FF000000"/>
        <rFont val="Arial"/>
        <family val="0"/>
        <charset val="1"/>
      </rPr>
      <t xml:space="preserve">10</t>
    </r>
    <r>
      <rPr>
        <sz val="10"/>
        <color rgb="FF000000"/>
        <rFont val="Noto Sans CJK SC"/>
        <family val="2"/>
      </rPr>
      <t xml:space="preserve">倍」</t>
    </r>
  </si>
  <si>
    <t xml:space="preserve">SRC_ZP_422</t>
  </si>
  <si>
    <t xml:space="preserve">dem_signup_restrict_feb26</t>
  </si>
  <si>
    <r>
      <rPr>
        <sz val="10"/>
        <color rgb="FF000000"/>
        <rFont val="Arial"/>
        <family val="0"/>
        <charset val="1"/>
      </rPr>
      <t xml:space="preserve">2026-02 </t>
    </r>
    <r>
      <rPr>
        <sz val="10"/>
        <color rgb="FF000000"/>
        <rFont val="Noto Sans CJK SC"/>
        <family val="2"/>
      </rPr>
      <t xml:space="preserve">算力不足限制新用戶註冊</t>
    </r>
  </si>
  <si>
    <t xml:space="preserve">事件</t>
  </si>
  <si>
    <r>
      <rPr>
        <sz val="10"/>
        <color rgb="FF000000"/>
        <rFont val="Arial"/>
        <family val="0"/>
        <charset val="1"/>
      </rPr>
      <t xml:space="preserve">2026-02 </t>
    </r>
    <r>
      <rPr>
        <sz val="10"/>
        <color rgb="FF000000"/>
        <rFont val="Noto Sans CJK SC"/>
        <family val="2"/>
      </rPr>
      <t xml:space="preserve">下旬</t>
    </r>
  </si>
  <si>
    <r>
      <rPr>
        <sz val="10"/>
        <color rgb="FF000000"/>
        <rFont val="Arial"/>
        <family val="0"/>
        <charset val="1"/>
      </rPr>
      <t xml:space="preserve">Wikipedia</t>
    </r>
    <r>
      <rPr>
        <sz val="10"/>
        <color rgb="FF000000"/>
        <rFont val="Noto Sans CJK SC"/>
        <family val="2"/>
      </rPr>
      <t xml:space="preserve">〈</t>
    </r>
    <r>
      <rPr>
        <sz val="10"/>
        <color rgb="FF000000"/>
        <rFont val="Arial"/>
        <family val="0"/>
        <charset val="1"/>
      </rPr>
      <t xml:space="preserve">Z.ai</t>
    </r>
    <r>
      <rPr>
        <sz val="10"/>
        <color rgb="FF000000"/>
        <rFont val="Noto Sans CJK SC"/>
        <family val="2"/>
      </rPr>
      <t xml:space="preserve">〉（引 </t>
    </r>
    <r>
      <rPr>
        <sz val="10"/>
        <color rgb="FF000000"/>
        <rFont val="Arial"/>
        <family val="0"/>
        <charset val="1"/>
      </rPr>
      <t xml:space="preserve">SCMP 2026-02-23</t>
    </r>
    <r>
      <rPr>
        <sz val="10"/>
        <color rgb="FF000000"/>
        <rFont val="Noto Sans CJK SC"/>
        <family val="2"/>
      </rPr>
      <t xml:space="preserve">）</t>
    </r>
  </si>
  <si>
    <r>
      <rPr>
        <sz val="10"/>
        <color rgb="FF000000"/>
        <rFont val="Noto Sans CJK SC"/>
        <family val="2"/>
      </rPr>
      <t xml:space="preserve">媒體（</t>
    </r>
    <r>
      <rPr>
        <sz val="10"/>
        <color rgb="FF000000"/>
        <rFont val="Arial"/>
        <family val="0"/>
        <charset val="1"/>
      </rPr>
      <t xml:space="preserve">SCMP</t>
    </r>
    <r>
      <rPr>
        <sz val="10"/>
        <color rgb="FF000000"/>
        <rFont val="Noto Sans CJK SC"/>
        <family val="2"/>
      </rPr>
      <t xml:space="preserve">）</t>
    </r>
  </si>
  <si>
    <r>
      <rPr>
        <sz val="10"/>
        <color rgb="FF000000"/>
        <rFont val="Noto Sans CJK SC"/>
        <family val="2"/>
      </rPr>
      <t xml:space="preserve">引 </t>
    </r>
    <r>
      <rPr>
        <sz val="10"/>
        <color rgb="FF000000"/>
        <rFont val="Arial"/>
        <family val="0"/>
        <charset val="1"/>
      </rPr>
      <t xml:space="preserve">SCMP</t>
    </r>
    <r>
      <rPr>
        <sz val="10"/>
        <color rgb="FF000000"/>
        <rFont val="Noto Sans CJK SC"/>
        <family val="2"/>
      </rPr>
      <t xml:space="preserve">：</t>
    </r>
    <r>
      <rPr>
        <sz val="10"/>
        <color rgb="FF000000"/>
        <rFont val="Arial"/>
        <family val="0"/>
        <charset val="1"/>
      </rPr>
      <t xml:space="preserve">compute shortage </t>
    </r>
    <r>
      <rPr>
        <sz val="10"/>
        <color rgb="FF000000"/>
        <rFont val="Noto Sans CJK SC"/>
        <family val="2"/>
      </rPr>
      <t xml:space="preserve">致用戶抱怨，「</t>
    </r>
    <r>
      <rPr>
        <sz val="10"/>
        <color rgb="FF000000"/>
        <rFont val="Arial"/>
        <family val="0"/>
        <charset val="1"/>
      </rPr>
      <t xml:space="preserve">new user signups were restricted</t>
    </r>
    <r>
      <rPr>
        <sz val="10"/>
        <color rgb="FF000000"/>
        <rFont val="Noto Sans CJK SC"/>
        <family val="2"/>
      </rPr>
      <t xml:space="preserve">」；容量上限曾綁定</t>
    </r>
  </si>
  <si>
    <t xml:space="preserve">SRC_ZP_423</t>
  </si>
  <si>
    <t xml:space="preserve">cust_top5_share_fy22</t>
  </si>
  <si>
    <t xml:space="preserve">前五大客戶收入占比</t>
  </si>
  <si>
    <t xml:space="preserve">經審計（往績記錄期）</t>
  </si>
  <si>
    <r>
      <rPr>
        <sz val="10"/>
        <color rgb="FF000000"/>
        <rFont val="Noto Sans CJK SC"/>
        <family val="2"/>
      </rPr>
      <t xml:space="preserve">招股章程：前五大 </t>
    </r>
    <r>
      <rPr>
        <sz val="10"/>
        <color rgb="FF000000"/>
        <rFont val="Arial"/>
        <family val="0"/>
        <charset val="1"/>
      </rPr>
      <t xml:space="preserve">55.4%</t>
    </r>
    <r>
      <rPr>
        <sz val="10"/>
        <color rgb="FF000000"/>
        <rFont val="Noto Sans CJK SC"/>
        <family val="2"/>
      </rPr>
      <t xml:space="preserve">、最大客戶 </t>
    </r>
    <r>
      <rPr>
        <sz val="10"/>
        <color rgb="FF000000"/>
        <rFont val="Arial"/>
        <family val="0"/>
        <charset val="1"/>
      </rPr>
      <t xml:space="preserve">15.4%</t>
    </r>
  </si>
  <si>
    <t xml:space="preserve">SRC_ZP_424</t>
  </si>
  <si>
    <t xml:space="preserve">cust_top1_share_fy22</t>
  </si>
  <si>
    <t xml:space="preserve">最大客戶收入占比</t>
  </si>
  <si>
    <t xml:space="preserve">SRC_ZP_425</t>
  </si>
  <si>
    <t xml:space="preserve">cust_top5_share_fy23</t>
  </si>
  <si>
    <r>
      <rPr>
        <sz val="10"/>
        <color rgb="FF000000"/>
        <rFont val="Noto Sans CJK SC"/>
        <family val="2"/>
      </rPr>
      <t xml:space="preserve">招股章程：前五大 </t>
    </r>
    <r>
      <rPr>
        <sz val="10"/>
        <color rgb="FF000000"/>
        <rFont val="Arial"/>
        <family val="0"/>
        <charset val="1"/>
      </rPr>
      <t xml:space="preserve">61.5%</t>
    </r>
    <r>
      <rPr>
        <sz val="10"/>
        <color rgb="FF000000"/>
        <rFont val="Noto Sans CJK SC"/>
        <family val="2"/>
      </rPr>
      <t xml:space="preserve">、最大客戶 </t>
    </r>
    <r>
      <rPr>
        <sz val="10"/>
        <color rgb="FF000000"/>
        <rFont val="Arial"/>
        <family val="0"/>
        <charset val="1"/>
      </rPr>
      <t xml:space="preserve">14.7%</t>
    </r>
  </si>
  <si>
    <t xml:space="preserve">SRC_ZP_426</t>
  </si>
  <si>
    <t xml:space="preserve">cust_top1_share_fy23</t>
  </si>
  <si>
    <t xml:space="preserve">SRC_ZP_427</t>
  </si>
  <si>
    <t xml:space="preserve">cust_top5_share_fy24</t>
  </si>
  <si>
    <r>
      <rPr>
        <sz val="10"/>
        <color rgb="FF000000"/>
        <rFont val="Noto Sans CJK SC"/>
        <family val="2"/>
      </rPr>
      <t xml:space="preserve">招股章程：前五大 </t>
    </r>
    <r>
      <rPr>
        <sz val="10"/>
        <color rgb="FF000000"/>
        <rFont val="Arial"/>
        <family val="0"/>
        <charset val="1"/>
      </rPr>
      <t xml:space="preserve">45.5%</t>
    </r>
    <r>
      <rPr>
        <sz val="10"/>
        <color rgb="FF000000"/>
        <rFont val="Noto Sans CJK SC"/>
        <family val="2"/>
      </rPr>
      <t xml:space="preserve">、最大客戶 </t>
    </r>
    <r>
      <rPr>
        <sz val="10"/>
        <color rgb="FF000000"/>
        <rFont val="Arial"/>
        <family val="0"/>
        <charset val="1"/>
      </rPr>
      <t xml:space="preserve">19.0%</t>
    </r>
  </si>
  <si>
    <t xml:space="preserve">SRC_ZP_428</t>
  </si>
  <si>
    <t xml:space="preserve">cust_top1_share_fy24</t>
  </si>
  <si>
    <t xml:space="preserve">SRC_ZP_429</t>
  </si>
  <si>
    <t xml:space="preserve">cust_top5_share_1h25</t>
  </si>
  <si>
    <r>
      <rPr>
        <sz val="10"/>
        <color rgb="FF000000"/>
        <rFont val="Noto Sans CJK SC"/>
        <family val="2"/>
      </rPr>
      <t xml:space="preserve">招股章程：前五大 </t>
    </r>
    <r>
      <rPr>
        <sz val="10"/>
        <color rgb="FF000000"/>
        <rFont val="Arial"/>
        <family val="0"/>
        <charset val="1"/>
      </rPr>
      <t xml:space="preserve">40.0%</t>
    </r>
    <r>
      <rPr>
        <sz val="10"/>
        <color rgb="FF000000"/>
        <rFont val="Noto Sans CJK SC"/>
        <family val="2"/>
      </rPr>
      <t xml:space="preserve">、最大客戶 </t>
    </r>
    <r>
      <rPr>
        <sz val="10"/>
        <color rgb="FF000000"/>
        <rFont val="Arial"/>
        <family val="0"/>
        <charset val="1"/>
      </rPr>
      <t xml:space="preserve">11.0%</t>
    </r>
  </si>
  <si>
    <t xml:space="preserve">SRC_ZP_430</t>
  </si>
  <si>
    <t xml:space="preserve">cust_top1_share_1h25</t>
  </si>
  <si>
    <t xml:space="preserve">SRC_ZP_431</t>
  </si>
  <si>
    <t xml:space="preserve">cust_top5_rev_fy24</t>
  </si>
  <si>
    <t xml:space="preserve">前五大客戶收入金額</t>
  </si>
  <si>
    <r>
      <rPr>
        <sz val="10"/>
        <color rgb="FF000000"/>
        <rFont val="Noto Sans CJK SC"/>
        <family val="2"/>
      </rPr>
      <t xml:space="preserve">華爾街見聞（</t>
    </r>
    <r>
      <rPr>
        <sz val="10"/>
        <color rgb="FF000000"/>
        <rFont val="Arial"/>
        <family val="0"/>
        <charset val="1"/>
      </rPr>
      <t xml:space="preserve">2025-12-20</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</si>
  <si>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2024</t>
    </r>
    <r>
      <rPr>
        <sz val="10"/>
        <color rgb="FF000000"/>
        <rFont val="Noto Sans CJK SC"/>
        <family val="2"/>
      </rPr>
      <t xml:space="preserve">年前五大客戶貢獻了</t>
    </r>
    <r>
      <rPr>
        <sz val="10"/>
        <color rgb="FF000000"/>
        <rFont val="Arial"/>
        <family val="0"/>
        <charset val="1"/>
      </rPr>
      <t xml:space="preserve">1.42</t>
    </r>
    <r>
      <rPr>
        <sz val="10"/>
        <color rgb="FF000000"/>
        <rFont val="Noto Sans CJK SC"/>
        <family val="2"/>
      </rPr>
      <t xml:space="preserve">億元的收入，佔比達到</t>
    </r>
    <r>
      <rPr>
        <sz val="10"/>
        <color rgb="FF000000"/>
        <rFont val="Arial"/>
        <family val="0"/>
        <charset val="1"/>
      </rPr>
      <t xml:space="preserve">45.5%</t>
    </r>
    <r>
      <rPr>
        <sz val="10"/>
        <color rgb="FF000000"/>
        <rFont val="Noto Sans CJK SC"/>
        <family val="2"/>
      </rPr>
      <t xml:space="preserve">」；轉述招股文件</t>
    </r>
  </si>
  <si>
    <t xml:space="preserve">SRC_ZP_432</t>
  </si>
  <si>
    <t xml:space="preserve">cust_no10pct_fy25</t>
  </si>
  <si>
    <r>
      <rPr>
        <sz val="10"/>
        <color rgb="FF000000"/>
        <rFont val="Arial"/>
        <family val="0"/>
        <charset val="1"/>
      </rPr>
      <t xml:space="preserve">FY2025 </t>
    </r>
    <r>
      <rPr>
        <sz val="10"/>
        <color rgb="FF000000"/>
        <rFont val="Noto Sans CJK SC"/>
        <family val="2"/>
      </rPr>
      <t xml:space="preserve">單一客戶占收入 </t>
    </r>
    <r>
      <rPr>
        <sz val="10"/>
        <color rgb="FF000000"/>
        <rFont val="Arial"/>
        <family val="0"/>
        <charset val="1"/>
      </rPr>
      <t xml:space="preserve">&gt;10% </t>
    </r>
    <r>
      <rPr>
        <sz val="10"/>
        <color rgb="FF000000"/>
        <rFont val="Noto Sans CJK SC"/>
        <family val="2"/>
      </rPr>
      <t xml:space="preserve">者</t>
    </r>
  </si>
  <si>
    <r>
      <rPr>
        <sz val="10"/>
        <color rgb="FF000000"/>
        <rFont val="Noto Sans CJK SC"/>
        <family val="2"/>
      </rPr>
      <t xml:space="preserve">智譜 </t>
    </r>
    <r>
      <rPr>
        <sz val="10"/>
        <color rgb="FF000000"/>
        <rFont val="Arial"/>
        <family val="0"/>
        <charset val="1"/>
      </rPr>
      <t xml:space="preserve">2025 </t>
    </r>
    <r>
      <rPr>
        <sz val="10"/>
        <color rgb="FF000000"/>
        <rFont val="Noto Sans CJK SC"/>
        <family val="2"/>
      </rPr>
      <t xml:space="preserve">年度業績公告（截至 </t>
    </r>
    <r>
      <rPr>
        <sz val="10"/>
        <color rgb="FF000000"/>
        <rFont val="Arial"/>
        <family val="0"/>
        <charset val="1"/>
      </rPr>
      <t xml:space="preserve">2025-12-31</t>
    </r>
    <r>
      <rPr>
        <sz val="10"/>
        <color rgb="FF000000"/>
        <rFont val="Noto Sans CJK SC"/>
        <family val="2"/>
      </rPr>
      <t xml:space="preserve">）（第 </t>
    </r>
    <r>
      <rPr>
        <sz val="10"/>
        <color rgb="FF000000"/>
        <rFont val="Arial"/>
        <family val="0"/>
        <charset val="1"/>
      </rPr>
      <t xml:space="preserve">24 </t>
    </r>
    <r>
      <rPr>
        <sz val="10"/>
        <color rgb="FF000000"/>
        <rFont val="Noto Sans CJK SC"/>
        <family val="2"/>
      </rPr>
      <t xml:space="preserve">頁）</t>
    </r>
  </si>
  <si>
    <t xml:space="preserve">經審計</t>
  </si>
  <si>
    <r>
      <rPr>
        <sz val="10"/>
        <color rgb="FF000000"/>
        <rFont val="Noto Sans CJK SC"/>
        <family val="2"/>
      </rPr>
      <t xml:space="preserve">原文「</t>
    </r>
    <r>
      <rPr>
        <sz val="10"/>
        <color rgb="FF000000"/>
        <rFont val="Arial"/>
        <family val="0"/>
        <charset val="1"/>
      </rPr>
      <t xml:space="preserve">There is no individual customer contributing over 10% of the total revenue</t>
    </r>
    <r>
      <rPr>
        <sz val="10"/>
        <color rgb="FF000000"/>
        <rFont val="Noto Sans CJK SC"/>
        <family val="2"/>
      </rPr>
      <t xml:space="preserve">」</t>
    </r>
  </si>
  <si>
    <t xml:space="preserve">SRC_ZP_433</t>
  </si>
  <si>
    <t xml:space="preserve">cust_a_sales_vs_purch</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</si>
  <si>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：銷售 </t>
    </r>
    <r>
      <rPr>
        <sz val="10"/>
        <color rgb="FF000000"/>
        <rFont val="Arial"/>
        <family val="0"/>
        <charset val="1"/>
      </rPr>
      <t xml:space="preserve">vs </t>
    </r>
    <r>
      <rPr>
        <sz val="10"/>
        <color rgb="FF000000"/>
        <rFont val="Noto Sans CJK SC"/>
        <family val="2"/>
      </rPr>
      <t xml:space="preserve">向其採購（</t>
    </r>
    <r>
      <rPr>
        <sz val="10"/>
        <color rgb="FF000000"/>
        <rFont val="Arial"/>
        <family val="0"/>
        <charset val="1"/>
      </rPr>
      <t xml:space="preserve">2022–1H25 </t>
    </r>
    <r>
      <rPr>
        <sz val="10"/>
        <color rgb="FF000000"/>
        <rFont val="Noto Sans CJK SC"/>
        <family val="2"/>
      </rPr>
      <t xml:space="preserve">累計）</t>
    </r>
  </si>
  <si>
    <r>
      <rPr>
        <sz val="10"/>
        <color rgb="FF000000"/>
        <rFont val="Arial"/>
        <family val="0"/>
        <charset val="1"/>
      </rPr>
      <t xml:space="preserve">RMB </t>
    </r>
    <r>
      <rPr>
        <sz val="10"/>
        <color rgb="FF000000"/>
        <rFont val="Noto Sans CJK SC"/>
        <family val="2"/>
      </rPr>
      <t xml:space="preserve">億（銷售）</t>
    </r>
  </si>
  <si>
    <r>
      <rPr>
        <sz val="10"/>
        <color rgb="FF000000"/>
        <rFont val="Arial"/>
        <family val="0"/>
        <charset val="1"/>
      </rPr>
      <t xml:space="preserve">2022</t>
    </r>
    <r>
      <rPr>
        <sz val="10"/>
        <color rgb="FF000000"/>
        <rFont val="Noto Sans CJK SC"/>
        <family val="2"/>
      </rPr>
      <t xml:space="preserve">～</t>
    </r>
    <r>
      <rPr>
        <sz val="10"/>
        <color rgb="FF000000"/>
        <rFont val="Arial"/>
        <family val="0"/>
        <charset val="1"/>
      </rPr>
      <t xml:space="preserve">1H2025</t>
    </r>
  </si>
  <si>
    <r>
      <rPr>
        <sz val="10"/>
        <color rgb="FF000000"/>
        <rFont val="Noto Sans CJK SC"/>
        <family val="2"/>
      </rPr>
      <t xml:space="preserve">原文「向最大客戶</t>
    </r>
    <r>
      <rPr>
        <sz val="10"/>
        <color rgb="FF000000"/>
        <rFont val="Arial"/>
        <family val="0"/>
        <charset val="1"/>
      </rPr>
      <t xml:space="preserve">A</t>
    </r>
    <r>
      <rPr>
        <sz val="10"/>
        <color rgb="FF000000"/>
        <rFont val="Noto Sans CJK SC"/>
        <family val="2"/>
      </rPr>
      <t xml:space="preserve">銷售了</t>
    </r>
    <r>
      <rPr>
        <sz val="10"/>
        <color rgb="FF000000"/>
        <rFont val="Arial"/>
        <family val="0"/>
        <charset val="1"/>
      </rPr>
      <t xml:space="preserve">2.42</t>
    </r>
    <r>
      <rPr>
        <sz val="10"/>
        <color rgb="FF000000"/>
        <rFont val="Noto Sans CJK SC"/>
        <family val="2"/>
      </rPr>
      <t xml:space="preserve">億元，但卻向客戶採購了</t>
    </r>
    <r>
      <rPr>
        <sz val="10"/>
        <color rgb="FF000000"/>
        <rFont val="Arial"/>
        <family val="0"/>
        <charset val="1"/>
      </rPr>
      <t xml:space="preserve">2.47</t>
    </r>
    <r>
      <rPr>
        <sz val="10"/>
        <color rgb="FF000000"/>
        <rFont val="Noto Sans CJK SC"/>
        <family val="2"/>
      </rPr>
      <t xml:space="preserve">億元」；客戶兼供應商（</t>
    </r>
    <r>
      <rPr>
        <sz val="10"/>
        <color rgb="FF000000"/>
        <rFont val="Arial"/>
        <family val="0"/>
        <charset val="1"/>
      </rPr>
      <t xml:space="preserve">D19 </t>
    </r>
    <r>
      <rPr>
        <sz val="10"/>
        <color rgb="FF000000"/>
        <rFont val="Noto Sans CJK SC"/>
        <family val="2"/>
      </rPr>
      <t xml:space="preserve">回流對照）；【</t>
    </r>
    <r>
      <rPr>
        <sz val="10"/>
        <color rgb="FF000000"/>
        <rFont val="Arial"/>
        <family val="0"/>
        <charset val="1"/>
      </rPr>
      <t xml:space="preserve">r2 P2 </t>
    </r>
    <r>
      <rPr>
        <sz val="10"/>
        <color rgb="FF000000"/>
        <rFont val="Noto Sans CJK SC"/>
        <family val="2"/>
      </rPr>
      <t xml:space="preserve">引用更正】招股章程會計師報告：銷售 </t>
    </r>
    <r>
      <rPr>
        <sz val="10"/>
        <color rgb="FF000000"/>
        <rFont val="Arial"/>
        <family val="0"/>
        <charset val="1"/>
      </rPr>
      <t xml:space="preserve">24.2 </t>
    </r>
    <r>
      <rPr>
        <sz val="10"/>
        <color rgb="FF000000"/>
        <rFont val="Noto Sans CJK SC"/>
        <family val="2"/>
      </rPr>
      <t xml:space="preserve">百萬元、採購 </t>
    </r>
    <r>
      <rPr>
        <sz val="10"/>
        <color rgb="FF000000"/>
        <rFont val="Arial"/>
        <family val="0"/>
        <charset val="1"/>
      </rPr>
      <t xml:space="preserve">24.7 </t>
    </r>
    <r>
      <rPr>
        <sz val="10"/>
        <color rgb="FF000000"/>
        <rFont val="Noto Sans CJK SC"/>
        <family val="2"/>
      </rPr>
      <t xml:space="preserve">百萬元（僅 </t>
    </r>
    <r>
      <rPr>
        <sz val="10"/>
        <color rgb="FF000000"/>
        <rFont val="Arial"/>
        <family val="0"/>
        <charset val="1"/>
      </rPr>
      <t xml:space="preserve">FY2024</t>
    </r>
    <r>
      <rPr>
        <sz val="10"/>
        <color rgb="FF000000"/>
        <rFont val="Noto Sans CJK SC"/>
        <family val="2"/>
      </rPr>
      <t xml:space="preserve">＋</t>
    </r>
    <r>
      <rPr>
        <sz val="10"/>
        <color rgb="FF000000"/>
        <rFont val="Arial"/>
        <family val="0"/>
        <charset val="1"/>
      </rPr>
      <t xml:space="preserve">1H25</t>
    </r>
    <r>
      <rPr>
        <sz val="10"/>
        <color rgb="FF000000"/>
        <rFont val="Noto Sans CJK SC"/>
        <family val="2"/>
      </rPr>
      <t xml:space="preserve">），媒體值差 </t>
    </r>
    <r>
      <rPr>
        <sz val="10"/>
        <color rgb="FF000000"/>
        <rFont val="Arial"/>
        <family val="0"/>
        <charset val="1"/>
      </rPr>
      <t xml:space="preserve">10 </t>
    </r>
    <r>
      <rPr>
        <sz val="10"/>
        <color rgb="FF000000"/>
        <rFont val="Noto Sans CJK SC"/>
        <family val="2"/>
      </rPr>
      <t xml:space="preserve">倍；模型改引用 </t>
    </r>
    <r>
      <rPr>
        <sz val="10"/>
        <color rgb="FF000000"/>
        <rFont val="Arial"/>
        <family val="0"/>
        <charset val="1"/>
      </rPr>
      <t xml:space="preserve">SRC_ZP_785</t>
    </r>
    <r>
      <rPr>
        <sz val="10"/>
        <color rgb="FF000000"/>
        <rFont val="Noto Sans CJK SC"/>
        <family val="2"/>
      </rPr>
      <t xml:space="preserve">、</t>
    </r>
    <r>
      <rPr>
        <sz val="10"/>
        <color rgb="FF000000"/>
        <rFont val="Arial"/>
        <family val="0"/>
        <charset val="1"/>
      </rPr>
      <t xml:space="preserve">786</t>
    </r>
  </si>
  <si>
    <t xml:space="preserve">SRC_ZP_434</t>
  </si>
  <si>
    <t xml:space="preserve">qy_mau_q1_26</t>
  </si>
  <si>
    <r>
      <rPr>
        <sz val="10"/>
        <color rgb="FF000000"/>
        <rFont val="Noto Sans CJK SC"/>
        <family val="2"/>
      </rPr>
      <t xml:space="preserve">智譜清言月活排名（</t>
    </r>
    <r>
      <rPr>
        <sz val="10"/>
        <color rgb="FF000000"/>
        <rFont val="Arial"/>
        <family val="0"/>
        <charset val="1"/>
      </rPr>
      <t xml:space="preserve">QuestMobile 2026Q1</t>
    </r>
    <r>
      <rPr>
        <sz val="10"/>
        <color rgb="FF000000"/>
        <rFont val="Noto Sans CJK SC"/>
        <family val="2"/>
      </rPr>
      <t xml:space="preserve">）</t>
    </r>
  </si>
  <si>
    <t xml:space="preserve">排名</t>
  </si>
  <si>
    <t xml:space="preserve">2026Q1</t>
  </si>
  <si>
    <r>
      <rPr>
        <sz val="10"/>
        <color rgb="FF000000"/>
        <rFont val="Noto Sans CJK SC"/>
        <family val="2"/>
      </rPr>
      <t xml:space="preserve">每日經濟新聞</t>
    </r>
    <r>
      <rPr>
        <sz val="10"/>
        <color rgb="FF000000"/>
        <rFont val="Arial"/>
        <family val="0"/>
        <charset val="1"/>
      </rPr>
      <t xml:space="preserve">×QuestMobile</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年一季度 </t>
    </r>
    <r>
      <rPr>
        <sz val="10"/>
        <color rgb="FF000000"/>
        <rFont val="Arial"/>
        <family val="0"/>
        <charset val="1"/>
      </rPr>
      <t xml:space="preserve">AI </t>
    </r>
    <r>
      <rPr>
        <sz val="10"/>
        <color rgb="FF000000"/>
        <rFont val="Noto Sans CJK SC"/>
        <family val="2"/>
      </rPr>
      <t xml:space="preserve">應用價值榜〉</t>
    </r>
  </si>
  <si>
    <t xml:space="preserve">https://www.nbd.com.cn/articles/2026-04-21/4350446.html</t>
  </si>
  <si>
    <t xml:space="preserve">2026-04-21</t>
  </si>
  <si>
    <r>
      <rPr>
        <sz val="10"/>
        <color rgb="FF000000"/>
        <rFont val="Noto Sans CJK SC"/>
        <family val="2"/>
      </rPr>
      <t xml:space="preserve">原文「智譜清言、階躍、</t>
    </r>
    <r>
      <rPr>
        <sz val="10"/>
        <color rgb="FF000000"/>
        <rFont val="Arial"/>
        <family val="0"/>
        <charset val="1"/>
      </rPr>
      <t xml:space="preserve">MiniMax</t>
    </r>
    <r>
      <rPr>
        <sz val="10"/>
        <color rgb="FF000000"/>
        <rFont val="Noto Sans CJK SC"/>
        <family val="2"/>
      </rPr>
      <t xml:space="preserve">均未進入一季度月活、下載</t>
    </r>
    <r>
      <rPr>
        <sz val="10"/>
        <color rgb="FF000000"/>
        <rFont val="Arial"/>
        <family val="0"/>
        <charset val="1"/>
      </rPr>
      <t xml:space="preserve">TOP 20</t>
    </r>
    <r>
      <rPr>
        <sz val="10"/>
        <color rgb="FF000000"/>
        <rFont val="Noto Sans CJK SC"/>
        <family val="2"/>
      </rPr>
      <t xml:space="preserve">」；無絕對值；</t>
    </r>
    <r>
      <rPr>
        <sz val="10"/>
        <color rgb="FF000000"/>
        <rFont val="Arial"/>
        <family val="0"/>
        <charset val="1"/>
      </rPr>
      <t xml:space="preserve">C </t>
    </r>
    <r>
      <rPr>
        <sz val="10"/>
        <color rgb="FF000000"/>
        <rFont val="Noto Sans CJK SC"/>
        <family val="2"/>
      </rPr>
      <t xml:space="preserve">端規模小</t>
    </r>
  </si>
  <si>
    <t xml:space="preserve">SRC_ZP_435</t>
  </si>
  <si>
    <t xml:space="preserve">or_glm52_weekly_tok</t>
  </si>
  <si>
    <r>
      <rPr>
        <sz val="10"/>
        <color rgb="FF000000"/>
        <rFont val="Arial"/>
        <family val="0"/>
        <charset val="1"/>
      </rPr>
      <t xml:space="preserve">OpenRouter</t>
    </r>
    <r>
      <rPr>
        <sz val="10"/>
        <color rgb="FF000000"/>
        <rFont val="Noto Sans CJK SC"/>
        <family val="2"/>
      </rPr>
      <t xml:space="preserve">：</t>
    </r>
    <r>
      <rPr>
        <sz val="10"/>
        <color rgb="FF000000"/>
        <rFont val="Arial"/>
        <family val="0"/>
        <charset val="1"/>
      </rPr>
      <t xml:space="preserve">GLM-5.2 </t>
    </r>
    <r>
      <rPr>
        <sz val="10"/>
        <color rgb="FF000000"/>
        <rFont val="Noto Sans CJK SC"/>
        <family val="2"/>
      </rPr>
      <t xml:space="preserve">週呼叫量</t>
    </r>
  </si>
  <si>
    <r>
      <rPr>
        <sz val="10"/>
        <color rgb="FF000000"/>
        <rFont val="Arial"/>
        <family val="0"/>
        <charset val="1"/>
      </rPr>
      <t xml:space="preserve">T</t>
    </r>
    <r>
      <rPr>
        <sz val="10"/>
        <color rgb="FF000000"/>
        <rFont val="Noto Sans CJK SC"/>
        <family val="2"/>
      </rPr>
      <t xml:space="preserve">／週</t>
    </r>
  </si>
  <si>
    <r>
      <rPr>
        <sz val="10"/>
        <color rgb="FF000000"/>
        <rFont val="Arial"/>
        <family val="0"/>
        <charset val="1"/>
      </rPr>
      <t xml:space="preserve">2026-06-29</t>
    </r>
    <r>
      <rPr>
        <sz val="10"/>
        <color rgb="FF000000"/>
        <rFont val="Noto Sans CJK SC"/>
        <family val="2"/>
      </rPr>
      <t xml:space="preserve">～</t>
    </r>
    <r>
      <rPr>
        <sz val="10"/>
        <color rgb="FF000000"/>
        <rFont val="Arial"/>
        <family val="0"/>
        <charset val="1"/>
      </rPr>
      <t xml:space="preserve">07-05</t>
    </r>
  </si>
  <si>
    <r>
      <rPr>
        <sz val="10"/>
        <color rgb="FF000000"/>
        <rFont val="Arial"/>
        <family val="0"/>
        <charset val="1"/>
      </rPr>
      <t xml:space="preserve">21</t>
    </r>
    <r>
      <rPr>
        <sz val="10"/>
        <color rgb="FF000000"/>
        <rFont val="Noto Sans CJK SC"/>
        <family val="2"/>
      </rPr>
      <t xml:space="preserve">世紀經濟報道（新浪財經 </t>
    </r>
    <r>
      <rPr>
        <sz val="10"/>
        <color rgb="FF000000"/>
        <rFont val="Arial"/>
        <family val="0"/>
        <charset val="1"/>
      </rPr>
      <t xml:space="preserve">2026-07-06</t>
    </r>
    <r>
      <rPr>
        <sz val="10"/>
        <color rgb="FF000000"/>
        <rFont val="Noto Sans CJK SC"/>
        <family val="2"/>
      </rPr>
      <t xml:space="preserve">）</t>
    </r>
  </si>
  <si>
    <t xml:space="preserve">https://finance.sina.cn/2026-07-06/detail-inifwfpy8578766.d.html</t>
  </si>
  <si>
    <t xml:space="preserve">2026-07-06</t>
  </si>
  <si>
    <r>
      <rPr>
        <sz val="10"/>
        <color rgb="FF000000"/>
        <rFont val="Noto Sans CJK SC"/>
        <family val="2"/>
      </rPr>
      <t xml:space="preserve">原文 </t>
    </r>
    <r>
      <rPr>
        <sz val="10"/>
        <color rgb="FF000000"/>
        <rFont val="Arial"/>
        <family val="0"/>
        <charset val="1"/>
      </rPr>
      <t xml:space="preserve">GLM-5.2</t>
    </r>
    <r>
      <rPr>
        <sz val="10"/>
        <color rgb="FF000000"/>
        <rFont val="Noto Sans CJK SC"/>
        <family val="2"/>
      </rPr>
      <t xml:space="preserve">「</t>
    </r>
    <r>
      <rPr>
        <sz val="10"/>
        <color rgb="FF000000"/>
        <rFont val="Arial"/>
        <family val="0"/>
        <charset val="1"/>
      </rPr>
      <t xml:space="preserve">2.58</t>
    </r>
    <r>
      <rPr>
        <sz val="10"/>
        <color rgb="FF000000"/>
        <rFont val="Noto Sans CJK SC"/>
        <family val="2"/>
      </rPr>
      <t xml:space="preserve">萬億</t>
    </r>
    <r>
      <rPr>
        <sz val="10"/>
        <color rgb="FF000000"/>
        <rFont val="Arial"/>
        <family val="0"/>
        <charset val="1"/>
      </rPr>
      <t xml:space="preserve">Token</t>
    </r>
    <r>
      <rPr>
        <sz val="10"/>
        <color rgb="FF000000"/>
        <rFont val="Noto Sans CJK SC"/>
        <family val="2"/>
      </rPr>
      <t xml:space="preserve">」週增 </t>
    </r>
    <r>
      <rPr>
        <sz val="10"/>
        <color rgb="FF000000"/>
        <rFont val="Arial"/>
        <family val="0"/>
        <charset val="1"/>
      </rPr>
      <t xml:space="preserve">22%</t>
    </r>
    <r>
      <rPr>
        <sz val="10"/>
        <color rgb="FF000000"/>
        <rFont val="Noto Sans CJK SC"/>
        <family val="2"/>
      </rPr>
      <t xml:space="preserve">、進前五；同週全平台「</t>
    </r>
    <r>
      <rPr>
        <sz val="10"/>
        <color rgb="FF000000"/>
        <rFont val="Arial"/>
        <family val="0"/>
        <charset val="1"/>
      </rPr>
      <t xml:space="preserve">46.7</t>
    </r>
    <r>
      <rPr>
        <sz val="10"/>
        <color rgb="FF000000"/>
        <rFont val="Noto Sans CJK SC"/>
        <family val="2"/>
      </rPr>
      <t xml:space="preserve">萬億</t>
    </r>
    <r>
      <rPr>
        <sz val="10"/>
        <color rgb="FF000000"/>
        <rFont val="Arial"/>
        <family val="0"/>
        <charset val="1"/>
      </rPr>
      <t xml:space="preserve">Token</t>
    </r>
    <r>
      <rPr>
        <sz val="10"/>
        <color rgb="FF000000"/>
        <rFont val="Noto Sans CJK SC"/>
        <family val="2"/>
      </rPr>
      <t xml:space="preserve">」</t>
    </r>
  </si>
  <si>
    <t xml:space="preserve">SRC_ZP_436</t>
  </si>
  <si>
    <t xml:space="preserve">or_total_weekly_tok</t>
  </si>
  <si>
    <r>
      <rPr>
        <sz val="10"/>
        <color rgb="FF000000"/>
        <rFont val="Arial"/>
        <family val="0"/>
        <charset val="1"/>
      </rPr>
      <t xml:space="preserve">OpenRouter</t>
    </r>
    <r>
      <rPr>
        <sz val="10"/>
        <color rgb="FF000000"/>
        <rFont val="Noto Sans CJK SC"/>
        <family val="2"/>
      </rPr>
      <t xml:space="preserve">：全平台週呼叫量</t>
    </r>
  </si>
  <si>
    <r>
      <rPr>
        <sz val="10"/>
        <color rgb="FF000000"/>
        <rFont val="Noto Sans CJK SC"/>
        <family val="2"/>
      </rPr>
      <t xml:space="preserve">原文「</t>
    </r>
    <r>
      <rPr>
        <sz val="10"/>
        <color rgb="FF000000"/>
        <rFont val="Arial"/>
        <family val="0"/>
        <charset val="1"/>
      </rPr>
      <t xml:space="preserve">46.7</t>
    </r>
    <r>
      <rPr>
        <sz val="10"/>
        <color rgb="FF000000"/>
        <rFont val="Noto Sans CJK SC"/>
        <family val="2"/>
      </rPr>
      <t xml:space="preserve">萬億</t>
    </r>
    <r>
      <rPr>
        <sz val="10"/>
        <color rgb="FF000000"/>
        <rFont val="Arial"/>
        <family val="0"/>
        <charset val="1"/>
      </rPr>
      <t xml:space="preserve">Token</t>
    </r>
    <r>
      <rPr>
        <sz val="10"/>
        <color rgb="FF000000"/>
        <rFont val="Noto Sans CJK SC"/>
        <family val="2"/>
      </rPr>
      <t xml:space="preserve">」</t>
    </r>
  </si>
  <si>
    <t xml:space="preserve">SRC_ZP_437</t>
  </si>
  <si>
    <t xml:space="preserve">or_glm52_share_derived</t>
  </si>
  <si>
    <r>
      <rPr>
        <sz val="10"/>
        <color rgb="FF000000"/>
        <rFont val="Arial"/>
        <family val="0"/>
        <charset val="1"/>
      </rPr>
      <t xml:space="preserve">OpenRouter</t>
    </r>
    <r>
      <rPr>
        <sz val="10"/>
        <color rgb="FF000000"/>
        <rFont val="Noto Sans CJK SC"/>
        <family val="2"/>
      </rPr>
      <t xml:space="preserve">：</t>
    </r>
    <r>
      <rPr>
        <sz val="10"/>
        <color rgb="FF000000"/>
        <rFont val="Arial"/>
        <family val="0"/>
        <charset val="1"/>
      </rPr>
      <t xml:space="preserve">GLM-5.2 </t>
    </r>
    <r>
      <rPr>
        <sz val="10"/>
        <color rgb="FF000000"/>
        <rFont val="Noto Sans CJK SC"/>
        <family val="2"/>
      </rPr>
      <t xml:space="preserve">週 </t>
    </r>
    <r>
      <rPr>
        <sz val="10"/>
        <color rgb="FF000000"/>
        <rFont val="Arial"/>
        <family val="0"/>
        <charset val="1"/>
      </rPr>
      <t xml:space="preserve">token </t>
    </r>
    <r>
      <rPr>
        <sz val="10"/>
        <color rgb="FF000000"/>
        <rFont val="Noto Sans CJK SC"/>
        <family val="2"/>
      </rPr>
      <t xml:space="preserve">份額</t>
    </r>
  </si>
  <si>
    <r>
      <rPr>
        <sz val="10"/>
        <color rgb="FF000000"/>
        <rFont val="Noto Sans CJK SC"/>
        <family val="2"/>
      </rPr>
      <t xml:space="preserve">由 </t>
    </r>
    <r>
      <rPr>
        <sz val="10"/>
        <color rgb="FF000000"/>
        <rFont val="Arial"/>
        <family val="0"/>
        <charset val="1"/>
      </rPr>
      <t xml:space="preserve">or_glm52_weekly_tok ÷ or_total_weekly_tok</t>
    </r>
  </si>
  <si>
    <r>
      <rPr>
        <sz val="10"/>
        <color rgb="FF000000"/>
        <rFont val="Arial"/>
        <family val="0"/>
        <charset val="1"/>
      </rPr>
      <t xml:space="preserve">2.58÷46.7</t>
    </r>
    <r>
      <rPr>
        <sz val="10"/>
        <color rgb="FF000000"/>
        <rFont val="Noto Sans CJK SC"/>
        <family val="2"/>
      </rPr>
      <t xml:space="preserve">＝</t>
    </r>
    <r>
      <rPr>
        <sz val="10"/>
        <color rgb="FF000000"/>
        <rFont val="Arial"/>
        <family val="0"/>
        <charset val="1"/>
      </rPr>
      <t xml:space="preserve">5.52%</t>
    </r>
    <r>
      <rPr>
        <sz val="10"/>
        <color rgb="FF000000"/>
        <rFont val="Noto Sans CJK SC"/>
        <family val="2"/>
      </rPr>
      <t xml:space="preserve">；僅單一型號，不含 </t>
    </r>
    <r>
      <rPr>
        <sz val="10"/>
        <color rgb="FF000000"/>
        <rFont val="Arial"/>
        <family val="0"/>
        <charset val="1"/>
      </rPr>
      <t xml:space="preserve">GLM </t>
    </r>
    <r>
      <rPr>
        <sz val="10"/>
        <color rgb="FF000000"/>
        <rFont val="Noto Sans CJK SC"/>
        <family val="2"/>
      </rPr>
      <t xml:space="preserve">其他版本；</t>
    </r>
    <r>
      <rPr>
        <sz val="10"/>
        <color rgb="FF000000"/>
        <rFont val="Arial"/>
        <family val="0"/>
        <charset val="1"/>
      </rPr>
      <t xml:space="preserve">OpenRouter </t>
    </r>
    <r>
      <rPr>
        <sz val="10"/>
        <color rgb="FF000000"/>
        <rFont val="Noto Sans CJK SC"/>
        <family val="2"/>
      </rPr>
      <t xml:space="preserve">為海外開發者通路，不代表智譜整體（</t>
    </r>
    <r>
      <rPr>
        <sz val="10"/>
        <color rgb="FF000000"/>
        <rFont val="Arial"/>
        <family val="0"/>
        <charset val="1"/>
      </rPr>
      <t xml:space="preserve">Analogy </t>
    </r>
    <r>
      <rPr>
        <sz val="10"/>
        <color rgb="FF000000"/>
        <rFont val="Noto Sans CJK SC"/>
        <family val="2"/>
      </rPr>
      <t xml:space="preserve">用途）</t>
    </r>
  </si>
  <si>
    <t xml:space="preserve">SRC_ZP_438</t>
  </si>
  <si>
    <t xml:space="preserve">or_glm52_rank_jul26</t>
  </si>
  <si>
    <r>
      <rPr>
        <sz val="10"/>
        <color rgb="FF000000"/>
        <rFont val="Arial"/>
        <family val="0"/>
        <charset val="1"/>
      </rPr>
      <t xml:space="preserve">OpenRouter</t>
    </r>
    <r>
      <rPr>
        <sz val="10"/>
        <color rgb="FF000000"/>
        <rFont val="Noto Sans CJK SC"/>
        <family val="2"/>
      </rPr>
      <t xml:space="preserve">：</t>
    </r>
    <r>
      <rPr>
        <sz val="10"/>
        <color rgb="FF000000"/>
        <rFont val="Arial"/>
        <family val="0"/>
        <charset val="1"/>
      </rPr>
      <t xml:space="preserve">GLM-5.2 </t>
    </r>
    <r>
      <rPr>
        <sz val="10"/>
        <color rgb="FF000000"/>
        <rFont val="Noto Sans CJK SC"/>
        <family val="2"/>
      </rPr>
      <t xml:space="preserve">週排名</t>
    </r>
  </si>
  <si>
    <t xml:space="preserve">名</t>
  </si>
  <si>
    <r>
      <rPr>
        <sz val="10"/>
        <color rgb="FF000000"/>
        <rFont val="Arial"/>
        <family val="0"/>
        <charset val="1"/>
      </rPr>
      <t xml:space="preserve">2026-07-20</t>
    </r>
    <r>
      <rPr>
        <sz val="10"/>
        <color rgb="FF000000"/>
        <rFont val="Noto Sans CJK SC"/>
        <family val="2"/>
      </rPr>
      <t xml:space="preserve">～</t>
    </r>
    <r>
      <rPr>
        <sz val="10"/>
        <color rgb="FF000000"/>
        <rFont val="Arial"/>
        <family val="0"/>
        <charset val="1"/>
      </rPr>
      <t xml:space="preserve">26</t>
    </r>
  </si>
  <si>
    <r>
      <rPr>
        <sz val="10"/>
        <color rgb="FF000000"/>
        <rFont val="Noto Sans CJK SC"/>
        <family val="2"/>
      </rPr>
      <t xml:space="preserve">老虎證券（</t>
    </r>
    <r>
      <rPr>
        <sz val="10"/>
        <color rgb="FF000000"/>
        <rFont val="Arial"/>
        <family val="0"/>
        <charset val="1"/>
      </rPr>
      <t xml:space="preserve">2026-07-27</t>
    </r>
    <r>
      <rPr>
        <sz val="10"/>
        <color rgb="FF000000"/>
        <rFont val="Noto Sans CJK SC"/>
        <family val="2"/>
      </rPr>
      <t xml:space="preserve">）</t>
    </r>
  </si>
  <si>
    <t xml:space="preserve">https://www.itiger.com/hans/news/2654013695</t>
  </si>
  <si>
    <t xml:space="preserve">2026-07-27</t>
  </si>
  <si>
    <r>
      <rPr>
        <sz val="10"/>
        <color rgb="FF000000"/>
        <rFont val="Noto Sans CJK SC"/>
        <family val="2"/>
      </rPr>
      <t xml:space="preserve">原文「智譜</t>
    </r>
    <r>
      <rPr>
        <sz val="10"/>
        <color rgb="FF000000"/>
        <rFont val="Arial"/>
        <family val="0"/>
        <charset val="1"/>
      </rPr>
      <t xml:space="preserve">GLM-5.2</t>
    </r>
    <r>
      <rPr>
        <sz val="10"/>
        <color rgb="FF000000"/>
        <rFont val="Noto Sans CJK SC"/>
        <family val="2"/>
      </rPr>
      <t xml:space="preserve">及</t>
    </r>
    <r>
      <rPr>
        <sz val="10"/>
        <color rgb="FF000000"/>
        <rFont val="Arial"/>
        <family val="0"/>
        <charset val="1"/>
      </rPr>
      <t xml:space="preserve">DeepSeek-V4-Pro</t>
    </r>
    <r>
      <rPr>
        <sz val="10"/>
        <color rgb="FF000000"/>
        <rFont val="Noto Sans CJK SC"/>
        <family val="2"/>
      </rPr>
      <t xml:space="preserve">分列第四及第五位」；同週總量「</t>
    </r>
    <r>
      <rPr>
        <sz val="10"/>
        <color rgb="FF000000"/>
        <rFont val="Arial"/>
        <family val="0"/>
        <charset val="1"/>
      </rPr>
      <t xml:space="preserve">58</t>
    </r>
    <r>
      <rPr>
        <sz val="10"/>
        <color rgb="FF000000"/>
        <rFont val="Noto Sans CJK SC"/>
        <family val="2"/>
      </rPr>
      <t xml:space="preserve">萬億</t>
    </r>
    <r>
      <rPr>
        <sz val="10"/>
        <color rgb="FF000000"/>
        <rFont val="Arial"/>
        <family val="0"/>
        <charset val="1"/>
      </rPr>
      <t xml:space="preserve">Token</t>
    </r>
    <r>
      <rPr>
        <sz val="10"/>
        <color rgb="FF000000"/>
        <rFont val="Noto Sans CJK SC"/>
        <family val="2"/>
      </rPr>
      <t xml:space="preserve">」</t>
    </r>
  </si>
  <si>
    <t xml:space="preserve">SRC_ZP_439</t>
  </si>
  <si>
    <t xml:space="preserve">or_glm52_share_c</t>
  </si>
  <si>
    <r>
      <rPr>
        <sz val="10"/>
        <color rgb="FF000000"/>
        <rFont val="Arial"/>
        <family val="0"/>
        <charset val="1"/>
      </rPr>
      <t xml:space="preserve">OpenRouter</t>
    </r>
    <r>
      <rPr>
        <sz val="10"/>
        <color rgb="FF000000"/>
        <rFont val="Noto Sans CJK SC"/>
        <family val="2"/>
      </rPr>
      <t xml:space="preserve">：</t>
    </r>
    <r>
      <rPr>
        <sz val="10"/>
        <color rgb="FF000000"/>
        <rFont val="Arial"/>
        <family val="0"/>
        <charset val="1"/>
      </rPr>
      <t xml:space="preserve">GLM-5.2</t>
    </r>
    <r>
      <rPr>
        <sz val="10"/>
        <color rgb="FF000000"/>
        <rFont val="Noto Sans CJK SC"/>
        <family val="2"/>
      </rPr>
      <t xml:space="preserve">「市占 </t>
    </r>
    <r>
      <rPr>
        <sz val="10"/>
        <color rgb="FF000000"/>
        <rFont val="Arial"/>
        <family val="0"/>
        <charset val="1"/>
      </rPr>
      <t xml:space="preserve">75%</t>
    </r>
    <r>
      <rPr>
        <sz val="10"/>
        <color rgb="FF000000"/>
        <rFont val="Noto Sans CJK SC"/>
        <family val="2"/>
      </rPr>
      <t xml:space="preserve">」說法</t>
    </r>
  </si>
  <si>
    <r>
      <rPr>
        <sz val="10"/>
        <color rgb="FF000000"/>
        <rFont val="Arial"/>
        <family val="0"/>
        <charset val="1"/>
      </rPr>
      <t xml:space="preserve">%</t>
    </r>
    <r>
      <rPr>
        <sz val="10"/>
        <color rgb="FF000000"/>
        <rFont val="Noto Sans CJK SC"/>
        <family val="2"/>
      </rPr>
      <t xml:space="preserve">（口徑不明）</t>
    </r>
  </si>
  <si>
    <r>
      <rPr>
        <sz val="10"/>
        <color rgb="FF000000"/>
        <rFont val="Arial"/>
        <family val="0"/>
        <charset val="1"/>
      </rPr>
      <t xml:space="preserve">2026-06 </t>
    </r>
    <r>
      <rPr>
        <sz val="10"/>
        <color rgb="FF000000"/>
        <rFont val="Noto Sans CJK SC"/>
        <family val="2"/>
      </rPr>
      <t xml:space="preserve">上市首週</t>
    </r>
  </si>
  <si>
    <r>
      <rPr>
        <sz val="10"/>
        <color rgb="FF000000"/>
        <rFont val="Arial"/>
        <family val="0"/>
        <charset val="1"/>
      </rPr>
      <t xml:space="preserve">GIGAZINE</t>
    </r>
    <r>
      <rPr>
        <sz val="10"/>
        <color rgb="FF000000"/>
        <rFont val="Noto Sans CJK SC"/>
        <family val="2"/>
      </rPr>
      <t xml:space="preserve">（</t>
    </r>
    <r>
      <rPr>
        <sz val="10"/>
        <color rgb="FF000000"/>
        <rFont val="Arial"/>
        <family val="0"/>
        <charset val="1"/>
      </rPr>
      <t xml:space="preserve">2026-06-23</t>
    </r>
    <r>
      <rPr>
        <sz val="10"/>
        <color rgb="FF000000"/>
        <rFont val="Noto Sans CJK SC"/>
        <family val="2"/>
      </rPr>
      <t xml:space="preserve">）</t>
    </r>
  </si>
  <si>
    <t xml:space="preserve">https://www.gigazine.net/gsc_news/en/20260623-glm-5-2-openrouter</t>
  </si>
  <si>
    <t xml:space="preserve">2026-06-23</t>
  </si>
  <si>
    <r>
      <rPr>
        <sz val="10"/>
        <color rgb="FF000000"/>
        <rFont val="Noto Sans CJK SC"/>
        <family val="2"/>
      </rPr>
      <t xml:space="preserve">原文「</t>
    </r>
    <r>
      <rPr>
        <sz val="10"/>
        <color rgb="FF000000"/>
        <rFont val="Arial"/>
        <family val="0"/>
        <charset val="1"/>
      </rPr>
      <t xml:space="preserve">GLM-5.2 reportedly accounts for 75% of the market share</t>
    </r>
    <r>
      <rPr>
        <sz val="10"/>
        <color rgb="FF000000"/>
        <rFont val="Noto Sans CJK SC"/>
        <family val="2"/>
      </rPr>
      <t xml:space="preserve">」，分母未明（疑為 </t>
    </r>
    <r>
      <rPr>
        <sz val="10"/>
        <color rgb="FF000000"/>
        <rFont val="Arial"/>
        <family val="0"/>
        <charset val="1"/>
      </rPr>
      <t xml:space="preserve">Z.ai </t>
    </r>
    <r>
      <rPr>
        <sz val="10"/>
        <color rgb="FF000000"/>
        <rFont val="Noto Sans CJK SC"/>
        <family val="2"/>
      </rPr>
      <t xml:space="preserve">自家型號內占比）；與 </t>
    </r>
    <r>
      <rPr>
        <sz val="10"/>
        <color rgb="FF000000"/>
        <rFont val="Arial"/>
        <family val="0"/>
        <charset val="1"/>
      </rPr>
      <t xml:space="preserve">5.5% </t>
    </r>
    <r>
      <rPr>
        <sz val="10"/>
        <color rgb="FF000000"/>
        <rFont val="Noto Sans CJK SC"/>
        <family val="2"/>
      </rPr>
      <t xml:space="preserve">矛盾，不建議使用</t>
    </r>
  </si>
  <si>
    <t xml:space="preserve">SRC_ZP_440</t>
  </si>
  <si>
    <t xml:space="preserve">sup_top5_share_fy22</t>
  </si>
  <si>
    <t xml:space="preserve">前五大供應商採購占比</t>
  </si>
  <si>
    <r>
      <rPr>
        <sz val="10"/>
        <color rgb="FF000000"/>
        <rFont val="Noto Sans CJK SC"/>
        <family val="2"/>
      </rPr>
      <t xml:space="preserve">招股章程：前五大 </t>
    </r>
    <r>
      <rPr>
        <sz val="10"/>
        <color rgb="FF000000"/>
        <rFont val="Arial"/>
        <family val="0"/>
        <charset val="1"/>
      </rPr>
      <t xml:space="preserve">54.5%</t>
    </r>
    <r>
      <rPr>
        <sz val="10"/>
        <color rgb="FF000000"/>
        <rFont val="Noto Sans CJK SC"/>
        <family val="2"/>
      </rPr>
      <t xml:space="preserve">、最大供應商 </t>
    </r>
    <r>
      <rPr>
        <sz val="10"/>
        <color rgb="FF000000"/>
        <rFont val="Arial"/>
        <family val="0"/>
        <charset val="1"/>
      </rPr>
      <t xml:space="preserve">33.1%</t>
    </r>
    <r>
      <rPr>
        <sz val="10"/>
        <color rgb="FF000000"/>
        <rFont val="Noto Sans CJK SC"/>
        <family val="2"/>
      </rPr>
      <t xml:space="preserve">；供應商含「</t>
    </r>
    <r>
      <rPr>
        <sz val="10"/>
        <color rgb="FF000000"/>
        <rFont val="Arial"/>
        <family val="0"/>
        <charset val="1"/>
      </rPr>
      <t xml:space="preserve">providers of computing resources, such as computing hardware</t>
    </r>
    <r>
      <rPr>
        <sz val="10"/>
        <color rgb="FF000000"/>
        <rFont val="Noto Sans CJK SC"/>
        <family val="2"/>
      </rPr>
      <t xml:space="preserve">」，未揭露名稱與是否皆為算力</t>
    </r>
  </si>
  <si>
    <t xml:space="preserve">SRC_ZP_441</t>
  </si>
  <si>
    <t xml:space="preserve">sup_top1_share_fy22</t>
  </si>
  <si>
    <t xml:space="preserve">最大供應商採購占比</t>
  </si>
  <si>
    <t xml:space="preserve">SRC_ZP_442</t>
  </si>
  <si>
    <t xml:space="preserve">sup_top5_share_fy23</t>
  </si>
  <si>
    <r>
      <rPr>
        <sz val="10"/>
        <color rgb="FF000000"/>
        <rFont val="Noto Sans CJK SC"/>
        <family val="2"/>
      </rPr>
      <t xml:space="preserve">招股章程：前五大 </t>
    </r>
    <r>
      <rPr>
        <sz val="10"/>
        <color rgb="FF000000"/>
        <rFont val="Arial"/>
        <family val="0"/>
        <charset val="1"/>
      </rPr>
      <t xml:space="preserve">53.6%</t>
    </r>
    <r>
      <rPr>
        <sz val="10"/>
        <color rgb="FF000000"/>
        <rFont val="Noto Sans CJK SC"/>
        <family val="2"/>
      </rPr>
      <t xml:space="preserve">、最大供應商 </t>
    </r>
    <r>
      <rPr>
        <sz val="10"/>
        <color rgb="FF000000"/>
        <rFont val="Arial"/>
        <family val="0"/>
        <charset val="1"/>
      </rPr>
      <t xml:space="preserve">16.4%</t>
    </r>
    <r>
      <rPr>
        <sz val="10"/>
        <color rgb="FF000000"/>
        <rFont val="Noto Sans CJK SC"/>
        <family val="2"/>
      </rPr>
      <t xml:space="preserve">；供應商含「</t>
    </r>
    <r>
      <rPr>
        <sz val="10"/>
        <color rgb="FF000000"/>
        <rFont val="Arial"/>
        <family val="0"/>
        <charset val="1"/>
      </rPr>
      <t xml:space="preserve">providers of computing resources, such as computing hardware</t>
    </r>
    <r>
      <rPr>
        <sz val="10"/>
        <color rgb="FF000000"/>
        <rFont val="Noto Sans CJK SC"/>
        <family val="2"/>
      </rPr>
      <t xml:space="preserve">」，未揭露名稱與是否皆為算力</t>
    </r>
  </si>
  <si>
    <t xml:space="preserve">SRC_ZP_443</t>
  </si>
  <si>
    <t xml:space="preserve">sup_top1_share_fy23</t>
  </si>
  <si>
    <t xml:space="preserve">SRC_ZP_444</t>
  </si>
  <si>
    <t xml:space="preserve">sup_top5_share_fy24</t>
  </si>
  <si>
    <r>
      <rPr>
        <sz val="10"/>
        <color rgb="FF000000"/>
        <rFont val="Noto Sans CJK SC"/>
        <family val="2"/>
      </rPr>
      <t xml:space="preserve">招股章程：前五大 </t>
    </r>
    <r>
      <rPr>
        <sz val="10"/>
        <color rgb="FF000000"/>
        <rFont val="Arial"/>
        <family val="0"/>
        <charset val="1"/>
      </rPr>
      <t xml:space="preserve">47.3%</t>
    </r>
    <r>
      <rPr>
        <sz val="10"/>
        <color rgb="FF000000"/>
        <rFont val="Noto Sans CJK SC"/>
        <family val="2"/>
      </rPr>
      <t xml:space="preserve">、最大供應商 </t>
    </r>
    <r>
      <rPr>
        <sz val="10"/>
        <color rgb="FF000000"/>
        <rFont val="Arial"/>
        <family val="0"/>
        <charset val="1"/>
      </rPr>
      <t xml:space="preserve">15.6%</t>
    </r>
    <r>
      <rPr>
        <sz val="10"/>
        <color rgb="FF000000"/>
        <rFont val="Noto Sans CJK SC"/>
        <family val="2"/>
      </rPr>
      <t xml:space="preserve">；供應商含「</t>
    </r>
    <r>
      <rPr>
        <sz val="10"/>
        <color rgb="FF000000"/>
        <rFont val="Arial"/>
        <family val="0"/>
        <charset val="1"/>
      </rPr>
      <t xml:space="preserve">providers of computing resources, such as computing hardware</t>
    </r>
    <r>
      <rPr>
        <sz val="10"/>
        <color rgb="FF000000"/>
        <rFont val="Noto Sans CJK SC"/>
        <family val="2"/>
      </rPr>
      <t xml:space="preserve">」，未揭露名稱與是否皆為算力</t>
    </r>
  </si>
  <si>
    <t xml:space="preserve">SRC_ZP_445</t>
  </si>
  <si>
    <t xml:space="preserve">sup_top1_share_fy24</t>
  </si>
  <si>
    <t xml:space="preserve">SRC_ZP_446</t>
  </si>
  <si>
    <t xml:space="preserve">sup_top5_share_1h25</t>
  </si>
  <si>
    <r>
      <rPr>
        <sz val="10"/>
        <color rgb="FF000000"/>
        <rFont val="Noto Sans CJK SC"/>
        <family val="2"/>
      </rPr>
      <t xml:space="preserve">招股章程：前五大 </t>
    </r>
    <r>
      <rPr>
        <sz val="10"/>
        <color rgb="FF000000"/>
        <rFont val="Arial"/>
        <family val="0"/>
        <charset val="1"/>
      </rPr>
      <t xml:space="preserve">50.2%</t>
    </r>
    <r>
      <rPr>
        <sz val="10"/>
        <color rgb="FF000000"/>
        <rFont val="Noto Sans CJK SC"/>
        <family val="2"/>
      </rPr>
      <t xml:space="preserve">、最大供應商 </t>
    </r>
    <r>
      <rPr>
        <sz val="10"/>
        <color rgb="FF000000"/>
        <rFont val="Arial"/>
        <family val="0"/>
        <charset val="1"/>
      </rPr>
      <t xml:space="preserve">13.4%</t>
    </r>
    <r>
      <rPr>
        <sz val="10"/>
        <color rgb="FF000000"/>
        <rFont val="Noto Sans CJK SC"/>
        <family val="2"/>
      </rPr>
      <t xml:space="preserve">；供應商含「</t>
    </r>
    <r>
      <rPr>
        <sz val="10"/>
        <color rgb="FF000000"/>
        <rFont val="Arial"/>
        <family val="0"/>
        <charset val="1"/>
      </rPr>
      <t xml:space="preserve">providers of computing resources, such as computing hardware</t>
    </r>
    <r>
      <rPr>
        <sz val="10"/>
        <color rgb="FF000000"/>
        <rFont val="Noto Sans CJK SC"/>
        <family val="2"/>
      </rPr>
      <t xml:space="preserve">」，未揭露名稱與是否皆為算力</t>
    </r>
  </si>
  <si>
    <t xml:space="preserve">SRC_ZP_447</t>
  </si>
  <si>
    <t xml:space="preserve">sup_top1_share_1h25</t>
  </si>
  <si>
    <t xml:space="preserve">SRC_ZP_448</t>
  </si>
  <si>
    <t xml:space="preserve">cmp_fee_total_fy24</t>
  </si>
  <si>
    <t xml:space="preserve">算力服務費（研發＋銷售成本合計）</t>
  </si>
  <si>
    <r>
      <rPr>
        <sz val="10"/>
        <color rgb="FF000000"/>
        <rFont val="Noto Sans CJK SC"/>
        <family val="2"/>
      </rPr>
      <t xml:space="preserve">原文「</t>
    </r>
    <r>
      <rPr>
        <sz val="10"/>
        <color rgb="FF000000"/>
        <rFont val="Arial"/>
        <family val="0"/>
        <charset val="1"/>
      </rPr>
      <t xml:space="preserve">2024</t>
    </r>
    <r>
      <rPr>
        <sz val="10"/>
        <color rgb="FF000000"/>
        <rFont val="Noto Sans CJK SC"/>
        <family val="2"/>
      </rPr>
      <t xml:space="preserve">年，智譜的算力服務費達到</t>
    </r>
    <r>
      <rPr>
        <sz val="10"/>
        <color rgb="FF000000"/>
        <rFont val="Arial"/>
        <family val="0"/>
        <charset val="1"/>
      </rPr>
      <t xml:space="preserve">15.52</t>
    </r>
    <r>
      <rPr>
        <sz val="10"/>
        <color rgb="FF000000"/>
        <rFont val="Noto Sans CJK SC"/>
        <family val="2"/>
      </rPr>
      <t xml:space="preserve">億元，這已然是同期收入的</t>
    </r>
    <r>
      <rPr>
        <sz val="10"/>
        <color rgb="FF000000"/>
        <rFont val="Arial"/>
        <family val="0"/>
        <charset val="1"/>
      </rPr>
      <t xml:space="preserve">5</t>
    </r>
    <r>
      <rPr>
        <sz val="10"/>
        <color rgb="FF000000"/>
        <rFont val="Noto Sans CJK SC"/>
        <family val="2"/>
      </rPr>
      <t xml:space="preserve">倍左右」；轉述 </t>
    </r>
    <r>
      <rPr>
        <sz val="10"/>
        <color rgb="FF000000"/>
        <rFont val="Arial"/>
        <family val="0"/>
        <charset val="1"/>
      </rPr>
      <t xml:space="preserve">PHIP</t>
    </r>
    <r>
      <rPr>
        <sz val="10"/>
        <color rgb="FF000000"/>
        <rFont val="Noto Sans CJK SC"/>
        <family val="2"/>
      </rPr>
      <t xml:space="preserve">；【</t>
    </r>
    <r>
      <rPr>
        <sz val="10"/>
        <color rgb="FF000000"/>
        <rFont val="Arial"/>
        <family val="0"/>
        <charset val="1"/>
      </rPr>
      <t xml:space="preserve">r2 P2 </t>
    </r>
    <r>
      <rPr>
        <sz val="10"/>
        <color rgb="FF000000"/>
        <rFont val="Noto Sans CJK SC"/>
        <family val="2"/>
      </rPr>
      <t xml:space="preserve">口徑更正】</t>
    </r>
    <r>
      <rPr>
        <sz val="10"/>
        <color rgb="FF000000"/>
        <rFont val="Arial"/>
        <family val="0"/>
        <charset val="1"/>
      </rPr>
      <t xml:space="preserve">15.52 </t>
    </r>
    <r>
      <rPr>
        <sz val="10"/>
        <color rgb="FF000000"/>
        <rFont val="Noto Sans CJK SC"/>
        <family val="2"/>
      </rPr>
      <t xml:space="preserve">億實為研發項下算力費（</t>
    </r>
    <r>
      <rPr>
        <sz val="10"/>
        <color rgb="FF000000"/>
        <rFont val="Arial"/>
        <family val="0"/>
        <charset val="1"/>
      </rPr>
      <t xml:space="preserve">SRC_ZP_613</t>
    </r>
    <r>
      <rPr>
        <sz val="10"/>
        <color rgb="FF000000"/>
        <rFont val="Noto Sans CJK SC"/>
        <family val="2"/>
      </rPr>
      <t xml:space="preserve">）；三科目合計 </t>
    </r>
    <r>
      <rPr>
        <sz val="10"/>
        <color rgb="FF000000"/>
        <rFont val="Arial"/>
        <family val="0"/>
        <charset val="1"/>
      </rPr>
      <t xml:space="preserve">15.96 </t>
    </r>
    <r>
      <rPr>
        <sz val="10"/>
        <color rgb="FF000000"/>
        <rFont val="Noto Sans CJK SC"/>
        <family val="2"/>
      </rPr>
      <t xml:space="preserve">億見 </t>
    </r>
    <r>
      <rPr>
        <sz val="10"/>
        <color rgb="FF000000"/>
        <rFont val="Arial"/>
        <family val="0"/>
        <charset val="1"/>
      </rPr>
      <t xml:space="preserve">SRC_ZP_740</t>
    </r>
  </si>
  <si>
    <t xml:space="preserve">SRC_ZP_449</t>
  </si>
  <si>
    <t xml:space="preserve">cmp_fee_total_fy24_b</t>
  </si>
  <si>
    <r>
      <rPr>
        <sz val="10"/>
        <color rgb="FF000000"/>
        <rFont val="Noto Sans CJK SC"/>
        <family val="2"/>
      </rPr>
      <t xml:space="preserve">算力服務費（媒體 </t>
    </r>
    <r>
      <rPr>
        <sz val="10"/>
        <color rgb="FF000000"/>
        <rFont val="Arial"/>
        <family val="0"/>
        <charset val="1"/>
      </rPr>
      <t xml:space="preserve">b</t>
    </r>
    <r>
      <rPr>
        <sz val="10"/>
        <color rgb="FF000000"/>
        <rFont val="Noto Sans CJK SC"/>
        <family val="2"/>
      </rPr>
      <t xml:space="preserve">）</t>
    </r>
  </si>
  <si>
    <r>
      <rPr>
        <sz val="10"/>
        <color rgb="FF000000"/>
        <rFont val="Noto Sans CJK SC"/>
        <family val="2"/>
      </rPr>
      <t xml:space="preserve">每日經濟新聞（</t>
    </r>
    <r>
      <rPr>
        <sz val="10"/>
        <color rgb="FF000000"/>
        <rFont val="Arial"/>
        <family val="0"/>
        <charset val="1"/>
      </rPr>
      <t xml:space="preserve">2025-12-21</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</si>
  <si>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2024</t>
    </r>
    <r>
      <rPr>
        <sz val="10"/>
        <color rgb="FF000000"/>
        <rFont val="Noto Sans CJK SC"/>
        <family val="2"/>
      </rPr>
      <t xml:space="preserve">年，智譜算力服務費用為</t>
    </r>
    <r>
      <rPr>
        <sz val="10"/>
        <color rgb="FF000000"/>
        <rFont val="Arial"/>
        <family val="0"/>
        <charset val="1"/>
      </rPr>
      <t xml:space="preserve">15.53</t>
    </r>
    <r>
      <rPr>
        <sz val="10"/>
        <color rgb="FF000000"/>
        <rFont val="Noto Sans CJK SC"/>
        <family val="2"/>
      </rPr>
      <t xml:space="preserve">億元，佔研發開支的比重超過</t>
    </r>
    <r>
      <rPr>
        <sz val="10"/>
        <color rgb="FF000000"/>
        <rFont val="Arial"/>
        <family val="0"/>
        <charset val="1"/>
      </rPr>
      <t xml:space="preserve">70%</t>
    </r>
    <r>
      <rPr>
        <sz val="10"/>
        <color rgb="FF000000"/>
        <rFont val="Noto Sans CJK SC"/>
        <family val="2"/>
      </rPr>
      <t xml:space="preserve">」；與 </t>
    </r>
    <r>
      <rPr>
        <sz val="10"/>
        <color rgb="FF000000"/>
        <rFont val="Arial"/>
        <family val="0"/>
        <charset val="1"/>
      </rPr>
      <t xml:space="preserve">15.52 </t>
    </r>
    <r>
      <rPr>
        <sz val="10"/>
        <color rgb="FF000000"/>
        <rFont val="Noto Sans CJK SC"/>
        <family val="2"/>
      </rPr>
      <t xml:space="preserve">差 </t>
    </r>
    <r>
      <rPr>
        <sz val="10"/>
        <color rgb="FF000000"/>
        <rFont val="Arial"/>
        <family val="0"/>
        <charset val="1"/>
      </rPr>
      <t xml:space="preserve">0.01</t>
    </r>
    <r>
      <rPr>
        <sz val="10"/>
        <color rgb="FF000000"/>
        <rFont val="Noto Sans CJK SC"/>
        <family val="2"/>
      </rPr>
      <t xml:space="preserve">（四捨五入）；【</t>
    </r>
    <r>
      <rPr>
        <sz val="10"/>
        <color rgb="FF000000"/>
        <rFont val="Arial"/>
        <family val="0"/>
        <charset val="1"/>
      </rPr>
      <t xml:space="preserve">r2 P2 </t>
    </r>
    <r>
      <rPr>
        <sz val="10"/>
        <color rgb="FF000000"/>
        <rFont val="Noto Sans CJK SC"/>
        <family val="2"/>
      </rPr>
      <t xml:space="preserve">口徑更正】同 </t>
    </r>
    <r>
      <rPr>
        <sz val="10"/>
        <color rgb="FF000000"/>
        <rFont val="Arial"/>
        <family val="0"/>
        <charset val="1"/>
      </rPr>
      <t xml:space="preserve">SRC_ZP_448</t>
    </r>
    <r>
      <rPr>
        <sz val="10"/>
        <color rgb="FF000000"/>
        <rFont val="Noto Sans CJK SC"/>
        <family val="2"/>
      </rPr>
      <t xml:space="preserve">；研發項下見 </t>
    </r>
    <r>
      <rPr>
        <sz val="10"/>
        <color rgb="FF000000"/>
        <rFont val="Arial"/>
        <family val="0"/>
        <charset val="1"/>
      </rPr>
      <t xml:space="preserve">SRC_ZP_613</t>
    </r>
    <r>
      <rPr>
        <sz val="10"/>
        <color rgb="FF000000"/>
        <rFont val="Noto Sans CJK SC"/>
        <family val="2"/>
      </rPr>
      <t xml:space="preserve">、三科目合計見 </t>
    </r>
    <r>
      <rPr>
        <sz val="10"/>
        <color rgb="FF000000"/>
        <rFont val="Arial"/>
        <family val="0"/>
        <charset val="1"/>
      </rPr>
      <t xml:space="preserve">SRC_ZP_740</t>
    </r>
  </si>
  <si>
    <t xml:space="preserve">SRC_ZP_450</t>
  </si>
  <si>
    <t xml:space="preserve">cmp_fee_total_1h25</t>
  </si>
  <si>
    <t xml:space="preserve">算力服務費（含訓練與雲端部署）</t>
  </si>
  <si>
    <r>
      <rPr>
        <sz val="10"/>
        <color rgb="FF000000"/>
        <rFont val="Noto Sans CJK SC"/>
        <family val="2"/>
      </rPr>
      <t xml:space="preserve">原文「算力服務費（包括模型訓練以及通過雲端部署為客戶提供服務）從</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0.15</t>
    </r>
    <r>
      <rPr>
        <sz val="10"/>
        <color rgb="FF000000"/>
        <rFont val="Noto Sans CJK SC"/>
        <family val="2"/>
      </rPr>
      <t xml:space="preserve">億元到</t>
    </r>
    <r>
      <rPr>
        <sz val="10"/>
        <color rgb="FF000000"/>
        <rFont val="Arial"/>
        <family val="0"/>
        <charset val="1"/>
      </rPr>
      <t xml:space="preserve">2025</t>
    </r>
    <r>
      <rPr>
        <sz val="10"/>
        <color rgb="FF000000"/>
        <rFont val="Noto Sans CJK SC"/>
        <family val="2"/>
      </rPr>
      <t xml:space="preserve">年上半年的</t>
    </r>
    <r>
      <rPr>
        <sz val="10"/>
        <color rgb="FF000000"/>
        <rFont val="Arial"/>
        <family val="0"/>
        <charset val="1"/>
      </rPr>
      <t xml:space="preserve">11.45</t>
    </r>
    <r>
      <rPr>
        <sz val="10"/>
        <color rgb="FF000000"/>
        <rFont val="Noto Sans CJK SC"/>
        <family val="2"/>
      </rPr>
      <t xml:space="preserve">億」；【</t>
    </r>
    <r>
      <rPr>
        <sz val="10"/>
        <color rgb="FF000000"/>
        <rFont val="Arial"/>
        <family val="0"/>
        <charset val="1"/>
      </rPr>
      <t xml:space="preserve">r2 P2 </t>
    </r>
    <r>
      <rPr>
        <sz val="10"/>
        <color rgb="FF000000"/>
        <rFont val="Noto Sans CJK SC"/>
        <family val="2"/>
      </rPr>
      <t xml:space="preserve">口徑更正】</t>
    </r>
    <r>
      <rPr>
        <sz val="10"/>
        <color rgb="FF000000"/>
        <rFont val="Arial"/>
        <family val="0"/>
        <charset val="1"/>
      </rPr>
      <t xml:space="preserve">11.45 </t>
    </r>
    <r>
      <rPr>
        <sz val="10"/>
        <color rgb="FF000000"/>
        <rFont val="Noto Sans CJK SC"/>
        <family val="2"/>
      </rPr>
      <t xml:space="preserve">億為研發項下算力費（</t>
    </r>
    <r>
      <rPr>
        <sz val="10"/>
        <color rgb="FF000000"/>
        <rFont val="Arial"/>
        <family val="0"/>
        <charset val="1"/>
      </rPr>
      <t xml:space="preserve">SRC_ZP_615</t>
    </r>
    <r>
      <rPr>
        <sz val="10"/>
        <color rgb="FF000000"/>
        <rFont val="Noto Sans CJK SC"/>
        <family val="2"/>
      </rPr>
      <t xml:space="preserve">），不含營業成本；三科目合計 </t>
    </r>
    <r>
      <rPr>
        <sz val="10"/>
        <color rgb="FF000000"/>
        <rFont val="Arial"/>
        <family val="0"/>
        <charset val="1"/>
      </rPr>
      <t xml:space="preserve">12.02 </t>
    </r>
    <r>
      <rPr>
        <sz val="10"/>
        <color rgb="FF000000"/>
        <rFont val="Noto Sans CJK SC"/>
        <family val="2"/>
      </rPr>
      <t xml:space="preserve">億見 </t>
    </r>
    <r>
      <rPr>
        <sz val="10"/>
        <color rgb="FF000000"/>
        <rFont val="Arial"/>
        <family val="0"/>
        <charset val="1"/>
      </rPr>
      <t xml:space="preserve">SRC_ZP_742</t>
    </r>
  </si>
  <si>
    <t xml:space="preserve">SRC_ZP_451</t>
  </si>
  <si>
    <t xml:space="preserve">cmp_fee_total_fy22</t>
  </si>
  <si>
    <r>
      <rPr>
        <sz val="10"/>
        <color rgb="FF000000"/>
        <rFont val="Noto Sans CJK SC"/>
        <family val="2"/>
      </rPr>
      <t xml:space="preserve">同上「</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0.15</t>
    </r>
    <r>
      <rPr>
        <sz val="10"/>
        <color rgb="FF000000"/>
        <rFont val="Noto Sans CJK SC"/>
        <family val="2"/>
      </rPr>
      <t xml:space="preserve">億元」；【</t>
    </r>
    <r>
      <rPr>
        <sz val="10"/>
        <color rgb="FF000000"/>
        <rFont val="Arial"/>
        <family val="0"/>
        <charset val="1"/>
      </rPr>
      <t xml:space="preserve">r2 P2 </t>
    </r>
    <r>
      <rPr>
        <sz val="10"/>
        <color rgb="FF000000"/>
        <rFont val="Noto Sans CJK SC"/>
        <family val="2"/>
      </rPr>
      <t xml:space="preserve">口徑更正】</t>
    </r>
    <r>
      <rPr>
        <sz val="10"/>
        <color rgb="FF000000"/>
        <rFont val="Arial"/>
        <family val="0"/>
        <charset val="1"/>
      </rPr>
      <t xml:space="preserve">0.15 </t>
    </r>
    <r>
      <rPr>
        <sz val="10"/>
        <color rgb="FF000000"/>
        <rFont val="Noto Sans CJK SC"/>
        <family val="2"/>
      </rPr>
      <t xml:space="preserve">億為研發項下（</t>
    </r>
    <r>
      <rPr>
        <sz val="10"/>
        <color rgb="FF000000"/>
        <rFont val="Arial"/>
        <family val="0"/>
        <charset val="1"/>
      </rPr>
      <t xml:space="preserve">SRC_ZP_611</t>
    </r>
    <r>
      <rPr>
        <sz val="10"/>
        <color rgb="FF000000"/>
        <rFont val="Noto Sans CJK SC"/>
        <family val="2"/>
      </rPr>
      <t xml:space="preserve">）；三科目合計見 </t>
    </r>
    <r>
      <rPr>
        <sz val="10"/>
        <color rgb="FF000000"/>
        <rFont val="Arial"/>
        <family val="0"/>
        <charset val="1"/>
      </rPr>
      <t xml:space="preserve">SRC_ZP_738</t>
    </r>
  </si>
  <si>
    <t xml:space="preserve">SRC_ZP_452</t>
  </si>
  <si>
    <t xml:space="preserve">cmp_chips_domestic_100k</t>
  </si>
  <si>
    <t xml:space="preserve">推論用國產晶片規模</t>
  </si>
  <si>
    <r>
      <rPr>
        <sz val="10"/>
        <color rgb="FF000000"/>
        <rFont val="Noto Sans CJK SC"/>
        <family val="2"/>
      </rPr>
      <t xml:space="preserve">張（以上，「</t>
    </r>
    <r>
      <rPr>
        <sz val="10"/>
        <color rgb="FF000000"/>
        <rFont val="Arial"/>
        <family val="0"/>
        <charset val="1"/>
      </rPr>
      <t xml:space="preserve">10 </t>
    </r>
    <r>
      <rPr>
        <sz val="10"/>
        <color rgb="FF000000"/>
        <rFont val="Noto Sans CJK SC"/>
        <family val="2"/>
      </rPr>
      <t xml:space="preserve">萬級」）</t>
    </r>
  </si>
  <si>
    <r>
      <rPr>
        <sz val="10"/>
        <color rgb="FF000000"/>
        <rFont val="Noto Sans CJK SC"/>
        <family val="2"/>
      </rPr>
      <t xml:space="preserve">截至 </t>
    </r>
    <r>
      <rPr>
        <sz val="10"/>
        <color rgb="FF000000"/>
        <rFont val="Arial"/>
        <family val="0"/>
        <charset val="1"/>
      </rPr>
      <t xml:space="preserve">2026-08-31</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</si>
  <si>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4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</si>
  <si>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large-scale, low-cost inference across a cluster of over 100,000 domestic chips</t>
    </r>
    <r>
      <rPr>
        <sz val="10"/>
        <color rgb="FF000000"/>
        <rFont val="Noto Sans CJK SC"/>
        <family val="2"/>
      </rPr>
      <t xml:space="preserve">」；未揭露廠牌、自有或租用、型號</t>
    </r>
  </si>
  <si>
    <t xml:space="preserve">SRC_ZP_453</t>
  </si>
  <si>
    <t xml:space="preserve">cmp_chips_domestic_100k_b</t>
  </si>
  <si>
    <t xml:space="preserve">推論用國產晶片規模（中文轉述）</t>
  </si>
  <si>
    <r>
      <rPr>
        <sz val="10"/>
        <color rgb="FF000000"/>
        <rFont val="Noto Sans CJK SC"/>
        <family val="2"/>
      </rPr>
      <t xml:space="preserve">張（</t>
    </r>
    <r>
      <rPr>
        <sz val="10"/>
        <color rgb="FF000000"/>
        <rFont val="Arial"/>
        <family val="0"/>
        <charset val="1"/>
      </rPr>
      <t xml:space="preserve">10 </t>
    </r>
    <r>
      <rPr>
        <sz val="10"/>
        <color rgb="FF000000"/>
        <rFont val="Noto Sans CJK SC"/>
        <family val="2"/>
      </rPr>
      <t xml:space="preserve">萬級）</t>
    </r>
  </si>
  <si>
    <t xml:space="preserve">2026</t>
  </si>
  <si>
    <r>
      <rPr>
        <sz val="10"/>
        <color rgb="FF000000"/>
        <rFont val="Noto Sans CJK SC"/>
        <family val="2"/>
      </rPr>
      <t xml:space="preserve">網易科技（同花順 </t>
    </r>
    <r>
      <rPr>
        <sz val="10"/>
        <color rgb="FF000000"/>
        <rFont val="Arial"/>
        <family val="0"/>
        <charset val="1"/>
      </rPr>
      <t xml:space="preserve">2026-09-01</t>
    </r>
    <r>
      <rPr>
        <sz val="10"/>
        <color rgb="FF000000"/>
        <rFont val="Noto Sans CJK SC"/>
        <family val="2"/>
      </rPr>
      <t xml:space="preserve">）</t>
    </r>
  </si>
  <si>
    <r>
      <rPr>
        <sz val="10"/>
        <color rgb="FF000000"/>
        <rFont val="Noto Sans CJK SC"/>
        <family val="2"/>
      </rPr>
      <t xml:space="preserve">原文「已經實現</t>
    </r>
    <r>
      <rPr>
        <sz val="10"/>
        <color rgb="FF000000"/>
        <rFont val="Arial"/>
        <family val="0"/>
        <charset val="1"/>
      </rPr>
      <t xml:space="preserve">10</t>
    </r>
    <r>
      <rPr>
        <sz val="10"/>
        <color rgb="FF000000"/>
        <rFont val="Noto Sans CJK SC"/>
        <family val="2"/>
      </rPr>
      <t xml:space="preserve">萬級國產晶片的規模化低成本推理」，</t>
    </r>
    <r>
      <rPr>
        <sz val="10"/>
        <color rgb="FF000000"/>
        <rFont val="Arial"/>
        <family val="0"/>
        <charset val="1"/>
      </rPr>
      <t xml:space="preserve">2026 </t>
    </r>
    <r>
      <rPr>
        <sz val="10"/>
        <color rgb="FF000000"/>
        <rFont val="Noto Sans CJK SC"/>
        <family val="2"/>
      </rPr>
      <t xml:space="preserve">年初起全面實施 </t>
    </r>
    <r>
      <rPr>
        <sz val="10"/>
        <color rgb="FF000000"/>
        <rFont val="Arial"/>
        <family val="0"/>
        <charset val="1"/>
      </rPr>
      <t xml:space="preserve">All-in-Infra </t>
    </r>
    <r>
      <rPr>
        <sz val="10"/>
        <color rgb="FF000000"/>
        <rFont val="Noto Sans CJK SC"/>
        <family val="2"/>
      </rPr>
      <t xml:space="preserve">戰略</t>
    </r>
  </si>
  <si>
    <t xml:space="preserve">SRC_ZP_454</t>
  </si>
  <si>
    <t xml:space="preserve">cmp_inf_cost_drop</t>
  </si>
  <si>
    <r>
      <rPr>
        <sz val="10"/>
        <color rgb="FF000000"/>
        <rFont val="Noto Sans CJK SC"/>
        <family val="2"/>
      </rPr>
      <t xml:space="preserve">單位 </t>
    </r>
    <r>
      <rPr>
        <sz val="10"/>
        <color rgb="FF000000"/>
        <rFont val="Arial"/>
        <family val="0"/>
        <charset val="1"/>
      </rPr>
      <t xml:space="preserve">token </t>
    </r>
    <r>
      <rPr>
        <sz val="10"/>
        <color rgb="FF000000"/>
        <rFont val="Noto Sans CJK SC"/>
        <family val="2"/>
      </rPr>
      <t xml:space="preserve">推論成本較年初降幅</t>
    </r>
  </si>
  <si>
    <t xml:space="preserve">2026-01-01→2026-08</t>
  </si>
  <si>
    <r>
      <rPr>
        <sz val="10"/>
        <color rgb="FF000000"/>
        <rFont val="Noto Sans CJK SC"/>
        <family val="2"/>
      </rPr>
      <t xml:space="preserve">原文「</t>
    </r>
    <r>
      <rPr>
        <sz val="10"/>
        <color rgb="FF000000"/>
        <rFont val="Arial"/>
        <family val="0"/>
        <charset val="1"/>
      </rPr>
      <t xml:space="preserve">unit Token inference costs declining by 80% from the beginning of the year</t>
    </r>
    <r>
      <rPr>
        <sz val="10"/>
        <color rgb="FF000000"/>
        <rFont val="Noto Sans CJK SC"/>
        <family val="2"/>
      </rPr>
      <t xml:space="preserve">」；未說明是否含晶片折舊</t>
    </r>
  </si>
  <si>
    <t xml:space="preserve">SRC_ZP_455</t>
  </si>
  <si>
    <t xml:space="preserve">cmp_e2e_perf_3x</t>
  </si>
  <si>
    <t xml:space="preserve">同硬體端到端服務效能提升倍數</t>
  </si>
  <si>
    <r>
      <rPr>
        <sz val="10"/>
        <color rgb="FF000000"/>
        <rFont val="Arial"/>
        <family val="0"/>
        <charset val="1"/>
      </rPr>
      <t xml:space="preserve">2026</t>
    </r>
    <r>
      <rPr>
        <sz val="10"/>
        <color rgb="FF000000"/>
        <rFont val="Noto Sans CJK SC"/>
        <family val="2"/>
      </rPr>
      <t xml:space="preserve">（相對初始基線）</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</si>
  <si>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12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</si>
  <si>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Compared with the initial baseline on the same hardware, end-to-end service performance tripled</t>
    </r>
    <r>
      <rPr>
        <sz val="10"/>
        <color rgb="FF000000"/>
        <rFont val="Noto Sans CJK SC"/>
        <family val="2"/>
      </rPr>
      <t xml:space="preserve">」；第 </t>
    </r>
    <r>
      <rPr>
        <sz val="10"/>
        <color rgb="FF000000"/>
        <rFont val="Arial"/>
        <family val="0"/>
        <charset val="1"/>
      </rPr>
      <t xml:space="preserve">21 </t>
    </r>
    <r>
      <rPr>
        <sz val="10"/>
        <color rgb="FF000000"/>
        <rFont val="Noto Sans CJK SC"/>
        <family val="2"/>
      </rPr>
      <t xml:space="preserve">頁 </t>
    </r>
    <r>
      <rPr>
        <sz val="10"/>
        <color rgb="FF000000"/>
        <rFont val="Arial"/>
        <family val="0"/>
        <charset val="1"/>
      </rPr>
      <t xml:space="preserve">GLM-5.3-Flash </t>
    </r>
    <r>
      <rPr>
        <sz val="10"/>
        <color rgb="FF000000"/>
        <rFont val="Noto Sans CJK SC"/>
        <family val="2"/>
      </rPr>
      <t xml:space="preserve">於國產晶片「</t>
    </r>
    <r>
      <rPr>
        <sz val="10"/>
        <color rgb="FF000000"/>
        <rFont val="Arial"/>
        <family val="0"/>
        <charset val="1"/>
      </rPr>
      <t xml:space="preserve">300% improvement</t>
    </r>
    <r>
      <rPr>
        <sz val="10"/>
        <color rgb="FF000000"/>
        <rFont val="Noto Sans CJK SC"/>
        <family val="2"/>
      </rPr>
      <t xml:space="preserve">」</t>
    </r>
  </si>
  <si>
    <t xml:space="preserve">SRC_ZP_456</t>
  </si>
  <si>
    <t xml:space="preserve">cmp_multiplier_yoy</t>
  </si>
  <si>
    <t xml:space="preserve">「算力乘數」同比增幅</t>
  </si>
  <si>
    <t xml:space="preserve">1H2026 vs 1H2025</t>
  </si>
  <si>
    <r>
      <rPr>
        <sz val="10"/>
        <color rgb="FF000000"/>
        <rFont val="Noto Sans CJK SC"/>
        <family val="2"/>
      </rPr>
      <t xml:space="preserve">定義「</t>
    </r>
    <r>
      <rPr>
        <sz val="10"/>
        <color rgb="FF000000"/>
        <rFont val="Arial"/>
        <family val="0"/>
        <charset val="1"/>
      </rPr>
      <t xml:space="preserve">open platform and API revenue generated from every RMB1 of computing power investment</t>
    </r>
    <r>
      <rPr>
        <sz val="10"/>
        <color rgb="FF000000"/>
        <rFont val="Noto Sans CJK SC"/>
        <family val="2"/>
      </rPr>
      <t xml:space="preserve">」（分母含訓練與推論），「</t>
    </r>
    <r>
      <rPr>
        <sz val="10"/>
        <color rgb="FF000000"/>
        <rFont val="Arial"/>
        <family val="0"/>
        <charset val="1"/>
      </rPr>
      <t xml:space="preserve">increased by approximately 14 times year-on-year</t>
    </r>
    <r>
      <rPr>
        <sz val="10"/>
        <color rgb="FF000000"/>
        <rFont val="Noto Sans CJK SC"/>
        <family val="2"/>
      </rPr>
      <t xml:space="preserve">」</t>
    </r>
  </si>
  <si>
    <t xml:space="preserve">SRC_ZP_457</t>
  </si>
  <si>
    <t xml:space="preserve">cmp_deploy_cost_50</t>
  </si>
  <si>
    <r>
      <rPr>
        <sz val="10"/>
        <color rgb="FF000000"/>
        <rFont val="Noto Sans CJK SC"/>
        <family val="2"/>
      </rPr>
      <t xml:space="preserve">部署成本降幅（</t>
    </r>
    <r>
      <rPr>
        <sz val="10"/>
        <color rgb="FF000000"/>
        <rFont val="Arial"/>
        <family val="0"/>
        <charset val="1"/>
      </rPr>
      <t xml:space="preserve">FY2025 </t>
    </r>
    <r>
      <rPr>
        <sz val="10"/>
        <color rgb="FF000000"/>
        <rFont val="Noto Sans CJK SC"/>
        <family val="2"/>
      </rPr>
      <t xml:space="preserve">說法）</t>
    </r>
  </si>
  <si>
    <r>
      <rPr>
        <sz val="10"/>
        <color rgb="FF000000"/>
        <rFont val="Noto Sans CJK SC"/>
        <family val="2"/>
      </rPr>
      <t xml:space="preserve">原文「</t>
    </r>
    <r>
      <rPr>
        <sz val="10"/>
        <color rgb="FF000000"/>
        <rFont val="Arial"/>
        <family val="0"/>
        <charset val="1"/>
      </rPr>
      <t xml:space="preserve">cutting deployment costs by 50% with zero performance degradation</t>
    </r>
    <r>
      <rPr>
        <sz val="10"/>
        <color rgb="FF000000"/>
        <rFont val="Noto Sans CJK SC"/>
        <family val="2"/>
      </rPr>
      <t xml:space="preserve">」；另稱國產晶片推論效率「</t>
    </r>
    <r>
      <rPr>
        <sz val="10"/>
        <color rgb="FF000000"/>
        <rFont val="Arial"/>
        <family val="0"/>
        <charset val="1"/>
      </rPr>
      <t xml:space="preserve">comparable to that of international top-tier chips</t>
    </r>
    <r>
      <rPr>
        <sz val="10"/>
        <color rgb="FF000000"/>
        <rFont val="Noto Sans CJK SC"/>
        <family val="2"/>
      </rPr>
      <t xml:space="preserve">」</t>
    </r>
  </si>
  <si>
    <t xml:space="preserve">SRC_ZP_458</t>
  </si>
  <si>
    <t xml:space="preserve">cmp_1gw_dc</t>
  </si>
  <si>
    <r>
      <rPr>
        <sz val="10"/>
        <color rgb="FF000000"/>
        <rFont val="Noto Sans CJK SC"/>
        <family val="2"/>
      </rPr>
      <t xml:space="preserve">國產 </t>
    </r>
    <r>
      <rPr>
        <sz val="10"/>
        <color rgb="FF000000"/>
        <rFont val="Arial"/>
        <family val="0"/>
        <charset val="1"/>
      </rPr>
      <t xml:space="preserve">AI </t>
    </r>
    <r>
      <rPr>
        <sz val="10"/>
        <color rgb="FF000000"/>
        <rFont val="Noto Sans CJK SC"/>
        <family val="2"/>
      </rPr>
      <t xml:space="preserve">算力資料中心規模</t>
    </r>
  </si>
  <si>
    <r>
      <rPr>
        <sz val="10"/>
        <color rgb="FF000000"/>
        <rFont val="Arial"/>
        <family val="0"/>
        <charset val="1"/>
      </rPr>
      <t xml:space="preserve">GW</t>
    </r>
    <r>
      <rPr>
        <sz val="10"/>
        <color rgb="FF000000"/>
        <rFont val="Noto Sans CJK SC"/>
        <family val="2"/>
      </rPr>
      <t xml:space="preserve">（口徑未明）</t>
    </r>
  </si>
  <si>
    <t xml:space="preserve">2026-07-21</t>
  </si>
  <si>
    <r>
      <rPr>
        <sz val="10"/>
        <color rgb="FF000000"/>
        <rFont val="Noto Sans CJK SC"/>
        <family val="2"/>
      </rPr>
      <t xml:space="preserve">財聞（同花順 </t>
    </r>
    <r>
      <rPr>
        <sz val="10"/>
        <color rgb="FF000000"/>
        <rFont val="Arial"/>
        <family val="0"/>
        <charset val="1"/>
      </rPr>
      <t xml:space="preserve">2026-07-21</t>
    </r>
    <r>
      <rPr>
        <sz val="10"/>
        <color rgb="FF000000"/>
        <rFont val="Noto Sans CJK SC"/>
        <family val="2"/>
      </rPr>
      <t xml:space="preserve">）</t>
    </r>
  </si>
  <si>
    <t xml:space="preserve">https://stock.10jqka.com.cn/20260721/c678310697.shtml</t>
  </si>
  <si>
    <r>
      <rPr>
        <sz val="10"/>
        <color rgb="FF000000"/>
        <rFont val="Arial"/>
        <family val="0"/>
        <charset val="1"/>
      </rPr>
      <t xml:space="preserve">GW </t>
    </r>
    <r>
      <rPr>
        <sz val="10"/>
        <color rgb="FF000000"/>
        <rFont val="Noto Sans CJK SC"/>
        <family val="2"/>
      </rPr>
      <t xml:space="preserve">口徑未明</t>
    </r>
  </si>
  <si>
    <r>
      <rPr>
        <sz val="10"/>
        <color rgb="FF000000"/>
        <rFont val="Noto Sans CJK SC"/>
        <family val="2"/>
      </rPr>
      <t xml:space="preserve">原文「已落地</t>
    </r>
    <r>
      <rPr>
        <sz val="10"/>
        <color rgb="FF000000"/>
        <rFont val="Arial"/>
        <family val="0"/>
        <charset val="1"/>
      </rPr>
      <t xml:space="preserve">1GW</t>
    </r>
    <r>
      <rPr>
        <sz val="10"/>
        <color rgb="FF000000"/>
        <rFont val="Noto Sans CJK SC"/>
        <family val="2"/>
      </rPr>
      <t xml:space="preserve">級國產</t>
    </r>
    <r>
      <rPr>
        <sz val="10"/>
        <color rgb="FF000000"/>
        <rFont val="Arial"/>
        <family val="0"/>
        <charset val="1"/>
      </rPr>
      <t xml:space="preserve">AI</t>
    </r>
    <r>
      <rPr>
        <sz val="10"/>
        <color rgb="FF000000"/>
        <rFont val="Noto Sans CJK SC"/>
        <family val="2"/>
      </rPr>
      <t xml:space="preserve">算力數據中心建設，並全部採用國產</t>
    </r>
    <r>
      <rPr>
        <sz val="10"/>
        <color rgb="FF000000"/>
        <rFont val="Arial"/>
        <family val="0"/>
        <charset val="1"/>
      </rPr>
      <t xml:space="preserve">AI</t>
    </r>
    <r>
      <rPr>
        <sz val="10"/>
        <color rgb="FF000000"/>
        <rFont val="Noto Sans CJK SC"/>
        <family val="2"/>
      </rPr>
      <t xml:space="preserve">晶片」；未揭露地點、夥伴、</t>
    </r>
    <r>
      <rPr>
        <sz val="10"/>
        <color rgb="FF000000"/>
        <rFont val="Arial"/>
        <family val="0"/>
        <charset val="1"/>
      </rPr>
      <t xml:space="preserve">IT</t>
    </r>
    <r>
      <rPr>
        <sz val="10"/>
        <color rgb="FF000000"/>
        <rFont val="Noto Sans CJK SC"/>
        <family val="2"/>
      </rPr>
      <t xml:space="preserve">／設施口徑、持有方式、完工時點</t>
    </r>
  </si>
  <si>
    <t xml:space="preserve">SRC_ZP_459</t>
  </si>
  <si>
    <t xml:space="preserve">cmp_entity_list</t>
  </si>
  <si>
    <t xml:space="preserve">美國實體清單列入日</t>
  </si>
  <si>
    <t xml:space="preserve">2025-01-16</t>
  </si>
  <si>
    <r>
      <rPr>
        <sz val="10"/>
        <color rgb="FF000000"/>
        <rFont val="Noto Sans CJK SC"/>
        <family val="2"/>
      </rPr>
      <t xml:space="preserve">公司及 </t>
    </r>
    <r>
      <rPr>
        <sz val="10"/>
        <color rgb="FF000000"/>
        <rFont val="Arial"/>
        <family val="0"/>
        <charset val="1"/>
      </rPr>
      <t xml:space="preserve">9 </t>
    </r>
    <r>
      <rPr>
        <sz val="10"/>
        <color rgb="FF000000"/>
        <rFont val="Noto Sans CJK SC"/>
        <family val="2"/>
      </rPr>
      <t xml:space="preserve">家子公司 </t>
    </r>
    <r>
      <rPr>
        <sz val="10"/>
        <color rgb="FF000000"/>
        <rFont val="Arial"/>
        <family val="0"/>
        <charset val="1"/>
      </rPr>
      <t xml:space="preserve">2025-01-16 </t>
    </r>
    <r>
      <rPr>
        <sz val="10"/>
        <color rgb="FF000000"/>
        <rFont val="Noto Sans CJK SC"/>
        <family val="2"/>
      </rPr>
      <t xml:space="preserve">列入 </t>
    </r>
    <r>
      <rPr>
        <sz val="10"/>
        <color rgb="FF000000"/>
        <rFont val="Arial"/>
        <family val="0"/>
        <charset val="1"/>
      </rPr>
      <t xml:space="preserve">BIS </t>
    </r>
    <r>
      <rPr>
        <sz val="10"/>
        <color rgb="FF000000"/>
        <rFont val="Noto Sans CJK SC"/>
        <family val="2"/>
      </rPr>
      <t xml:space="preserve">實體清單；稱往績期間未依賴 </t>
    </r>
    <r>
      <rPr>
        <sz val="10"/>
        <color rgb="FF000000"/>
        <rFont val="Arial"/>
        <family val="0"/>
        <charset val="1"/>
      </rPr>
      <t xml:space="preserve">EAR </t>
    </r>
    <r>
      <rPr>
        <sz val="10"/>
        <color rgb="FF000000"/>
        <rFont val="Noto Sans CJK SC"/>
        <family val="2"/>
      </rPr>
      <t xml:space="preserve">物項，董事與制裁律師預期無重大不利影響</t>
    </r>
  </si>
  <si>
    <t xml:space="preserve">SRC_ZP_460</t>
  </si>
  <si>
    <t xml:space="preserve">cmp_glm52_day0_vendors</t>
  </si>
  <si>
    <r>
      <rPr>
        <sz val="10"/>
        <color rgb="FF000000"/>
        <rFont val="Arial"/>
        <family val="0"/>
        <charset val="1"/>
      </rPr>
      <t xml:space="preserve">GLM-5.2 Day-0 </t>
    </r>
    <r>
      <rPr>
        <sz val="10"/>
        <color rgb="FF000000"/>
        <rFont val="Noto Sans CJK SC"/>
        <family val="2"/>
      </rPr>
      <t xml:space="preserve">適配國產晶片平台</t>
    </r>
  </si>
  <si>
    <t xml:space="preserve">家（以上）</t>
  </si>
  <si>
    <t xml:space="preserve">2026-06</t>
  </si>
  <si>
    <r>
      <rPr>
        <sz val="10"/>
        <color rgb="FF000000"/>
        <rFont val="Noto Sans CJK SC"/>
        <family val="2"/>
      </rPr>
      <t xml:space="preserve">同花順（</t>
    </r>
    <r>
      <rPr>
        <sz val="10"/>
        <color rgb="FF000000"/>
        <rFont val="Arial"/>
        <family val="0"/>
        <charset val="1"/>
      </rPr>
      <t xml:space="preserve">2026-06-23</t>
    </r>
    <r>
      <rPr>
        <sz val="10"/>
        <color rgb="FF000000"/>
        <rFont val="Noto Sans CJK SC"/>
        <family val="2"/>
      </rPr>
      <t xml:space="preserve">）</t>
    </r>
  </si>
  <si>
    <t xml:space="preserve">https://news.10jqka.com.cn/20260623/c677629958.shtml</t>
  </si>
  <si>
    <t xml:space="preserve">晶片廠與智譜：合作宣傳誘因</t>
  </si>
  <si>
    <r>
      <rPr>
        <sz val="10"/>
        <color rgb="FF000000"/>
        <rFont val="Noto Sans CJK SC"/>
        <family val="2"/>
      </rPr>
      <t xml:space="preserve">原文「與昇騰、寒武紀、海光、崑崙芯、壁仞等多個國產算力平台的</t>
    </r>
    <r>
      <rPr>
        <sz val="10"/>
        <color rgb="FF000000"/>
        <rFont val="Arial"/>
        <family val="0"/>
        <charset val="1"/>
      </rPr>
      <t xml:space="preserve">Day0</t>
    </r>
    <r>
      <rPr>
        <sz val="10"/>
        <color rgb="FF000000"/>
        <rFont val="Noto Sans CJK SC"/>
        <family val="2"/>
      </rPr>
      <t xml:space="preserve">適配」；</t>
    </r>
    <r>
      <rPr>
        <sz val="10"/>
        <color rgb="FF000000"/>
        <rFont val="Arial"/>
        <family val="0"/>
        <charset val="1"/>
      </rPr>
      <t xml:space="preserve">36</t>
    </r>
    <r>
      <rPr>
        <sz val="10"/>
        <color rgb="FF000000"/>
        <rFont val="Noto Sans CJK SC"/>
        <family val="2"/>
      </rPr>
      <t xml:space="preserve">氪另列摩爾線程；適配≠採購，不表示 </t>
    </r>
    <r>
      <rPr>
        <sz val="10"/>
        <color rgb="FF000000"/>
        <rFont val="Arial"/>
        <family val="0"/>
        <charset val="1"/>
      </rPr>
      <t xml:space="preserve">10 </t>
    </r>
    <r>
      <rPr>
        <sz val="10"/>
        <color rgb="FF000000"/>
        <rFont val="Noto Sans CJK SC"/>
        <family val="2"/>
      </rPr>
      <t xml:space="preserve">萬張晶片的供應方</t>
    </r>
  </si>
  <si>
    <t xml:space="preserve">SRC_ZP_461</t>
  </si>
  <si>
    <t xml:space="preserve">cmp_capacity_refi_sep26</t>
  </si>
  <si>
    <t xml:space="preserve">為算力擴容之再融資（小股大債）</t>
  </si>
  <si>
    <t xml:space="preserve">2026-09</t>
  </si>
  <si>
    <r>
      <rPr>
        <sz val="10"/>
        <color rgb="FF000000"/>
        <rFont val="Noto Sans CJK SC"/>
        <family val="2"/>
      </rPr>
      <t xml:space="preserve">原文「以“小股大債”的結構完成總額</t>
    </r>
    <r>
      <rPr>
        <sz val="10"/>
        <color rgb="FF000000"/>
        <rFont val="Arial"/>
        <family val="0"/>
        <charset val="1"/>
      </rPr>
      <t xml:space="preserve">50</t>
    </r>
    <r>
      <rPr>
        <sz val="10"/>
        <color rgb="FF000000"/>
        <rFont val="Noto Sans CJK SC"/>
        <family val="2"/>
      </rPr>
      <t xml:space="preserve">億美元的再融資，此次融資是出於算力擴容要求」；</t>
    </r>
    <r>
      <rPr>
        <sz val="10"/>
        <color rgb="FF000000"/>
        <rFont val="Arial"/>
        <family val="0"/>
        <charset val="1"/>
      </rPr>
      <t xml:space="preserve">7 </t>
    </r>
    <r>
      <rPr>
        <sz val="10"/>
        <color rgb="FF000000"/>
        <rFont val="Noto Sans CJK SC"/>
        <family val="2"/>
      </rPr>
      <t xml:space="preserve">月另完成 </t>
    </r>
    <r>
      <rPr>
        <sz val="10"/>
        <color rgb="FF000000"/>
        <rFont val="Arial"/>
        <family val="0"/>
        <charset val="1"/>
      </rPr>
      <t xml:space="preserve">40 </t>
    </r>
    <r>
      <rPr>
        <sz val="10"/>
        <color rgb="FF000000"/>
        <rFont val="Noto Sans CJK SC"/>
        <family val="2"/>
      </rPr>
      <t xml:space="preserve">億美元；細節屬 </t>
    </r>
    <r>
      <rPr>
        <sz val="10"/>
        <color rgb="FF000000"/>
        <rFont val="Arial"/>
        <family val="0"/>
        <charset val="1"/>
      </rPr>
      <t xml:space="preserve">F </t>
    </r>
    <r>
      <rPr>
        <sz val="10"/>
        <color rgb="FF000000"/>
        <rFont val="Noto Sans CJK SC"/>
        <family val="2"/>
      </rPr>
      <t xml:space="preserve">組（</t>
    </r>
    <r>
      <rPr>
        <sz val="10"/>
        <color rgb="FF000000"/>
        <rFont val="Arial"/>
        <family val="0"/>
        <charset val="1"/>
      </rPr>
      <t xml:space="preserve">Z1-M</t>
    </r>
    <r>
      <rPr>
        <sz val="10"/>
        <color rgb="FF000000"/>
        <rFont val="Noto Sans CJK SC"/>
        <family val="2"/>
      </rPr>
      <t xml:space="preserve">）</t>
    </r>
  </si>
  <si>
    <t xml:space="preserve">SRC_ZP_462</t>
  </si>
  <si>
    <t xml:space="preserve">rent_h20_cardhr_sep26</t>
  </si>
  <si>
    <r>
      <rPr>
        <sz val="10"/>
        <color rgb="FF000000"/>
        <rFont val="Arial"/>
        <family val="0"/>
        <charset val="1"/>
      </rPr>
      <t xml:space="preserve">H20-96G </t>
    </r>
    <r>
      <rPr>
        <sz val="10"/>
        <color rgb="FF000000"/>
        <rFont val="Noto Sans CJK SC"/>
        <family val="2"/>
      </rPr>
      <t xml:space="preserve">卡時租價（京津冀均價）</t>
    </r>
  </si>
  <si>
    <r>
      <rPr>
        <sz val="10"/>
        <color rgb="FF000000"/>
        <rFont val="Arial"/>
        <family val="0"/>
        <charset val="1"/>
      </rPr>
      <t xml:space="preserve">RMB </t>
    </r>
    <r>
      <rPr>
        <sz val="10"/>
        <color rgb="FF000000"/>
        <rFont val="Noto Sans CJK SC"/>
        <family val="2"/>
      </rPr>
      <t xml:space="preserve">元／卡／小時</t>
    </r>
  </si>
  <si>
    <r>
      <rPr>
        <sz val="10"/>
        <color rgb="FF000000"/>
        <rFont val="Noto Sans CJK SC"/>
        <family val="2"/>
      </rPr>
      <t xml:space="preserve">上海有色網 </t>
    </r>
    <r>
      <rPr>
        <sz val="10"/>
        <color rgb="FF000000"/>
        <rFont val="Arial"/>
        <family val="0"/>
        <charset val="1"/>
      </rPr>
      <t xml:space="preserve">SMM </t>
    </r>
    <r>
      <rPr>
        <sz val="10"/>
        <color rgb="FF000000"/>
        <rFont val="Noto Sans CJK SC"/>
        <family val="2"/>
      </rPr>
      <t xml:space="preserve">算力日報</t>
    </r>
  </si>
  <si>
    <t xml:space="preserve">https://news.metal.com/newscontent/104091780-smm-computing-power-daily-h20-beijing-tianjin-hebei-highest-price-rises-12-dual-track-pricing-emerges-for-domestic-server-computing-power-leasing</t>
  </si>
  <si>
    <r>
      <rPr>
        <sz val="10"/>
        <color rgb="FF000000"/>
        <rFont val="Noto Sans CJK SC"/>
        <family val="2"/>
      </rPr>
      <t xml:space="preserve">均價 </t>
    </r>
    <r>
      <rPr>
        <sz val="10"/>
        <color rgb="FF000000"/>
        <rFont val="Arial"/>
        <family val="0"/>
        <charset val="1"/>
      </rPr>
      <t xml:space="preserve">7.47</t>
    </r>
    <r>
      <rPr>
        <sz val="10"/>
        <color rgb="FF000000"/>
        <rFont val="Noto Sans CJK SC"/>
        <family val="2"/>
      </rPr>
      <t xml:space="preserve">（前 </t>
    </r>
    <r>
      <rPr>
        <sz val="10"/>
        <color rgb="FF000000"/>
        <rFont val="Arial"/>
        <family val="0"/>
        <charset val="1"/>
      </rPr>
      <t xml:space="preserve">7.03</t>
    </r>
    <r>
      <rPr>
        <sz val="10"/>
        <color rgb="FF000000"/>
        <rFont val="Noto Sans CJK SC"/>
        <family val="2"/>
      </rPr>
      <t xml:space="preserve">）、最高 </t>
    </r>
    <r>
      <rPr>
        <sz val="10"/>
        <color rgb="FF000000"/>
        <rFont val="Arial"/>
        <family val="0"/>
        <charset val="1"/>
      </rPr>
      <t xml:space="preserve">8.16</t>
    </r>
    <r>
      <rPr>
        <sz val="10"/>
        <color rgb="FF000000"/>
        <rFont val="Noto Sans CJK SC"/>
        <family val="2"/>
      </rPr>
      <t xml:space="preserve">（前 </t>
    </r>
    <r>
      <rPr>
        <sz val="10"/>
        <color rgb="FF000000"/>
        <rFont val="Arial"/>
        <family val="0"/>
        <charset val="1"/>
      </rPr>
      <t xml:space="preserve">7.29</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卡</t>
    </r>
    <r>
      <rPr>
        <sz val="10"/>
        <color rgb="FF000000"/>
        <rFont val="Arial"/>
        <family val="0"/>
        <charset val="1"/>
      </rPr>
      <t xml:space="preserve">/</t>
    </r>
    <r>
      <rPr>
        <sz val="10"/>
        <color rgb="FF000000"/>
        <rFont val="Noto Sans CJK SC"/>
        <family val="2"/>
      </rPr>
      <t xml:space="preserve">時；整機月租均 </t>
    </r>
    <r>
      <rPr>
        <sz val="10"/>
        <color rgb="FF000000"/>
        <rFont val="Arial"/>
        <family val="0"/>
        <charset val="1"/>
      </rPr>
      <t xml:space="preserve">43,000</t>
    </r>
    <r>
      <rPr>
        <sz val="10"/>
        <color rgb="FF000000"/>
        <rFont val="Noto Sans CJK SC"/>
        <family val="2"/>
      </rPr>
      <t xml:space="preserve">、最高 </t>
    </r>
    <r>
      <rPr>
        <sz val="10"/>
        <color rgb="FF000000"/>
        <rFont val="Arial"/>
        <family val="0"/>
        <charset val="1"/>
      </rPr>
      <t xml:space="preserve">47,000</t>
    </r>
  </si>
  <si>
    <t xml:space="preserve">SRC_ZP_463</t>
  </si>
  <si>
    <t xml:space="preserve">rent_h20_machmo_sep26</t>
  </si>
  <si>
    <r>
      <rPr>
        <sz val="10"/>
        <color rgb="FF000000"/>
        <rFont val="Arial"/>
        <family val="0"/>
        <charset val="1"/>
      </rPr>
      <t xml:space="preserve">H20-96G </t>
    </r>
    <r>
      <rPr>
        <sz val="10"/>
        <color rgb="FF000000"/>
        <rFont val="Noto Sans CJK SC"/>
        <family val="2"/>
      </rPr>
      <t xml:space="preserve">整機月租（京津冀均價）</t>
    </r>
  </si>
  <si>
    <r>
      <rPr>
        <sz val="10"/>
        <color rgb="FF000000"/>
        <rFont val="Arial"/>
        <family val="0"/>
        <charset val="1"/>
      </rPr>
      <t xml:space="preserve">RMB </t>
    </r>
    <r>
      <rPr>
        <sz val="10"/>
        <color rgb="FF000000"/>
        <rFont val="Noto Sans CJK SC"/>
        <family val="2"/>
      </rPr>
      <t xml:space="preserve">元／台／月</t>
    </r>
  </si>
  <si>
    <r>
      <rPr>
        <sz val="10"/>
        <color rgb="FF000000"/>
        <rFont val="Noto Sans CJK SC"/>
        <family val="2"/>
      </rPr>
      <t xml:space="preserve">均 </t>
    </r>
    <r>
      <rPr>
        <sz val="10"/>
        <color rgb="FF000000"/>
        <rFont val="Arial"/>
        <family val="0"/>
        <charset val="1"/>
      </rPr>
      <t xml:space="preserve">43,000</t>
    </r>
    <r>
      <rPr>
        <sz val="10"/>
        <color rgb="FF000000"/>
        <rFont val="Noto Sans CJK SC"/>
        <family val="2"/>
      </rPr>
      <t xml:space="preserve">（前 </t>
    </r>
    <r>
      <rPr>
        <sz val="10"/>
        <color rgb="FF000000"/>
        <rFont val="Arial"/>
        <family val="0"/>
        <charset val="1"/>
      </rPr>
      <t xml:space="preserve">40,500</t>
    </r>
    <r>
      <rPr>
        <sz val="10"/>
        <color rgb="FF000000"/>
        <rFont val="Noto Sans CJK SC"/>
        <family val="2"/>
      </rPr>
      <t xml:space="preserve">），最高 </t>
    </r>
    <r>
      <rPr>
        <sz val="10"/>
        <color rgb="FF000000"/>
        <rFont val="Arial"/>
        <family val="0"/>
        <charset val="1"/>
      </rPr>
      <t xml:space="preserve">47,000</t>
    </r>
    <r>
      <rPr>
        <sz val="10"/>
        <color rgb="FF000000"/>
        <rFont val="Noto Sans CJK SC"/>
        <family val="2"/>
      </rPr>
      <t xml:space="preserve">；與卡時價 </t>
    </r>
    <r>
      <rPr>
        <sz val="10"/>
        <color rgb="FF000000"/>
        <rFont val="Arial"/>
        <family val="0"/>
        <charset val="1"/>
      </rPr>
      <t xml:space="preserve">7.47×8 </t>
    </r>
    <r>
      <rPr>
        <sz val="10"/>
        <color rgb="FF000000"/>
        <rFont val="Noto Sans CJK SC"/>
        <family val="2"/>
      </rPr>
      <t xml:space="preserve">卡</t>
    </r>
    <r>
      <rPr>
        <sz val="10"/>
        <color rgb="FF000000"/>
        <rFont val="Arial"/>
        <family val="0"/>
        <charset val="1"/>
      </rPr>
      <t xml:space="preserve">×730h≈43,600 </t>
    </r>
    <r>
      <rPr>
        <sz val="10"/>
        <color rgb="FF000000"/>
        <rFont val="Noto Sans CJK SC"/>
        <family val="2"/>
      </rPr>
      <t xml:space="preserve">吻合，推定整機＝</t>
    </r>
    <r>
      <rPr>
        <sz val="10"/>
        <color rgb="FF000000"/>
        <rFont val="Arial"/>
        <family val="0"/>
        <charset val="1"/>
      </rPr>
      <t xml:space="preserve">8 </t>
    </r>
    <r>
      <rPr>
        <sz val="10"/>
        <color rgb="FF000000"/>
        <rFont val="Noto Sans CJK SC"/>
        <family val="2"/>
      </rPr>
      <t xml:space="preserve">卡</t>
    </r>
  </si>
  <si>
    <t xml:space="preserve">SRC_ZP_464</t>
  </si>
  <si>
    <t xml:space="preserve">rent_h20_machmo_jul26</t>
  </si>
  <si>
    <r>
      <rPr>
        <sz val="10"/>
        <color rgb="FF000000"/>
        <rFont val="Arial"/>
        <family val="0"/>
        <charset val="1"/>
      </rPr>
      <t xml:space="preserve">H20 96G </t>
    </r>
    <r>
      <rPr>
        <sz val="10"/>
        <color rgb="FF000000"/>
        <rFont val="Noto Sans CJK SC"/>
        <family val="2"/>
      </rPr>
      <t xml:space="preserve">整機月租（華東，一年約）</t>
    </r>
  </si>
  <si>
    <t xml:space="preserve">2026-07-23</t>
  </si>
  <si>
    <t xml:space="preserve">https://news.metal.com/newscontent/104021324-smm-computing-power-daily-h100-spot-rental-quotes-hit-a-new-high-of-85000-h20-and-a800-long-term-agreement-resources-ent</t>
  </si>
  <si>
    <r>
      <rPr>
        <sz val="10"/>
        <color rgb="FF000000"/>
        <rFont val="Noto Sans CJK SC"/>
        <family val="2"/>
      </rPr>
      <t xml:space="preserve">一年約 </t>
    </r>
    <r>
      <rPr>
        <sz val="10"/>
        <color rgb="FF000000"/>
        <rFont val="Arial"/>
        <family val="0"/>
        <charset val="1"/>
      </rPr>
      <t xml:space="preserve">35,000</t>
    </r>
    <r>
      <rPr>
        <sz val="10"/>
        <color rgb="FF000000"/>
        <rFont val="Noto Sans CJK SC"/>
        <family val="2"/>
      </rPr>
      <t xml:space="preserve">、三年約 </t>
    </r>
    <r>
      <rPr>
        <sz val="10"/>
        <color rgb="FF000000"/>
        <rFont val="Arial"/>
        <family val="0"/>
        <charset val="1"/>
      </rPr>
      <t xml:space="preserve">34,000</t>
    </r>
    <r>
      <rPr>
        <sz val="10"/>
        <color rgb="FF000000"/>
        <rFont val="Noto Sans CJK SC"/>
        <family val="2"/>
      </rPr>
      <t xml:space="preserve">；</t>
    </r>
    <r>
      <rPr>
        <sz val="10"/>
        <color rgb="FF000000"/>
        <rFont val="Arial"/>
        <family val="0"/>
        <charset val="1"/>
      </rPr>
      <t xml:space="preserve">H20 141G </t>
    </r>
    <r>
      <rPr>
        <sz val="10"/>
        <color rgb="FF000000"/>
        <rFont val="Noto Sans CJK SC"/>
        <family val="2"/>
      </rPr>
      <t xml:space="preserve">版 </t>
    </r>
    <r>
      <rPr>
        <sz val="10"/>
        <color rgb="FF000000"/>
        <rFont val="Arial"/>
        <family val="0"/>
        <charset val="1"/>
      </rPr>
      <t xml:space="preserve">42,000</t>
    </r>
    <r>
      <rPr>
        <sz val="10"/>
        <color rgb="FF000000"/>
        <rFont val="Noto Sans CJK SC"/>
        <family val="2"/>
      </rPr>
      <t xml:space="preserve">（年約）～</t>
    </r>
    <r>
      <rPr>
        <sz val="10"/>
        <color rgb="FF000000"/>
        <rFont val="Arial"/>
        <family val="0"/>
        <charset val="1"/>
      </rPr>
      <t xml:space="preserve">46,000</t>
    </r>
    <r>
      <rPr>
        <sz val="10"/>
        <color rgb="FF000000"/>
        <rFont val="Noto Sans CJK SC"/>
        <family val="2"/>
      </rPr>
      <t xml:space="preserve">（月租）</t>
    </r>
  </si>
  <si>
    <t xml:space="preserve">SRC_ZP_465</t>
  </si>
  <si>
    <t xml:space="preserve">rent_h800_machmo_aug26</t>
  </si>
  <si>
    <r>
      <rPr>
        <sz val="10"/>
        <color rgb="FF000000"/>
        <rFont val="Arial"/>
        <family val="0"/>
        <charset val="1"/>
      </rPr>
      <t xml:space="preserve">H800 </t>
    </r>
    <r>
      <rPr>
        <sz val="10"/>
        <color rgb="FF000000"/>
        <rFont val="Noto Sans CJK SC"/>
        <family val="2"/>
      </rPr>
      <t xml:space="preserve">月租（湖南，兩年長約）</t>
    </r>
  </si>
  <si>
    <t xml:space="preserve">2026-08-21</t>
  </si>
  <si>
    <t xml:space="preserve">https://news.metal.com/newscontent/104072164-smm-computing-power-news-h800-signed-a-2-year-long-term-agreement-at-78000-yuan-per-month-tight-spot-supply</t>
  </si>
  <si>
    <r>
      <rPr>
        <sz val="10"/>
        <color rgb="FF000000"/>
        <rFont val="Noto Sans CJK SC"/>
        <family val="2"/>
      </rPr>
      <t xml:space="preserve">原文「</t>
    </r>
    <r>
      <rPr>
        <sz val="10"/>
        <color rgb="FF000000"/>
        <rFont val="Arial"/>
        <family val="0"/>
        <charset val="1"/>
      </rPr>
      <t xml:space="preserve">78,000 yuan per unit per month on a two-year long-term agreement</t>
    </r>
    <r>
      <rPr>
        <sz val="10"/>
        <color rgb="FF000000"/>
        <rFont val="Noto Sans CJK SC"/>
        <family val="2"/>
      </rPr>
      <t xml:space="preserve">」；短租含維運 </t>
    </r>
    <r>
      <rPr>
        <sz val="10"/>
        <color rgb="FF000000"/>
        <rFont val="Arial"/>
        <family val="0"/>
        <charset val="1"/>
      </rPr>
      <t xml:space="preserve">85,000</t>
    </r>
    <r>
      <rPr>
        <sz val="10"/>
        <color rgb="FF000000"/>
        <rFont val="Noto Sans CJK SC"/>
        <family val="2"/>
      </rPr>
      <t xml:space="preserve">；</t>
    </r>
    <r>
      <rPr>
        <sz val="10"/>
        <color rgb="FF000000"/>
        <rFont val="Arial"/>
        <family val="0"/>
        <charset val="1"/>
      </rPr>
      <t xml:space="preserve">unit </t>
    </r>
    <r>
      <rPr>
        <sz val="10"/>
        <color rgb="FF000000"/>
        <rFont val="Noto Sans CJK SC"/>
        <family val="2"/>
      </rPr>
      <t xml:space="preserve">未定義（推定 </t>
    </r>
    <r>
      <rPr>
        <sz val="10"/>
        <color rgb="FF000000"/>
        <rFont val="Arial"/>
        <family val="0"/>
        <charset val="1"/>
      </rPr>
      <t xml:space="preserve">8 </t>
    </r>
    <r>
      <rPr>
        <sz val="10"/>
        <color rgb="FF000000"/>
        <rFont val="Noto Sans CJK SC"/>
        <family val="2"/>
      </rPr>
      <t xml:space="preserve">卡整機）</t>
    </r>
  </si>
  <si>
    <t xml:space="preserve">SRC_ZP_466</t>
  </si>
  <si>
    <t xml:space="preserve">rent_a800_machmo_jul26</t>
  </si>
  <si>
    <r>
      <rPr>
        <sz val="10"/>
        <color rgb="FF000000"/>
        <rFont val="Arial"/>
        <family val="0"/>
        <charset val="1"/>
      </rPr>
      <t xml:space="preserve">A800 80G </t>
    </r>
    <r>
      <rPr>
        <sz val="10"/>
        <color rgb="FF000000"/>
        <rFont val="Noto Sans CJK SC"/>
        <family val="2"/>
      </rPr>
      <t xml:space="preserve">整機月租（華中）</t>
    </r>
  </si>
  <si>
    <r>
      <rPr>
        <sz val="10"/>
        <color rgb="FF000000"/>
        <rFont val="Noto Sans CJK SC"/>
        <family val="2"/>
      </rPr>
      <t xml:space="preserve">一年約 </t>
    </r>
    <r>
      <rPr>
        <sz val="10"/>
        <color rgb="FF000000"/>
        <rFont val="Arial"/>
        <family val="0"/>
        <charset val="1"/>
      </rPr>
      <t xml:space="preserve">36,000</t>
    </r>
    <r>
      <rPr>
        <sz val="10"/>
        <color rgb="FF000000"/>
        <rFont val="Noto Sans CJK SC"/>
        <family val="2"/>
      </rPr>
      <t xml:space="preserve">、三年約 </t>
    </r>
    <r>
      <rPr>
        <sz val="10"/>
        <color rgb="FF000000"/>
        <rFont val="Arial"/>
        <family val="0"/>
        <charset val="1"/>
      </rPr>
      <t xml:space="preserve">34,000</t>
    </r>
    <r>
      <rPr>
        <sz val="10"/>
        <color rgb="FF000000"/>
        <rFont val="Noto Sans CJK SC"/>
        <family val="2"/>
      </rPr>
      <t xml:space="preserve">（</t>
    </r>
    <r>
      <rPr>
        <sz val="10"/>
        <color rgb="FF000000"/>
        <rFont val="Arial"/>
        <family val="0"/>
        <charset val="1"/>
      </rPr>
      <t xml:space="preserve">16 </t>
    </r>
    <r>
      <rPr>
        <sz val="10"/>
        <color rgb="FF000000"/>
        <rFont val="Noto Sans CJK SC"/>
        <family val="2"/>
      </rPr>
      <t xml:space="preserve">台）</t>
    </r>
  </si>
  <si>
    <t xml:space="preserve">SRC_ZP_467</t>
  </si>
  <si>
    <t xml:space="preserve">rent_h100_machmo_jul26</t>
  </si>
  <si>
    <r>
      <rPr>
        <sz val="10"/>
        <color rgb="FF000000"/>
        <rFont val="Arial"/>
        <family val="0"/>
        <charset val="1"/>
      </rPr>
      <t xml:space="preserve">H100 80G SXM </t>
    </r>
    <r>
      <rPr>
        <sz val="10"/>
        <color rgb="FF000000"/>
        <rFont val="Noto Sans CJK SC"/>
        <family val="2"/>
      </rPr>
      <t xml:space="preserve">整機月租（長三角）</t>
    </r>
  </si>
  <si>
    <r>
      <rPr>
        <sz val="10"/>
        <color rgb="FF000000"/>
        <rFont val="Noto Sans CJK SC"/>
        <family val="2"/>
      </rPr>
      <t xml:space="preserve">短租 </t>
    </r>
    <r>
      <rPr>
        <sz val="10"/>
        <color rgb="FF000000"/>
        <rFont val="Arial"/>
        <family val="0"/>
        <charset val="1"/>
      </rPr>
      <t xml:space="preserve">85,000</t>
    </r>
    <r>
      <rPr>
        <sz val="10"/>
        <color rgb="FF000000"/>
        <rFont val="Noto Sans CJK SC"/>
        <family val="2"/>
      </rPr>
      <t xml:space="preserve">（新高）、一年以上 </t>
    </r>
    <r>
      <rPr>
        <sz val="10"/>
        <color rgb="FF000000"/>
        <rFont val="Arial"/>
        <family val="0"/>
        <charset val="1"/>
      </rPr>
      <t xml:space="preserve">80,000</t>
    </r>
    <r>
      <rPr>
        <sz val="10"/>
        <color rgb="FF000000"/>
        <rFont val="Noto Sans CJK SC"/>
        <family val="2"/>
      </rPr>
      <t xml:space="preserve">；前主流 </t>
    </r>
    <r>
      <rPr>
        <sz val="10"/>
        <color rgb="FF000000"/>
        <rFont val="Arial"/>
        <family val="0"/>
        <charset val="1"/>
      </rPr>
      <t xml:space="preserve">75,000–80,000</t>
    </r>
    <r>
      <rPr>
        <sz val="10"/>
        <color rgb="FF000000"/>
        <rFont val="Noto Sans CJK SC"/>
        <family val="2"/>
      </rPr>
      <t xml:space="preserve">；表頭為 </t>
    </r>
    <r>
      <rPr>
        <sz val="10"/>
        <color rgb="FF000000"/>
        <rFont val="Arial"/>
        <family val="0"/>
        <charset val="1"/>
      </rPr>
      <t xml:space="preserve">per 8-card server</t>
    </r>
  </si>
  <si>
    <t xml:space="preserve">SRC_ZP_468</t>
  </si>
  <si>
    <t xml:space="preserve">rent_910b4_mo_aug26</t>
  </si>
  <si>
    <r>
      <rPr>
        <sz val="10"/>
        <color rgb="FF000000"/>
        <rFont val="Noto Sans CJK SC"/>
        <family val="2"/>
      </rPr>
      <t xml:space="preserve">昇騰 </t>
    </r>
    <r>
      <rPr>
        <sz val="10"/>
        <color rgb="FF000000"/>
        <rFont val="Arial"/>
        <family val="0"/>
        <charset val="1"/>
      </rPr>
      <t xml:space="preserve">910B4 </t>
    </r>
    <r>
      <rPr>
        <sz val="10"/>
        <color rgb="FF000000"/>
        <rFont val="Noto Sans CJK SC"/>
        <family val="2"/>
      </rPr>
      <t xml:space="preserve">月租（西南）</t>
    </r>
  </si>
  <si>
    <r>
      <rPr>
        <sz val="10"/>
        <color rgb="FF000000"/>
        <rFont val="Arial"/>
        <family val="0"/>
        <charset val="1"/>
      </rPr>
      <t xml:space="preserve">RMB </t>
    </r>
    <r>
      <rPr>
        <sz val="10"/>
        <color rgb="FF000000"/>
        <rFont val="Noto Sans CJK SC"/>
        <family val="2"/>
      </rPr>
      <t xml:space="preserve">元／</t>
    </r>
    <r>
      <rPr>
        <sz val="10"/>
        <color rgb="FF000000"/>
        <rFont val="Arial"/>
        <family val="0"/>
        <charset val="1"/>
      </rPr>
      <t xml:space="preserve">unit</t>
    </r>
    <r>
      <rPr>
        <sz val="10"/>
        <color rgb="FF000000"/>
        <rFont val="Noto Sans CJK SC"/>
        <family val="2"/>
      </rPr>
      <t xml:space="preserve">／月</t>
    </r>
  </si>
  <si>
    <t xml:space="preserve">https://news.metal.com/newscontent/104082769-smm-computing-power-midday-review-market-overall-sideways-domestic-computing-power-rental-and-procurement-prices-emerge</t>
  </si>
  <si>
    <r>
      <rPr>
        <sz val="10"/>
        <color rgb="FF000000"/>
        <rFont val="Noto Sans CJK SC"/>
        <family val="2"/>
      </rPr>
      <t xml:space="preserve">原文「</t>
    </r>
    <r>
      <rPr>
        <sz val="10"/>
        <color rgb="FF000000"/>
        <rFont val="Arial"/>
        <family val="0"/>
        <charset val="1"/>
      </rPr>
      <t xml:space="preserve">monthly rental quote for the 910B was 16,000 yuan per unit per month</t>
    </r>
    <r>
      <rPr>
        <sz val="10"/>
        <color rgb="FF000000"/>
        <rFont val="Noto Sans CJK SC"/>
        <family val="2"/>
      </rPr>
      <t xml:space="preserve">」，未定義 </t>
    </r>
    <r>
      <rPr>
        <sz val="10"/>
        <color rgb="FF000000"/>
        <rFont val="Arial"/>
        <family val="0"/>
        <charset val="1"/>
      </rPr>
      <t xml:space="preserve">unit</t>
    </r>
    <r>
      <rPr>
        <sz val="10"/>
        <color rgb="FF000000"/>
        <rFont val="Noto Sans CJK SC"/>
        <family val="2"/>
      </rPr>
      <t xml:space="preserve">（卡或 </t>
    </r>
    <r>
      <rPr>
        <sz val="10"/>
        <color rgb="FF000000"/>
        <rFont val="Arial"/>
        <family val="0"/>
        <charset val="1"/>
      </rPr>
      <t xml:space="preserve">8 </t>
    </r>
    <r>
      <rPr>
        <sz val="10"/>
        <color rgb="FF000000"/>
        <rFont val="Noto Sans CJK SC"/>
        <family val="2"/>
      </rPr>
      <t xml:space="preserve">卡整機）；華東一年全包 </t>
    </r>
    <r>
      <rPr>
        <sz val="10"/>
        <color rgb="FF000000"/>
        <rFont val="Arial"/>
        <family val="0"/>
        <charset val="1"/>
      </rPr>
      <t xml:space="preserve">15,000</t>
    </r>
    <r>
      <rPr>
        <sz val="10"/>
        <color rgb="FF000000"/>
        <rFont val="Noto Sans CJK SC"/>
        <family val="2"/>
      </rPr>
      <t xml:space="preserve">；</t>
    </r>
    <r>
      <rPr>
        <sz val="10"/>
        <color rgb="FF000000"/>
        <rFont val="Arial"/>
        <family val="0"/>
        <charset val="1"/>
      </rPr>
      <t xml:space="preserve">910B4 </t>
    </r>
    <r>
      <rPr>
        <sz val="10"/>
        <color rgb="FF000000"/>
        <rFont val="Noto Sans CJK SC"/>
        <family val="2"/>
      </rPr>
      <t xml:space="preserve">八卡整機採購約 </t>
    </r>
    <r>
      <rPr>
        <sz val="10"/>
        <color rgb="FF000000"/>
        <rFont val="Arial"/>
        <family val="0"/>
        <charset val="1"/>
      </rPr>
      <t xml:space="preserve">76 </t>
    </r>
    <r>
      <rPr>
        <sz val="10"/>
        <color rgb="FF000000"/>
        <rFont val="Noto Sans CJK SC"/>
        <family val="2"/>
      </rPr>
      <t xml:space="preserve">萬元</t>
    </r>
  </si>
  <si>
    <t xml:space="preserve">SRC_ZP_469</t>
  </si>
  <si>
    <t xml:space="preserve">rent_910b3_mo_sep26</t>
  </si>
  <si>
    <r>
      <rPr>
        <sz val="10"/>
        <color rgb="FF000000"/>
        <rFont val="Noto Sans CJK SC"/>
        <family val="2"/>
      </rPr>
      <t xml:space="preserve">昇騰 </t>
    </r>
    <r>
      <rPr>
        <sz val="10"/>
        <color rgb="FF000000"/>
        <rFont val="Arial"/>
        <family val="0"/>
        <charset val="1"/>
      </rPr>
      <t xml:space="preserve">910B3 </t>
    </r>
    <r>
      <rPr>
        <sz val="10"/>
        <color rgb="FF000000"/>
        <rFont val="Noto Sans CJK SC"/>
        <family val="2"/>
      </rPr>
      <t xml:space="preserve">月租（線上雲）</t>
    </r>
  </si>
  <si>
    <t xml:space="preserve">2026-09-07</t>
  </si>
  <si>
    <t xml:space="preserve">https://news.metal.com/newscontent/104099764-smm-computing-power-flash-30-units-of-910b3-available-for-online-rental-at-16000-yuan-3000-yuan-lower-than-relocatable-units</t>
  </si>
  <si>
    <r>
      <rPr>
        <sz val="10"/>
        <color rgb="FF000000"/>
        <rFont val="Noto Sans CJK SC"/>
        <family val="2"/>
      </rPr>
      <t xml:space="preserve">線上 </t>
    </r>
    <r>
      <rPr>
        <sz val="10"/>
        <color rgb="FF000000"/>
        <rFont val="Arial"/>
        <family val="0"/>
        <charset val="1"/>
      </rPr>
      <t xml:space="preserve">16,000</t>
    </r>
    <r>
      <rPr>
        <sz val="10"/>
        <color rgb="FF000000"/>
        <rFont val="Noto Sans CJK SC"/>
        <family val="2"/>
      </rPr>
      <t xml:space="preserve">、華東可搬遷 </t>
    </r>
    <r>
      <rPr>
        <sz val="10"/>
        <color rgb="FF000000"/>
        <rFont val="Arial"/>
        <family val="0"/>
        <charset val="1"/>
      </rPr>
      <t xml:space="preserve">19,000</t>
    </r>
    <r>
      <rPr>
        <sz val="10"/>
        <color rgb="FF000000"/>
        <rFont val="Noto Sans CJK SC"/>
        <family val="2"/>
      </rPr>
      <t xml:space="preserve">；</t>
    </r>
    <r>
      <rPr>
        <sz val="10"/>
        <color rgb="FF000000"/>
        <rFont val="Arial"/>
        <family val="0"/>
        <charset val="1"/>
      </rPr>
      <t xml:space="preserve">910B2 </t>
    </r>
    <r>
      <rPr>
        <sz val="10"/>
        <color rgb="FF000000"/>
        <rFont val="Noto Sans CJK SC"/>
        <family val="2"/>
      </rPr>
      <t xml:space="preserve">線上 </t>
    </r>
    <r>
      <rPr>
        <sz val="10"/>
        <color rgb="FF000000"/>
        <rFont val="Arial"/>
        <family val="0"/>
        <charset val="1"/>
      </rPr>
      <t xml:space="preserve">17,000</t>
    </r>
    <r>
      <rPr>
        <sz val="10"/>
        <color rgb="FF000000"/>
        <rFont val="Noto Sans CJK SC"/>
        <family val="2"/>
      </rPr>
      <t xml:space="preserve">；</t>
    </r>
    <r>
      <rPr>
        <sz val="10"/>
        <color rgb="FF000000"/>
        <rFont val="Arial"/>
        <family val="0"/>
        <charset val="1"/>
      </rPr>
      <t xml:space="preserve">unit </t>
    </r>
    <r>
      <rPr>
        <sz val="10"/>
        <color rgb="FF000000"/>
        <rFont val="Noto Sans CJK SC"/>
        <family val="2"/>
      </rPr>
      <t xml:space="preserve">未定義</t>
    </r>
  </si>
  <si>
    <t xml:space="preserve">SRC_ZP_470</t>
  </si>
  <si>
    <t xml:space="preserve">rent_910b2_mo_aug26</t>
  </si>
  <si>
    <r>
      <rPr>
        <sz val="10"/>
        <color rgb="FF000000"/>
        <rFont val="Noto Sans CJK SC"/>
        <family val="2"/>
      </rPr>
      <t xml:space="preserve">昇騰 </t>
    </r>
    <r>
      <rPr>
        <sz val="10"/>
        <color rgb="FF000000"/>
        <rFont val="Arial"/>
        <family val="0"/>
        <charset val="1"/>
      </rPr>
      <t xml:space="preserve">910B2 </t>
    </r>
    <r>
      <rPr>
        <sz val="10"/>
        <color rgb="FF000000"/>
        <rFont val="Noto Sans CJK SC"/>
        <family val="2"/>
      </rPr>
      <t xml:space="preserve">月租（華東）</t>
    </r>
  </si>
  <si>
    <t xml:space="preserve">https://news.metal.com/newscontent/104088520-smm-computing-power-flash-ascend-910b-rental-demand-heats-up-preference-for-910b3-or-higher-specifications</t>
  </si>
  <si>
    <r>
      <rPr>
        <sz val="10"/>
        <color rgb="FF000000"/>
        <rFont val="Noto Sans CJK SC"/>
        <family val="2"/>
      </rPr>
      <t xml:space="preserve">原文「</t>
    </r>
    <r>
      <rPr>
        <sz val="10"/>
        <color rgb="FF000000"/>
        <rFont val="Arial"/>
        <family val="0"/>
        <charset val="1"/>
      </rPr>
      <t xml:space="preserve">910B2 monthly rentals at 12,000 yuan in east China</t>
    </r>
    <r>
      <rPr>
        <sz val="10"/>
        <color rgb="FF000000"/>
        <rFont val="Noto Sans CJK SC"/>
        <family val="2"/>
      </rPr>
      <t xml:space="preserve">」；合約常見「兩年固定加一年開放」；</t>
    </r>
    <r>
      <rPr>
        <sz val="10"/>
        <color rgb="FF000000"/>
        <rFont val="Arial"/>
        <family val="0"/>
        <charset val="1"/>
      </rPr>
      <t xml:space="preserve">unit </t>
    </r>
    <r>
      <rPr>
        <sz val="10"/>
        <color rgb="FF000000"/>
        <rFont val="Noto Sans CJK SC"/>
        <family val="2"/>
      </rPr>
      <t xml:space="preserve">未定義</t>
    </r>
  </si>
  <si>
    <t xml:space="preserve">SRC_ZP_471</t>
  </si>
  <si>
    <t xml:space="preserve">rent_910b_8card_mo_may26</t>
  </si>
  <si>
    <r>
      <rPr>
        <sz val="10"/>
        <color rgb="FF000000"/>
        <rFont val="Noto Sans CJK SC"/>
        <family val="2"/>
      </rPr>
      <t xml:space="preserve">昇騰 </t>
    </r>
    <r>
      <rPr>
        <sz val="10"/>
        <color rgb="FF000000"/>
        <rFont val="Arial"/>
        <family val="0"/>
        <charset val="1"/>
      </rPr>
      <t xml:space="preserve">910B </t>
    </r>
    <r>
      <rPr>
        <sz val="10"/>
        <color rgb="FF000000"/>
        <rFont val="Noto Sans CJK SC"/>
        <family val="2"/>
      </rPr>
      <t xml:space="preserve">八卡月租（智星雲）</t>
    </r>
  </si>
  <si>
    <r>
      <rPr>
        <sz val="10"/>
        <color rgb="FF000000"/>
        <rFont val="Arial"/>
        <family val="0"/>
        <charset val="1"/>
      </rPr>
      <t xml:space="preserve">RMB </t>
    </r>
    <r>
      <rPr>
        <sz val="10"/>
        <color rgb="FF000000"/>
        <rFont val="Noto Sans CJK SC"/>
        <family val="2"/>
      </rPr>
      <t xml:space="preserve">元／</t>
    </r>
    <r>
      <rPr>
        <sz val="10"/>
        <color rgb="FF000000"/>
        <rFont val="Arial"/>
        <family val="0"/>
        <charset val="1"/>
      </rPr>
      <t xml:space="preserve">8 </t>
    </r>
    <r>
      <rPr>
        <sz val="10"/>
        <color rgb="FF000000"/>
        <rFont val="Noto Sans CJK SC"/>
        <family val="2"/>
      </rPr>
      <t xml:space="preserve">卡／月</t>
    </r>
  </si>
  <si>
    <t xml:space="preserve">2026-05-12</t>
  </si>
  <si>
    <r>
      <rPr>
        <sz val="10"/>
        <color rgb="FF000000"/>
        <rFont val="Arial"/>
        <family val="0"/>
        <charset val="1"/>
      </rPr>
      <t xml:space="preserve">AtomGit</t>
    </r>
    <r>
      <rPr>
        <sz val="10"/>
        <color rgb="FF000000"/>
        <rFont val="Noto Sans CJK SC"/>
        <family val="2"/>
      </rPr>
      <t xml:space="preserve">／</t>
    </r>
    <r>
      <rPr>
        <sz val="10"/>
        <color rgb="FF000000"/>
        <rFont val="Arial"/>
        <family val="0"/>
        <charset val="1"/>
      </rPr>
      <t xml:space="preserve">CSDN</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怎麼租到高性價比 </t>
    </r>
    <r>
      <rPr>
        <sz val="10"/>
        <color rgb="FF000000"/>
        <rFont val="Arial"/>
        <family val="0"/>
        <charset val="1"/>
      </rPr>
      <t xml:space="preserve">GPU </t>
    </r>
    <r>
      <rPr>
        <sz val="10"/>
        <color rgb="FF000000"/>
        <rFont val="Noto Sans CJK SC"/>
        <family val="2"/>
      </rPr>
      <t xml:space="preserve">算力〉</t>
    </r>
  </si>
  <si>
    <t xml:space="preserve">https://gitcode.csdn.net/6a02e16154b52172bc73777e.html</t>
  </si>
  <si>
    <r>
      <rPr>
        <sz val="10"/>
        <color rgb="FF000000"/>
        <rFont val="Noto Sans CJK SC"/>
        <family val="2"/>
      </rPr>
      <t xml:space="preserve">表列昇騰 </t>
    </r>
    <r>
      <rPr>
        <sz val="10"/>
        <color rgb="FF000000"/>
        <rFont val="Arial"/>
        <family val="0"/>
        <charset val="1"/>
      </rPr>
      <t xml:space="preserve">910B </t>
    </r>
    <r>
      <rPr>
        <sz val="10"/>
        <color rgb="FF000000"/>
        <rFont val="Noto Sans CJK SC"/>
        <family val="2"/>
      </rPr>
      <t xml:space="preserve">八卡配置月租 </t>
    </r>
    <r>
      <rPr>
        <sz val="10"/>
        <color rgb="FF000000"/>
        <rFont val="Arial"/>
        <family val="0"/>
        <charset val="1"/>
      </rPr>
      <t xml:space="preserve">25,000</t>
    </r>
    <r>
      <rPr>
        <sz val="10"/>
        <color rgb="FF000000"/>
        <rFont val="Noto Sans CJK SC"/>
        <family val="2"/>
      </rPr>
      <t xml:space="preserve">；與 </t>
    </r>
    <r>
      <rPr>
        <sz val="10"/>
        <color rgb="FF000000"/>
        <rFont val="Arial"/>
        <family val="0"/>
        <charset val="1"/>
      </rPr>
      <t xml:space="preserve">SMM 16,000 </t>
    </r>
    <r>
      <rPr>
        <sz val="10"/>
        <color rgb="FF000000"/>
        <rFont val="Noto Sans CJK SC"/>
        <family val="2"/>
      </rPr>
      <t xml:space="preserve">矛盾（若 </t>
    </r>
    <r>
      <rPr>
        <sz val="10"/>
        <color rgb="FF000000"/>
        <rFont val="Arial"/>
        <family val="0"/>
        <charset val="1"/>
      </rPr>
      <t xml:space="preserve">SMM unit</t>
    </r>
    <r>
      <rPr>
        <sz val="10"/>
        <color rgb="FF000000"/>
        <rFont val="Noto Sans CJK SC"/>
        <family val="2"/>
      </rPr>
      <t xml:space="preserve">＝</t>
    </r>
    <r>
      <rPr>
        <sz val="10"/>
        <color rgb="FF000000"/>
        <rFont val="Arial"/>
        <family val="0"/>
        <charset val="1"/>
      </rPr>
      <t xml:space="preserve">8 </t>
    </r>
    <r>
      <rPr>
        <sz val="10"/>
        <color rgb="FF000000"/>
        <rFont val="Noto Sans CJK SC"/>
        <family val="2"/>
      </rPr>
      <t xml:space="preserve">卡）</t>
    </r>
  </si>
  <si>
    <t xml:space="preserve">SRC_ZP_472</t>
  </si>
  <si>
    <t xml:space="preserve">rent_h800_cardhr_aliyun</t>
  </si>
  <si>
    <r>
      <rPr>
        <sz val="10"/>
        <color rgb="FF000000"/>
        <rFont val="Arial"/>
        <family val="0"/>
        <charset val="1"/>
      </rPr>
      <t xml:space="preserve">H800 80G </t>
    </r>
    <r>
      <rPr>
        <sz val="10"/>
        <color rgb="FF000000"/>
        <rFont val="Noto Sans CJK SC"/>
        <family val="2"/>
      </rPr>
      <t xml:space="preserve">單卡時租（阿里雲）</t>
    </r>
  </si>
  <si>
    <r>
      <rPr>
        <sz val="10"/>
        <color rgb="FF000000"/>
        <rFont val="Noto Sans CJK SC"/>
        <family val="2"/>
      </rPr>
      <t xml:space="preserve">表列阿里雲 </t>
    </r>
    <r>
      <rPr>
        <sz val="10"/>
        <color rgb="FF000000"/>
        <rFont val="Arial"/>
        <family val="0"/>
        <charset val="1"/>
      </rPr>
      <t xml:space="preserve">H800 </t>
    </r>
    <r>
      <rPr>
        <sz val="10"/>
        <color rgb="FF000000"/>
        <rFont val="Noto Sans CJK SC"/>
        <family val="2"/>
      </rPr>
      <t xml:space="preserve">時租 </t>
    </r>
    <r>
      <rPr>
        <sz val="10"/>
        <color rgb="FF000000"/>
        <rFont val="Arial"/>
        <family val="0"/>
        <charset val="1"/>
      </rPr>
      <t xml:space="preserve">18.75</t>
    </r>
    <r>
      <rPr>
        <sz val="10"/>
        <color rgb="FF000000"/>
        <rFont val="Noto Sans CJK SC"/>
        <family val="2"/>
      </rPr>
      <t xml:space="preserve">、月約 </t>
    </r>
    <r>
      <rPr>
        <sz val="10"/>
        <color rgb="FF000000"/>
        <rFont val="Arial"/>
        <family val="0"/>
        <charset val="1"/>
      </rPr>
      <t xml:space="preserve">13,500</t>
    </r>
    <r>
      <rPr>
        <sz val="10"/>
        <color rgb="FF000000"/>
        <rFont val="Noto Sans CJK SC"/>
        <family val="2"/>
      </rPr>
      <t xml:space="preserve">；圖靈小鎮 </t>
    </r>
    <r>
      <rPr>
        <sz val="10"/>
        <color rgb="FF000000"/>
        <rFont val="Arial"/>
        <family val="0"/>
        <charset val="1"/>
      </rPr>
      <t xml:space="preserve">11.83</t>
    </r>
    <r>
      <rPr>
        <sz val="10"/>
        <color rgb="FF000000"/>
        <rFont val="Noto Sans CJK SC"/>
        <family val="2"/>
      </rPr>
      <t xml:space="preserve">／月約 </t>
    </r>
    <r>
      <rPr>
        <sz val="10"/>
        <color rgb="FF000000"/>
        <rFont val="Arial"/>
        <family val="0"/>
        <charset val="1"/>
      </rPr>
      <t xml:space="preserve">8,518</t>
    </r>
  </si>
  <si>
    <t xml:space="preserve">SRC_ZP_473</t>
  </si>
  <si>
    <t xml:space="preserve">rent_h800_cardhr_turing_b</t>
  </si>
  <si>
    <r>
      <rPr>
        <sz val="10"/>
        <color rgb="FF000000"/>
        <rFont val="Arial"/>
        <family val="0"/>
        <charset val="1"/>
      </rPr>
      <t xml:space="preserve">H800 80G </t>
    </r>
    <r>
      <rPr>
        <sz val="10"/>
        <color rgb="FF000000"/>
        <rFont val="Noto Sans CJK SC"/>
        <family val="2"/>
      </rPr>
      <t xml:space="preserve">單卡時租（圖靈小鎮）</t>
    </r>
  </si>
  <si>
    <t xml:space="preserve">SRC_ZP_474</t>
  </si>
  <si>
    <t xml:space="preserve">rent_h800_cardhr_derived</t>
  </si>
  <si>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SMM </t>
    </r>
    <r>
      <rPr>
        <sz val="10"/>
        <color rgb="FF000000"/>
        <rFont val="Noto Sans CJK SC"/>
        <family val="2"/>
      </rPr>
      <t xml:space="preserve">兩年約） 折算卡時價</t>
    </r>
  </si>
  <si>
    <r>
      <rPr>
        <sz val="10"/>
        <color rgb="FF000000"/>
        <rFont val="Arial"/>
        <family val="0"/>
        <charset val="1"/>
      </rPr>
      <t xml:space="preserve">2026-07</t>
    </r>
    <r>
      <rPr>
        <sz val="10"/>
        <color rgb="FF000000"/>
        <rFont val="Noto Sans CJK SC"/>
        <family val="2"/>
      </rPr>
      <t xml:space="preserve">～</t>
    </r>
    <r>
      <rPr>
        <sz val="10"/>
        <color rgb="FF000000"/>
        <rFont val="Arial"/>
        <family val="0"/>
        <charset val="1"/>
      </rPr>
      <t xml:space="preserve">09</t>
    </r>
  </si>
  <si>
    <r>
      <rPr>
        <sz val="10"/>
        <color rgb="FF000000"/>
        <rFont val="Noto Sans CJK SC"/>
        <family val="2"/>
      </rPr>
      <t xml:space="preserve">由 </t>
    </r>
    <r>
      <rPr>
        <sz val="10"/>
        <color rgb="FF000000"/>
        <rFont val="Arial"/>
        <family val="0"/>
        <charset val="1"/>
      </rPr>
      <t xml:space="preserve">rent_h800_machmo_aug26 ÷ 8 </t>
    </r>
    <r>
      <rPr>
        <sz val="10"/>
        <color rgb="FF000000"/>
        <rFont val="Noto Sans CJK SC"/>
        <family val="2"/>
      </rPr>
      <t xml:space="preserve">卡 </t>
    </r>
    <r>
      <rPr>
        <sz val="10"/>
        <color rgb="FF000000"/>
        <rFont val="Arial"/>
        <family val="0"/>
        <charset val="1"/>
      </rPr>
      <t xml:space="preserve">÷ 730 </t>
    </r>
    <r>
      <rPr>
        <sz val="10"/>
        <color rgb="FF000000"/>
        <rFont val="Noto Sans CJK SC"/>
        <family val="2"/>
      </rPr>
      <t xml:space="preserve">小時</t>
    </r>
  </si>
  <si>
    <t xml:space="preserve">https://news.metal.com/</t>
  </si>
  <si>
    <r>
      <rPr>
        <sz val="10"/>
        <color rgb="FF000000"/>
        <rFont val="Arial"/>
        <family val="0"/>
        <charset val="1"/>
      </rPr>
      <t xml:space="preserve">78000÷8÷730</t>
    </r>
    <r>
      <rPr>
        <sz val="10"/>
        <color rgb="FF000000"/>
        <rFont val="Noto Sans CJK SC"/>
        <family val="2"/>
      </rPr>
      <t xml:space="preserve">＝</t>
    </r>
    <r>
      <rPr>
        <sz val="10"/>
        <color rgb="FF000000"/>
        <rFont val="Arial"/>
        <family val="0"/>
        <charset val="1"/>
      </rPr>
      <t xml:space="preserve">13.36</t>
    </r>
    <r>
      <rPr>
        <sz val="10"/>
        <color rgb="FF000000"/>
        <rFont val="Noto Sans CJK SC"/>
        <family val="2"/>
      </rPr>
      <t xml:space="preserve">；假設整機 </t>
    </r>
    <r>
      <rPr>
        <sz val="10"/>
        <color rgb="FF000000"/>
        <rFont val="Arial"/>
        <family val="0"/>
        <charset val="1"/>
      </rPr>
      <t xml:space="preserve">8 </t>
    </r>
    <r>
      <rPr>
        <sz val="10"/>
        <color rgb="FF000000"/>
        <rFont val="Noto Sans CJK SC"/>
        <family val="2"/>
      </rPr>
      <t xml:space="preserve">卡、每月 </t>
    </r>
    <r>
      <rPr>
        <sz val="10"/>
        <color rgb="FF000000"/>
        <rFont val="Arial"/>
        <family val="0"/>
        <charset val="1"/>
      </rPr>
      <t xml:space="preserve">730 </t>
    </r>
    <r>
      <rPr>
        <sz val="10"/>
        <color rgb="FF000000"/>
        <rFont val="Noto Sans CJK SC"/>
        <family val="2"/>
      </rPr>
      <t xml:space="preserve">小時、全月計費</t>
    </r>
  </si>
  <si>
    <t xml:space="preserve">SRC_ZP_475</t>
  </si>
  <si>
    <t xml:space="preserve">rent_a800_cardhr_derived</t>
  </si>
  <si>
    <r>
      <rPr>
        <sz val="10"/>
        <color rgb="FF000000"/>
        <rFont val="Arial"/>
        <family val="0"/>
        <charset val="1"/>
      </rPr>
      <t xml:space="preserve">A800</t>
    </r>
    <r>
      <rPr>
        <sz val="10"/>
        <color rgb="FF000000"/>
        <rFont val="Noto Sans CJK SC"/>
        <family val="2"/>
      </rPr>
      <t xml:space="preserve">（</t>
    </r>
    <r>
      <rPr>
        <sz val="10"/>
        <color rgb="FF000000"/>
        <rFont val="Arial"/>
        <family val="0"/>
        <charset val="1"/>
      </rPr>
      <t xml:space="preserve">SMM </t>
    </r>
    <r>
      <rPr>
        <sz val="10"/>
        <color rgb="FF000000"/>
        <rFont val="Noto Sans CJK SC"/>
        <family val="2"/>
      </rPr>
      <t xml:space="preserve">一年約） 折算卡時價</t>
    </r>
  </si>
  <si>
    <r>
      <rPr>
        <sz val="10"/>
        <color rgb="FF000000"/>
        <rFont val="Noto Sans CJK SC"/>
        <family val="2"/>
      </rPr>
      <t xml:space="preserve">由 </t>
    </r>
    <r>
      <rPr>
        <sz val="10"/>
        <color rgb="FF000000"/>
        <rFont val="Arial"/>
        <family val="0"/>
        <charset val="1"/>
      </rPr>
      <t xml:space="preserve">rent_a800_machmo_jul26 ÷ 8 </t>
    </r>
    <r>
      <rPr>
        <sz val="10"/>
        <color rgb="FF000000"/>
        <rFont val="Noto Sans CJK SC"/>
        <family val="2"/>
      </rPr>
      <t xml:space="preserve">卡 </t>
    </r>
    <r>
      <rPr>
        <sz val="10"/>
        <color rgb="FF000000"/>
        <rFont val="Arial"/>
        <family val="0"/>
        <charset val="1"/>
      </rPr>
      <t xml:space="preserve">÷ 730 </t>
    </r>
    <r>
      <rPr>
        <sz val="10"/>
        <color rgb="FF000000"/>
        <rFont val="Noto Sans CJK SC"/>
        <family val="2"/>
      </rPr>
      <t xml:space="preserve">小時</t>
    </r>
  </si>
  <si>
    <r>
      <rPr>
        <sz val="10"/>
        <color rgb="FF000000"/>
        <rFont val="Arial"/>
        <family val="0"/>
        <charset val="1"/>
      </rPr>
      <t xml:space="preserve">36000÷8÷730</t>
    </r>
    <r>
      <rPr>
        <sz val="10"/>
        <color rgb="FF000000"/>
        <rFont val="Noto Sans CJK SC"/>
        <family val="2"/>
      </rPr>
      <t xml:space="preserve">＝</t>
    </r>
    <r>
      <rPr>
        <sz val="10"/>
        <color rgb="FF000000"/>
        <rFont val="Arial"/>
        <family val="0"/>
        <charset val="1"/>
      </rPr>
      <t xml:space="preserve">6.16</t>
    </r>
    <r>
      <rPr>
        <sz val="10"/>
        <color rgb="FF000000"/>
        <rFont val="Noto Sans CJK SC"/>
        <family val="2"/>
      </rPr>
      <t xml:space="preserve">；假設整機 </t>
    </r>
    <r>
      <rPr>
        <sz val="10"/>
        <color rgb="FF000000"/>
        <rFont val="Arial"/>
        <family val="0"/>
        <charset val="1"/>
      </rPr>
      <t xml:space="preserve">8 </t>
    </r>
    <r>
      <rPr>
        <sz val="10"/>
        <color rgb="FF000000"/>
        <rFont val="Noto Sans CJK SC"/>
        <family val="2"/>
      </rPr>
      <t xml:space="preserve">卡、每月 </t>
    </r>
    <r>
      <rPr>
        <sz val="10"/>
        <color rgb="FF000000"/>
        <rFont val="Arial"/>
        <family val="0"/>
        <charset val="1"/>
      </rPr>
      <t xml:space="preserve">730 </t>
    </r>
    <r>
      <rPr>
        <sz val="10"/>
        <color rgb="FF000000"/>
        <rFont val="Noto Sans CJK SC"/>
        <family val="2"/>
      </rPr>
      <t xml:space="preserve">小時、全月計費</t>
    </r>
  </si>
  <si>
    <t xml:space="preserve">SRC_ZP_476</t>
  </si>
  <si>
    <t xml:space="preserve">rent_h100_cardhr_derived</t>
  </si>
  <si>
    <r>
      <rPr>
        <sz val="10"/>
        <color rgb="FF000000"/>
        <rFont val="Arial"/>
        <family val="0"/>
        <charset val="1"/>
      </rPr>
      <t xml:space="preserve">H100</t>
    </r>
    <r>
      <rPr>
        <sz val="10"/>
        <color rgb="FF000000"/>
        <rFont val="Noto Sans CJK SC"/>
        <family val="2"/>
      </rPr>
      <t xml:space="preserve">（</t>
    </r>
    <r>
      <rPr>
        <sz val="10"/>
        <color rgb="FF000000"/>
        <rFont val="Arial"/>
        <family val="0"/>
        <charset val="1"/>
      </rPr>
      <t xml:space="preserve">SMM </t>
    </r>
    <r>
      <rPr>
        <sz val="10"/>
        <color rgb="FF000000"/>
        <rFont val="Noto Sans CJK SC"/>
        <family val="2"/>
      </rPr>
      <t xml:space="preserve">一年以上） 折算卡時價</t>
    </r>
  </si>
  <si>
    <r>
      <rPr>
        <sz val="10"/>
        <color rgb="FF000000"/>
        <rFont val="Noto Sans CJK SC"/>
        <family val="2"/>
      </rPr>
      <t xml:space="preserve">由 </t>
    </r>
    <r>
      <rPr>
        <sz val="10"/>
        <color rgb="FF000000"/>
        <rFont val="Arial"/>
        <family val="0"/>
        <charset val="1"/>
      </rPr>
      <t xml:space="preserve">rent_h100_machmo_jul26 ÷ 8 </t>
    </r>
    <r>
      <rPr>
        <sz val="10"/>
        <color rgb="FF000000"/>
        <rFont val="Noto Sans CJK SC"/>
        <family val="2"/>
      </rPr>
      <t xml:space="preserve">卡 </t>
    </r>
    <r>
      <rPr>
        <sz val="10"/>
        <color rgb="FF000000"/>
        <rFont val="Arial"/>
        <family val="0"/>
        <charset val="1"/>
      </rPr>
      <t xml:space="preserve">÷ 730 </t>
    </r>
    <r>
      <rPr>
        <sz val="10"/>
        <color rgb="FF000000"/>
        <rFont val="Noto Sans CJK SC"/>
        <family val="2"/>
      </rPr>
      <t xml:space="preserve">小時</t>
    </r>
  </si>
  <si>
    <r>
      <rPr>
        <sz val="10"/>
        <color rgb="FF000000"/>
        <rFont val="Arial"/>
        <family val="0"/>
        <charset val="1"/>
      </rPr>
      <t xml:space="preserve">80000÷8÷730</t>
    </r>
    <r>
      <rPr>
        <sz val="10"/>
        <color rgb="FF000000"/>
        <rFont val="Noto Sans CJK SC"/>
        <family val="2"/>
      </rPr>
      <t xml:space="preserve">＝</t>
    </r>
    <r>
      <rPr>
        <sz val="10"/>
        <color rgb="FF000000"/>
        <rFont val="Arial"/>
        <family val="0"/>
        <charset val="1"/>
      </rPr>
      <t xml:space="preserve">13.7</t>
    </r>
    <r>
      <rPr>
        <sz val="10"/>
        <color rgb="FF000000"/>
        <rFont val="Noto Sans CJK SC"/>
        <family val="2"/>
      </rPr>
      <t xml:space="preserve">；假設整機 </t>
    </r>
    <r>
      <rPr>
        <sz val="10"/>
        <color rgb="FF000000"/>
        <rFont val="Arial"/>
        <family val="0"/>
        <charset val="1"/>
      </rPr>
      <t xml:space="preserve">8 </t>
    </r>
    <r>
      <rPr>
        <sz val="10"/>
        <color rgb="FF000000"/>
        <rFont val="Noto Sans CJK SC"/>
        <family val="2"/>
      </rPr>
      <t xml:space="preserve">卡、每月 </t>
    </r>
    <r>
      <rPr>
        <sz val="10"/>
        <color rgb="FF000000"/>
        <rFont val="Arial"/>
        <family val="0"/>
        <charset val="1"/>
      </rPr>
      <t xml:space="preserve">730 </t>
    </r>
    <r>
      <rPr>
        <sz val="10"/>
        <color rgb="FF000000"/>
        <rFont val="Noto Sans CJK SC"/>
        <family val="2"/>
      </rPr>
      <t xml:space="preserve">小時、全月計費</t>
    </r>
  </si>
  <si>
    <t xml:space="preserve">SRC_ZP_477</t>
  </si>
  <si>
    <t xml:space="preserve">rent_h20_cardhr_derived</t>
  </si>
  <si>
    <r>
      <rPr>
        <sz val="10"/>
        <color rgb="FF000000"/>
        <rFont val="Arial"/>
        <family val="0"/>
        <charset val="1"/>
      </rPr>
      <t xml:space="preserve">H20 96G</t>
    </r>
    <r>
      <rPr>
        <sz val="10"/>
        <color rgb="FF000000"/>
        <rFont val="Noto Sans CJK SC"/>
        <family val="2"/>
      </rPr>
      <t xml:space="preserve">（</t>
    </r>
    <r>
      <rPr>
        <sz val="10"/>
        <color rgb="FF000000"/>
        <rFont val="Arial"/>
        <family val="0"/>
        <charset val="1"/>
      </rPr>
      <t xml:space="preserve">SMM </t>
    </r>
    <r>
      <rPr>
        <sz val="10"/>
        <color rgb="FF000000"/>
        <rFont val="Noto Sans CJK SC"/>
        <family val="2"/>
      </rPr>
      <t xml:space="preserve">京津冀均） 折算卡時價</t>
    </r>
  </si>
  <si>
    <r>
      <rPr>
        <sz val="10"/>
        <color rgb="FF000000"/>
        <rFont val="Noto Sans CJK SC"/>
        <family val="2"/>
      </rPr>
      <t xml:space="preserve">由 </t>
    </r>
    <r>
      <rPr>
        <sz val="10"/>
        <color rgb="FF000000"/>
        <rFont val="Arial"/>
        <family val="0"/>
        <charset val="1"/>
      </rPr>
      <t xml:space="preserve">rent_h20_machmo_sep26 ÷ 8 </t>
    </r>
    <r>
      <rPr>
        <sz val="10"/>
        <color rgb="FF000000"/>
        <rFont val="Noto Sans CJK SC"/>
        <family val="2"/>
      </rPr>
      <t xml:space="preserve">卡 </t>
    </r>
    <r>
      <rPr>
        <sz val="10"/>
        <color rgb="FF000000"/>
        <rFont val="Arial"/>
        <family val="0"/>
        <charset val="1"/>
      </rPr>
      <t xml:space="preserve">÷ 730 </t>
    </r>
    <r>
      <rPr>
        <sz val="10"/>
        <color rgb="FF000000"/>
        <rFont val="Noto Sans CJK SC"/>
        <family val="2"/>
      </rPr>
      <t xml:space="preserve">小時</t>
    </r>
  </si>
  <si>
    <r>
      <rPr>
        <sz val="10"/>
        <color rgb="FF000000"/>
        <rFont val="Arial"/>
        <family val="0"/>
        <charset val="1"/>
      </rPr>
      <t xml:space="preserve">43000÷8÷730</t>
    </r>
    <r>
      <rPr>
        <sz val="10"/>
        <color rgb="FF000000"/>
        <rFont val="Noto Sans CJK SC"/>
        <family val="2"/>
      </rPr>
      <t xml:space="preserve">＝</t>
    </r>
    <r>
      <rPr>
        <sz val="10"/>
        <color rgb="FF000000"/>
        <rFont val="Arial"/>
        <family val="0"/>
        <charset val="1"/>
      </rPr>
      <t xml:space="preserve">7.36</t>
    </r>
    <r>
      <rPr>
        <sz val="10"/>
        <color rgb="FF000000"/>
        <rFont val="Noto Sans CJK SC"/>
        <family val="2"/>
      </rPr>
      <t xml:space="preserve">；假設整機 </t>
    </r>
    <r>
      <rPr>
        <sz val="10"/>
        <color rgb="FF000000"/>
        <rFont val="Arial"/>
        <family val="0"/>
        <charset val="1"/>
      </rPr>
      <t xml:space="preserve">8 </t>
    </r>
    <r>
      <rPr>
        <sz val="10"/>
        <color rgb="FF000000"/>
        <rFont val="Noto Sans CJK SC"/>
        <family val="2"/>
      </rPr>
      <t xml:space="preserve">卡、每月 </t>
    </r>
    <r>
      <rPr>
        <sz val="10"/>
        <color rgb="FF000000"/>
        <rFont val="Arial"/>
        <family val="0"/>
        <charset val="1"/>
      </rPr>
      <t xml:space="preserve">730 </t>
    </r>
    <r>
      <rPr>
        <sz val="10"/>
        <color rgb="FF000000"/>
        <rFont val="Noto Sans CJK SC"/>
        <family val="2"/>
      </rPr>
      <t xml:space="preserve">小時、全月計費</t>
    </r>
  </si>
  <si>
    <t xml:space="preserve">SRC_ZP_478</t>
  </si>
  <si>
    <t xml:space="preserve">rent_910b4_cardhr_derived</t>
  </si>
  <si>
    <r>
      <rPr>
        <sz val="10"/>
        <color rgb="FF000000"/>
        <rFont val="Noto Sans CJK SC"/>
        <family val="2"/>
      </rPr>
      <t xml:space="preserve">昇騰 </t>
    </r>
    <r>
      <rPr>
        <sz val="10"/>
        <color rgb="FF000000"/>
        <rFont val="Arial"/>
        <family val="0"/>
        <charset val="1"/>
      </rPr>
      <t xml:space="preserve">910B4</t>
    </r>
    <r>
      <rPr>
        <sz val="10"/>
        <color rgb="FF000000"/>
        <rFont val="Noto Sans CJK SC"/>
        <family val="2"/>
      </rPr>
      <t xml:space="preserve">／</t>
    </r>
    <r>
      <rPr>
        <sz val="10"/>
        <color rgb="FF000000"/>
        <rFont val="Arial"/>
        <family val="0"/>
        <charset val="1"/>
      </rPr>
      <t xml:space="preserve">910B3 16,000 </t>
    </r>
    <r>
      <rPr>
        <sz val="10"/>
        <color rgb="FF000000"/>
        <rFont val="Noto Sans CJK SC"/>
        <family val="2"/>
      </rPr>
      <t xml:space="preserve">折算卡時價（假設 </t>
    </r>
    <r>
      <rPr>
        <sz val="10"/>
        <color rgb="FF000000"/>
        <rFont val="Arial"/>
        <family val="0"/>
        <charset val="1"/>
      </rPr>
      <t xml:space="preserve">8 </t>
    </r>
    <r>
      <rPr>
        <sz val="10"/>
        <color rgb="FF000000"/>
        <rFont val="Noto Sans CJK SC"/>
        <family val="2"/>
      </rPr>
      <t xml:space="preserve">卡整機）</t>
    </r>
  </si>
  <si>
    <r>
      <rPr>
        <sz val="10"/>
        <color rgb="FF000000"/>
        <rFont val="Arial"/>
        <family val="0"/>
        <charset val="1"/>
      </rPr>
      <t xml:space="preserve">2026-05</t>
    </r>
    <r>
      <rPr>
        <sz val="10"/>
        <color rgb="FF000000"/>
        <rFont val="Noto Sans CJK SC"/>
        <family val="2"/>
      </rPr>
      <t xml:space="preserve">～</t>
    </r>
    <r>
      <rPr>
        <sz val="10"/>
        <color rgb="FF000000"/>
        <rFont val="Arial"/>
        <family val="0"/>
        <charset val="1"/>
      </rPr>
      <t xml:space="preserve">09</t>
    </r>
  </si>
  <si>
    <r>
      <rPr>
        <sz val="10"/>
        <color rgb="FF000000"/>
        <rFont val="Noto Sans CJK SC"/>
        <family val="2"/>
      </rPr>
      <t xml:space="preserve">由 </t>
    </r>
    <r>
      <rPr>
        <sz val="10"/>
        <color rgb="FF000000"/>
        <rFont val="Arial"/>
        <family val="0"/>
        <charset val="1"/>
      </rPr>
      <t xml:space="preserve">SMM</t>
    </r>
    <r>
      <rPr>
        <sz val="10"/>
        <color rgb="FF000000"/>
        <rFont val="Noto Sans CJK SC"/>
        <family val="2"/>
      </rPr>
      <t xml:space="preserve">／</t>
    </r>
    <r>
      <rPr>
        <sz val="10"/>
        <color rgb="FF000000"/>
        <rFont val="Arial"/>
        <family val="0"/>
        <charset val="1"/>
      </rPr>
      <t xml:space="preserve">AtomGit </t>
    </r>
    <r>
      <rPr>
        <sz val="10"/>
        <color rgb="FF000000"/>
        <rFont val="Noto Sans CJK SC"/>
        <family val="2"/>
      </rPr>
      <t xml:space="preserve">月租 </t>
    </r>
    <r>
      <rPr>
        <sz val="10"/>
        <color rgb="FF000000"/>
        <rFont val="Arial"/>
        <family val="0"/>
        <charset val="1"/>
      </rPr>
      <t xml:space="preserve">÷ 8 ÷ 730</t>
    </r>
  </si>
  <si>
    <r>
      <rPr>
        <sz val="10"/>
        <color rgb="FF000000"/>
        <rFont val="Arial"/>
        <family val="0"/>
        <charset val="1"/>
      </rPr>
      <t xml:space="preserve">16000÷8÷730</t>
    </r>
    <r>
      <rPr>
        <sz val="10"/>
        <color rgb="FF000000"/>
        <rFont val="Noto Sans CJK SC"/>
        <family val="2"/>
      </rPr>
      <t xml:space="preserve">＝</t>
    </r>
    <r>
      <rPr>
        <sz val="10"/>
        <color rgb="FF000000"/>
        <rFont val="Arial"/>
        <family val="0"/>
        <charset val="1"/>
      </rPr>
      <t xml:space="preserve">2.74</t>
    </r>
    <r>
      <rPr>
        <sz val="10"/>
        <color rgb="FF000000"/>
        <rFont val="Noto Sans CJK SC"/>
        <family val="2"/>
      </rPr>
      <t xml:space="preserve">；若 </t>
    </r>
    <r>
      <rPr>
        <sz val="10"/>
        <color rgb="FF000000"/>
        <rFont val="Arial"/>
        <family val="0"/>
        <charset val="1"/>
      </rPr>
      <t xml:space="preserve">unit </t>
    </r>
    <r>
      <rPr>
        <sz val="10"/>
        <color rgb="FF000000"/>
        <rFont val="Noto Sans CJK SC"/>
        <family val="2"/>
      </rPr>
      <t xml:space="preserve">為單卡則為 </t>
    </r>
    <r>
      <rPr>
        <sz val="10"/>
        <color rgb="FF000000"/>
        <rFont val="Arial"/>
        <family val="0"/>
        <charset val="1"/>
      </rPr>
      <t xml:space="preserve">21.9</t>
    </r>
    <r>
      <rPr>
        <sz val="10"/>
        <color rgb="FF000000"/>
        <rFont val="Noto Sans CJK SC"/>
        <family val="2"/>
      </rPr>
      <t xml:space="preserve">（不合理高於 </t>
    </r>
    <r>
      <rPr>
        <sz val="10"/>
        <color rgb="FF000000"/>
        <rFont val="Arial"/>
        <family val="0"/>
        <charset val="1"/>
      </rPr>
      <t xml:space="preserve">H800</t>
    </r>
    <r>
      <rPr>
        <sz val="10"/>
        <color rgb="FF000000"/>
        <rFont val="Noto Sans CJK SC"/>
        <family val="2"/>
      </rPr>
      <t xml:space="preserve">，故推定 </t>
    </r>
    <r>
      <rPr>
        <sz val="10"/>
        <color rgb="FF000000"/>
        <rFont val="Arial"/>
        <family val="0"/>
        <charset val="1"/>
      </rPr>
      <t xml:space="preserve">8 </t>
    </r>
    <r>
      <rPr>
        <sz val="10"/>
        <color rgb="FF000000"/>
        <rFont val="Noto Sans CJK SC"/>
        <family val="2"/>
      </rPr>
      <t xml:space="preserve">卡）</t>
    </r>
  </si>
  <si>
    <t xml:space="preserve">SRC_ZP_479</t>
  </si>
  <si>
    <t xml:space="preserve">rent_910b_zxy_cardhr_derived</t>
  </si>
  <si>
    <r>
      <rPr>
        <sz val="10"/>
        <color rgb="FF000000"/>
        <rFont val="Noto Sans CJK SC"/>
        <family val="2"/>
      </rPr>
      <t xml:space="preserve">昇騰 </t>
    </r>
    <r>
      <rPr>
        <sz val="10"/>
        <color rgb="FF000000"/>
        <rFont val="Arial"/>
        <family val="0"/>
        <charset val="1"/>
      </rPr>
      <t xml:space="preserve">910B </t>
    </r>
    <r>
      <rPr>
        <sz val="10"/>
        <color rgb="FF000000"/>
        <rFont val="Noto Sans CJK SC"/>
        <family val="2"/>
      </rPr>
      <t xml:space="preserve">八卡 </t>
    </r>
    <r>
      <rPr>
        <sz val="10"/>
        <color rgb="FF000000"/>
        <rFont val="Arial"/>
        <family val="0"/>
        <charset val="1"/>
      </rPr>
      <t xml:space="preserve">25,000</t>
    </r>
    <r>
      <rPr>
        <sz val="10"/>
        <color rgb="FF000000"/>
        <rFont val="Noto Sans CJK SC"/>
        <family val="2"/>
      </rPr>
      <t xml:space="preserve">（智星雲） 折算卡時價（假設 </t>
    </r>
    <r>
      <rPr>
        <sz val="10"/>
        <color rgb="FF000000"/>
        <rFont val="Arial"/>
        <family val="0"/>
        <charset val="1"/>
      </rPr>
      <t xml:space="preserve">8 </t>
    </r>
    <r>
      <rPr>
        <sz val="10"/>
        <color rgb="FF000000"/>
        <rFont val="Noto Sans CJK SC"/>
        <family val="2"/>
      </rPr>
      <t xml:space="preserve">卡整機）</t>
    </r>
  </si>
  <si>
    <r>
      <rPr>
        <sz val="10"/>
        <color rgb="FF000000"/>
        <rFont val="Arial"/>
        <family val="0"/>
        <charset val="1"/>
      </rPr>
      <t xml:space="preserve">25000÷8÷730</t>
    </r>
    <r>
      <rPr>
        <sz val="10"/>
        <color rgb="FF000000"/>
        <rFont val="Noto Sans CJK SC"/>
        <family val="2"/>
      </rPr>
      <t xml:space="preserve">＝</t>
    </r>
    <r>
      <rPr>
        <sz val="10"/>
        <color rgb="FF000000"/>
        <rFont val="Arial"/>
        <family val="0"/>
        <charset val="1"/>
      </rPr>
      <t xml:space="preserve">4.28</t>
    </r>
    <r>
      <rPr>
        <sz val="10"/>
        <color rgb="FF000000"/>
        <rFont val="Noto Sans CJK SC"/>
        <family val="2"/>
      </rPr>
      <t xml:space="preserve">；若 </t>
    </r>
    <r>
      <rPr>
        <sz val="10"/>
        <color rgb="FF000000"/>
        <rFont val="Arial"/>
        <family val="0"/>
        <charset val="1"/>
      </rPr>
      <t xml:space="preserve">unit </t>
    </r>
    <r>
      <rPr>
        <sz val="10"/>
        <color rgb="FF000000"/>
        <rFont val="Noto Sans CJK SC"/>
        <family val="2"/>
      </rPr>
      <t xml:space="preserve">為單卡則為 </t>
    </r>
    <r>
      <rPr>
        <sz val="10"/>
        <color rgb="FF000000"/>
        <rFont val="Arial"/>
        <family val="0"/>
        <charset val="1"/>
      </rPr>
      <t xml:space="preserve">34.2</t>
    </r>
    <r>
      <rPr>
        <sz val="10"/>
        <color rgb="FF000000"/>
        <rFont val="Noto Sans CJK SC"/>
        <family val="2"/>
      </rPr>
      <t xml:space="preserve">（不合理高於 </t>
    </r>
    <r>
      <rPr>
        <sz val="10"/>
        <color rgb="FF000000"/>
        <rFont val="Arial"/>
        <family val="0"/>
        <charset val="1"/>
      </rPr>
      <t xml:space="preserve">H800</t>
    </r>
    <r>
      <rPr>
        <sz val="10"/>
        <color rgb="FF000000"/>
        <rFont val="Noto Sans CJK SC"/>
        <family val="2"/>
      </rPr>
      <t xml:space="preserve">，故推定 </t>
    </r>
    <r>
      <rPr>
        <sz val="10"/>
        <color rgb="FF000000"/>
        <rFont val="Arial"/>
        <family val="0"/>
        <charset val="1"/>
      </rPr>
      <t xml:space="preserve">8 </t>
    </r>
    <r>
      <rPr>
        <sz val="10"/>
        <color rgb="FF000000"/>
        <rFont val="Noto Sans CJK SC"/>
        <family val="2"/>
      </rPr>
      <t xml:space="preserve">卡）</t>
    </r>
  </si>
  <si>
    <t xml:space="preserve">SRC_ZP_480</t>
  </si>
  <si>
    <t xml:space="preserve">perf_910c_vs_h100_inf</t>
  </si>
  <si>
    <r>
      <rPr>
        <sz val="10"/>
        <color rgb="FF000000"/>
        <rFont val="Noto Sans CJK SC"/>
        <family val="2"/>
      </rPr>
      <t xml:space="preserve">昇騰 </t>
    </r>
    <r>
      <rPr>
        <sz val="10"/>
        <color rgb="FF000000"/>
        <rFont val="Arial"/>
        <family val="0"/>
        <charset val="1"/>
      </rPr>
      <t xml:space="preserve">910C </t>
    </r>
    <r>
      <rPr>
        <sz val="10"/>
        <color rgb="FF000000"/>
        <rFont val="Noto Sans CJK SC"/>
        <family val="2"/>
      </rPr>
      <t xml:space="preserve">推論效能／</t>
    </r>
    <r>
      <rPr>
        <sz val="10"/>
        <color rgb="FF000000"/>
        <rFont val="Arial"/>
        <family val="0"/>
        <charset val="1"/>
      </rPr>
      <t xml:space="preserve">H100</t>
    </r>
  </si>
  <si>
    <t xml:space="preserve">2025-02</t>
  </si>
  <si>
    <r>
      <rPr>
        <sz val="10"/>
        <color rgb="FF000000"/>
        <rFont val="Arial"/>
        <family val="0"/>
        <charset val="1"/>
      </rPr>
      <t xml:space="preserve">GIGAZINE</t>
    </r>
    <r>
      <rPr>
        <sz val="10"/>
        <color rgb="FF000000"/>
        <rFont val="Noto Sans CJK SC"/>
        <family val="2"/>
      </rPr>
      <t xml:space="preserve">（</t>
    </r>
    <r>
      <rPr>
        <sz val="10"/>
        <color rgb="FF000000"/>
        <rFont val="Arial"/>
        <family val="0"/>
        <charset val="1"/>
      </rPr>
      <t xml:space="preserve">2025-02-07</t>
    </r>
    <r>
      <rPr>
        <sz val="10"/>
        <color rgb="FF000000"/>
        <rFont val="Noto Sans CJK SC"/>
        <family val="2"/>
      </rPr>
      <t xml:space="preserve">，引 </t>
    </r>
    <r>
      <rPr>
        <sz val="10"/>
        <color rgb="FF000000"/>
        <rFont val="Arial"/>
        <family val="0"/>
        <charset val="1"/>
      </rPr>
      <t xml:space="preserve">AGI Hunt</t>
    </r>
    <r>
      <rPr>
        <sz val="10"/>
        <color rgb="FF000000"/>
        <rFont val="Noto Sans CJK SC"/>
        <family val="2"/>
      </rPr>
      <t xml:space="preserve">／</t>
    </r>
    <r>
      <rPr>
        <sz val="10"/>
        <color rgb="FF000000"/>
        <rFont val="Arial"/>
        <family val="0"/>
        <charset val="1"/>
      </rPr>
      <t xml:space="preserve">DeepSeek </t>
    </r>
    <r>
      <rPr>
        <sz val="10"/>
        <color rgb="FF000000"/>
        <rFont val="Noto Sans CJK SC"/>
        <family val="2"/>
      </rPr>
      <t xml:space="preserve">測試）</t>
    </r>
  </si>
  <si>
    <t xml:space="preserve">https://gigazine.net/gsc_news/en/20250207-huawei-ascend-910c-inference-performance-nvidia</t>
  </si>
  <si>
    <t xml:space="preserve">2025-02-07</t>
  </si>
  <si>
    <r>
      <rPr>
        <sz val="10"/>
        <color rgb="FF000000"/>
        <rFont val="Noto Sans CJK SC"/>
        <family val="2"/>
      </rPr>
      <t xml:space="preserve">原文「</t>
    </r>
    <r>
      <rPr>
        <sz val="10"/>
        <color rgb="FF000000"/>
        <rFont val="Arial"/>
        <family val="0"/>
        <charset val="1"/>
      </rPr>
      <t xml:space="preserve">Ascend 910C delivered 60% of the performance of NVIDIA’s H100 in inference tasks</t>
    </r>
    <r>
      <rPr>
        <sz val="10"/>
        <color rgb="FF000000"/>
        <rFont val="Noto Sans CJK SC"/>
        <family val="2"/>
      </rPr>
      <t xml:space="preserve">」；</t>
    </r>
    <r>
      <rPr>
        <sz val="10"/>
        <color rgb="FF000000"/>
        <rFont val="Arial"/>
        <family val="0"/>
        <charset val="1"/>
      </rPr>
      <t xml:space="preserve">aiwiki </t>
    </r>
    <r>
      <rPr>
        <sz val="10"/>
        <color rgb="FF000000"/>
        <rFont val="Noto Sans CJK SC"/>
        <family val="2"/>
      </rPr>
      <t xml:space="preserve">另引 </t>
    </r>
    <r>
      <rPr>
        <sz val="10"/>
        <color rgb="FF000000"/>
        <rFont val="Arial"/>
        <family val="0"/>
        <charset val="1"/>
      </rPr>
      <t xml:space="preserve">Reuters </t>
    </r>
    <r>
      <rPr>
        <sz val="10"/>
        <color rgb="FF000000"/>
        <rFont val="Noto Sans CJK SC"/>
        <family val="2"/>
      </rPr>
      <t xml:space="preserve">同 </t>
    </r>
    <r>
      <rPr>
        <sz val="10"/>
        <color rgb="FF000000"/>
        <rFont val="Arial"/>
        <family val="0"/>
        <charset val="1"/>
      </rPr>
      <t xml:space="preserve">60%</t>
    </r>
    <r>
      <rPr>
        <sz val="10"/>
        <color rgb="FF000000"/>
        <rFont val="Noto Sans CJK SC"/>
        <family val="2"/>
      </rPr>
      <t xml:space="preserve">，分析師估 </t>
    </r>
    <r>
      <rPr>
        <sz val="10"/>
        <color rgb="FF000000"/>
        <rFont val="Arial"/>
        <family val="0"/>
        <charset val="1"/>
      </rPr>
      <t xml:space="preserve">BF16 </t>
    </r>
    <r>
      <rPr>
        <sz val="10"/>
        <color rgb="FF000000"/>
        <rFont val="Noto Sans CJK SC"/>
        <family val="2"/>
      </rPr>
      <t xml:space="preserve">吞吐約 </t>
    </r>
    <r>
      <rPr>
        <sz val="10"/>
        <color rgb="FF000000"/>
        <rFont val="Arial"/>
        <family val="0"/>
        <charset val="1"/>
      </rPr>
      <t xml:space="preserve">80%</t>
    </r>
  </si>
  <si>
    <t xml:space="preserve">SRC_ZP_481</t>
  </si>
  <si>
    <t xml:space="preserve">perf_910c_power</t>
  </si>
  <si>
    <r>
      <rPr>
        <sz val="10"/>
        <color rgb="FF000000"/>
        <rFont val="Noto Sans CJK SC"/>
        <family val="2"/>
      </rPr>
      <t xml:space="preserve">昇騰 </t>
    </r>
    <r>
      <rPr>
        <sz val="10"/>
        <color rgb="FF000000"/>
        <rFont val="Arial"/>
        <family val="0"/>
        <charset val="1"/>
      </rPr>
      <t xml:space="preserve">910C </t>
    </r>
    <r>
      <rPr>
        <sz val="10"/>
        <color rgb="FF000000"/>
        <rFont val="Noto Sans CJK SC"/>
        <family val="2"/>
      </rPr>
      <t xml:space="preserve">單卡功耗</t>
    </r>
  </si>
  <si>
    <t xml:space="preserve">W</t>
  </si>
  <si>
    <r>
      <rPr>
        <sz val="10"/>
        <color rgb="FF000000"/>
        <rFont val="Arial"/>
        <family val="0"/>
        <charset val="1"/>
      </rPr>
      <t xml:space="preserve">2024-11</t>
    </r>
    <r>
      <rPr>
        <sz val="10"/>
        <color rgb="FF000000"/>
        <rFont val="Noto Sans CJK SC"/>
        <family val="2"/>
      </rPr>
      <t xml:space="preserve">（</t>
    </r>
    <r>
      <rPr>
        <sz val="10"/>
        <color rgb="FF000000"/>
        <rFont val="Arial"/>
        <family val="0"/>
        <charset val="1"/>
      </rPr>
      <t xml:space="preserve">2025-02 </t>
    </r>
    <r>
      <rPr>
        <sz val="10"/>
        <color rgb="FF000000"/>
        <rFont val="Noto Sans CJK SC"/>
        <family val="2"/>
      </rPr>
      <t xml:space="preserve">更新）</t>
    </r>
  </si>
  <si>
    <r>
      <rPr>
        <sz val="10"/>
        <color rgb="FF000000"/>
        <rFont val="Arial"/>
        <family val="0"/>
        <charset val="1"/>
      </rPr>
      <t xml:space="preserve">Unite.AI</t>
    </r>
    <r>
      <rPr>
        <sz val="10"/>
        <color rgb="FF000000"/>
        <rFont val="Noto Sans CJK SC"/>
        <family val="2"/>
      </rPr>
      <t xml:space="preserve">〈</t>
    </r>
    <r>
      <rPr>
        <sz val="10"/>
        <color rgb="FF000000"/>
        <rFont val="Arial"/>
        <family val="0"/>
        <charset val="1"/>
      </rPr>
      <t xml:space="preserve">Huawei Ascend 910C</t>
    </r>
    <r>
      <rPr>
        <sz val="10"/>
        <color rgb="FF000000"/>
        <rFont val="Noto Sans CJK SC"/>
        <family val="2"/>
      </rPr>
      <t xml:space="preserve">〉</t>
    </r>
  </si>
  <si>
    <t xml:space="preserve">https://www.unite.ai/huaweis-ascend-910c-a-bold-challenge-to-nvidia-in-the-ai-chip-market</t>
  </si>
  <si>
    <t xml:space="preserve">2025-02-23</t>
  </si>
  <si>
    <r>
      <rPr>
        <sz val="10"/>
        <color rgb="FF000000"/>
        <rFont val="Arial"/>
        <family val="0"/>
        <charset val="1"/>
      </rPr>
      <t xml:space="preserve">SemiAnalysis</t>
    </r>
    <r>
      <rPr>
        <sz val="10"/>
        <color rgb="FF000000"/>
        <rFont val="Noto Sans CJK SC"/>
        <family val="2"/>
      </rPr>
      <t xml:space="preserve">：偏樂觀，須第二獨立來源（不得單獨引用）</t>
    </r>
  </si>
  <si>
    <r>
      <rPr>
        <sz val="10"/>
        <color rgb="FF000000"/>
        <rFont val="Noto Sans CJK SC"/>
        <family val="2"/>
      </rPr>
      <t xml:space="preserve">原文「</t>
    </r>
    <r>
      <rPr>
        <sz val="10"/>
        <color rgb="FF000000"/>
        <rFont val="Arial"/>
        <family val="0"/>
        <charset val="1"/>
      </rPr>
      <t xml:space="preserve">consuming around 310 watts</t>
    </r>
    <r>
      <rPr>
        <sz val="10"/>
        <color rgb="FF000000"/>
        <rFont val="Noto Sans CJK SC"/>
        <family val="2"/>
      </rPr>
      <t xml:space="preserve">」；</t>
    </r>
    <r>
      <rPr>
        <sz val="10"/>
        <color rgb="FF000000"/>
        <rFont val="Arial"/>
        <family val="0"/>
        <charset val="1"/>
      </rPr>
      <t xml:space="preserve">aiwiki </t>
    </r>
    <r>
      <rPr>
        <sz val="10"/>
        <color rgb="FF000000"/>
        <rFont val="Noto Sans CJK SC"/>
        <family val="2"/>
      </rPr>
      <t xml:space="preserve">列 </t>
    </r>
    <r>
      <rPr>
        <sz val="10"/>
        <color rgb="FF000000"/>
        <rFont val="Arial"/>
        <family val="0"/>
        <charset val="1"/>
      </rPr>
      <t xml:space="preserve">310–350W</t>
    </r>
    <r>
      <rPr>
        <sz val="10"/>
        <color rgb="FF000000"/>
        <rFont val="Noto Sans CJK SC"/>
        <family val="2"/>
      </rPr>
      <t xml:space="preserve">（引 </t>
    </r>
    <r>
      <rPr>
        <sz val="10"/>
        <color rgb="FF000000"/>
        <rFont val="Arial"/>
        <family val="0"/>
        <charset val="1"/>
      </rPr>
      <t xml:space="preserve">SemiAnalysis</t>
    </r>
    <r>
      <rPr>
        <sz val="10"/>
        <color rgb="FF000000"/>
        <rFont val="Noto Sans CJK SC"/>
        <family val="2"/>
      </rPr>
      <t xml:space="preserve">）；晶片 </t>
    </r>
    <r>
      <rPr>
        <sz val="10"/>
        <color rgb="FF000000"/>
        <rFont val="Arial"/>
        <family val="0"/>
        <charset val="1"/>
      </rPr>
      <t xml:space="preserve">TDP</t>
    </r>
    <r>
      <rPr>
        <sz val="10"/>
        <color rgb="FF000000"/>
        <rFont val="Noto Sans CJK SC"/>
        <family val="2"/>
      </rPr>
      <t xml:space="preserve">，非全設施</t>
    </r>
  </si>
  <si>
    <t xml:space="preserve">SRC_ZP_482</t>
  </si>
  <si>
    <t xml:space="preserve">perf_910c_bf16</t>
  </si>
  <si>
    <r>
      <rPr>
        <sz val="10"/>
        <color rgb="FF000000"/>
        <rFont val="Noto Sans CJK SC"/>
        <family val="2"/>
      </rPr>
      <t xml:space="preserve">昇騰 </t>
    </r>
    <r>
      <rPr>
        <sz val="10"/>
        <color rgb="FF000000"/>
        <rFont val="Arial"/>
        <family val="0"/>
        <charset val="1"/>
      </rPr>
      <t xml:space="preserve">910C BF16 </t>
    </r>
    <r>
      <rPr>
        <sz val="10"/>
        <color rgb="FF000000"/>
        <rFont val="Noto Sans CJK SC"/>
        <family val="2"/>
      </rPr>
      <t xml:space="preserve">稠密算力</t>
    </r>
  </si>
  <si>
    <t xml:space="preserve">TFLOPS</t>
  </si>
  <si>
    <r>
      <rPr>
        <sz val="10"/>
        <color rgb="FF000000"/>
        <rFont val="Arial"/>
        <family val="0"/>
        <charset val="1"/>
      </rPr>
      <t xml:space="preserve">The Register</t>
    </r>
    <r>
      <rPr>
        <sz val="10"/>
        <color rgb="FF000000"/>
        <rFont val="Noto Sans CJK SC"/>
        <family val="2"/>
      </rPr>
      <t xml:space="preserve">（</t>
    </r>
    <r>
      <rPr>
        <sz val="10"/>
        <color rgb="FF000000"/>
        <rFont val="Arial"/>
        <family val="0"/>
        <charset val="1"/>
      </rPr>
      <t xml:space="preserve">2025-07-29</t>
    </r>
    <r>
      <rPr>
        <sz val="10"/>
        <color rgb="FF000000"/>
        <rFont val="Noto Sans CJK SC"/>
        <family val="2"/>
      </rPr>
      <t xml:space="preserve">）</t>
    </r>
  </si>
  <si>
    <t xml:space="preserve">https://www.theregister.com/2025/07/29/huawei_rackscale_boogeyman/</t>
  </si>
  <si>
    <r>
      <rPr>
        <sz val="10"/>
        <color rgb="FF000000"/>
        <rFont val="Noto Sans CJK SC"/>
        <family val="2"/>
      </rPr>
      <t xml:space="preserve">原文「</t>
    </r>
    <r>
      <rPr>
        <sz val="10"/>
        <color rgb="FF000000"/>
        <rFont val="Arial"/>
        <family val="0"/>
        <charset val="1"/>
      </rPr>
      <t xml:space="preserve">752 teraFLOPS of dense FP16/BF16</t>
    </r>
    <r>
      <rPr>
        <sz val="10"/>
        <color rgb="FF000000"/>
        <rFont val="Noto Sans CJK SC"/>
        <family val="2"/>
      </rPr>
      <t xml:space="preserve">」，</t>
    </r>
    <r>
      <rPr>
        <sz val="10"/>
        <color rgb="FF000000"/>
        <rFont val="Arial"/>
        <family val="0"/>
        <charset val="1"/>
      </rPr>
      <t xml:space="preserve">128GB HBM</t>
    </r>
    <r>
      <rPr>
        <sz val="10"/>
        <color rgb="FF000000"/>
        <rFont val="Noto Sans CJK SC"/>
        <family val="2"/>
      </rPr>
      <t xml:space="preserve">、</t>
    </r>
    <r>
      <rPr>
        <sz val="10"/>
        <color rgb="FF000000"/>
        <rFont val="Arial"/>
        <family val="0"/>
        <charset val="1"/>
      </rPr>
      <t xml:space="preserve">3.2TB/s</t>
    </r>
    <r>
      <rPr>
        <sz val="10"/>
        <color rgb="FF000000"/>
        <rFont val="Noto Sans CJK SC"/>
        <family val="2"/>
      </rPr>
      <t xml:space="preserve">；</t>
    </r>
    <r>
      <rPr>
        <sz val="10"/>
        <color rgb="FF000000"/>
        <rFont val="Arial"/>
        <family val="0"/>
        <charset val="1"/>
      </rPr>
      <t xml:space="preserve">Tom's Hardware</t>
    </r>
    <r>
      <rPr>
        <sz val="10"/>
        <color rgb="FF000000"/>
        <rFont val="Noto Sans CJK SC"/>
        <family val="2"/>
      </rPr>
      <t xml:space="preserve">（</t>
    </r>
    <r>
      <rPr>
        <sz val="10"/>
        <color rgb="FF000000"/>
        <rFont val="Arial"/>
        <family val="0"/>
        <charset val="1"/>
      </rPr>
      <t xml:space="preserve">SemiAnalysis</t>
    </r>
    <r>
      <rPr>
        <sz val="10"/>
        <color rgb="FF000000"/>
        <rFont val="Noto Sans CJK SC"/>
        <family val="2"/>
      </rPr>
      <t xml:space="preserve">）列 </t>
    </r>
    <r>
      <rPr>
        <sz val="10"/>
        <color rgb="FF000000"/>
        <rFont val="Arial"/>
        <family val="0"/>
        <charset val="1"/>
      </rPr>
      <t xml:space="preserve">780</t>
    </r>
  </si>
  <si>
    <t xml:space="preserve">SRC_ZP_483</t>
  </si>
  <si>
    <t xml:space="preserve">perf_cm384_power</t>
  </si>
  <si>
    <r>
      <rPr>
        <sz val="10"/>
        <color rgb="FF000000"/>
        <rFont val="Arial"/>
        <family val="0"/>
        <charset val="1"/>
      </rPr>
      <t xml:space="preserve">CloudMatrix 384 </t>
    </r>
    <r>
      <rPr>
        <sz val="10"/>
        <color rgb="FF000000"/>
        <rFont val="Noto Sans CJK SC"/>
        <family val="2"/>
      </rPr>
      <t xml:space="preserve">系統功耗</t>
    </r>
  </si>
  <si>
    <t xml:space="preserve">kW</t>
  </si>
  <si>
    <t xml:space="preserve">2025-04</t>
  </si>
  <si>
    <r>
      <rPr>
        <sz val="10"/>
        <color rgb="FF000000"/>
        <rFont val="Arial"/>
        <family val="0"/>
        <charset val="1"/>
      </rPr>
      <t xml:space="preserve">Tom's Hardware</t>
    </r>
    <r>
      <rPr>
        <sz val="10"/>
        <color rgb="FF000000"/>
        <rFont val="Noto Sans CJK SC"/>
        <family val="2"/>
      </rPr>
      <t xml:space="preserve">（</t>
    </r>
    <r>
      <rPr>
        <sz val="10"/>
        <color rgb="FF000000"/>
        <rFont val="Arial"/>
        <family val="0"/>
        <charset val="1"/>
      </rPr>
      <t xml:space="preserve">2025-04-18</t>
    </r>
    <r>
      <rPr>
        <sz val="10"/>
        <color rgb="FF000000"/>
        <rFont val="Noto Sans CJK SC"/>
        <family val="2"/>
      </rPr>
      <t xml:space="preserve">，引 </t>
    </r>
    <r>
      <rPr>
        <sz val="10"/>
        <color rgb="FF000000"/>
        <rFont val="Arial"/>
        <family val="0"/>
        <charset val="1"/>
      </rPr>
      <t xml:space="preserve">SemiAnalysis</t>
    </r>
    <r>
      <rPr>
        <sz val="10"/>
        <color rgb="FF000000"/>
        <rFont val="Noto Sans CJK SC"/>
        <family val="2"/>
      </rPr>
      <t xml:space="preserve">）</t>
    </r>
  </si>
  <si>
    <t xml:space="preserve">https://www.tomshardware.com/tech-industry/artificial-intelligence/huaweis-new-ai-cloudmatrix-cluster-beats-nvidias-gb200-by-brute-force-uses-4x-the-power</t>
  </si>
  <si>
    <t xml:space="preserve">2025-04-18</t>
  </si>
  <si>
    <r>
      <rPr>
        <sz val="10"/>
        <color rgb="FF000000"/>
        <rFont val="Noto Sans CJK SC"/>
        <family val="2"/>
      </rPr>
      <t xml:space="preserve">「</t>
    </r>
    <r>
      <rPr>
        <sz val="10"/>
        <color rgb="FF000000"/>
        <rFont val="Arial"/>
        <family val="0"/>
        <charset val="1"/>
      </rPr>
      <t xml:space="preserve">all system power (including networking and storage)</t>
    </r>
    <r>
      <rPr>
        <sz val="10"/>
        <color rgb="FF000000"/>
        <rFont val="Noto Sans CJK SC"/>
        <family val="2"/>
      </rPr>
      <t xml:space="preserve">」約 </t>
    </r>
    <r>
      <rPr>
        <sz val="10"/>
        <color rgb="FF000000"/>
        <rFont val="Arial"/>
        <family val="0"/>
        <charset val="1"/>
      </rPr>
      <t xml:space="preserve">559kW</t>
    </r>
    <r>
      <rPr>
        <sz val="10"/>
        <color rgb="FF000000"/>
        <rFont val="Noto Sans CJK SC"/>
        <family val="2"/>
      </rPr>
      <t xml:space="preserve">；</t>
    </r>
    <r>
      <rPr>
        <sz val="10"/>
        <color rgb="FF000000"/>
        <rFont val="Arial"/>
        <family val="0"/>
        <charset val="1"/>
      </rPr>
      <t xml:space="preserve">The Register </t>
    </r>
    <r>
      <rPr>
        <sz val="10"/>
        <color rgb="FF000000"/>
        <rFont val="Noto Sans CJK SC"/>
        <family val="2"/>
      </rPr>
      <t xml:space="preserve">引 </t>
    </r>
    <r>
      <rPr>
        <sz val="10"/>
        <color rgb="FF000000"/>
        <rFont val="Arial"/>
        <family val="0"/>
        <charset val="1"/>
      </rPr>
      <t xml:space="preserve">SemiAnalysis</t>
    </r>
    <r>
      <rPr>
        <sz val="10"/>
        <color rgb="FF000000"/>
        <rFont val="Noto Sans CJK SC"/>
        <family val="2"/>
      </rPr>
      <t xml:space="preserve">「</t>
    </r>
    <r>
      <rPr>
        <sz val="10"/>
        <color rgb="FF000000"/>
        <rFont val="Arial"/>
        <family val="0"/>
        <charset val="1"/>
      </rPr>
      <t xml:space="preserve">~600 kW all in</t>
    </r>
    <r>
      <rPr>
        <sz val="10"/>
        <color rgb="FF000000"/>
        <rFont val="Noto Sans CJK SC"/>
        <family val="2"/>
      </rPr>
      <t xml:space="preserve">」；少數派亦 </t>
    </r>
    <r>
      <rPr>
        <sz val="10"/>
        <color rgb="FF000000"/>
        <rFont val="Arial"/>
        <family val="0"/>
        <charset val="1"/>
      </rPr>
      <t xml:space="preserve">559kW </t>
    </r>
    <r>
      <rPr>
        <sz val="10"/>
        <color rgb="FF000000"/>
        <rFont val="Noto Sans CJK SC"/>
        <family val="2"/>
      </rPr>
      <t xml:space="preserve">未註源。【所有來源皆追溯至 </t>
    </r>
    <r>
      <rPr>
        <sz val="10"/>
        <color rgb="FF000000"/>
        <rFont val="Arial"/>
        <family val="0"/>
        <charset val="1"/>
      </rPr>
      <t xml:space="preserve">SemiAnalysis</t>
    </r>
    <r>
      <rPr>
        <sz val="10"/>
        <color rgb="FF000000"/>
        <rFont val="Noto Sans CJK SC"/>
        <family val="2"/>
      </rPr>
      <t xml:space="preserve">，依規則不可單獨引用，暫不入模型】</t>
    </r>
  </si>
  <si>
    <t xml:space="preserve">SRC_ZP_484</t>
  </si>
  <si>
    <t xml:space="preserve">perf_cm384_vs_nvl72_power</t>
  </si>
  <si>
    <r>
      <rPr>
        <sz val="10"/>
        <color rgb="FF000000"/>
        <rFont val="Arial"/>
        <family val="0"/>
        <charset val="1"/>
      </rPr>
      <t xml:space="preserve">CloudMatrix 384 </t>
    </r>
    <r>
      <rPr>
        <sz val="10"/>
        <color rgb="FF000000"/>
        <rFont val="Noto Sans CJK SC"/>
        <family val="2"/>
      </rPr>
      <t xml:space="preserve">功耗／</t>
    </r>
    <r>
      <rPr>
        <sz val="10"/>
        <color rgb="FF000000"/>
        <rFont val="Arial"/>
        <family val="0"/>
        <charset val="1"/>
      </rPr>
      <t xml:space="preserve">GB200 NVL72</t>
    </r>
  </si>
  <si>
    <r>
      <rPr>
        <sz val="10"/>
        <color rgb="FF000000"/>
        <rFont val="Arial"/>
        <family val="0"/>
        <charset val="1"/>
      </rPr>
      <t xml:space="preserve">559kW vs </t>
    </r>
    <r>
      <rPr>
        <sz val="10"/>
        <color rgb="FF000000"/>
        <rFont val="Noto Sans CJK SC"/>
        <family val="2"/>
      </rPr>
      <t xml:space="preserve">約 </t>
    </r>
    <r>
      <rPr>
        <sz val="10"/>
        <color rgb="FF000000"/>
        <rFont val="Arial"/>
        <family val="0"/>
        <charset val="1"/>
      </rPr>
      <t xml:space="preserve">145kW</t>
    </r>
    <r>
      <rPr>
        <sz val="10"/>
        <color rgb="FF000000"/>
        <rFont val="Noto Sans CJK SC"/>
        <family val="2"/>
      </rPr>
      <t xml:space="preserve">；每 </t>
    </r>
    <r>
      <rPr>
        <sz val="10"/>
        <color rgb="FF000000"/>
        <rFont val="Arial"/>
        <family val="0"/>
        <charset val="1"/>
      </rPr>
      <t xml:space="preserve">TFLOP </t>
    </r>
    <r>
      <rPr>
        <sz val="10"/>
        <color rgb="FF000000"/>
        <rFont val="Noto Sans CJK SC"/>
        <family val="2"/>
      </rPr>
      <t xml:space="preserve">功耗差 </t>
    </r>
    <r>
      <rPr>
        <sz val="10"/>
        <color rgb="FF000000"/>
        <rFont val="Arial"/>
        <family val="0"/>
        <charset val="1"/>
      </rPr>
      <t xml:space="preserve">2.3×</t>
    </r>
    <r>
      <rPr>
        <sz val="10"/>
        <color rgb="FF000000"/>
        <rFont val="Noto Sans CJK SC"/>
        <family val="2"/>
      </rPr>
      <t xml:space="preserve">（</t>
    </r>
    <r>
      <rPr>
        <sz val="10"/>
        <color rgb="FF000000"/>
        <rFont val="Arial"/>
        <family val="0"/>
        <charset val="1"/>
      </rPr>
      <t xml:space="preserve">1.87 vs 0.81 W/TFLOP</t>
    </r>
    <r>
      <rPr>
        <sz val="10"/>
        <color rgb="FF000000"/>
        <rFont val="Noto Sans CJK SC"/>
        <family val="2"/>
      </rPr>
      <t xml:space="preserve">）。【僅 </t>
    </r>
    <r>
      <rPr>
        <sz val="10"/>
        <color rgb="FF000000"/>
        <rFont val="Arial"/>
        <family val="0"/>
        <charset val="1"/>
      </rPr>
      <t xml:space="preserve">SemiAnalysis </t>
    </r>
    <r>
      <rPr>
        <sz val="10"/>
        <color rgb="FF000000"/>
        <rFont val="Noto Sans CJK SC"/>
        <family val="2"/>
      </rPr>
      <t xml:space="preserve">源頭，不可單獨引用】</t>
    </r>
  </si>
  <si>
    <t xml:space="preserve">SRC_ZP_485</t>
  </si>
  <si>
    <t xml:space="preserve">perf_cm384_decode_per_npu</t>
  </si>
  <si>
    <r>
      <rPr>
        <sz val="10"/>
        <color rgb="FF000000"/>
        <rFont val="Arial"/>
        <family val="0"/>
        <charset val="1"/>
      </rPr>
      <t xml:space="preserve">CloudMatrix384 DeepSeek-R1 </t>
    </r>
    <r>
      <rPr>
        <sz val="10"/>
        <color rgb="FF000000"/>
        <rFont val="Noto Sans CJK SC"/>
        <family val="2"/>
      </rPr>
      <t xml:space="preserve">解碼吞吐（每 </t>
    </r>
    <r>
      <rPr>
        <sz val="10"/>
        <color rgb="FF000000"/>
        <rFont val="Arial"/>
        <family val="0"/>
        <charset val="1"/>
      </rPr>
      <t xml:space="preserve">NPU</t>
    </r>
    <r>
      <rPr>
        <sz val="10"/>
        <color rgb="FF000000"/>
        <rFont val="Noto Sans CJK SC"/>
        <family val="2"/>
      </rPr>
      <t xml:space="preserve">）</t>
    </r>
  </si>
  <si>
    <r>
      <rPr>
        <sz val="10"/>
        <color rgb="FF000000"/>
        <rFont val="Arial"/>
        <family val="0"/>
        <charset val="1"/>
      </rPr>
      <t xml:space="preserve">token</t>
    </r>
    <r>
      <rPr>
        <sz val="10"/>
        <color rgb="FF000000"/>
        <rFont val="Noto Sans CJK SC"/>
        <family val="2"/>
      </rPr>
      <t xml:space="preserve">／秒／</t>
    </r>
    <r>
      <rPr>
        <sz val="10"/>
        <color rgb="FF000000"/>
        <rFont val="Arial"/>
        <family val="0"/>
        <charset val="1"/>
      </rPr>
      <t xml:space="preserve">NPU</t>
    </r>
  </si>
  <si>
    <t xml:space="preserve">2025-06</t>
  </si>
  <si>
    <r>
      <rPr>
        <sz val="10"/>
        <color rgb="FF000000"/>
        <rFont val="Noto Sans CJK SC"/>
        <family val="2"/>
      </rPr>
      <t xml:space="preserve">華為 </t>
    </r>
    <r>
      <rPr>
        <sz val="10"/>
        <color rgb="FF000000"/>
        <rFont val="Arial"/>
        <family val="0"/>
        <charset val="1"/>
      </rPr>
      <t xml:space="preserve">CloudMatrix-Infer </t>
    </r>
    <r>
      <rPr>
        <sz val="10"/>
        <color rgb="FF000000"/>
        <rFont val="Noto Sans CJK SC"/>
        <family val="2"/>
      </rPr>
      <t xml:space="preserve">論文（</t>
    </r>
    <r>
      <rPr>
        <sz val="10"/>
        <color rgb="FF000000"/>
        <rFont val="Arial"/>
        <family val="0"/>
        <charset val="1"/>
      </rPr>
      <t xml:space="preserve">arXiv 2506.12708</t>
    </r>
    <r>
      <rPr>
        <sz val="10"/>
        <color rgb="FF000000"/>
        <rFont val="Noto Sans CJK SC"/>
        <family val="2"/>
      </rPr>
      <t xml:space="preserve">）</t>
    </r>
  </si>
  <si>
    <t xml:space="preserve">https://arxiv.org/abs/2506.12708v1</t>
  </si>
  <si>
    <t xml:space="preserve">2025-06-15</t>
  </si>
  <si>
    <t xml:space="preserve">華為：自家硬體宣傳誘因</t>
  </si>
  <si>
    <r>
      <rPr>
        <sz val="10"/>
        <color rgb="FF000000"/>
        <rFont val="Noto Sans CJK SC"/>
        <family val="2"/>
      </rPr>
      <t xml:space="preserve">摘要「</t>
    </r>
    <r>
      <rPr>
        <sz val="10"/>
        <color rgb="FF000000"/>
        <rFont val="Arial"/>
        <family val="0"/>
        <charset val="1"/>
      </rPr>
      <t xml:space="preserve">prefill throughput of 6,688 tokens/s per NPU and decode throughput of 1,943 tokens/s per NPU (&lt;50 ms TPOT)</t>
    </r>
    <r>
      <rPr>
        <sz val="10"/>
        <color rgb="FF000000"/>
        <rFont val="Noto Sans CJK SC"/>
        <family val="2"/>
      </rPr>
      <t xml:space="preserve">」；</t>
    </r>
    <r>
      <rPr>
        <sz val="10"/>
        <color rgb="FF000000"/>
        <rFont val="Arial"/>
        <family val="0"/>
        <charset val="1"/>
      </rPr>
      <t xml:space="preserve">15ms </t>
    </r>
    <r>
      <rPr>
        <sz val="10"/>
        <color rgb="FF000000"/>
        <rFont val="Noto Sans CJK SC"/>
        <family val="2"/>
      </rPr>
      <t xml:space="preserve">約束下 </t>
    </r>
    <r>
      <rPr>
        <sz val="10"/>
        <color rgb="FF000000"/>
        <rFont val="Arial"/>
        <family val="0"/>
        <charset val="1"/>
      </rPr>
      <t xml:space="preserve">538</t>
    </r>
    <r>
      <rPr>
        <sz val="10"/>
        <color rgb="FF000000"/>
        <rFont val="Noto Sans CJK SC"/>
        <family val="2"/>
      </rPr>
      <t xml:space="preserve">；</t>
    </r>
    <r>
      <rPr>
        <sz val="10"/>
        <color rgb="FF000000"/>
        <rFont val="Arial"/>
        <family val="0"/>
        <charset val="1"/>
      </rPr>
      <t xml:space="preserve">INT8</t>
    </r>
  </si>
  <si>
    <t xml:space="preserve">SRC_ZP_486</t>
  </si>
  <si>
    <t xml:space="preserve">perf_cm384_vs_h800_eff</t>
  </si>
  <si>
    <r>
      <rPr>
        <sz val="10"/>
        <color rgb="FF000000"/>
        <rFont val="Arial"/>
        <family val="0"/>
        <charset val="1"/>
      </rPr>
      <t xml:space="preserve">CloudMatrix384 </t>
    </r>
    <r>
      <rPr>
        <sz val="10"/>
        <color rgb="FF000000"/>
        <rFont val="Noto Sans CJK SC"/>
        <family val="2"/>
      </rPr>
      <t xml:space="preserve">計算效率對 </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prefill</t>
    </r>
    <r>
      <rPr>
        <sz val="10"/>
        <color rgb="FF000000"/>
        <rFont val="Noto Sans CJK SC"/>
        <family val="2"/>
      </rPr>
      <t xml:space="preserve">）</t>
    </r>
  </si>
  <si>
    <r>
      <rPr>
        <sz val="10"/>
        <color rgb="FF000000"/>
        <rFont val="Arial"/>
        <family val="0"/>
        <charset val="1"/>
      </rPr>
      <t xml:space="preserve">token</t>
    </r>
    <r>
      <rPr>
        <sz val="10"/>
        <color rgb="FF000000"/>
        <rFont val="Noto Sans CJK SC"/>
        <family val="2"/>
      </rPr>
      <t xml:space="preserve">／秒／</t>
    </r>
    <r>
      <rPr>
        <sz val="10"/>
        <color rgb="FF000000"/>
        <rFont val="Arial"/>
        <family val="0"/>
        <charset val="1"/>
      </rPr>
      <t xml:space="preserve">TFLOPS</t>
    </r>
  </si>
  <si>
    <r>
      <rPr>
        <sz val="10"/>
        <color rgb="FF000000"/>
        <rFont val="Arial"/>
        <family val="0"/>
        <charset val="1"/>
      </rPr>
      <t xml:space="preserve">The Register</t>
    </r>
    <r>
      <rPr>
        <sz val="10"/>
        <color rgb="FF000000"/>
        <rFont val="Noto Sans CJK SC"/>
        <family val="2"/>
      </rPr>
      <t xml:space="preserve">（</t>
    </r>
    <r>
      <rPr>
        <sz val="10"/>
        <color rgb="FF000000"/>
        <rFont val="Arial"/>
        <family val="0"/>
        <charset val="1"/>
      </rPr>
      <t xml:space="preserve">2025-07-29</t>
    </r>
    <r>
      <rPr>
        <sz val="10"/>
        <color rgb="FF000000"/>
        <rFont val="Noto Sans CJK SC"/>
        <family val="2"/>
      </rPr>
      <t xml:space="preserve">，轉述華為論文）</t>
    </r>
  </si>
  <si>
    <t xml:space="preserve">華為論文自述</t>
  </si>
  <si>
    <r>
      <rPr>
        <sz val="10"/>
        <color rgb="FF000000"/>
        <rFont val="Noto Sans CJK SC"/>
        <family val="2"/>
      </rPr>
      <t xml:space="preserve">原文「</t>
    </r>
    <r>
      <rPr>
        <sz val="10"/>
        <color rgb="FF000000"/>
        <rFont val="Arial"/>
        <family val="0"/>
        <charset val="1"/>
      </rPr>
      <t xml:space="preserve">4.5 tokens/sec per teraFLOPS, just ahead of Nvidia’s H800 at 3.96</t>
    </r>
    <r>
      <rPr>
        <sz val="10"/>
        <color rgb="FF000000"/>
        <rFont val="Noto Sans CJK SC"/>
        <family val="2"/>
      </rPr>
      <t xml:space="preserve">」；</t>
    </r>
    <r>
      <rPr>
        <sz val="10"/>
        <color rgb="FF000000"/>
        <rFont val="Arial"/>
        <family val="0"/>
        <charset val="1"/>
      </rPr>
      <t xml:space="preserve">decode</t>
    </r>
    <r>
      <rPr>
        <sz val="10"/>
        <color rgb="FF000000"/>
        <rFont val="Noto Sans CJK SC"/>
        <family val="2"/>
      </rPr>
      <t xml:space="preserve">「</t>
    </r>
    <r>
      <rPr>
        <sz val="10"/>
        <color rgb="FF000000"/>
        <rFont val="Arial"/>
        <family val="0"/>
        <charset val="1"/>
      </rPr>
      <t xml:space="preserve">roughly 10 percent lead over Nvidia’s H800</t>
    </r>
    <r>
      <rPr>
        <sz val="10"/>
        <color rgb="FF000000"/>
        <rFont val="Noto Sans CJK SC"/>
        <family val="2"/>
      </rPr>
      <t xml:space="preserve">」；為每 </t>
    </r>
    <r>
      <rPr>
        <sz val="10"/>
        <color rgb="FF000000"/>
        <rFont val="Arial"/>
        <family val="0"/>
        <charset val="1"/>
      </rPr>
      <t xml:space="preserve">TFLOPS </t>
    </r>
    <r>
      <rPr>
        <sz val="10"/>
        <color rgb="FF000000"/>
        <rFont val="Noto Sans CJK SC"/>
        <family val="2"/>
      </rPr>
      <t xml:space="preserve">效率，非每卡</t>
    </r>
  </si>
  <si>
    <t xml:space="preserve">SRC_ZP_487</t>
  </si>
  <si>
    <t xml:space="preserve">perf_h20_bf16</t>
  </si>
  <si>
    <r>
      <rPr>
        <sz val="10"/>
        <color rgb="FF000000"/>
        <rFont val="Arial"/>
        <family val="0"/>
        <charset val="1"/>
      </rPr>
      <t xml:space="preserve">H20 BF16 </t>
    </r>
    <r>
      <rPr>
        <sz val="10"/>
        <color rgb="FF000000"/>
        <rFont val="Noto Sans CJK SC"/>
        <family val="2"/>
      </rPr>
      <t xml:space="preserve">稠密算力</t>
    </r>
  </si>
  <si>
    <t xml:space="preserve">2024-02</t>
  </si>
  <si>
    <r>
      <rPr>
        <sz val="10"/>
        <color rgb="FF000000"/>
        <rFont val="Arial"/>
        <family val="0"/>
        <charset val="1"/>
      </rPr>
      <t xml:space="preserve">Tom's Hardware</t>
    </r>
    <r>
      <rPr>
        <sz val="10"/>
        <color rgb="FF000000"/>
        <rFont val="Noto Sans CJK SC"/>
        <family val="2"/>
      </rPr>
      <t xml:space="preserve">（</t>
    </r>
    <r>
      <rPr>
        <sz val="10"/>
        <color rgb="FF000000"/>
        <rFont val="Arial"/>
        <family val="0"/>
        <charset val="1"/>
      </rPr>
      <t xml:space="preserve">2024-02-01</t>
    </r>
    <r>
      <rPr>
        <sz val="10"/>
        <color rgb="FF000000"/>
        <rFont val="Noto Sans CJK SC"/>
        <family val="2"/>
      </rPr>
      <t xml:space="preserve">）</t>
    </r>
  </si>
  <si>
    <t xml:space="preserve">https://tomshardware.com/pc-components/gpus/new-nvidia-ai-gpus-designed-to-get-around-us-export-bans-come-to-china-h20-l20-and-l2-to-fill-void-left-by-restricted-models</t>
  </si>
  <si>
    <t xml:space="preserve">2024-02-01</t>
  </si>
  <si>
    <r>
      <rPr>
        <sz val="10"/>
        <color rgb="FF000000"/>
        <rFont val="Arial"/>
        <family val="0"/>
        <charset val="1"/>
      </rPr>
      <t xml:space="preserve">BF16 148</t>
    </r>
    <r>
      <rPr>
        <sz val="10"/>
        <color rgb="FF000000"/>
        <rFont val="Noto Sans CJK SC"/>
        <family val="2"/>
      </rPr>
      <t xml:space="preserve">、</t>
    </r>
    <r>
      <rPr>
        <sz val="10"/>
        <color rgb="FF000000"/>
        <rFont val="Arial"/>
        <family val="0"/>
        <charset val="1"/>
      </rPr>
      <t xml:space="preserve">FP8 296 TFLOPS</t>
    </r>
    <r>
      <rPr>
        <sz val="10"/>
        <color rgb="FF000000"/>
        <rFont val="Noto Sans CJK SC"/>
        <family val="2"/>
      </rPr>
      <t xml:space="preserve">，</t>
    </r>
    <r>
      <rPr>
        <sz val="10"/>
        <color rgb="FF000000"/>
        <rFont val="Arial"/>
        <family val="0"/>
        <charset val="1"/>
      </rPr>
      <t xml:space="preserve">96GB HBM3</t>
    </r>
    <r>
      <rPr>
        <sz val="10"/>
        <color rgb="FF000000"/>
        <rFont val="Noto Sans CJK SC"/>
        <family val="2"/>
      </rPr>
      <t xml:space="preserve">、</t>
    </r>
    <r>
      <rPr>
        <sz val="10"/>
        <color rgb="FF000000"/>
        <rFont val="Arial"/>
        <family val="0"/>
        <charset val="1"/>
      </rPr>
      <t xml:space="preserve">4.0TB/s</t>
    </r>
    <r>
      <rPr>
        <sz val="10"/>
        <color rgb="FF000000"/>
        <rFont val="Noto Sans CJK SC"/>
        <family val="2"/>
      </rPr>
      <t xml:space="preserve">、</t>
    </r>
    <r>
      <rPr>
        <sz val="10"/>
        <color rgb="FF000000"/>
        <rFont val="Arial"/>
        <family val="0"/>
        <charset val="1"/>
      </rPr>
      <t xml:space="preserve">TDP 400W</t>
    </r>
  </si>
  <si>
    <t xml:space="preserve">SRC_ZP_488</t>
  </si>
  <si>
    <t xml:space="preserve">perf_h100_bf16_sparse</t>
  </si>
  <si>
    <r>
      <rPr>
        <sz val="10"/>
        <color rgb="FF000000"/>
        <rFont val="Arial"/>
        <family val="0"/>
        <charset val="1"/>
      </rPr>
      <t xml:space="preserve">H100 SXM BF16 </t>
    </r>
    <r>
      <rPr>
        <sz val="10"/>
        <color rgb="FF000000"/>
        <rFont val="Noto Sans CJK SC"/>
        <family val="2"/>
      </rPr>
      <t xml:space="preserve">峰值（含稀疏）</t>
    </r>
  </si>
  <si>
    <t xml:space="preserve">—</t>
  </si>
  <si>
    <r>
      <rPr>
        <sz val="10"/>
        <color rgb="FF000000"/>
        <rFont val="Arial"/>
        <family val="0"/>
        <charset val="1"/>
      </rPr>
      <t xml:space="preserve">Lenovo Press LP1732</t>
    </r>
    <r>
      <rPr>
        <sz val="10"/>
        <color rgb="FF000000"/>
        <rFont val="Noto Sans CJK SC"/>
        <family val="2"/>
      </rPr>
      <t xml:space="preserve">（</t>
    </r>
    <r>
      <rPr>
        <sz val="10"/>
        <color rgb="FF000000"/>
        <rFont val="Arial"/>
        <family val="0"/>
        <charset val="1"/>
      </rPr>
      <t xml:space="preserve">H100 </t>
    </r>
    <r>
      <rPr>
        <sz val="10"/>
        <color rgb="FF000000"/>
        <rFont val="Noto Sans CJK SC"/>
        <family val="2"/>
      </rPr>
      <t xml:space="preserve">規格）</t>
    </r>
  </si>
  <si>
    <t xml:space="preserve">https://lenovopress.lenovo.com/lp1732.pdf</t>
  </si>
  <si>
    <r>
      <rPr>
        <sz val="10"/>
        <color rgb="FF000000"/>
        <rFont val="Noto Sans CJK SC"/>
        <family val="2"/>
      </rPr>
      <t xml:space="preserve">原文「</t>
    </r>
    <r>
      <rPr>
        <sz val="10"/>
        <color rgb="FF000000"/>
        <rFont val="Arial"/>
        <family val="0"/>
        <charset val="1"/>
      </rPr>
      <t xml:space="preserve">Peak Bfloat16 (BF16) performance: 1,979 TFLOPS*</t>
    </r>
    <r>
      <rPr>
        <sz val="10"/>
        <color rgb="FF000000"/>
        <rFont val="Noto Sans CJK SC"/>
        <family val="2"/>
      </rPr>
      <t xml:space="preserve">」</t>
    </r>
    <r>
      <rPr>
        <sz val="10"/>
        <color rgb="FF000000"/>
        <rFont val="Arial"/>
        <family val="0"/>
        <charset val="1"/>
      </rPr>
      <t xml:space="preserve">*</t>
    </r>
    <r>
      <rPr>
        <sz val="10"/>
        <color rgb="FF000000"/>
        <rFont val="Noto Sans CJK SC"/>
        <family val="2"/>
      </rPr>
      <t xml:space="preserve">＝</t>
    </r>
    <r>
      <rPr>
        <sz val="10"/>
        <color rgb="FF000000"/>
        <rFont val="Arial"/>
        <family val="0"/>
        <charset val="1"/>
      </rPr>
      <t xml:space="preserve">structural sparsity</t>
    </r>
    <r>
      <rPr>
        <sz val="10"/>
        <color rgb="FF000000"/>
        <rFont val="Noto Sans CJK SC"/>
        <family val="2"/>
      </rPr>
      <t xml:space="preserve">；稠密＝</t>
    </r>
    <r>
      <rPr>
        <sz val="10"/>
        <color rgb="FF000000"/>
        <rFont val="Arial"/>
        <family val="0"/>
        <charset val="1"/>
      </rPr>
      <t xml:space="preserve">÷2</t>
    </r>
    <r>
      <rPr>
        <sz val="10"/>
        <color rgb="FF000000"/>
        <rFont val="Noto Sans CJK SC"/>
        <family val="2"/>
      </rPr>
      <t xml:space="preserve">＝</t>
    </r>
    <r>
      <rPr>
        <sz val="10"/>
        <color rgb="FF000000"/>
        <rFont val="Arial"/>
        <family val="0"/>
        <charset val="1"/>
      </rPr>
      <t xml:space="preserve">989.5</t>
    </r>
    <r>
      <rPr>
        <sz val="10"/>
        <color rgb="FF000000"/>
        <rFont val="Noto Sans CJK SC"/>
        <family val="2"/>
      </rPr>
      <t xml:space="preserve">；</t>
    </r>
    <r>
      <rPr>
        <sz val="10"/>
        <color rgb="FF000000"/>
        <rFont val="Arial"/>
        <family val="0"/>
        <charset val="1"/>
      </rPr>
      <t xml:space="preserve">TDP 700W</t>
    </r>
  </si>
  <si>
    <t xml:space="preserve">SRC_ZP_489</t>
  </si>
  <si>
    <t xml:space="preserve">perf_h20_vs_h100_compute</t>
  </si>
  <si>
    <r>
      <rPr>
        <sz val="10"/>
        <color rgb="FF000000"/>
        <rFont val="Arial"/>
        <family val="0"/>
        <charset val="1"/>
      </rPr>
      <t xml:space="preserve">H20 </t>
    </r>
    <r>
      <rPr>
        <sz val="10"/>
        <color rgb="FF000000"/>
        <rFont val="Noto Sans CJK SC"/>
        <family val="2"/>
      </rPr>
      <t xml:space="preserve">算力／</t>
    </r>
    <r>
      <rPr>
        <sz val="10"/>
        <color rgb="FF000000"/>
        <rFont val="Arial"/>
        <family val="0"/>
        <charset val="1"/>
      </rPr>
      <t xml:space="preserve">H100</t>
    </r>
    <r>
      <rPr>
        <sz val="10"/>
        <color rgb="FF000000"/>
        <rFont val="Noto Sans CJK SC"/>
        <family val="2"/>
      </rPr>
      <t xml:space="preserve">（</t>
    </r>
    <r>
      <rPr>
        <sz val="10"/>
        <color rgb="FF000000"/>
        <rFont val="Arial"/>
        <family val="0"/>
        <charset val="1"/>
      </rPr>
      <t xml:space="preserve">BF16 </t>
    </r>
    <r>
      <rPr>
        <sz val="10"/>
        <color rgb="FF000000"/>
        <rFont val="Noto Sans CJK SC"/>
        <family val="2"/>
      </rPr>
      <t xml:space="preserve">稠密）</t>
    </r>
  </si>
  <si>
    <r>
      <rPr>
        <sz val="10"/>
        <color rgb="FF000000"/>
        <rFont val="Noto Sans CJK SC"/>
        <family val="2"/>
      </rPr>
      <t xml:space="preserve">由 </t>
    </r>
    <r>
      <rPr>
        <sz val="10"/>
        <color rgb="FF000000"/>
        <rFont val="Arial"/>
        <family val="0"/>
        <charset val="1"/>
      </rPr>
      <t xml:space="preserve">perf_h20_bf16 ÷</t>
    </r>
    <r>
      <rPr>
        <sz val="10"/>
        <color rgb="FF000000"/>
        <rFont val="Noto Sans CJK SC"/>
        <family val="2"/>
      </rPr>
      <t xml:space="preserve">（</t>
    </r>
    <r>
      <rPr>
        <sz val="10"/>
        <color rgb="FF000000"/>
        <rFont val="Arial"/>
        <family val="0"/>
        <charset val="1"/>
      </rPr>
      <t xml:space="preserve">perf_h100_bf16_sparse÷2</t>
    </r>
    <r>
      <rPr>
        <sz val="10"/>
        <color rgb="FF000000"/>
        <rFont val="Noto Sans CJK SC"/>
        <family val="2"/>
      </rPr>
      <t xml:space="preserve">）</t>
    </r>
  </si>
  <si>
    <r>
      <rPr>
        <sz val="10"/>
        <color rgb="FF000000"/>
        <rFont val="Arial"/>
        <family val="0"/>
        <charset val="1"/>
      </rPr>
      <t xml:space="preserve">148÷989.5</t>
    </r>
    <r>
      <rPr>
        <sz val="10"/>
        <color rgb="FF000000"/>
        <rFont val="Noto Sans CJK SC"/>
        <family val="2"/>
      </rPr>
      <t xml:space="preserve">＝</t>
    </r>
    <r>
      <rPr>
        <sz val="10"/>
        <color rgb="FF000000"/>
        <rFont val="Arial"/>
        <family val="0"/>
        <charset val="1"/>
      </rPr>
      <t xml:space="preserve">0.150</t>
    </r>
    <r>
      <rPr>
        <sz val="10"/>
        <color rgb="FF000000"/>
        <rFont val="Noto Sans CJK SC"/>
        <family val="2"/>
      </rPr>
      <t xml:space="preserve">；頻寬 </t>
    </r>
    <r>
      <rPr>
        <sz val="10"/>
        <color rgb="FF000000"/>
        <rFont val="Arial"/>
        <family val="0"/>
        <charset val="1"/>
      </rPr>
      <t xml:space="preserve">4.0÷3.35</t>
    </r>
    <r>
      <rPr>
        <sz val="10"/>
        <color rgb="FF000000"/>
        <rFont val="Noto Sans CJK SC"/>
        <family val="2"/>
      </rPr>
      <t xml:space="preserve">＝</t>
    </r>
    <r>
      <rPr>
        <sz val="10"/>
        <color rgb="FF000000"/>
        <rFont val="Arial"/>
        <family val="0"/>
        <charset val="1"/>
      </rPr>
      <t xml:space="preserve">1.19</t>
    </r>
    <r>
      <rPr>
        <sz val="10"/>
        <color rgb="FF000000"/>
        <rFont val="Noto Sans CJK SC"/>
        <family val="2"/>
      </rPr>
      <t xml:space="preserve">（</t>
    </r>
    <r>
      <rPr>
        <sz val="10"/>
        <color rgb="FF000000"/>
        <rFont val="Arial"/>
        <family val="0"/>
        <charset val="1"/>
      </rPr>
      <t xml:space="preserve">H20 </t>
    </r>
    <r>
      <rPr>
        <sz val="10"/>
        <color rgb="FF000000"/>
        <rFont val="Noto Sans CJK SC"/>
        <family val="2"/>
      </rPr>
      <t xml:space="preserve">較高）；</t>
    </r>
    <r>
      <rPr>
        <sz val="10"/>
        <color rgb="FF000000"/>
        <rFont val="Arial"/>
        <family val="0"/>
        <charset val="1"/>
      </rPr>
      <t xml:space="preserve">decode </t>
    </r>
    <r>
      <rPr>
        <sz val="10"/>
        <color rgb="FF000000"/>
        <rFont val="Noto Sans CJK SC"/>
        <family val="2"/>
      </rPr>
      <t xml:space="preserve">受頻寬限制，故推論比遠高於 </t>
    </r>
    <r>
      <rPr>
        <sz val="10"/>
        <color rgb="FF000000"/>
        <rFont val="Arial"/>
        <family val="0"/>
        <charset val="1"/>
      </rPr>
      <t xml:space="preserve">0.15</t>
    </r>
  </si>
  <si>
    <t xml:space="preserve">SRC_ZP_490</t>
  </si>
  <si>
    <t xml:space="preserve">perf_h20_vs_h100_inf</t>
  </si>
  <si>
    <r>
      <rPr>
        <sz val="10"/>
        <color rgb="FF000000"/>
        <rFont val="Arial"/>
        <family val="0"/>
        <charset val="1"/>
      </rPr>
      <t xml:space="preserve">H20 </t>
    </r>
    <r>
      <rPr>
        <sz val="10"/>
        <color rgb="FF000000"/>
        <rFont val="Noto Sans CJK SC"/>
        <family val="2"/>
      </rPr>
      <t xml:space="preserve">推論吞吐／</t>
    </r>
    <r>
      <rPr>
        <sz val="10"/>
        <color rgb="FF000000"/>
        <rFont val="Arial"/>
        <family val="0"/>
        <charset val="1"/>
      </rPr>
      <t xml:space="preserve">H100</t>
    </r>
    <r>
      <rPr>
        <sz val="10"/>
        <color rgb="FF000000"/>
        <rFont val="Noto Sans CJK SC"/>
        <family val="2"/>
      </rPr>
      <t xml:space="preserve">（</t>
    </r>
    <r>
      <rPr>
        <sz val="10"/>
        <color rgb="FF000000"/>
        <rFont val="Arial"/>
        <family val="0"/>
        <charset val="1"/>
      </rPr>
      <t xml:space="preserve">Llama2-70B </t>
    </r>
    <r>
      <rPr>
        <sz val="10"/>
        <color rgb="FF000000"/>
        <rFont val="Noto Sans CJK SC"/>
        <family val="2"/>
      </rPr>
      <t xml:space="preserve">估計）</t>
    </r>
  </si>
  <si>
    <r>
      <rPr>
        <sz val="10"/>
        <color rgb="FF000000"/>
        <rFont val="Arial"/>
        <family val="0"/>
        <charset val="1"/>
      </rPr>
      <t xml:space="preserve">DatabaseMart</t>
    </r>
    <r>
      <rPr>
        <sz val="10"/>
        <color rgb="FF000000"/>
        <rFont val="Noto Sans CJK SC"/>
        <family val="2"/>
      </rPr>
      <t xml:space="preserve">〈</t>
    </r>
    <r>
      <rPr>
        <sz val="10"/>
        <color rgb="FF000000"/>
        <rFont val="Arial"/>
        <family val="0"/>
        <charset val="1"/>
      </rPr>
      <t xml:space="preserve">H20 vs H100</t>
    </r>
    <r>
      <rPr>
        <sz val="10"/>
        <color rgb="FF000000"/>
        <rFont val="Noto Sans CJK SC"/>
        <family val="2"/>
      </rPr>
      <t xml:space="preserve">〉</t>
    </r>
  </si>
  <si>
    <t xml:space="preserve">https://www.databasemart.com/blog/nvidia-h20-vs-nvidia-h100</t>
  </si>
  <si>
    <t xml:space="preserve">2026-08-25</t>
  </si>
  <si>
    <r>
      <rPr>
        <sz val="10"/>
        <color rgb="FF000000"/>
        <rFont val="Arial"/>
        <family val="0"/>
        <charset val="1"/>
      </rPr>
      <t xml:space="preserve">H100 </t>
    </r>
    <r>
      <rPr>
        <sz val="10"/>
        <color rgb="FF000000"/>
        <rFont val="Noto Sans CJK SC"/>
        <family val="2"/>
      </rPr>
      <t xml:space="preserve">約 </t>
    </r>
    <r>
      <rPr>
        <sz val="10"/>
        <color rgb="FF000000"/>
        <rFont val="Arial"/>
        <family val="0"/>
        <charset val="1"/>
      </rPr>
      <t xml:space="preserve">21,500–23,000 token/s</t>
    </r>
    <r>
      <rPr>
        <sz val="10"/>
        <color rgb="FF000000"/>
        <rFont val="Noto Sans CJK SC"/>
        <family val="2"/>
      </rPr>
      <t xml:space="preserve">（</t>
    </r>
    <r>
      <rPr>
        <sz val="10"/>
        <color rgb="FF000000"/>
        <rFont val="Arial"/>
        <family val="0"/>
        <charset val="1"/>
      </rPr>
      <t xml:space="preserve">MLPerf</t>
    </r>
    <r>
      <rPr>
        <sz val="10"/>
        <color rgb="FF000000"/>
        <rFont val="Noto Sans CJK SC"/>
        <family val="2"/>
      </rPr>
      <t xml:space="preserve">），</t>
    </r>
    <r>
      <rPr>
        <sz val="10"/>
        <color rgb="FF000000"/>
        <rFont val="Arial"/>
        <family val="0"/>
        <charset val="1"/>
      </rPr>
      <t xml:space="preserve">H20 </t>
    </r>
    <r>
      <rPr>
        <sz val="10"/>
        <color rgb="FF000000"/>
        <rFont val="Noto Sans CJK SC"/>
        <family val="2"/>
      </rPr>
      <t xml:space="preserve">約 </t>
    </r>
    <r>
      <rPr>
        <sz val="10"/>
        <color rgb="FF000000"/>
        <rFont val="Arial"/>
        <family val="0"/>
        <charset val="1"/>
      </rPr>
      <t xml:space="preserve">6,000–9,000</t>
    </r>
    <r>
      <rPr>
        <sz val="10"/>
        <color rgb="FF000000"/>
        <rFont val="Noto Sans CJK SC"/>
        <family val="2"/>
      </rPr>
      <t xml:space="preserve">（「</t>
    </r>
    <r>
      <rPr>
        <sz val="10"/>
        <color rgb="FF000000"/>
        <rFont val="Arial"/>
        <family val="0"/>
        <charset val="1"/>
      </rPr>
      <t xml:space="preserve">engineering-level estimate</t>
    </r>
    <r>
      <rPr>
        <sz val="10"/>
        <color rgb="FF000000"/>
        <rFont val="Noto Sans CJK SC"/>
        <family val="2"/>
      </rPr>
      <t xml:space="preserve">」）；比值 </t>
    </r>
    <r>
      <rPr>
        <sz val="10"/>
        <color rgb="FF000000"/>
        <rFont val="Arial"/>
        <family val="0"/>
        <charset val="1"/>
      </rPr>
      <t xml:space="preserve">0.26–0.42</t>
    </r>
    <r>
      <rPr>
        <sz val="10"/>
        <color rgb="FF000000"/>
        <rFont val="Noto Sans CJK SC"/>
        <family val="2"/>
      </rPr>
      <t xml:space="preserve">（</t>
    </r>
    <r>
      <rPr>
        <sz val="10"/>
        <color rgb="FF000000"/>
        <rFont val="Arial"/>
        <family val="0"/>
        <charset val="1"/>
      </rPr>
      <t xml:space="preserve">Derived </t>
    </r>
    <r>
      <rPr>
        <sz val="10"/>
        <color rgb="FF000000"/>
        <rFont val="Noto Sans CJK SC"/>
        <family val="2"/>
      </rPr>
      <t xml:space="preserve">中點 </t>
    </r>
    <r>
      <rPr>
        <sz val="10"/>
        <color rgb="FF000000"/>
        <rFont val="Arial"/>
        <family val="0"/>
        <charset val="1"/>
      </rPr>
      <t xml:space="preserve">0.34</t>
    </r>
    <r>
      <rPr>
        <sz val="10"/>
        <color rgb="FF000000"/>
        <rFont val="Noto Sans CJK SC"/>
        <family val="2"/>
      </rPr>
      <t xml:space="preserve">）</t>
    </r>
  </si>
  <si>
    <t xml:space="preserve">SRC_ZP_491</t>
  </si>
  <si>
    <t xml:space="preserve">perf_h20_vs_h100_inf_b</t>
  </si>
  <si>
    <r>
      <rPr>
        <sz val="10"/>
        <color rgb="FF000000"/>
        <rFont val="Arial"/>
        <family val="0"/>
        <charset val="1"/>
      </rPr>
      <t xml:space="preserve">H20 </t>
    </r>
    <r>
      <rPr>
        <sz val="10"/>
        <color rgb="FF000000"/>
        <rFont val="Noto Sans CJK SC"/>
        <family val="2"/>
      </rPr>
      <t xml:space="preserve">對 </t>
    </r>
    <r>
      <rPr>
        <sz val="10"/>
        <color rgb="FF000000"/>
        <rFont val="Arial"/>
        <family val="0"/>
        <charset val="1"/>
      </rPr>
      <t xml:space="preserve">H100 LLM </t>
    </r>
    <r>
      <rPr>
        <sz val="10"/>
        <color rgb="FF000000"/>
        <rFont val="Noto Sans CJK SC"/>
        <family val="2"/>
      </rPr>
      <t xml:space="preserve">推論（</t>
    </r>
    <r>
      <rPr>
        <sz val="10"/>
        <color rgb="FF000000"/>
        <rFont val="Arial"/>
        <family val="0"/>
        <charset val="1"/>
      </rPr>
      <t xml:space="preserve">SemiAnalysis </t>
    </r>
    <r>
      <rPr>
        <sz val="10"/>
        <color rgb="FF000000"/>
        <rFont val="Noto Sans CJK SC"/>
        <family val="2"/>
      </rPr>
      <t xml:space="preserve">說法）</t>
    </r>
  </si>
  <si>
    <t xml:space="preserve">2023-11</t>
  </si>
  <si>
    <r>
      <rPr>
        <sz val="10"/>
        <color rgb="FF000000"/>
        <rFont val="Arial"/>
        <family val="0"/>
        <charset val="1"/>
      </rPr>
      <t xml:space="preserve">Asia Times</t>
    </r>
    <r>
      <rPr>
        <sz val="10"/>
        <color rgb="FF000000"/>
        <rFont val="Noto Sans CJK SC"/>
        <family val="2"/>
      </rPr>
      <t xml:space="preserve">（</t>
    </r>
    <r>
      <rPr>
        <sz val="10"/>
        <color rgb="FF000000"/>
        <rFont val="Arial"/>
        <family val="0"/>
        <charset val="1"/>
      </rPr>
      <t xml:space="preserve">2024-01-04</t>
    </r>
    <r>
      <rPr>
        <sz val="10"/>
        <color rgb="FF000000"/>
        <rFont val="Noto Sans CJK SC"/>
        <family val="2"/>
      </rPr>
      <t xml:space="preserve">，引 </t>
    </r>
    <r>
      <rPr>
        <sz val="10"/>
        <color rgb="FF000000"/>
        <rFont val="Arial"/>
        <family val="0"/>
        <charset val="1"/>
      </rPr>
      <t xml:space="preserve">SemiAnalysis Dylan Patel</t>
    </r>
    <r>
      <rPr>
        <sz val="10"/>
        <color rgb="FF000000"/>
        <rFont val="Noto Sans CJK SC"/>
        <family val="2"/>
      </rPr>
      <t xml:space="preserve">）</t>
    </r>
  </si>
  <si>
    <t xml:space="preserve">https://asiatimes.com/2024/01/nvidia-chips-for-china-dumbed-down-but-lean-and-mean/</t>
  </si>
  <si>
    <t xml:space="preserve">2024-01-04</t>
  </si>
  <si>
    <r>
      <rPr>
        <sz val="10"/>
        <color rgb="FF000000"/>
        <rFont val="Noto Sans CJK SC"/>
        <family val="2"/>
      </rPr>
      <t xml:space="preserve">原文「</t>
    </r>
    <r>
      <rPr>
        <sz val="10"/>
        <color rgb="FF000000"/>
        <rFont val="Arial"/>
        <family val="0"/>
        <charset val="1"/>
      </rPr>
      <t xml:space="preserve">H20 actually is over 20% faster than the H100 in large language model (LLM) reasoning</t>
    </r>
    <r>
      <rPr>
        <sz val="10"/>
        <color rgb="FF000000"/>
        <rFont val="Noto Sans CJK SC"/>
        <family val="2"/>
      </rPr>
      <t xml:space="preserve">」；同文稱多卡環境約 </t>
    </r>
    <r>
      <rPr>
        <sz val="10"/>
        <color rgb="FF000000"/>
        <rFont val="Arial"/>
        <family val="0"/>
        <charset val="1"/>
      </rPr>
      <t xml:space="preserve">H100 </t>
    </r>
    <r>
      <rPr>
        <sz val="10"/>
        <color rgb="FF000000"/>
        <rFont val="Noto Sans CJK SC"/>
        <family val="2"/>
      </rPr>
      <t xml:space="preserve">的 </t>
    </r>
    <r>
      <rPr>
        <sz val="10"/>
        <color rgb="FF000000"/>
        <rFont val="Arial"/>
        <family val="0"/>
        <charset val="1"/>
      </rPr>
      <t xml:space="preserve">50%</t>
    </r>
    <r>
      <rPr>
        <sz val="10"/>
        <color rgb="FF000000"/>
        <rFont val="Noto Sans CJK SC"/>
        <family val="2"/>
      </rPr>
      <t xml:space="preserve">。【</t>
    </r>
    <r>
      <rPr>
        <sz val="10"/>
        <color rgb="FF000000"/>
        <rFont val="Arial"/>
        <family val="0"/>
        <charset val="1"/>
      </rPr>
      <t xml:space="preserve">SemiAnalysis </t>
    </r>
    <r>
      <rPr>
        <sz val="10"/>
        <color rgb="FF000000"/>
        <rFont val="Noto Sans CJK SC"/>
        <family val="2"/>
      </rPr>
      <t xml:space="preserve">單一源，不可單獨引用；與 </t>
    </r>
    <r>
      <rPr>
        <sz val="10"/>
        <color rgb="FF000000"/>
        <rFont val="Arial"/>
        <family val="0"/>
        <charset val="1"/>
      </rPr>
      <t xml:space="preserve">0.26–0.42 </t>
    </r>
    <r>
      <rPr>
        <sz val="10"/>
        <color rgb="FF000000"/>
        <rFont val="Noto Sans CJK SC"/>
        <family val="2"/>
      </rPr>
      <t xml:space="preserve">矛盾】</t>
    </r>
  </si>
  <si>
    <t xml:space="preserve">SRC_ZP_492</t>
  </si>
  <si>
    <t xml:space="preserve">preipo_valuation_post_b6</t>
  </si>
  <si>
    <r>
      <rPr>
        <sz val="10"/>
        <color rgb="FF000000"/>
        <rFont val="Noto Sans CJK SC"/>
        <family val="2"/>
      </rPr>
      <t xml:space="preserve">上市前最後一輪（</t>
    </r>
    <r>
      <rPr>
        <sz val="10"/>
        <color rgb="FF000000"/>
        <rFont val="Arial"/>
        <family val="0"/>
        <charset val="1"/>
      </rPr>
      <t xml:space="preserve">B6</t>
    </r>
    <r>
      <rPr>
        <sz val="10"/>
        <color rgb="FF000000"/>
        <rFont val="Noto Sans CJK SC"/>
        <family val="2"/>
      </rPr>
      <t xml:space="preserve">，</t>
    </r>
    <r>
      <rPr>
        <sz val="10"/>
        <color rgb="FF000000"/>
        <rFont val="Arial"/>
        <family val="0"/>
        <charset val="1"/>
      </rPr>
      <t xml:space="preserve">2025-05</t>
    </r>
    <r>
      <rPr>
        <sz val="10"/>
        <color rgb="FF000000"/>
        <rFont val="Noto Sans CJK SC"/>
        <family val="2"/>
      </rPr>
      <t xml:space="preserve">）投後估值</t>
    </r>
  </si>
  <si>
    <t xml:space="preserve">2025-05</t>
  </si>
  <si>
    <t xml:space="preserve">智東西（轉述招股章程）</t>
  </si>
  <si>
    <t xml:space="preserve">https://zhidx.com/p/522919.html</t>
  </si>
  <si>
    <t xml:space="preserve">2025-12</t>
  </si>
  <si>
    <t xml:space="preserve">招股章程口徑（媒體轉述，未直接開啟招股章程原文）</t>
  </si>
  <si>
    <r>
      <rPr>
        <sz val="10"/>
        <color rgb="FF000000"/>
        <rFont val="Noto Sans CJK SC"/>
        <family val="2"/>
      </rPr>
      <t xml:space="preserve">原文「在今年</t>
    </r>
    <r>
      <rPr>
        <sz val="10"/>
        <color rgb="FF000000"/>
        <rFont val="Arial"/>
        <family val="0"/>
        <charset val="1"/>
      </rPr>
      <t xml:space="preserve">5</t>
    </r>
    <r>
      <rPr>
        <sz val="10"/>
        <color rgb="FF000000"/>
        <rFont val="Noto Sans CJK SC"/>
        <family val="2"/>
      </rPr>
      <t xml:space="preserve">月</t>
    </r>
    <r>
      <rPr>
        <sz val="10"/>
        <color rgb="FF000000"/>
        <rFont val="Arial"/>
        <family val="0"/>
        <charset val="1"/>
      </rPr>
      <t xml:space="preserve">B6</t>
    </r>
    <r>
      <rPr>
        <sz val="10"/>
        <color rgb="FF000000"/>
        <rFont val="Noto Sans CJK SC"/>
        <family val="2"/>
      </rPr>
      <t xml:space="preserve">輪融資後，智譜投後估值達到</t>
    </r>
    <r>
      <rPr>
        <sz val="10"/>
        <color rgb="FF000000"/>
        <rFont val="Arial"/>
        <family val="0"/>
        <charset val="1"/>
      </rPr>
      <t xml:space="preserve">243.77</t>
    </r>
    <r>
      <rPr>
        <sz val="10"/>
        <color rgb="FF000000"/>
        <rFont val="Noto Sans CJK SC"/>
        <family val="2"/>
      </rPr>
      <t xml:space="preserve">億元」；財聯社作</t>
    </r>
    <r>
      <rPr>
        <sz val="10"/>
        <color rgb="FF000000"/>
        <rFont val="Arial"/>
        <family val="0"/>
        <charset val="1"/>
      </rPr>
      <t xml:space="preserve">243.8</t>
    </r>
    <r>
      <rPr>
        <sz val="10"/>
        <color rgb="FF000000"/>
        <rFont val="Noto Sans CJK SC"/>
        <family val="2"/>
      </rPr>
      <t xml:space="preserve">億元</t>
    </r>
  </si>
  <si>
    <t xml:space="preserve">SRC_ZP_493</t>
  </si>
  <si>
    <t xml:space="preserve">preipo_total_raised</t>
  </si>
  <si>
    <t xml:space="preserve">上市前累計融資額</t>
  </si>
  <si>
    <t xml:space="preserve">2019–2025</t>
  </si>
  <si>
    <t xml:space="preserve">財聯社</t>
  </si>
  <si>
    <t xml:space="preserve">https://m.cls.cn/detail/2235451</t>
  </si>
  <si>
    <t xml:space="preserve">媒體轉述招股章程</t>
  </si>
  <si>
    <r>
      <rPr>
        <sz val="10"/>
        <color rgb="FF000000"/>
        <rFont val="Noto Sans CJK SC"/>
        <family val="2"/>
      </rPr>
      <t xml:space="preserve">原文「智譜融資</t>
    </r>
    <r>
      <rPr>
        <sz val="10"/>
        <color rgb="FF000000"/>
        <rFont val="Arial"/>
        <family val="0"/>
        <charset val="1"/>
      </rPr>
      <t xml:space="preserve">8</t>
    </r>
    <r>
      <rPr>
        <sz val="10"/>
        <color rgb="FF000000"/>
        <rFont val="Noto Sans CJK SC"/>
        <family val="2"/>
      </rPr>
      <t xml:space="preserve">輪，累計籌資超</t>
    </r>
    <r>
      <rPr>
        <sz val="10"/>
        <color rgb="FF000000"/>
        <rFont val="Arial"/>
        <family val="0"/>
        <charset val="1"/>
      </rPr>
      <t xml:space="preserve">83</t>
    </r>
    <r>
      <rPr>
        <sz val="10"/>
        <color rgb="FF000000"/>
        <rFont val="Noto Sans CJK SC"/>
        <family val="2"/>
      </rPr>
      <t xml:space="preserve">億元，</t>
    </r>
    <r>
      <rPr>
        <sz val="10"/>
        <color rgb="FF000000"/>
        <rFont val="Arial"/>
        <family val="0"/>
        <charset val="1"/>
      </rPr>
      <t xml:space="preserve">IPO</t>
    </r>
    <r>
      <rPr>
        <sz val="10"/>
        <color rgb="FF000000"/>
        <rFont val="Noto Sans CJK SC"/>
        <family val="2"/>
      </rPr>
      <t xml:space="preserve">前估值已達</t>
    </r>
    <r>
      <rPr>
        <sz val="10"/>
        <color rgb="FF000000"/>
        <rFont val="Arial"/>
        <family val="0"/>
        <charset val="1"/>
      </rPr>
      <t xml:space="preserve">243.8</t>
    </r>
    <r>
      <rPr>
        <sz val="10"/>
        <color rgb="FF000000"/>
        <rFont val="Noto Sans CJK SC"/>
        <family val="2"/>
      </rPr>
      <t xml:space="preserve">億元」</t>
    </r>
  </si>
  <si>
    <t xml:space="preserve">SRC_ZP_494</t>
  </si>
  <si>
    <t xml:space="preserve">preipo_total_raised_b</t>
  </si>
  <si>
    <t xml:space="preserve">上市前累計融資額（另一說）</t>
  </si>
  <si>
    <t xml:space="preserve">新浪財經（證券時報）</t>
  </si>
  <si>
    <t xml:space="preserve">https://finance.sina.com.cn/stock/marketresearch/2026-01-08/doc-inhfqcat5441095.shtml</t>
  </si>
  <si>
    <t xml:space="preserve">2026-01-08</t>
  </si>
  <si>
    <r>
      <rPr>
        <sz val="10"/>
        <color rgb="FF000000"/>
        <rFont val="Noto Sans CJK SC"/>
        <family val="2"/>
      </rPr>
      <t xml:space="preserve">同文同時寫「超</t>
    </r>
    <r>
      <rPr>
        <sz val="10"/>
        <color rgb="FF000000"/>
        <rFont val="Arial"/>
        <family val="0"/>
        <charset val="1"/>
      </rPr>
      <t xml:space="preserve">83</t>
    </r>
    <r>
      <rPr>
        <sz val="10"/>
        <color rgb="FF000000"/>
        <rFont val="Noto Sans CJK SC"/>
        <family val="2"/>
      </rPr>
      <t xml:space="preserve">億元」與約</t>
    </r>
    <r>
      <rPr>
        <sz val="10"/>
        <color rgb="FF000000"/>
        <rFont val="Arial"/>
        <family val="0"/>
        <charset val="1"/>
      </rPr>
      <t xml:space="preserve">83.6</t>
    </r>
    <r>
      <rPr>
        <sz val="10"/>
        <color rgb="FF000000"/>
        <rFont val="Noto Sans CJK SC"/>
        <family val="2"/>
      </rPr>
      <t xml:space="preserve">億元；與財聯社「超</t>
    </r>
    <r>
      <rPr>
        <sz val="10"/>
        <color rgb="FF000000"/>
        <rFont val="Arial"/>
        <family val="0"/>
        <charset val="1"/>
      </rPr>
      <t xml:space="preserve">83</t>
    </r>
    <r>
      <rPr>
        <sz val="10"/>
        <color rgb="FF000000"/>
        <rFont val="Noto Sans CJK SC"/>
        <family val="2"/>
      </rPr>
      <t xml:space="preserve">億」不衝突（下限 </t>
    </r>
    <r>
      <rPr>
        <sz val="10"/>
        <color rgb="FF000000"/>
        <rFont val="Arial"/>
        <family val="0"/>
        <charset val="1"/>
      </rPr>
      <t xml:space="preserve">vs </t>
    </r>
    <r>
      <rPr>
        <sz val="10"/>
        <color rgb="FF000000"/>
        <rFont val="Noto Sans CJK SC"/>
        <family val="2"/>
      </rPr>
      <t xml:space="preserve">點值）</t>
    </r>
  </si>
  <si>
    <t xml:space="preserve">SRC_ZP_495</t>
  </si>
  <si>
    <t xml:space="preserve">round_seed_2019</t>
  </si>
  <si>
    <t xml:space="preserve">成立／天使輪金額（中科創星等）</t>
  </si>
  <si>
    <r>
      <rPr>
        <sz val="10"/>
        <color rgb="FF000000"/>
        <rFont val="Noto Sans CJK SC"/>
        <family val="2"/>
      </rPr>
      <t xml:space="preserve">中科創星投</t>
    </r>
    <r>
      <rPr>
        <sz val="10"/>
        <color rgb="FF000000"/>
        <rFont val="Arial"/>
        <family val="0"/>
        <charset val="1"/>
      </rPr>
      <t xml:space="preserve">4,000</t>
    </r>
    <r>
      <rPr>
        <sz val="10"/>
        <color rgb="FF000000"/>
        <rFont val="Noto Sans CJK SC"/>
        <family val="2"/>
      </rPr>
      <t xml:space="preserve">萬元，投後</t>
    </r>
    <r>
      <rPr>
        <sz val="10"/>
        <color rgb="FF000000"/>
        <rFont val="Arial"/>
        <family val="0"/>
        <charset val="1"/>
      </rPr>
      <t xml:space="preserve">3.75</t>
    </r>
    <r>
      <rPr>
        <sz val="10"/>
        <color rgb="FF000000"/>
        <rFont val="Noto Sans CJK SC"/>
        <family val="2"/>
      </rPr>
      <t xml:space="preserve">億元；投資人含華控技術轉移</t>
    </r>
  </si>
  <si>
    <t xml:space="preserve">SRC_ZP_496</t>
  </si>
  <si>
    <t xml:space="preserve">round_seed_2019_postval</t>
  </si>
  <si>
    <r>
      <rPr>
        <sz val="10"/>
        <color rgb="FF000000"/>
        <rFont val="Arial"/>
        <family val="0"/>
        <charset val="1"/>
      </rPr>
      <t xml:space="preserve">2019 </t>
    </r>
    <r>
      <rPr>
        <sz val="10"/>
        <color rgb="FF000000"/>
        <rFont val="Noto Sans CJK SC"/>
        <family val="2"/>
      </rPr>
      <t xml:space="preserve">輪投後估值</t>
    </r>
  </si>
  <si>
    <r>
      <rPr>
        <sz val="10"/>
        <color rgb="FF000000"/>
        <rFont val="Noto Sans CJK SC"/>
        <family val="2"/>
      </rPr>
      <t xml:space="preserve">同上文；投後估值 </t>
    </r>
    <r>
      <rPr>
        <sz val="10"/>
        <color rgb="FF000000"/>
        <rFont val="Arial"/>
        <family val="0"/>
        <charset val="1"/>
      </rPr>
      <t xml:space="preserve">3.75 </t>
    </r>
    <r>
      <rPr>
        <sz val="10"/>
        <color rgb="FF000000"/>
        <rFont val="Noto Sans CJK SC"/>
        <family val="2"/>
      </rPr>
      <t xml:space="preserve">億元</t>
    </r>
  </si>
  <si>
    <t xml:space="preserve">SRC_ZP_497</t>
  </si>
  <si>
    <t xml:space="preserve">round_a_2021</t>
  </si>
  <si>
    <r>
      <rPr>
        <sz val="10"/>
        <color rgb="FF000000"/>
        <rFont val="Arial"/>
        <family val="0"/>
        <charset val="1"/>
      </rPr>
      <t xml:space="preserve">A </t>
    </r>
    <r>
      <rPr>
        <sz val="10"/>
        <color rgb="FF000000"/>
        <rFont val="Noto Sans CJK SC"/>
        <family val="2"/>
      </rPr>
      <t xml:space="preserve">輪金額</t>
    </r>
  </si>
  <si>
    <t xml:space="preserve">2021-04</t>
  </si>
  <si>
    <r>
      <rPr>
        <sz val="10"/>
        <color rgb="FF000000"/>
        <rFont val="Noto Sans CJK SC"/>
        <family val="2"/>
      </rPr>
      <t xml:space="preserve">達晨財智、華控基金、將門創投（凌雲光亦列）；投後 </t>
    </r>
    <r>
      <rPr>
        <sz val="10"/>
        <color rgb="FF000000"/>
        <rFont val="Arial"/>
        <family val="0"/>
        <charset val="1"/>
      </rPr>
      <t xml:space="preserve">8.5 </t>
    </r>
    <r>
      <rPr>
        <sz val="10"/>
        <color rgb="FF000000"/>
        <rFont val="Noto Sans CJK SC"/>
        <family val="2"/>
      </rPr>
      <t xml:space="preserve">億元。量子位稱「</t>
    </r>
    <r>
      <rPr>
        <sz val="10"/>
        <color rgb="FF000000"/>
        <rFont val="Arial"/>
        <family val="0"/>
        <charset val="1"/>
      </rPr>
      <t xml:space="preserve">A</t>
    </r>
    <r>
      <rPr>
        <sz val="10"/>
        <color rgb="FF000000"/>
        <rFont val="Noto Sans CJK SC"/>
        <family val="2"/>
      </rPr>
      <t xml:space="preserve">輪過億元」</t>
    </r>
  </si>
  <si>
    <t xml:space="preserve">SRC_ZP_498</t>
  </si>
  <si>
    <t xml:space="preserve">round_a_2021_postval</t>
  </si>
  <si>
    <r>
      <rPr>
        <sz val="10"/>
        <color rgb="FF000000"/>
        <rFont val="Arial"/>
        <family val="0"/>
        <charset val="1"/>
      </rPr>
      <t xml:space="preserve">A </t>
    </r>
    <r>
      <rPr>
        <sz val="10"/>
        <color rgb="FF000000"/>
        <rFont val="Noto Sans CJK SC"/>
        <family val="2"/>
      </rPr>
      <t xml:space="preserve">輪投後估值</t>
    </r>
  </si>
  <si>
    <r>
      <rPr>
        <sz val="10"/>
        <color rgb="FF000000"/>
        <rFont val="Arial"/>
        <family val="0"/>
        <charset val="1"/>
      </rPr>
      <t xml:space="preserve">A </t>
    </r>
    <r>
      <rPr>
        <sz val="10"/>
        <color rgb="FF000000"/>
        <rFont val="Noto Sans CJK SC"/>
        <family val="2"/>
      </rPr>
      <t xml:space="preserve">輪投後估值 </t>
    </r>
    <r>
      <rPr>
        <sz val="10"/>
        <color rgb="FF000000"/>
        <rFont val="Arial"/>
        <family val="0"/>
        <charset val="1"/>
      </rPr>
      <t xml:space="preserve">8.5 </t>
    </r>
    <r>
      <rPr>
        <sz val="10"/>
        <color rgb="FF000000"/>
        <rFont val="Noto Sans CJK SC"/>
        <family val="2"/>
      </rPr>
      <t xml:space="preserve">億元</t>
    </r>
  </si>
  <si>
    <t xml:space="preserve">SRC_ZP_499</t>
  </si>
  <si>
    <t xml:space="preserve">round_b1_2021</t>
  </si>
  <si>
    <r>
      <rPr>
        <sz val="10"/>
        <color rgb="FF000000"/>
        <rFont val="Arial"/>
        <family val="0"/>
        <charset val="1"/>
      </rPr>
      <t xml:space="preserve">B1 </t>
    </r>
    <r>
      <rPr>
        <sz val="10"/>
        <color rgb="FF000000"/>
        <rFont val="Noto Sans CJK SC"/>
        <family val="2"/>
      </rPr>
      <t xml:space="preserve">輪金額（君聯、啟明）</t>
    </r>
  </si>
  <si>
    <r>
      <rPr>
        <sz val="10"/>
        <color rgb="FF000000"/>
        <rFont val="Arial"/>
        <family val="0"/>
        <charset val="1"/>
      </rPr>
      <t xml:space="preserve">2021-12</t>
    </r>
    <r>
      <rPr>
        <sz val="10"/>
        <color rgb="FF000000"/>
        <rFont val="Noto Sans CJK SC"/>
        <family val="2"/>
      </rPr>
      <t xml:space="preserve">前後</t>
    </r>
  </si>
  <si>
    <r>
      <rPr>
        <sz val="10"/>
        <color rgb="FF000000"/>
        <rFont val="Noto Sans CJK SC"/>
        <family val="2"/>
      </rPr>
      <t xml:space="preserve">「近</t>
    </r>
    <r>
      <rPr>
        <sz val="10"/>
        <color rgb="FF000000"/>
        <rFont val="Arial"/>
        <family val="0"/>
        <charset val="1"/>
      </rPr>
      <t xml:space="preserve">2.1</t>
    </r>
    <r>
      <rPr>
        <sz val="10"/>
        <color rgb="FF000000"/>
        <rFont val="Noto Sans CJK SC"/>
        <family val="2"/>
      </rPr>
      <t xml:space="preserve">億元」，投後 </t>
    </r>
    <r>
      <rPr>
        <sz val="10"/>
        <color rgb="FF000000"/>
        <rFont val="Arial"/>
        <family val="0"/>
        <charset val="1"/>
      </rPr>
      <t xml:space="preserve">21.1 </t>
    </r>
    <r>
      <rPr>
        <sz val="10"/>
        <color rgb="FF000000"/>
        <rFont val="Noto Sans CJK SC"/>
        <family val="2"/>
      </rPr>
      <t xml:space="preserve">億元；日期僅寫 </t>
    </r>
    <r>
      <rPr>
        <sz val="10"/>
        <color rgb="FF000000"/>
        <rFont val="Arial"/>
        <family val="0"/>
        <charset val="1"/>
      </rPr>
      <t xml:space="preserve">2021-09 </t>
    </r>
    <r>
      <rPr>
        <sz val="10"/>
        <color rgb="FF000000"/>
        <rFont val="Noto Sans CJK SC"/>
        <family val="2"/>
      </rPr>
      <t xml:space="preserve">後約 </t>
    </r>
    <r>
      <rPr>
        <sz val="10"/>
        <color rgb="FF000000"/>
        <rFont val="Arial"/>
        <family val="0"/>
        <charset val="1"/>
      </rPr>
      <t xml:space="preserve">3 </t>
    </r>
    <r>
      <rPr>
        <sz val="10"/>
        <color rgb="FF000000"/>
        <rFont val="Noto Sans CJK SC"/>
        <family val="2"/>
      </rPr>
      <t xml:space="preserve">個月</t>
    </r>
  </si>
  <si>
    <t xml:space="preserve">SRC_ZP_500</t>
  </si>
  <si>
    <t xml:space="preserve">round_b1_2021_postval</t>
  </si>
  <si>
    <r>
      <rPr>
        <sz val="10"/>
        <color rgb="FF000000"/>
        <rFont val="Arial"/>
        <family val="0"/>
        <charset val="1"/>
      </rPr>
      <t xml:space="preserve">B1 </t>
    </r>
    <r>
      <rPr>
        <sz val="10"/>
        <color rgb="FF000000"/>
        <rFont val="Noto Sans CJK SC"/>
        <family val="2"/>
      </rPr>
      <t xml:space="preserve">輪投後估值</t>
    </r>
  </si>
  <si>
    <r>
      <rPr>
        <sz val="10"/>
        <color rgb="FF000000"/>
        <rFont val="Arial"/>
        <family val="0"/>
        <charset val="1"/>
      </rPr>
      <t xml:space="preserve">B1 </t>
    </r>
    <r>
      <rPr>
        <sz val="10"/>
        <color rgb="FF000000"/>
        <rFont val="Noto Sans CJK SC"/>
        <family val="2"/>
      </rPr>
      <t xml:space="preserve">投後 </t>
    </r>
    <r>
      <rPr>
        <sz val="10"/>
        <color rgb="FF000000"/>
        <rFont val="Arial"/>
        <family val="0"/>
        <charset val="1"/>
      </rPr>
      <t xml:space="preserve">21.1 </t>
    </r>
    <r>
      <rPr>
        <sz val="10"/>
        <color rgb="FF000000"/>
        <rFont val="Noto Sans CJK SC"/>
        <family val="2"/>
      </rPr>
      <t xml:space="preserve">億元</t>
    </r>
  </si>
  <si>
    <t xml:space="preserve">SRC_ZP_501</t>
  </si>
  <si>
    <t xml:space="preserve">round_b2_meituan</t>
  </si>
  <si>
    <r>
      <rPr>
        <sz val="10"/>
        <color rgb="FF000000"/>
        <rFont val="Arial"/>
        <family val="0"/>
        <charset val="1"/>
      </rPr>
      <t xml:space="preserve">B2 </t>
    </r>
    <r>
      <rPr>
        <sz val="10"/>
        <color rgb="FF000000"/>
        <rFont val="Noto Sans CJK SC"/>
        <family val="2"/>
      </rPr>
      <t xml:space="preserve">輪美團領投金額</t>
    </r>
  </si>
  <si>
    <r>
      <rPr>
        <sz val="10"/>
        <color rgb="FF000000"/>
        <rFont val="Arial"/>
        <family val="0"/>
        <charset val="1"/>
      </rPr>
      <t xml:space="preserve">2022–2023</t>
    </r>
    <r>
      <rPr>
        <sz val="10"/>
        <color rgb="FF000000"/>
        <rFont val="Noto Sans CJK SC"/>
        <family val="2"/>
      </rPr>
      <t xml:space="preserve">（未載明）</t>
    </r>
  </si>
  <si>
    <r>
      <rPr>
        <sz val="10"/>
        <color rgb="FF000000"/>
        <rFont val="Noto Sans CJK SC"/>
        <family val="2"/>
      </rPr>
      <t xml:space="preserve">「美團領投</t>
    </r>
    <r>
      <rPr>
        <sz val="10"/>
        <color rgb="FF000000"/>
        <rFont val="Arial"/>
        <family val="0"/>
        <charset val="1"/>
      </rPr>
      <t xml:space="preserve">3</t>
    </r>
    <r>
      <rPr>
        <sz val="10"/>
        <color rgb="FF000000"/>
        <rFont val="Noto Sans CJK SC"/>
        <family val="2"/>
      </rPr>
      <t xml:space="preserve">億元」，達晨跟投；投後估值未載</t>
    </r>
  </si>
  <si>
    <t xml:space="preserve">SRC_ZP_502</t>
  </si>
  <si>
    <t xml:space="preserve">round_ant_cum</t>
  </si>
  <si>
    <t xml:space="preserve">螞蟻（上海飛玡／雲玡）跨輪累計投資</t>
  </si>
  <si>
    <r>
      <rPr>
        <sz val="10"/>
        <color rgb="FF000000"/>
        <rFont val="Arial"/>
        <family val="0"/>
        <charset val="1"/>
      </rPr>
      <t xml:space="preserve">2022–2025</t>
    </r>
    <r>
      <rPr>
        <sz val="10"/>
        <color rgb="FF000000"/>
        <rFont val="Noto Sans CJK SC"/>
        <family val="2"/>
      </rPr>
      <t xml:space="preserve">（跨輪）</t>
    </r>
  </si>
  <si>
    <r>
      <rPr>
        <sz val="10"/>
        <color rgb="FF000000"/>
        <rFont val="Noto Sans CJK SC"/>
        <family val="2"/>
      </rPr>
      <t xml:space="preserve">螞蟻經上海飛玡、雲玡累計約 </t>
    </r>
    <r>
      <rPr>
        <sz val="10"/>
        <color rgb="FF000000"/>
        <rFont val="Arial"/>
        <family val="0"/>
        <charset val="1"/>
      </rPr>
      <t xml:space="preserve">6 </t>
    </r>
    <r>
      <rPr>
        <sz val="10"/>
        <color rgb="FF000000"/>
        <rFont val="Noto Sans CJK SC"/>
        <family val="2"/>
      </rPr>
      <t xml:space="preserve">億元</t>
    </r>
  </si>
  <si>
    <t xml:space="preserve">SRC_ZP_503</t>
  </si>
  <si>
    <t xml:space="preserve">round_b4_tencent</t>
  </si>
  <si>
    <r>
      <rPr>
        <sz val="10"/>
        <color rgb="FF000000"/>
        <rFont val="Arial"/>
        <family val="0"/>
        <charset val="1"/>
      </rPr>
      <t xml:space="preserve">B4 </t>
    </r>
    <r>
      <rPr>
        <sz val="10"/>
        <color rgb="FF000000"/>
        <rFont val="Noto Sans CJK SC"/>
        <family val="2"/>
      </rPr>
      <t xml:space="preserve">輪騰訊領投金額</t>
    </r>
  </si>
  <si>
    <r>
      <rPr>
        <sz val="10"/>
        <color rgb="FF000000"/>
        <rFont val="Arial"/>
        <family val="0"/>
        <charset val="1"/>
      </rPr>
      <t xml:space="preserve">2023</t>
    </r>
    <r>
      <rPr>
        <sz val="10"/>
        <color rgb="FF000000"/>
        <rFont val="Noto Sans CJK SC"/>
        <family val="2"/>
      </rPr>
      <t xml:space="preserve">（未載明）</t>
    </r>
  </si>
  <si>
    <r>
      <rPr>
        <sz val="10"/>
        <color rgb="FF000000"/>
        <rFont val="Noto Sans CJK SC"/>
        <family val="2"/>
      </rPr>
      <t xml:space="preserve">騰訊領投 </t>
    </r>
    <r>
      <rPr>
        <sz val="10"/>
        <color rgb="FF000000"/>
        <rFont val="Arial"/>
        <family val="0"/>
        <charset val="1"/>
      </rPr>
      <t xml:space="preserve">2 </t>
    </r>
    <r>
      <rPr>
        <sz val="10"/>
        <color rgb="FF000000"/>
        <rFont val="Noto Sans CJK SC"/>
        <family val="2"/>
      </rPr>
      <t xml:space="preserve">億元；順為（小米系）同輪 </t>
    </r>
    <r>
      <rPr>
        <sz val="10"/>
        <color rgb="FF000000"/>
        <rFont val="Arial"/>
        <family val="0"/>
        <charset val="1"/>
      </rPr>
      <t xml:space="preserve">1.5 </t>
    </r>
    <r>
      <rPr>
        <sz val="10"/>
        <color rgb="FF000000"/>
        <rFont val="Noto Sans CJK SC"/>
        <family val="2"/>
      </rPr>
      <t xml:space="preserve">億元</t>
    </r>
  </si>
  <si>
    <t xml:space="preserve">SRC_ZP_504</t>
  </si>
  <si>
    <t xml:space="preserve">round_b4_shunwei</t>
  </si>
  <si>
    <r>
      <rPr>
        <sz val="10"/>
        <color rgb="FF000000"/>
        <rFont val="Arial"/>
        <family val="0"/>
        <charset val="1"/>
      </rPr>
      <t xml:space="preserve">B4 </t>
    </r>
    <r>
      <rPr>
        <sz val="10"/>
        <color rgb="FF000000"/>
        <rFont val="Noto Sans CJK SC"/>
        <family val="2"/>
      </rPr>
      <t xml:space="preserve">輪順為資本（小米系）金額</t>
    </r>
  </si>
  <si>
    <r>
      <rPr>
        <sz val="10"/>
        <color rgb="FF000000"/>
        <rFont val="Noto Sans CJK SC"/>
        <family val="2"/>
      </rPr>
      <t xml:space="preserve">順為資本同輪 </t>
    </r>
    <r>
      <rPr>
        <sz val="10"/>
        <color rgb="FF000000"/>
        <rFont val="Arial"/>
        <family val="0"/>
        <charset val="1"/>
      </rPr>
      <t xml:space="preserve">1.5 </t>
    </r>
    <r>
      <rPr>
        <sz val="10"/>
        <color rgb="FF000000"/>
        <rFont val="Noto Sans CJK SC"/>
        <family val="2"/>
      </rPr>
      <t xml:space="preserve">億元</t>
    </r>
  </si>
  <si>
    <t xml:space="preserve">SRC_ZP_505</t>
  </si>
  <si>
    <t xml:space="preserve">round_2023_cum</t>
  </si>
  <si>
    <r>
      <rPr>
        <sz val="10"/>
        <color rgb="FF000000"/>
        <rFont val="Arial"/>
        <family val="0"/>
        <charset val="1"/>
      </rPr>
      <t xml:space="preserve">2023 </t>
    </r>
    <r>
      <rPr>
        <sz val="10"/>
        <color rgb="FF000000"/>
        <rFont val="Noto Sans CJK SC"/>
        <family val="2"/>
      </rPr>
      <t xml:space="preserve">年累計融資</t>
    </r>
  </si>
  <si>
    <t xml:space="preserve">投資界</t>
  </si>
  <si>
    <t xml:space="preserve">https://news.pedaily.cn/202310/523903.shtml</t>
  </si>
  <si>
    <t xml:space="preserve">2023-10-20</t>
  </si>
  <si>
    <t xml:space="preserve">智譜（公司對外披露融資額）；誘因：募資與招募聲量</t>
  </si>
  <si>
    <t xml:space="preserve">公司自述（媒體報導）</t>
  </si>
  <si>
    <r>
      <rPr>
        <sz val="10"/>
        <color rgb="FF000000"/>
        <rFont val="Noto Sans CJK SC"/>
        <family val="2"/>
      </rPr>
      <t xml:space="preserve">「今年已累計獲得超</t>
    </r>
    <r>
      <rPr>
        <sz val="10"/>
        <color rgb="FF000000"/>
        <rFont val="Arial"/>
        <family val="0"/>
        <charset val="1"/>
      </rPr>
      <t xml:space="preserve">25</t>
    </r>
    <r>
      <rPr>
        <sz val="10"/>
        <color rgb="FF000000"/>
        <rFont val="Noto Sans CJK SC"/>
        <family val="2"/>
      </rPr>
      <t xml:space="preserve">億人民幣融資」；投資人含美團、螞蟻、阿里、騰訊、小米、金山、順為、紅杉、高瓴</t>
    </r>
  </si>
  <si>
    <t xml:space="preserve">SRC_ZP_506</t>
  </si>
  <si>
    <t xml:space="preserve">round_2024_prosperity7</t>
  </si>
  <si>
    <r>
      <rPr>
        <sz val="10"/>
        <color rgb="FF000000"/>
        <rFont val="Arial"/>
        <family val="0"/>
        <charset val="1"/>
      </rPr>
      <t xml:space="preserve">2024 </t>
    </r>
    <r>
      <rPr>
        <sz val="10"/>
        <color rgb="FF000000"/>
        <rFont val="Noto Sans CJK SC"/>
        <family val="2"/>
      </rPr>
      <t xml:space="preserve">年中一輪（</t>
    </r>
    <r>
      <rPr>
        <sz val="10"/>
        <color rgb="FF000000"/>
        <rFont val="Arial"/>
        <family val="0"/>
        <charset val="1"/>
      </rPr>
      <t xml:space="preserve">Prosperity7 </t>
    </r>
    <r>
      <rPr>
        <sz val="10"/>
        <color rgb="FF000000"/>
        <rFont val="Noto Sans CJK SC"/>
        <family val="2"/>
      </rPr>
      <t xml:space="preserve">參與）規模</t>
    </r>
  </si>
  <si>
    <r>
      <rPr>
        <sz val="10"/>
        <color rgb="FF000000"/>
        <rFont val="Arial"/>
        <family val="0"/>
        <charset val="1"/>
      </rPr>
      <t xml:space="preserve">USD </t>
    </r>
    <r>
      <rPr>
        <sz val="10"/>
        <color rgb="FF000000"/>
        <rFont val="Noto Sans CJK SC"/>
        <family val="2"/>
      </rPr>
      <t xml:space="preserve">百萬</t>
    </r>
  </si>
  <si>
    <t xml:space="preserve">2024-05</t>
  </si>
  <si>
    <r>
      <rPr>
        <sz val="10"/>
        <color rgb="FF000000"/>
        <rFont val="Arial"/>
        <family val="0"/>
        <charset val="1"/>
      </rPr>
      <t xml:space="preserve">Gulf News</t>
    </r>
    <r>
      <rPr>
        <sz val="10"/>
        <color rgb="FF000000"/>
        <rFont val="Noto Sans CJK SC"/>
        <family val="2"/>
      </rPr>
      <t xml:space="preserve">（轉 </t>
    </r>
    <r>
      <rPr>
        <sz val="10"/>
        <color rgb="FF000000"/>
        <rFont val="Arial"/>
        <family val="0"/>
        <charset val="1"/>
      </rPr>
      <t xml:space="preserve">Bloomberg</t>
    </r>
    <r>
      <rPr>
        <sz val="10"/>
        <color rgb="FF000000"/>
        <rFont val="Noto Sans CJK SC"/>
        <family val="2"/>
      </rPr>
      <t xml:space="preserve">）</t>
    </r>
  </si>
  <si>
    <t xml:space="preserve">https://gulfnews.com/business/markets/aramco-owned-saudi-fund-joins-400-million-financing-for-china-ai-firm-zhipu-1.1717156143388</t>
  </si>
  <si>
    <t xml:space="preserve">2024-05-31</t>
  </si>
  <si>
    <r>
      <rPr>
        <sz val="10"/>
        <color rgb="FF000000"/>
        <rFont val="Arial"/>
        <family val="0"/>
        <charset val="1"/>
      </rPr>
      <t xml:space="preserve">Bloomberg </t>
    </r>
    <r>
      <rPr>
        <sz val="10"/>
        <color rgb="FF000000"/>
        <rFont val="Noto Sans CJK SC"/>
        <family val="2"/>
      </rPr>
      <t xml:space="preserve">引述知情人士（媒體名：</t>
    </r>
    <r>
      <rPr>
        <sz val="10"/>
        <color rgb="FF000000"/>
        <rFont val="Arial"/>
        <family val="0"/>
        <charset val="1"/>
      </rPr>
      <t xml:space="preserve">Bloomberg</t>
    </r>
    <r>
      <rPr>
        <sz val="10"/>
        <color rgb="FF000000"/>
        <rFont val="Noto Sans CJK SC"/>
        <family val="2"/>
      </rPr>
      <t xml:space="preserve">／</t>
    </r>
    <r>
      <rPr>
        <sz val="10"/>
        <color rgb="FF000000"/>
        <rFont val="Arial"/>
        <family val="0"/>
        <charset val="1"/>
      </rPr>
      <t xml:space="preserve">Gulf News</t>
    </r>
    <r>
      <rPr>
        <sz val="10"/>
        <color rgb="FF000000"/>
        <rFont val="Noto Sans CJK SC"/>
        <family val="2"/>
      </rPr>
      <t xml:space="preserve">）</t>
    </r>
  </si>
  <si>
    <t xml:space="preserve">知情人士</t>
  </si>
  <si>
    <r>
      <rPr>
        <sz val="10"/>
        <color rgb="FF000000"/>
        <rFont val="Noto Sans CJK SC"/>
        <family val="2"/>
      </rPr>
      <t xml:space="preserve">標題「</t>
    </r>
    <r>
      <rPr>
        <sz val="10"/>
        <color rgb="FF000000"/>
        <rFont val="Arial"/>
        <family val="0"/>
        <charset val="1"/>
      </rPr>
      <t xml:space="preserve">joins $400 million financing</t>
    </r>
    <r>
      <rPr>
        <sz val="10"/>
        <color rgb="FF000000"/>
        <rFont val="Noto Sans CJK SC"/>
        <family val="2"/>
      </rPr>
      <t xml:space="preserve">」；估值約 </t>
    </r>
    <r>
      <rPr>
        <sz val="10"/>
        <color rgb="FF000000"/>
        <rFont val="Arial"/>
        <family val="0"/>
        <charset val="1"/>
      </rPr>
      <t xml:space="preserve">US$3bn</t>
    </r>
    <r>
      <rPr>
        <sz val="10"/>
        <color rgb="FF000000"/>
        <rFont val="Noto Sans CJK SC"/>
        <family val="2"/>
      </rPr>
      <t xml:space="preserve">（知情人士）；</t>
    </r>
    <r>
      <rPr>
        <sz val="10"/>
        <color rgb="FF000000"/>
        <rFont val="Arial"/>
        <family val="0"/>
        <charset val="1"/>
      </rPr>
      <t xml:space="preserve">P7 </t>
    </r>
    <r>
      <rPr>
        <sz val="10"/>
        <color rgb="FF000000"/>
        <rFont val="Noto Sans CJK SC"/>
        <family val="2"/>
      </rPr>
      <t xml:space="preserve">個別金額未披露</t>
    </r>
  </si>
  <si>
    <t xml:space="preserve">SRC_ZP_507</t>
  </si>
  <si>
    <t xml:space="preserve">round_2024_prosperity7_val</t>
  </si>
  <si>
    <r>
      <rPr>
        <sz val="10"/>
        <color rgb="FF000000"/>
        <rFont val="Arial"/>
        <family val="0"/>
        <charset val="1"/>
      </rPr>
      <t xml:space="preserve">2024 </t>
    </r>
    <r>
      <rPr>
        <sz val="10"/>
        <color rgb="FF000000"/>
        <rFont val="Noto Sans CJK SC"/>
        <family val="2"/>
      </rPr>
      <t xml:space="preserve">年中一輪估值</t>
    </r>
  </si>
  <si>
    <r>
      <rPr>
        <sz val="10"/>
        <color rgb="FF000000"/>
        <rFont val="Arial"/>
        <family val="0"/>
        <charset val="1"/>
      </rPr>
      <t xml:space="preserve">USD </t>
    </r>
    <r>
      <rPr>
        <sz val="10"/>
        <color rgb="FF000000"/>
        <rFont val="Noto Sans CJK SC"/>
        <family val="2"/>
      </rPr>
      <t xml:space="preserve">十億</t>
    </r>
  </si>
  <si>
    <r>
      <rPr>
        <sz val="10"/>
        <color rgb="FF000000"/>
        <rFont val="Arial"/>
        <family val="0"/>
        <charset val="1"/>
      </rPr>
      <t xml:space="preserve">Bloomberg </t>
    </r>
    <r>
      <rPr>
        <sz val="10"/>
        <color rgb="FF000000"/>
        <rFont val="Noto Sans CJK SC"/>
        <family val="2"/>
      </rPr>
      <t xml:space="preserve">引述知情人士</t>
    </r>
  </si>
  <si>
    <r>
      <rPr>
        <sz val="10"/>
        <color rgb="FF000000"/>
        <rFont val="Noto Sans CJK SC"/>
        <family val="2"/>
      </rPr>
      <t xml:space="preserve">「</t>
    </r>
    <r>
      <rPr>
        <sz val="10"/>
        <color rgb="FF000000"/>
        <rFont val="Arial"/>
        <family val="0"/>
        <charset val="1"/>
      </rPr>
      <t xml:space="preserve">valued the Beijing-based startup at about $3 billion</t>
    </r>
    <r>
      <rPr>
        <sz val="10"/>
        <color rgb="FF000000"/>
        <rFont val="Noto Sans CJK SC"/>
        <family val="2"/>
      </rPr>
      <t xml:space="preserve">」</t>
    </r>
  </si>
  <si>
    <t xml:space="preserve">SRC_ZP_508</t>
  </si>
  <si>
    <t xml:space="preserve">round_2024_09_zgc_preval</t>
  </si>
  <si>
    <r>
      <rPr>
        <sz val="10"/>
        <color rgb="FF000000"/>
        <rFont val="Arial"/>
        <family val="0"/>
        <charset val="1"/>
      </rPr>
      <t xml:space="preserve">2024-09 </t>
    </r>
    <r>
      <rPr>
        <sz val="10"/>
        <color rgb="FF000000"/>
        <rFont val="Noto Sans CJK SC"/>
        <family val="2"/>
      </rPr>
      <t xml:space="preserve">中關村科學城領投輪投前估值</t>
    </r>
  </si>
  <si>
    <t xml:space="preserve">2024-09</t>
  </si>
  <si>
    <t xml:space="preserve">量子位</t>
  </si>
  <si>
    <t xml:space="preserve">https://www.qbitai.com/2024/12/233513.html</t>
  </si>
  <si>
    <t xml:space="preserve">2024-12-17</t>
  </si>
  <si>
    <t xml:space="preserve">媒體報導（量子位）；資訊源可能為公司或投資方</t>
  </si>
  <si>
    <t xml:space="preserve">媒體報導</t>
  </si>
  <si>
    <r>
      <rPr>
        <sz val="10"/>
        <color rgb="FF000000"/>
        <rFont val="Noto Sans CJK SC"/>
        <family val="2"/>
      </rPr>
      <t xml:space="preserve">「中關村科學城領投…投前</t>
    </r>
    <r>
      <rPr>
        <sz val="10"/>
        <color rgb="FF000000"/>
        <rFont val="Arial"/>
        <family val="0"/>
        <charset val="1"/>
      </rPr>
      <t xml:space="preserve">200</t>
    </r>
    <r>
      <rPr>
        <sz val="10"/>
        <color rgb="FF000000"/>
        <rFont val="Noto Sans CJK SC"/>
        <family val="2"/>
      </rPr>
      <t xml:space="preserve">億估值」；金額界面稱「數十億元」</t>
    </r>
  </si>
  <si>
    <t xml:space="preserve">SRC_ZP_509</t>
  </si>
  <si>
    <t xml:space="preserve">round_2024_12</t>
  </si>
  <si>
    <r>
      <rPr>
        <sz val="10"/>
        <color rgb="FF000000"/>
        <rFont val="Arial"/>
        <family val="0"/>
        <charset val="1"/>
      </rPr>
      <t xml:space="preserve">2024-12 </t>
    </r>
    <r>
      <rPr>
        <sz val="10"/>
        <color rgb="FF000000"/>
        <rFont val="Noto Sans CJK SC"/>
        <family val="2"/>
      </rPr>
      <t xml:space="preserve">輪金額（多家戰投與國資，君聯跟投）</t>
    </r>
  </si>
  <si>
    <t xml:space="preserve">2024-12</t>
  </si>
  <si>
    <t xml:space="preserve">媒體報導；資訊源可能為公司</t>
  </si>
  <si>
    <r>
      <rPr>
        <sz val="10"/>
        <color rgb="FF000000"/>
        <rFont val="Noto Sans CJK SC"/>
        <family val="2"/>
      </rPr>
      <t xml:space="preserve">「已最新完成一輪</t>
    </r>
    <r>
      <rPr>
        <sz val="10"/>
        <color rgb="FF000000"/>
        <rFont val="Arial"/>
        <family val="0"/>
        <charset val="1"/>
      </rPr>
      <t xml:space="preserve">30</t>
    </r>
    <r>
      <rPr>
        <sz val="10"/>
        <color rgb="FF000000"/>
        <rFont val="Noto Sans CJK SC"/>
        <family val="2"/>
      </rPr>
      <t xml:space="preserve">億人民幣融資」；投資人未具名</t>
    </r>
  </si>
  <si>
    <t xml:space="preserve">SRC_ZP_510</t>
  </si>
  <si>
    <t xml:space="preserve">round_2025_03_hangzhou</t>
  </si>
  <si>
    <r>
      <rPr>
        <sz val="10"/>
        <color rgb="FF000000"/>
        <rFont val="Arial"/>
        <family val="0"/>
        <charset val="1"/>
      </rPr>
      <t xml:space="preserve">2025-03 </t>
    </r>
    <r>
      <rPr>
        <sz val="10"/>
        <color rgb="FF000000"/>
        <rFont val="Noto Sans CJK SC"/>
        <family val="2"/>
      </rPr>
      <t xml:space="preserve">杭州城投產業基金、上城資本等</t>
    </r>
  </si>
  <si>
    <t xml:space="preserve">2025-03-03</t>
  </si>
  <si>
    <t xml:space="preserve">界面新聞</t>
  </si>
  <si>
    <t xml:space="preserve">https://m.jiemian.com/article/12418121.html</t>
  </si>
  <si>
    <t xml:space="preserve">媒體報導；知情人士稱部分非新錢</t>
  </si>
  <si>
    <r>
      <rPr>
        <sz val="10"/>
        <color rgb="FF000000"/>
        <rFont val="Noto Sans CJK SC"/>
        <family val="2"/>
      </rPr>
      <t xml:space="preserve">「超</t>
    </r>
    <r>
      <rPr>
        <sz val="10"/>
        <color rgb="FF000000"/>
        <rFont val="Arial"/>
        <family val="0"/>
        <charset val="1"/>
      </rPr>
      <t xml:space="preserve">10</t>
    </r>
    <r>
      <rPr>
        <sz val="10"/>
        <color rgb="FF000000"/>
        <rFont val="Noto Sans CJK SC"/>
        <family val="2"/>
      </rPr>
      <t xml:space="preserve">億元人民幣」；界面另稱兩筆</t>
    </r>
    <r>
      <rPr>
        <sz val="10"/>
        <color rgb="FF000000"/>
        <rFont val="Arial"/>
        <family val="0"/>
        <charset val="1"/>
      </rPr>
      <t xml:space="preserve">3</t>
    </r>
    <r>
      <rPr>
        <sz val="10"/>
        <color rgb="FF000000"/>
        <rFont val="Noto Sans CJK SC"/>
        <family val="2"/>
      </rPr>
      <t xml:space="preserve">月交易部分屬</t>
    </r>
    <r>
      <rPr>
        <sz val="10"/>
        <color rgb="FF000000"/>
        <rFont val="Arial"/>
        <family val="0"/>
        <charset val="1"/>
      </rPr>
      <t xml:space="preserve">2024-12</t>
    </r>
    <r>
      <rPr>
        <sz val="10"/>
        <color rgb="FF000000"/>
        <rFont val="Noto Sans CJK SC"/>
        <family val="2"/>
      </rPr>
      <t xml:space="preserve">輪</t>
    </r>
  </si>
  <si>
    <t xml:space="preserve">SRC_ZP_511</t>
  </si>
  <si>
    <t xml:space="preserve">round_2025_03_huafa</t>
  </si>
  <si>
    <r>
      <rPr>
        <sz val="10"/>
        <color rgb="FF000000"/>
        <rFont val="Arial"/>
        <family val="0"/>
        <charset val="1"/>
      </rPr>
      <t xml:space="preserve">2025-03 </t>
    </r>
    <r>
      <rPr>
        <sz val="10"/>
        <color rgb="FF000000"/>
        <rFont val="Noto Sans CJK SC"/>
        <family val="2"/>
      </rPr>
      <t xml:space="preserve">珠海華發集團戰略投資</t>
    </r>
  </si>
  <si>
    <t xml:space="preserve">2025-03-13</t>
  </si>
  <si>
    <t xml:space="preserve">https://m.jiemian.com/article/12464980.html</t>
  </si>
  <si>
    <t xml:space="preserve">2025-03</t>
  </si>
  <si>
    <t xml:space="preserve">華發集團（國資投資方宣傳誘因）</t>
  </si>
  <si>
    <r>
      <rPr>
        <sz val="10"/>
        <color rgb="FF000000"/>
        <rFont val="Noto Sans CJK SC"/>
        <family val="2"/>
      </rPr>
      <t xml:space="preserve">「金額為</t>
    </r>
    <r>
      <rPr>
        <sz val="10"/>
        <color rgb="FF000000"/>
        <rFont val="Arial"/>
        <family val="0"/>
        <charset val="1"/>
      </rPr>
      <t xml:space="preserve">5</t>
    </r>
    <r>
      <rPr>
        <sz val="10"/>
        <color rgb="FF000000"/>
        <rFont val="Noto Sans CJK SC"/>
        <family val="2"/>
      </rPr>
      <t xml:space="preserve">億元人民幣」；新浪轉述招股章程亦列華發 </t>
    </r>
    <r>
      <rPr>
        <sz val="10"/>
        <color rgb="FF000000"/>
        <rFont val="Arial"/>
        <family val="0"/>
        <charset val="1"/>
      </rPr>
      <t xml:space="preserve">5 </t>
    </r>
    <r>
      <rPr>
        <sz val="10"/>
        <color rgb="FF000000"/>
        <rFont val="Noto Sans CJK SC"/>
        <family val="2"/>
      </rPr>
      <t xml:space="preserve">億元</t>
    </r>
  </si>
  <si>
    <t xml:space="preserve">SRC_ZP_512</t>
  </si>
  <si>
    <t xml:space="preserve">round_2025_03_chengdu</t>
  </si>
  <si>
    <r>
      <rPr>
        <sz val="10"/>
        <color rgb="FF000000"/>
        <rFont val="Arial"/>
        <family val="0"/>
        <charset val="1"/>
      </rPr>
      <t xml:space="preserve">2025-03 </t>
    </r>
    <r>
      <rPr>
        <sz val="10"/>
        <color rgb="FF000000"/>
        <rFont val="Noto Sans CJK SC"/>
        <family val="2"/>
      </rPr>
      <t xml:space="preserve">成都高新區（新經濟創投）</t>
    </r>
  </si>
  <si>
    <t xml:space="preserve">2025-03-19</t>
  </si>
  <si>
    <r>
      <rPr>
        <sz val="10"/>
        <color rgb="FF000000"/>
        <rFont val="Arial"/>
        <family val="0"/>
        <charset val="1"/>
      </rPr>
      <t xml:space="preserve">Reuters</t>
    </r>
    <r>
      <rPr>
        <sz val="10"/>
        <color rgb="FF000000"/>
        <rFont val="Noto Sans CJK SC"/>
        <family val="2"/>
      </rPr>
      <t xml:space="preserve">（老虎轉載）</t>
    </r>
  </si>
  <si>
    <t xml:space="preserve">https://www.itiger.com/hans/news/2520094057</t>
  </si>
  <si>
    <t xml:space="preserve">地方政府基金（宣傳誘因）</t>
  </si>
  <si>
    <r>
      <rPr>
        <sz val="10"/>
        <color rgb="FF000000"/>
        <rFont val="Noto Sans CJK SC"/>
        <family val="2"/>
      </rPr>
      <t xml:space="preserve">「</t>
    </r>
    <r>
      <rPr>
        <sz val="10"/>
        <color rgb="FF000000"/>
        <rFont val="Arial"/>
        <family val="0"/>
        <charset val="1"/>
      </rPr>
      <t xml:space="preserve">300 million yuan ($41.5 million)</t>
    </r>
    <r>
      <rPr>
        <sz val="10"/>
        <color rgb="FF000000"/>
        <rFont val="Noto Sans CJK SC"/>
        <family val="2"/>
      </rPr>
      <t xml:space="preserve">」；招股章程轉述亦列成都高新 </t>
    </r>
    <r>
      <rPr>
        <sz val="10"/>
        <color rgb="FF000000"/>
        <rFont val="Arial"/>
        <family val="0"/>
        <charset val="1"/>
      </rPr>
      <t xml:space="preserve">3 </t>
    </r>
    <r>
      <rPr>
        <sz val="10"/>
        <color rgb="FF000000"/>
        <rFont val="Noto Sans CJK SC"/>
        <family val="2"/>
      </rPr>
      <t xml:space="preserve">億元</t>
    </r>
  </si>
  <si>
    <t xml:space="preserve">SRC_ZP_513</t>
  </si>
  <si>
    <t xml:space="preserve">round_2025_07_shanghai</t>
  </si>
  <si>
    <r>
      <rPr>
        <sz val="10"/>
        <color rgb="FF000000"/>
        <rFont val="Arial"/>
        <family val="0"/>
        <charset val="1"/>
      </rPr>
      <t xml:space="preserve">2025-07 </t>
    </r>
    <r>
      <rPr>
        <sz val="10"/>
        <color rgb="FF000000"/>
        <rFont val="Noto Sans CJK SC"/>
        <family val="2"/>
      </rPr>
      <t xml:space="preserve">浦東創投、張江集團戰略投資</t>
    </r>
  </si>
  <si>
    <t xml:space="preserve">2025-07-02</t>
  </si>
  <si>
    <t xml:space="preserve">DealStreetAsia</t>
  </si>
  <si>
    <t xml:space="preserve">https://www.dealstreetasia.com/?p=447792</t>
  </si>
  <si>
    <t xml:space="preserve">2025-07-03</t>
  </si>
  <si>
    <t xml:space="preserve">上海國資（宣傳誘因）</t>
  </si>
  <si>
    <r>
      <rPr>
        <sz val="10"/>
        <color rgb="FF000000"/>
        <rFont val="Noto Sans CJK SC"/>
        <family val="2"/>
      </rPr>
      <t xml:space="preserve">「</t>
    </r>
    <r>
      <rPr>
        <sz val="10"/>
        <color rgb="FF000000"/>
        <rFont val="Arial"/>
        <family val="0"/>
        <charset val="1"/>
      </rPr>
      <t xml:space="preserve">1 billion yuan</t>
    </r>
    <r>
      <rPr>
        <sz val="10"/>
        <color rgb="FF000000"/>
        <rFont val="Noto Sans CJK SC"/>
        <family val="2"/>
      </rPr>
      <t xml:space="preserve">」；媒體估值約 </t>
    </r>
    <r>
      <rPr>
        <sz val="10"/>
        <color rgb="FF000000"/>
        <rFont val="Arial"/>
        <family val="0"/>
        <charset val="1"/>
      </rPr>
      <t xml:space="preserve">US$5.6b</t>
    </r>
    <r>
      <rPr>
        <sz val="10"/>
        <color rgb="FF000000"/>
        <rFont val="Noto Sans CJK SC"/>
        <family val="2"/>
      </rPr>
      <t xml:space="preserve">（推估，不登錄為值）</t>
    </r>
  </si>
  <si>
    <t xml:space="preserve">SRC_ZP_514</t>
  </si>
  <si>
    <t xml:space="preserve">round_last_b6_total</t>
  </si>
  <si>
    <t xml:space="preserve">上市前最後一輪合計（中關村科學城、大興、杭州城創、華發、成都高新、上城領航）</t>
  </si>
  <si>
    <r>
      <rPr>
        <sz val="10"/>
        <color rgb="FF000000"/>
        <rFont val="Arial"/>
        <family val="0"/>
        <charset val="1"/>
      </rPr>
      <t xml:space="preserve">2024-12</t>
    </r>
    <r>
      <rPr>
        <sz val="10"/>
        <color rgb="FF000000"/>
        <rFont val="Noto Sans CJK SC"/>
        <family val="2"/>
      </rPr>
      <t xml:space="preserve">～</t>
    </r>
    <r>
      <rPr>
        <sz val="10"/>
        <color rgb="FF000000"/>
        <rFont val="Arial"/>
        <family val="0"/>
        <charset val="1"/>
      </rPr>
      <t xml:space="preserve">2025</t>
    </r>
  </si>
  <si>
    <r>
      <rPr>
        <sz val="10"/>
        <color rgb="FF000000"/>
        <rFont val="Noto Sans CJK SC"/>
        <family val="2"/>
      </rPr>
      <t xml:space="preserve">「超</t>
    </r>
    <r>
      <rPr>
        <sz val="10"/>
        <color rgb="FF000000"/>
        <rFont val="Arial"/>
        <family val="0"/>
        <charset val="1"/>
      </rPr>
      <t xml:space="preserve">20</t>
    </r>
    <r>
      <rPr>
        <sz val="10"/>
        <color rgb="FF000000"/>
        <rFont val="Noto Sans CJK SC"/>
        <family val="2"/>
      </rPr>
      <t xml:space="preserve">億元」；國資來自北京、珠海、成都、杭州；與量子位「</t>
    </r>
    <r>
      <rPr>
        <sz val="10"/>
        <color rgb="FF000000"/>
        <rFont val="Arial"/>
        <family val="0"/>
        <charset val="1"/>
      </rPr>
      <t xml:space="preserve">30</t>
    </r>
    <r>
      <rPr>
        <sz val="10"/>
        <color rgb="FF000000"/>
        <rFont val="Noto Sans CJK SC"/>
        <family val="2"/>
      </rPr>
      <t xml:space="preserve">億」口徑不同</t>
    </r>
  </si>
  <si>
    <t xml:space="preserve">SRC_ZP_515</t>
  </si>
  <si>
    <t xml:space="preserve">ipo_price</t>
  </si>
  <si>
    <r>
      <rPr>
        <sz val="10"/>
        <color rgb="FF000000"/>
        <rFont val="Arial"/>
        <family val="0"/>
        <charset val="1"/>
      </rPr>
      <t xml:space="preserve">IPO </t>
    </r>
    <r>
      <rPr>
        <sz val="10"/>
        <color rgb="FF000000"/>
        <rFont val="Noto Sans CJK SC"/>
        <family val="2"/>
      </rPr>
      <t xml:space="preserve">發售價</t>
    </r>
  </si>
  <si>
    <r>
      <rPr>
        <sz val="10"/>
        <color rgb="FF000000"/>
        <rFont val="Arial"/>
        <family val="0"/>
        <charset val="1"/>
      </rPr>
      <t xml:space="preserve">HKD</t>
    </r>
    <r>
      <rPr>
        <sz val="10"/>
        <color rgb="FF000000"/>
        <rFont val="Noto Sans CJK SC"/>
        <family val="2"/>
      </rPr>
      <t xml:space="preserve">／股</t>
    </r>
  </si>
  <si>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配售及可換股債券公告（過往 </t>
    </r>
    <r>
      <rPr>
        <sz val="10"/>
        <color rgb="FF000000"/>
        <rFont val="Arial"/>
        <family val="0"/>
        <charset val="1"/>
      </rPr>
      <t xml:space="preserve">12 </t>
    </r>
    <r>
      <rPr>
        <sz val="10"/>
        <color rgb="FF000000"/>
        <rFont val="Noto Sans CJK SC"/>
        <family val="2"/>
      </rPr>
      <t xml:space="preserve">個月集資）</t>
    </r>
  </si>
  <si>
    <t xml:space="preserve">https://www1.hkexnews.hk/listedco/listconews/sehk/2026/0913/2026091300026_c.pdf</t>
  </si>
  <si>
    <t xml:space="preserve">2026-09-13</t>
  </si>
  <si>
    <t xml:space="preserve">公司公告</t>
  </si>
  <si>
    <r>
      <rPr>
        <sz val="10"/>
        <color rgb="FF000000"/>
        <rFont val="Noto Sans CJK SC"/>
        <family val="2"/>
      </rPr>
      <t xml:space="preserve">「按每股</t>
    </r>
    <r>
      <rPr>
        <sz val="10"/>
        <color rgb="FF000000"/>
        <rFont val="Arial"/>
        <family val="0"/>
        <charset val="1"/>
      </rPr>
      <t xml:space="preserve">H</t>
    </r>
    <r>
      <rPr>
        <sz val="10"/>
        <color rgb="FF000000"/>
        <rFont val="Noto Sans CJK SC"/>
        <family val="2"/>
      </rPr>
      <t xml:space="preserve">股</t>
    </r>
    <r>
      <rPr>
        <sz val="10"/>
        <color rgb="FF000000"/>
        <rFont val="Arial"/>
        <family val="0"/>
        <charset val="1"/>
      </rPr>
      <t xml:space="preserve">116.20</t>
    </r>
    <r>
      <rPr>
        <sz val="10"/>
        <color rgb="FF000000"/>
        <rFont val="Noto Sans CJK SC"/>
        <family val="2"/>
      </rPr>
      <t xml:space="preserve">港元發行</t>
    </r>
    <r>
      <rPr>
        <sz val="10"/>
        <color rgb="FF000000"/>
        <rFont val="Arial"/>
        <family val="0"/>
        <charset val="1"/>
      </rPr>
      <t xml:space="preserve">37,419,500</t>
    </r>
    <r>
      <rPr>
        <sz val="10"/>
        <color rgb="FF000000"/>
        <rFont val="Noto Sans CJK SC"/>
        <family val="2"/>
      </rPr>
      <t xml:space="preserve">股新</t>
    </r>
    <r>
      <rPr>
        <sz val="10"/>
        <color rgb="FF000000"/>
        <rFont val="Arial"/>
        <family val="0"/>
        <charset val="1"/>
      </rPr>
      <t xml:space="preserve">H</t>
    </r>
    <r>
      <rPr>
        <sz val="10"/>
        <color rgb="FF000000"/>
        <rFont val="Noto Sans CJK SC"/>
        <family val="2"/>
      </rPr>
      <t xml:space="preserve">股」</t>
    </r>
  </si>
  <si>
    <t xml:space="preserve">SRC_ZP_516</t>
  </si>
  <si>
    <t xml:space="preserve">ipo_shares</t>
  </si>
  <si>
    <r>
      <rPr>
        <sz val="10"/>
        <color rgb="FF000000"/>
        <rFont val="Arial"/>
        <family val="0"/>
        <charset val="1"/>
      </rPr>
      <t xml:space="preserve">IPO </t>
    </r>
    <r>
      <rPr>
        <sz val="10"/>
        <color rgb="FF000000"/>
        <rFont val="Noto Sans CJK SC"/>
        <family val="2"/>
      </rPr>
      <t xml:space="preserve">發行股數（不含超額配股）</t>
    </r>
  </si>
  <si>
    <t xml:space="preserve">股</t>
  </si>
  <si>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公告</t>
    </r>
  </si>
  <si>
    <r>
      <rPr>
        <sz val="10"/>
        <color rgb="FF000000"/>
        <rFont val="Noto Sans CJK SC"/>
        <family val="2"/>
      </rPr>
      <t xml:space="preserve">香港公開發售回撥後 </t>
    </r>
    <r>
      <rPr>
        <sz val="10"/>
        <color rgb="FF000000"/>
        <rFont val="Arial"/>
        <family val="0"/>
        <charset val="1"/>
      </rPr>
      <t xml:space="preserve">7,483,900 </t>
    </r>
    <r>
      <rPr>
        <sz val="10"/>
        <color rgb="FF000000"/>
        <rFont val="Noto Sans CJK SC"/>
        <family val="2"/>
      </rPr>
      <t xml:space="preserve">股、國際 </t>
    </r>
    <r>
      <rPr>
        <sz val="10"/>
        <color rgb="FF000000"/>
        <rFont val="Arial"/>
        <family val="0"/>
        <charset val="1"/>
      </rPr>
      <t xml:space="preserve">29,935,600 </t>
    </r>
    <r>
      <rPr>
        <sz val="10"/>
        <color rgb="FF000000"/>
        <rFont val="Noto Sans CJK SC"/>
        <family val="2"/>
      </rPr>
      <t xml:space="preserve">股（新浪）</t>
    </r>
  </si>
  <si>
    <t xml:space="preserve">SRC_ZP_517</t>
  </si>
  <si>
    <t xml:space="preserve">ipo_gross</t>
  </si>
  <si>
    <r>
      <rPr>
        <sz val="10"/>
        <color rgb="FF000000"/>
        <rFont val="Arial"/>
        <family val="0"/>
        <charset val="1"/>
      </rPr>
      <t xml:space="preserve">IPO </t>
    </r>
    <r>
      <rPr>
        <sz val="10"/>
        <color rgb="FF000000"/>
        <rFont val="Noto Sans CJK SC"/>
        <family val="2"/>
      </rPr>
      <t xml:space="preserve">募資總額（不含超額配股）</t>
    </r>
  </si>
  <si>
    <r>
      <rPr>
        <sz val="10"/>
        <color rgb="FF000000"/>
        <rFont val="Arial"/>
        <family val="0"/>
        <charset val="1"/>
      </rPr>
      <t xml:space="preserve">HKD </t>
    </r>
    <r>
      <rPr>
        <sz val="10"/>
        <color rgb="FF000000"/>
        <rFont val="Noto Sans CJK SC"/>
        <family val="2"/>
      </rPr>
      <t xml:space="preserve">百萬</t>
    </r>
  </si>
  <si>
    <t xml:space="preserve">新浪財經（轉述配發結果公告）</t>
  </si>
  <si>
    <t xml:space="preserve">https://finance.sina.cn/2026-01-08/detail-inhfqtyr6689758.d.html</t>
  </si>
  <si>
    <t xml:space="preserve">媒體轉述配發結果</t>
  </si>
  <si>
    <r>
      <rPr>
        <sz val="10"/>
        <color rgb="FF000000"/>
        <rFont val="Noto Sans CJK SC"/>
        <family val="2"/>
      </rPr>
      <t xml:space="preserve">所得款項總額 </t>
    </r>
    <r>
      <rPr>
        <sz val="10"/>
        <color rgb="FF000000"/>
        <rFont val="Arial"/>
        <family val="0"/>
        <charset val="1"/>
      </rPr>
      <t xml:space="preserve">4,348.1 </t>
    </r>
    <r>
      <rPr>
        <sz val="10"/>
        <color rgb="FF000000"/>
        <rFont val="Noto Sans CJK SC"/>
        <family val="2"/>
      </rPr>
      <t xml:space="preserve">百萬港元；</t>
    </r>
    <r>
      <rPr>
        <sz val="10"/>
        <color rgb="FF000000"/>
        <rFont val="Arial"/>
        <family val="0"/>
        <charset val="1"/>
      </rPr>
      <t xml:space="preserve">116.20×37,419,500</t>
    </r>
    <r>
      <rPr>
        <sz val="10"/>
        <color rgb="FF000000"/>
        <rFont val="Noto Sans CJK SC"/>
        <family val="2"/>
      </rPr>
      <t xml:space="preserve">＝</t>
    </r>
    <r>
      <rPr>
        <sz val="10"/>
        <color rgb="FF000000"/>
        <rFont val="Arial"/>
        <family val="0"/>
        <charset val="1"/>
      </rPr>
      <t xml:space="preserve">4,348.1 </t>
    </r>
    <r>
      <rPr>
        <sz val="10"/>
        <color rgb="FF000000"/>
        <rFont val="Noto Sans CJK SC"/>
        <family val="2"/>
      </rPr>
      <t xml:space="preserve">吻合</t>
    </r>
  </si>
  <si>
    <t xml:space="preserve">SRC_ZP_518</t>
  </si>
  <si>
    <t xml:space="preserve">ipo_listing_exp</t>
  </si>
  <si>
    <r>
      <rPr>
        <sz val="10"/>
        <color rgb="FF000000"/>
        <rFont val="Arial"/>
        <family val="0"/>
        <charset val="1"/>
      </rPr>
      <t xml:space="preserve">IPO </t>
    </r>
    <r>
      <rPr>
        <sz val="10"/>
        <color rgb="FF000000"/>
        <rFont val="Noto Sans CJK SC"/>
        <family val="2"/>
      </rPr>
      <t xml:space="preserve">估計上市開支</t>
    </r>
  </si>
  <si>
    <r>
      <rPr>
        <sz val="10"/>
        <color rgb="FF000000"/>
        <rFont val="Noto Sans CJK SC"/>
        <family val="2"/>
      </rPr>
      <t xml:space="preserve">扣除估計上市開支 </t>
    </r>
    <r>
      <rPr>
        <sz val="10"/>
        <color rgb="FF000000"/>
        <rFont val="Arial"/>
        <family val="0"/>
        <charset val="1"/>
      </rPr>
      <t xml:space="preserve">174.7 </t>
    </r>
    <r>
      <rPr>
        <sz val="10"/>
        <color rgb="FF000000"/>
        <rFont val="Noto Sans CJK SC"/>
        <family val="2"/>
      </rPr>
      <t xml:space="preserve">百萬港元</t>
    </r>
  </si>
  <si>
    <t xml:space="preserve">SRC_ZP_519</t>
  </si>
  <si>
    <t xml:space="preserve">ipo_net</t>
  </si>
  <si>
    <r>
      <rPr>
        <sz val="10"/>
        <color rgb="FF000000"/>
        <rFont val="Arial"/>
        <family val="0"/>
        <charset val="1"/>
      </rPr>
      <t xml:space="preserve">IPO </t>
    </r>
    <r>
      <rPr>
        <sz val="10"/>
        <color rgb="FF000000"/>
        <rFont val="Noto Sans CJK SC"/>
        <family val="2"/>
      </rPr>
      <t xml:space="preserve">所得款項淨額（不含超額配股）</t>
    </r>
  </si>
  <si>
    <t xml:space="preserve">新浪財經（轉述配發結果公告）；證券時報同值</t>
  </si>
  <si>
    <r>
      <rPr>
        <sz val="10"/>
        <color rgb="FF000000"/>
        <rFont val="Noto Sans CJK SC"/>
        <family val="2"/>
      </rPr>
      <t xml:space="preserve">淨額 </t>
    </r>
    <r>
      <rPr>
        <sz val="10"/>
        <color rgb="FF000000"/>
        <rFont val="Arial"/>
        <family val="0"/>
        <charset val="1"/>
      </rPr>
      <t xml:space="preserve">4,173.4 </t>
    </r>
    <r>
      <rPr>
        <sz val="10"/>
        <color rgb="FF000000"/>
        <rFont val="Noto Sans CJK SC"/>
        <family val="2"/>
      </rPr>
      <t xml:space="preserve">百萬港元；證券時報「全球發售淨籌資約</t>
    </r>
    <r>
      <rPr>
        <sz val="10"/>
        <color rgb="FF000000"/>
        <rFont val="Arial"/>
        <family val="0"/>
        <charset val="1"/>
      </rPr>
      <t xml:space="preserve">41.73</t>
    </r>
    <r>
      <rPr>
        <sz val="10"/>
        <color rgb="FF000000"/>
        <rFont val="Noto Sans CJK SC"/>
        <family val="2"/>
      </rPr>
      <t xml:space="preserve">億港元」</t>
    </r>
  </si>
  <si>
    <t xml:space="preserve">SRC_ZP_520</t>
  </si>
  <si>
    <t xml:space="preserve">ipo_overallot_shares</t>
  </si>
  <si>
    <t xml:space="preserve">超額配股權行使股數</t>
  </si>
  <si>
    <t xml:space="preserve">2026-02-04</t>
  </si>
  <si>
    <r>
      <rPr>
        <sz val="10"/>
        <color rgb="FF000000"/>
        <rFont val="Noto Sans CJK SC"/>
        <family val="2"/>
      </rPr>
      <t xml:space="preserve">新浪財經（轉述配發結果）＋ </t>
    </r>
    <r>
      <rPr>
        <sz val="10"/>
        <color rgb="FF000000"/>
        <rFont val="Arial"/>
        <family val="0"/>
        <charset val="1"/>
      </rPr>
      <t xml:space="preserve">2026-06 </t>
    </r>
    <r>
      <rPr>
        <sz val="10"/>
        <color rgb="FF000000"/>
        <rFont val="Noto Sans CJK SC"/>
        <family val="2"/>
      </rPr>
      <t xml:space="preserve">月報表股數勾稽</t>
    </r>
  </si>
  <si>
    <r>
      <rPr>
        <sz val="10"/>
        <color rgb="FF000000"/>
        <rFont val="Noto Sans CJK SC"/>
        <family val="2"/>
      </rPr>
      <t xml:space="preserve">媒體轉述；與 </t>
    </r>
    <r>
      <rPr>
        <sz val="10"/>
        <color rgb="FF000000"/>
        <rFont val="Arial"/>
        <family val="0"/>
        <charset val="1"/>
      </rPr>
      <t xml:space="preserve">FF301 </t>
    </r>
    <r>
      <rPr>
        <sz val="10"/>
        <color rgb="FF000000"/>
        <rFont val="Noto Sans CJK SC"/>
        <family val="2"/>
      </rPr>
      <t xml:space="preserve">勾稽</t>
    </r>
  </si>
  <si>
    <r>
      <rPr>
        <sz val="10"/>
        <color rgb="FF000000"/>
        <rFont val="Arial"/>
        <family val="0"/>
        <charset val="1"/>
      </rPr>
      <t xml:space="preserve">440,230,190</t>
    </r>
    <r>
      <rPr>
        <sz val="10"/>
        <color rgb="FF000000"/>
        <rFont val="Noto Sans CJK SC"/>
        <family val="2"/>
      </rPr>
      <t xml:space="preserve">＋</t>
    </r>
    <r>
      <rPr>
        <sz val="10"/>
        <color rgb="FF000000"/>
        <rFont val="Arial"/>
        <family val="0"/>
        <charset val="1"/>
      </rPr>
      <t xml:space="preserve">5,612,900</t>
    </r>
    <r>
      <rPr>
        <sz val="10"/>
        <color rgb="FF000000"/>
        <rFont val="Noto Sans CJK SC"/>
        <family val="2"/>
      </rPr>
      <t xml:space="preserve">＝</t>
    </r>
    <r>
      <rPr>
        <sz val="10"/>
        <color rgb="FF000000"/>
        <rFont val="Arial"/>
        <family val="0"/>
        <charset val="1"/>
      </rPr>
      <t xml:space="preserve">445,843,090</t>
    </r>
    <r>
      <rPr>
        <sz val="10"/>
        <color rgb="FF000000"/>
        <rFont val="Noto Sans CJK SC"/>
        <family val="2"/>
      </rPr>
      <t xml:space="preserve">，與 </t>
    </r>
    <r>
      <rPr>
        <sz val="10"/>
        <color rgb="FF000000"/>
        <rFont val="Arial"/>
        <family val="0"/>
        <charset val="1"/>
      </rPr>
      <t xml:space="preserve">FF301 </t>
    </r>
    <r>
      <rPr>
        <sz val="10"/>
        <color rgb="FF000000"/>
        <rFont val="Noto Sans CJK SC"/>
        <family val="2"/>
      </rPr>
      <t xml:space="preserve">總股數吻合</t>
    </r>
  </si>
  <si>
    <t xml:space="preserve">SRC_ZP_521</t>
  </si>
  <si>
    <t xml:space="preserve">ipo_overallot_shares_b</t>
  </si>
  <si>
    <t xml:space="preserve">超額配股權行使股數（公告另一數字）</t>
  </si>
  <si>
    <r>
      <rPr>
        <sz val="10"/>
        <color rgb="FF000000"/>
        <rFont val="Noto Sans CJK SC"/>
        <family val="2"/>
      </rPr>
      <t xml:space="preserve">公司公告（經 </t>
    </r>
    <r>
      <rPr>
        <sz val="10"/>
        <color rgb="FF000000"/>
        <rFont val="Arial"/>
        <family val="0"/>
        <charset val="1"/>
      </rPr>
      <t xml:space="preserve">WebFetch </t>
    </r>
    <r>
      <rPr>
        <sz val="10"/>
        <color rgb="FF000000"/>
        <rFont val="Noto Sans CJK SC"/>
        <family val="2"/>
      </rPr>
      <t xml:space="preserve">讀取）</t>
    </r>
  </si>
  <si>
    <r>
      <rPr>
        <sz val="10"/>
        <color rgb="FF000000"/>
        <rFont val="Noto Sans CJK SC"/>
        <family val="2"/>
      </rPr>
      <t xml:space="preserve">「超額配股權獲悉數行使…發行額外</t>
    </r>
    <r>
      <rPr>
        <sz val="10"/>
        <color rgb="FF000000"/>
        <rFont val="Arial"/>
        <family val="0"/>
        <charset val="1"/>
      </rPr>
      <t xml:space="preserve">5,623,900</t>
    </r>
    <r>
      <rPr>
        <sz val="10"/>
        <color rgb="FF000000"/>
        <rFont val="Noto Sans CJK SC"/>
        <family val="2"/>
      </rPr>
      <t xml:space="preserve">股</t>
    </r>
    <r>
      <rPr>
        <sz val="10"/>
        <color rgb="FF000000"/>
        <rFont val="Arial"/>
        <family val="0"/>
        <charset val="1"/>
      </rPr>
      <t xml:space="preserve">H</t>
    </r>
    <r>
      <rPr>
        <sz val="10"/>
        <color rgb="FF000000"/>
        <rFont val="Noto Sans CJK SC"/>
        <family val="2"/>
      </rPr>
      <t xml:space="preserve">股」；與股數勾稽差 </t>
    </r>
    <r>
      <rPr>
        <sz val="10"/>
        <color rgb="FF000000"/>
        <rFont val="Arial"/>
        <family val="0"/>
        <charset val="1"/>
      </rPr>
      <t xml:space="preserve">11,000 </t>
    </r>
    <r>
      <rPr>
        <sz val="10"/>
        <color rgb="FF000000"/>
        <rFont val="Noto Sans CJK SC"/>
        <family val="2"/>
      </rPr>
      <t xml:space="preserve">股，疑誤植或讀取誤差</t>
    </r>
  </si>
  <si>
    <t xml:space="preserve">SRC_ZP_522</t>
  </si>
  <si>
    <t xml:space="preserve">ipo_net_incl_overallot</t>
  </si>
  <si>
    <r>
      <rPr>
        <sz val="10"/>
        <color rgb="FF000000"/>
        <rFont val="Arial"/>
        <family val="0"/>
        <charset val="1"/>
      </rPr>
      <t xml:space="preserve">IPO </t>
    </r>
    <r>
      <rPr>
        <sz val="10"/>
        <color rgb="FF000000"/>
        <rFont val="Noto Sans CJK SC"/>
        <family val="2"/>
      </rPr>
      <t xml:space="preserve">淨額（含超額配股權）</t>
    </r>
  </si>
  <si>
    <r>
      <rPr>
        <sz val="10"/>
        <color rgb="FF000000"/>
        <rFont val="Arial"/>
        <family val="0"/>
        <charset val="1"/>
      </rPr>
      <t xml:space="preserve">2026-01</t>
    </r>
    <r>
      <rPr>
        <sz val="10"/>
        <color rgb="FF000000"/>
        <rFont val="Noto Sans CJK SC"/>
        <family val="2"/>
      </rPr>
      <t xml:space="preserve">～</t>
    </r>
    <r>
      <rPr>
        <sz val="10"/>
        <color rgb="FF000000"/>
        <rFont val="Arial"/>
        <family val="0"/>
        <charset val="1"/>
      </rPr>
      <t xml:space="preserve">02</t>
    </r>
  </si>
  <si>
    <r>
      <rPr>
        <sz val="10"/>
        <color rgb="FF000000"/>
        <rFont val="Noto Sans CJK SC"/>
        <family val="2"/>
      </rPr>
      <t xml:space="preserve">「全球發售（包括超額配股權獲行使）的所得款項淨額總額約為</t>
    </r>
    <r>
      <rPr>
        <sz val="10"/>
        <color rgb="FF000000"/>
        <rFont val="Arial"/>
        <family val="0"/>
        <charset val="1"/>
      </rPr>
      <t xml:space="preserve">4,896.2</t>
    </r>
    <r>
      <rPr>
        <sz val="10"/>
        <color rgb="FF000000"/>
        <rFont val="Noto Sans CJK SC"/>
        <family val="2"/>
      </rPr>
      <t xml:space="preserve">百萬港元」；截至 </t>
    </r>
    <r>
      <rPr>
        <sz val="10"/>
        <color rgb="FF000000"/>
        <rFont val="Arial"/>
        <family val="0"/>
        <charset val="1"/>
      </rPr>
      <t xml:space="preserve">2026-08-31 </t>
    </r>
    <r>
      <rPr>
        <sz val="10"/>
        <color rgb="FF000000"/>
        <rFont val="Noto Sans CJK SC"/>
        <family val="2"/>
      </rPr>
      <t xml:space="preserve">已悉數動用</t>
    </r>
  </si>
  <si>
    <t xml:space="preserve">SRC_ZP_523</t>
  </si>
  <si>
    <t xml:space="preserve">ipo_cornerstone_total</t>
  </si>
  <si>
    <r>
      <rPr>
        <sz val="10"/>
        <color rgb="FF000000"/>
        <rFont val="Noto Sans CJK SC"/>
        <family val="2"/>
      </rPr>
      <t xml:space="preserve">基石投資者認購總額（</t>
    </r>
    <r>
      <rPr>
        <sz val="10"/>
        <color rgb="FF000000"/>
        <rFont val="Arial"/>
        <family val="0"/>
        <charset val="1"/>
      </rPr>
      <t xml:space="preserve">11 </t>
    </r>
    <r>
      <rPr>
        <sz val="10"/>
        <color rgb="FF000000"/>
        <rFont val="Noto Sans CJK SC"/>
        <family val="2"/>
      </rPr>
      <t xml:space="preserve">家）</t>
    </r>
  </si>
  <si>
    <r>
      <rPr>
        <sz val="10"/>
        <color rgb="FF000000"/>
        <rFont val="Arial"/>
        <family val="0"/>
        <charset val="1"/>
      </rPr>
      <t xml:space="preserve">HKD </t>
    </r>
    <r>
      <rPr>
        <sz val="10"/>
        <color rgb="FF000000"/>
        <rFont val="Noto Sans CJK SC"/>
        <family val="2"/>
      </rPr>
      <t xml:space="preserve">億</t>
    </r>
  </si>
  <si>
    <t xml:space="preserve">2026-01</t>
  </si>
  <si>
    <t xml:space="preserve">鉅亨網</t>
  </si>
  <si>
    <t xml:space="preserve">https://news.cnyes.com/news/id/6292807</t>
  </si>
  <si>
    <r>
      <rPr>
        <sz val="10"/>
        <color rgb="FF000000"/>
        <rFont val="Noto Sans CJK SC"/>
        <family val="2"/>
      </rPr>
      <t xml:space="preserve">「合共認購</t>
    </r>
    <r>
      <rPr>
        <sz val="10"/>
        <color rgb="FF000000"/>
        <rFont val="Arial"/>
        <family val="0"/>
        <charset val="1"/>
      </rPr>
      <t xml:space="preserve">29.8</t>
    </r>
    <r>
      <rPr>
        <sz val="10"/>
        <color rgb="FF000000"/>
        <rFont val="Noto Sans CJK SC"/>
        <family val="2"/>
      </rPr>
      <t xml:space="preserve">億港元」約占發售 </t>
    </r>
    <r>
      <rPr>
        <sz val="10"/>
        <color rgb="FF000000"/>
        <rFont val="Arial"/>
        <family val="0"/>
        <charset val="1"/>
      </rPr>
      <t xml:space="preserve">70%</t>
    </r>
    <r>
      <rPr>
        <sz val="10"/>
        <color rgb="FF000000"/>
        <rFont val="Noto Sans CJK SC"/>
        <family val="2"/>
      </rPr>
      <t xml:space="preserve">；</t>
    </r>
    <r>
      <rPr>
        <sz val="10"/>
        <color rgb="FF000000"/>
        <rFont val="Arial"/>
        <family val="0"/>
        <charset val="1"/>
      </rPr>
      <t xml:space="preserve">JSC</t>
    </r>
    <r>
      <rPr>
        <sz val="10"/>
        <color rgb="FF000000"/>
        <rFont val="Noto Sans CJK SC"/>
        <family val="2"/>
      </rPr>
      <t xml:space="preserve">、</t>
    </r>
    <r>
      <rPr>
        <sz val="10"/>
        <color rgb="FF000000"/>
        <rFont val="Arial"/>
        <family val="0"/>
        <charset val="1"/>
      </rPr>
      <t xml:space="preserve">JinYi</t>
    </r>
    <r>
      <rPr>
        <sz val="10"/>
        <color rgb="FF000000"/>
        <rFont val="Noto Sans CJK SC"/>
        <family val="2"/>
      </rPr>
      <t xml:space="preserve">、高毅、泰康人壽、廣發基金等；個別金額未載</t>
    </r>
  </si>
  <si>
    <t xml:space="preserve">SRC_ZP_524</t>
  </si>
  <si>
    <t xml:space="preserve">ipo_hk_oversub</t>
  </si>
  <si>
    <t xml:space="preserve">香港公開發售超額認購倍數</t>
  </si>
  <si>
    <t xml:space="preserve">中國日報網</t>
  </si>
  <si>
    <t xml:space="preserve">https://cn.chinadaily.com.cn/a/202601/08/WS695f5b9da310942cc499a93e.html</t>
  </si>
  <si>
    <r>
      <rPr>
        <sz val="10"/>
        <color rgb="FF000000"/>
        <rFont val="Noto Sans CJK SC"/>
        <family val="2"/>
      </rPr>
      <t xml:space="preserve">公開發售 </t>
    </r>
    <r>
      <rPr>
        <sz val="10"/>
        <color rgb="FF000000"/>
        <rFont val="Arial"/>
        <family val="0"/>
        <charset val="1"/>
      </rPr>
      <t xml:space="preserve">1,159.46 </t>
    </r>
    <r>
      <rPr>
        <sz val="10"/>
        <color rgb="FF000000"/>
        <rFont val="Noto Sans CJK SC"/>
        <family val="2"/>
      </rPr>
      <t xml:space="preserve">倍；國際發售 </t>
    </r>
    <r>
      <rPr>
        <sz val="10"/>
        <color rgb="FF000000"/>
        <rFont val="Arial"/>
        <family val="0"/>
        <charset val="1"/>
      </rPr>
      <t xml:space="preserve">15.28 </t>
    </r>
    <r>
      <rPr>
        <sz val="10"/>
        <color rgb="FF000000"/>
        <rFont val="Noto Sans CJK SC"/>
        <family val="2"/>
      </rPr>
      <t xml:space="preserve">倍</t>
    </r>
  </si>
  <si>
    <t xml:space="preserve">SRC_ZP_525</t>
  </si>
  <si>
    <t xml:space="preserve">ipo_proceeds_use_rd</t>
  </si>
  <si>
    <r>
      <rPr>
        <sz val="10"/>
        <color rgb="FF000000"/>
        <rFont val="Arial"/>
        <family val="0"/>
        <charset val="1"/>
      </rPr>
      <t xml:space="preserve">IPO </t>
    </r>
    <r>
      <rPr>
        <sz val="10"/>
        <color rgb="FF000000"/>
        <rFont val="Noto Sans CJK SC"/>
        <family val="2"/>
      </rPr>
      <t xml:space="preserve">用途：通用大模型研發占比</t>
    </r>
  </si>
  <si>
    <t xml:space="preserve">澎湃新聞</t>
  </si>
  <si>
    <t xml:space="preserve">https://www.thepaper.cn/newsDetail_forward_32280640</t>
  </si>
  <si>
    <r>
      <rPr>
        <sz val="10"/>
        <color rgb="FF000000"/>
        <rFont val="Noto Sans CJK SC"/>
        <family val="2"/>
      </rPr>
      <t xml:space="preserve">研發 </t>
    </r>
    <r>
      <rPr>
        <sz val="10"/>
        <color rgb="FF000000"/>
        <rFont val="Arial"/>
        <family val="0"/>
        <charset val="1"/>
      </rPr>
      <t xml:space="preserve">70%</t>
    </r>
    <r>
      <rPr>
        <sz val="10"/>
        <color rgb="FF000000"/>
        <rFont val="Noto Sans CJK SC"/>
        <family val="2"/>
      </rPr>
      <t xml:space="preserve">、</t>
    </r>
    <r>
      <rPr>
        <sz val="10"/>
        <color rgb="FF000000"/>
        <rFont val="Arial"/>
        <family val="0"/>
        <charset val="1"/>
      </rPr>
      <t xml:space="preserve">MaaS </t>
    </r>
    <r>
      <rPr>
        <sz val="10"/>
        <color rgb="FF000000"/>
        <rFont val="Noto Sans CJK SC"/>
        <family val="2"/>
      </rPr>
      <t xml:space="preserve">平台 </t>
    </r>
    <r>
      <rPr>
        <sz val="10"/>
        <color rgb="FF000000"/>
        <rFont val="Arial"/>
        <family val="0"/>
        <charset val="1"/>
      </rPr>
      <t xml:space="preserve">10%</t>
    </r>
    <r>
      <rPr>
        <sz val="10"/>
        <color rgb="FF000000"/>
        <rFont val="Noto Sans CJK SC"/>
        <family val="2"/>
      </rPr>
      <t xml:space="preserve">、合作夥伴與戰投 </t>
    </r>
    <r>
      <rPr>
        <sz val="10"/>
        <color rgb="FF000000"/>
        <rFont val="Arial"/>
        <family val="0"/>
        <charset val="1"/>
      </rPr>
      <t xml:space="preserve">10%</t>
    </r>
    <r>
      <rPr>
        <sz val="10"/>
        <color rgb="FF000000"/>
        <rFont val="Noto Sans CJK SC"/>
        <family val="2"/>
      </rPr>
      <t xml:space="preserve">、營運資金 </t>
    </r>
    <r>
      <rPr>
        <sz val="10"/>
        <color rgb="FF000000"/>
        <rFont val="Arial"/>
        <family val="0"/>
        <charset val="1"/>
      </rPr>
      <t xml:space="preserve">10%</t>
    </r>
  </si>
  <si>
    <t xml:space="preserve">SRC_ZP_526</t>
  </si>
  <si>
    <t xml:space="preserve">ipo_shares_post</t>
  </si>
  <si>
    <t xml:space="preserve">上市後已發行股份總數（超額配股前）</t>
  </si>
  <si>
    <r>
      <rPr>
        <sz val="10"/>
        <color rgb="FF000000"/>
        <rFont val="Noto Sans CJK SC"/>
        <family val="2"/>
      </rPr>
      <t xml:space="preserve">上市後已發行 </t>
    </r>
    <r>
      <rPr>
        <sz val="10"/>
        <color rgb="FF000000"/>
        <rFont val="Arial"/>
        <family val="0"/>
        <charset val="1"/>
      </rPr>
      <t xml:space="preserve">440,230,190 </t>
    </r>
    <r>
      <rPr>
        <sz val="10"/>
        <color rgb="FF000000"/>
        <rFont val="Noto Sans CJK SC"/>
        <family val="2"/>
      </rPr>
      <t xml:space="preserve">股</t>
    </r>
  </si>
  <si>
    <t xml:space="preserve">SRC_ZP_527</t>
  </si>
  <si>
    <t xml:space="preserve">ipo_offer_mktcap</t>
  </si>
  <si>
    <t xml:space="preserve">按發售價計算市值</t>
  </si>
  <si>
    <r>
      <rPr>
        <sz val="10"/>
        <color rgb="FF000000"/>
        <rFont val="Noto Sans CJK SC"/>
        <family val="2"/>
      </rPr>
      <t xml:space="preserve">鉅亨網（</t>
    </r>
    <r>
      <rPr>
        <sz val="10"/>
        <color rgb="FF000000"/>
        <rFont val="Arial"/>
        <family val="0"/>
        <charset val="1"/>
      </rPr>
      <t xml:space="preserve">511 </t>
    </r>
    <r>
      <rPr>
        <sz val="10"/>
        <color rgb="FF000000"/>
        <rFont val="Noto Sans CJK SC"/>
        <family val="2"/>
      </rPr>
      <t xml:space="preserve">億）；</t>
    </r>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116.20×440,230,190</t>
    </r>
  </si>
  <si>
    <t xml:space="preserve">計算</t>
  </si>
  <si>
    <r>
      <rPr>
        <sz val="10"/>
        <color rgb="FF000000"/>
        <rFont val="Noto Sans CJK SC"/>
        <family val="2"/>
      </rPr>
      <t xml:space="preserve">媒體「發行市值達</t>
    </r>
    <r>
      <rPr>
        <sz val="10"/>
        <color rgb="FF000000"/>
        <rFont val="Arial"/>
        <family val="0"/>
        <charset val="1"/>
      </rPr>
      <t xml:space="preserve">511</t>
    </r>
    <r>
      <rPr>
        <sz val="10"/>
        <color rgb="FF000000"/>
        <rFont val="Noto Sans CJK SC"/>
        <family val="2"/>
      </rPr>
      <t xml:space="preserve">億」；計算值 </t>
    </r>
    <r>
      <rPr>
        <sz val="10"/>
        <color rgb="FF000000"/>
        <rFont val="Arial"/>
        <family val="0"/>
        <charset val="1"/>
      </rPr>
      <t xml:space="preserve">511.55 </t>
    </r>
    <r>
      <rPr>
        <sz val="10"/>
        <color rgb="FF000000"/>
        <rFont val="Noto Sans CJK SC"/>
        <family val="2"/>
      </rPr>
      <t xml:space="preserve">億港元</t>
    </r>
  </si>
  <si>
    <t xml:space="preserve">SRC_ZP_528</t>
  </si>
  <si>
    <t xml:space="preserve">ipo_day1_open_mktcap</t>
  </si>
  <si>
    <r>
      <rPr>
        <sz val="10"/>
        <color rgb="FF000000"/>
        <rFont val="Noto Sans CJK SC"/>
        <family val="2"/>
      </rPr>
      <t xml:space="preserve">上市首日開盤市值（線索 </t>
    </r>
    <r>
      <rPr>
        <sz val="10"/>
        <color rgb="FF000000"/>
        <rFont val="Arial"/>
        <family val="0"/>
        <charset val="1"/>
      </rPr>
      <t xml:space="preserve">528 </t>
    </r>
    <r>
      <rPr>
        <sz val="10"/>
        <color rgb="FF000000"/>
        <rFont val="Noto Sans CJK SC"/>
        <family val="2"/>
      </rPr>
      <t xml:space="preserve">億）</t>
    </r>
  </si>
  <si>
    <r>
      <rPr>
        <sz val="10"/>
        <color rgb="FF000000"/>
        <rFont val="Arial"/>
        <family val="0"/>
        <charset val="1"/>
      </rPr>
      <t xml:space="preserve">Derived</t>
    </r>
    <r>
      <rPr>
        <sz val="10"/>
        <color rgb="FF000000"/>
        <rFont val="Noto Sans CJK SC"/>
        <family val="2"/>
      </rPr>
      <t xml:space="preserve">＝開盤價 </t>
    </r>
    <r>
      <rPr>
        <sz val="10"/>
        <color rgb="FF000000"/>
        <rFont val="Arial"/>
        <family val="0"/>
        <charset val="1"/>
      </rPr>
      <t xml:space="preserve">120.00×440,230,190</t>
    </r>
    <r>
      <rPr>
        <sz val="10"/>
        <color rgb="FF000000"/>
        <rFont val="Noto Sans CJK SC"/>
        <family val="2"/>
      </rPr>
      <t xml:space="preserve">；開盤價見證券時報</t>
    </r>
  </si>
  <si>
    <t xml:space="preserve">https://www.stcn.com/article/detail/3580246.html</t>
  </si>
  <si>
    <r>
      <rPr>
        <sz val="10"/>
        <color rgb="FF000000"/>
        <rFont val="Noto Sans CJK SC"/>
        <family val="2"/>
      </rPr>
      <t xml:space="preserve">開盤「報</t>
    </r>
    <r>
      <rPr>
        <sz val="10"/>
        <color rgb="FF000000"/>
        <rFont val="Arial"/>
        <family val="0"/>
        <charset val="1"/>
      </rPr>
      <t xml:space="preserve">120</t>
    </r>
    <r>
      <rPr>
        <sz val="10"/>
        <color rgb="FF000000"/>
        <rFont val="Noto Sans CJK SC"/>
        <family val="2"/>
      </rPr>
      <t xml:space="preserve">港元</t>
    </r>
    <r>
      <rPr>
        <sz val="10"/>
        <color rgb="FF000000"/>
        <rFont val="Arial"/>
        <family val="0"/>
        <charset val="1"/>
      </rPr>
      <t xml:space="preserve">/</t>
    </r>
    <r>
      <rPr>
        <sz val="10"/>
        <color rgb="FF000000"/>
        <rFont val="Noto Sans CJK SC"/>
        <family val="2"/>
      </rPr>
      <t xml:space="preserve">股」；線索 </t>
    </r>
    <r>
      <rPr>
        <sz val="10"/>
        <color rgb="FF000000"/>
        <rFont val="Arial"/>
        <family val="0"/>
        <charset val="1"/>
      </rPr>
      <t xml:space="preserve">528 </t>
    </r>
    <r>
      <rPr>
        <sz val="10"/>
        <color rgb="FF000000"/>
        <rFont val="Noto Sans CJK SC"/>
        <family val="2"/>
      </rPr>
      <t xml:space="preserve">億即開盤市值，非收盤</t>
    </r>
  </si>
  <si>
    <t xml:space="preserve">SRC_ZP_529</t>
  </si>
  <si>
    <t xml:space="preserve">ipo_day1_close</t>
  </si>
  <si>
    <t xml:space="preserve">上市首日收盤價</t>
  </si>
  <si>
    <t xml:space="preserve">證券時報</t>
  </si>
  <si>
    <t xml:space="preserve">市場數據</t>
  </si>
  <si>
    <r>
      <rPr>
        <sz val="10"/>
        <color rgb="FF000000"/>
        <rFont val="Noto Sans CJK SC"/>
        <family val="2"/>
      </rPr>
      <t xml:space="preserve">「收報</t>
    </r>
    <r>
      <rPr>
        <sz val="10"/>
        <color rgb="FF000000"/>
        <rFont val="Arial"/>
        <family val="0"/>
        <charset val="1"/>
      </rPr>
      <t xml:space="preserve">131.5</t>
    </r>
    <r>
      <rPr>
        <sz val="10"/>
        <color rgb="FF000000"/>
        <rFont val="Noto Sans CJK SC"/>
        <family val="2"/>
      </rPr>
      <t xml:space="preserve">港元</t>
    </r>
    <r>
      <rPr>
        <sz val="10"/>
        <color rgb="FF000000"/>
        <rFont val="Arial"/>
        <family val="0"/>
        <charset val="1"/>
      </rPr>
      <t xml:space="preserve">/</t>
    </r>
    <r>
      <rPr>
        <sz val="10"/>
        <color rgb="FF000000"/>
        <rFont val="Noto Sans CJK SC"/>
        <family val="2"/>
      </rPr>
      <t xml:space="preserve">股」，漲 </t>
    </r>
    <r>
      <rPr>
        <sz val="10"/>
        <color rgb="FF000000"/>
        <rFont val="Arial"/>
        <family val="0"/>
        <charset val="1"/>
      </rPr>
      <t xml:space="preserve">13.17%</t>
    </r>
    <r>
      <rPr>
        <sz val="10"/>
        <color rgb="FF000000"/>
        <rFont val="Noto Sans CJK SC"/>
        <family val="2"/>
      </rPr>
      <t xml:space="preserve">；盤中低 </t>
    </r>
    <r>
      <rPr>
        <sz val="10"/>
        <color rgb="FF000000"/>
        <rFont val="Arial"/>
        <family val="0"/>
        <charset val="1"/>
      </rPr>
      <t xml:space="preserve">116.10</t>
    </r>
  </si>
  <si>
    <t xml:space="preserve">SRC_ZP_530</t>
  </si>
  <si>
    <t xml:space="preserve">ipo_day1_close_mktcap</t>
  </si>
  <si>
    <t xml:space="preserve">上市首日收盤市值</t>
  </si>
  <si>
    <r>
      <rPr>
        <sz val="10"/>
        <color rgb="FF000000"/>
        <rFont val="Noto Sans CJK SC"/>
        <family val="2"/>
      </rPr>
      <t xml:space="preserve">「總市值達</t>
    </r>
    <r>
      <rPr>
        <sz val="10"/>
        <color rgb="FF000000"/>
        <rFont val="Arial"/>
        <family val="0"/>
        <charset val="1"/>
      </rPr>
      <t xml:space="preserve">578.9</t>
    </r>
    <r>
      <rPr>
        <sz val="10"/>
        <color rgb="FF000000"/>
        <rFont val="Noto Sans CJK SC"/>
        <family val="2"/>
      </rPr>
      <t xml:space="preserve">億港元」；</t>
    </r>
    <r>
      <rPr>
        <sz val="10"/>
        <color rgb="FF000000"/>
        <rFont val="Arial"/>
        <family val="0"/>
        <charset val="1"/>
      </rPr>
      <t xml:space="preserve">131.5×440,230,190</t>
    </r>
    <r>
      <rPr>
        <sz val="10"/>
        <color rgb="FF000000"/>
        <rFont val="Noto Sans CJK SC"/>
        <family val="2"/>
      </rPr>
      <t xml:space="preserve">＝</t>
    </r>
    <r>
      <rPr>
        <sz val="10"/>
        <color rgb="FF000000"/>
        <rFont val="Arial"/>
        <family val="0"/>
        <charset val="1"/>
      </rPr>
      <t xml:space="preserve">578.9 </t>
    </r>
    <r>
      <rPr>
        <sz val="10"/>
        <color rgb="FF000000"/>
        <rFont val="Noto Sans CJK SC"/>
        <family val="2"/>
      </rPr>
      <t xml:space="preserve">吻合</t>
    </r>
  </si>
  <si>
    <t xml:space="preserve">SRC_ZP_531</t>
  </si>
  <si>
    <t xml:space="preserve">ipo_day1_close_mktcap_b</t>
  </si>
  <si>
    <t xml:space="preserve">上市首日收盤市值（另一說）</t>
  </si>
  <si>
    <t xml:space="preserve">https://www.mrjjxw.com/articles/2026-06-22/4432957.html</t>
  </si>
  <si>
    <t xml:space="preserve">2026-06-22</t>
  </si>
  <si>
    <t xml:space="preserve">市場數據（媒體）</t>
  </si>
  <si>
    <r>
      <rPr>
        <sz val="10"/>
        <color rgb="FF000000"/>
        <rFont val="Noto Sans CJK SC"/>
        <family val="2"/>
      </rPr>
      <t xml:space="preserve">「市值約</t>
    </r>
    <r>
      <rPr>
        <sz val="10"/>
        <color rgb="FF000000"/>
        <rFont val="Arial"/>
        <family val="0"/>
        <charset val="1"/>
      </rPr>
      <t xml:space="preserve">586</t>
    </r>
    <r>
      <rPr>
        <sz val="10"/>
        <color rgb="FF000000"/>
        <rFont val="Noto Sans CJK SC"/>
        <family val="2"/>
      </rPr>
      <t xml:space="preserve">億港元」；與 </t>
    </r>
    <r>
      <rPr>
        <sz val="10"/>
        <color rgb="FF000000"/>
        <rFont val="Arial"/>
        <family val="0"/>
        <charset val="1"/>
      </rPr>
      <t xml:space="preserve">578.9 </t>
    </r>
    <r>
      <rPr>
        <sz val="10"/>
        <color rgb="FF000000"/>
        <rFont val="Noto Sans CJK SC"/>
        <family val="2"/>
      </rPr>
      <t xml:space="preserve">差異未說明，以證券時報為主</t>
    </r>
  </si>
  <si>
    <t xml:space="preserve">SRC_ZP_532</t>
  </si>
  <si>
    <t xml:space="preserve">placing1_price</t>
  </si>
  <si>
    <r>
      <rPr>
        <sz val="10"/>
        <color rgb="FF000000"/>
        <rFont val="Arial"/>
        <family val="0"/>
        <charset val="1"/>
      </rPr>
      <t xml:space="preserve">2026-07 </t>
    </r>
    <r>
      <rPr>
        <sz val="10"/>
        <color rgb="FF000000"/>
        <rFont val="Noto Sans CJK SC"/>
        <family val="2"/>
      </rPr>
      <t xml:space="preserve">配售價</t>
    </r>
  </si>
  <si>
    <t xml:space="preserve">2026-07-09</t>
  </si>
  <si>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公告（過往 </t>
    </r>
    <r>
      <rPr>
        <sz val="10"/>
        <color rgb="FF000000"/>
        <rFont val="Arial"/>
        <family val="0"/>
        <charset val="1"/>
      </rPr>
      <t xml:space="preserve">12 </t>
    </r>
    <r>
      <rPr>
        <sz val="10"/>
        <color rgb="FF000000"/>
        <rFont val="Noto Sans CJK SC"/>
        <family val="2"/>
      </rPr>
      <t xml:space="preserve">個月集資）</t>
    </r>
  </si>
  <si>
    <r>
      <rPr>
        <sz val="10"/>
        <color rgb="FF000000"/>
        <rFont val="Noto Sans CJK SC"/>
        <family val="2"/>
      </rPr>
      <t xml:space="preserve">「按配售價每股</t>
    </r>
    <r>
      <rPr>
        <sz val="10"/>
        <color rgb="FF000000"/>
        <rFont val="Arial"/>
        <family val="0"/>
        <charset val="1"/>
      </rPr>
      <t xml:space="preserve">H</t>
    </r>
    <r>
      <rPr>
        <sz val="10"/>
        <color rgb="FF000000"/>
        <rFont val="Noto Sans CJK SC"/>
        <family val="2"/>
      </rPr>
      <t xml:space="preserve">股</t>
    </r>
    <r>
      <rPr>
        <sz val="10"/>
        <color rgb="FF000000"/>
        <rFont val="Arial"/>
        <family val="0"/>
        <charset val="1"/>
      </rPr>
      <t xml:space="preserve">1,588.00</t>
    </r>
    <r>
      <rPr>
        <sz val="10"/>
        <color rgb="FF000000"/>
        <rFont val="Noto Sans CJK SC"/>
        <family val="2"/>
      </rPr>
      <t xml:space="preserve">港元配發及發行合共</t>
    </r>
    <r>
      <rPr>
        <sz val="10"/>
        <color rgb="FF000000"/>
        <rFont val="Arial"/>
        <family val="0"/>
        <charset val="1"/>
      </rPr>
      <t xml:space="preserve">19,780,000</t>
    </r>
    <r>
      <rPr>
        <sz val="10"/>
        <color rgb="FF000000"/>
        <rFont val="Noto Sans CJK SC"/>
        <family val="2"/>
      </rPr>
      <t xml:space="preserve">股新</t>
    </r>
    <r>
      <rPr>
        <sz val="10"/>
        <color rgb="FF000000"/>
        <rFont val="Arial"/>
        <family val="0"/>
        <charset val="1"/>
      </rPr>
      <t xml:space="preserve">H</t>
    </r>
    <r>
      <rPr>
        <sz val="10"/>
        <color rgb="FF000000"/>
        <rFont val="Noto Sans CJK SC"/>
        <family val="2"/>
      </rPr>
      <t xml:space="preserve">股」</t>
    </r>
  </si>
  <si>
    <t xml:space="preserve">SRC_ZP_533</t>
  </si>
  <si>
    <t xml:space="preserve">placing1_shares</t>
  </si>
  <si>
    <r>
      <rPr>
        <sz val="10"/>
        <color rgb="FF000000"/>
        <rFont val="Arial"/>
        <family val="0"/>
        <charset val="1"/>
      </rPr>
      <t xml:space="preserve">2026-07 </t>
    </r>
    <r>
      <rPr>
        <sz val="10"/>
        <color rgb="FF000000"/>
        <rFont val="Noto Sans CJK SC"/>
        <family val="2"/>
      </rPr>
      <t xml:space="preserve">配售股數</t>
    </r>
  </si>
  <si>
    <t xml:space="preserve">2026-07-13</t>
  </si>
  <si>
    <r>
      <rPr>
        <sz val="10"/>
        <color rgb="FF000000"/>
        <rFont val="Noto Sans CJK SC"/>
        <family val="2"/>
      </rPr>
      <t xml:space="preserve">智譜翌日披露報表 </t>
    </r>
    <r>
      <rPr>
        <sz val="10"/>
        <color rgb="FF000000"/>
        <rFont val="Arial"/>
        <family val="0"/>
        <charset val="1"/>
      </rPr>
      <t xml:space="preserve">FF305</t>
    </r>
    <r>
      <rPr>
        <sz val="10"/>
        <color rgb="FF000000"/>
        <rFont val="Noto Sans CJK SC"/>
        <family val="2"/>
      </rPr>
      <t xml:space="preserve">（</t>
    </r>
    <r>
      <rPr>
        <sz val="10"/>
        <color rgb="FF000000"/>
        <rFont val="Arial"/>
        <family val="0"/>
        <charset val="1"/>
      </rPr>
      <t xml:space="preserve">2026-07-14</t>
    </r>
    <r>
      <rPr>
        <sz val="10"/>
        <color rgb="FF000000"/>
        <rFont val="Noto Sans CJK SC"/>
        <family val="2"/>
      </rPr>
      <t xml:space="preserve">）</t>
    </r>
  </si>
  <si>
    <t xml:space="preserve">https://pdf.dfcfw.com/pdf/H2_AN202607141826942427_1.pdf</t>
  </si>
  <si>
    <t xml:space="preserve">2026-07-14</t>
  </si>
  <si>
    <t xml:space="preserve">公司公告（東方財富鏡像）</t>
  </si>
  <si>
    <r>
      <rPr>
        <sz val="10"/>
        <color rgb="FF000000"/>
        <rFont val="Noto Sans CJK SC"/>
        <family val="2"/>
      </rPr>
      <t xml:space="preserve">總股數 </t>
    </r>
    <r>
      <rPr>
        <sz val="10"/>
        <color rgb="FF000000"/>
        <rFont val="Arial"/>
        <family val="0"/>
        <charset val="1"/>
      </rPr>
      <t xml:space="preserve">445,843,090→465,623,090</t>
    </r>
    <r>
      <rPr>
        <sz val="10"/>
        <color rgb="FF000000"/>
        <rFont val="Noto Sans CJK SC"/>
        <family val="2"/>
      </rPr>
      <t xml:space="preserve">；</t>
    </r>
    <r>
      <rPr>
        <sz val="10"/>
        <color rgb="FF000000"/>
        <rFont val="Arial"/>
        <family val="0"/>
        <charset val="1"/>
      </rPr>
      <t xml:space="preserve">H </t>
    </r>
    <r>
      <rPr>
        <sz val="10"/>
        <color rgb="FF000000"/>
        <rFont val="Noto Sans CJK SC"/>
        <family val="2"/>
      </rPr>
      <t xml:space="preserve">股 </t>
    </r>
    <r>
      <rPr>
        <sz val="10"/>
        <color rgb="FF000000"/>
        <rFont val="Arial"/>
        <family val="0"/>
        <charset val="1"/>
      </rPr>
      <t xml:space="preserve">221,314,605→241,094,605</t>
    </r>
  </si>
  <si>
    <t xml:space="preserve">SRC_ZP_534</t>
  </si>
  <si>
    <t xml:space="preserve">placing1_discount</t>
  </si>
  <si>
    <r>
      <rPr>
        <sz val="10"/>
        <color rgb="FF000000"/>
        <rFont val="Arial"/>
        <family val="0"/>
        <charset val="1"/>
      </rPr>
      <t xml:space="preserve">2026-07 </t>
    </r>
    <r>
      <rPr>
        <sz val="10"/>
        <color rgb="FF000000"/>
        <rFont val="Noto Sans CJK SC"/>
        <family val="2"/>
      </rPr>
      <t xml:space="preserve">配售價較前收盤折讓</t>
    </r>
  </si>
  <si>
    <t xml:space="preserve">2026-07-08</t>
  </si>
  <si>
    <t xml:space="preserve">中國金融信息網</t>
  </si>
  <si>
    <t xml:space="preserve">https://www.cnfin.com/gs-lb/detail/20260709/4437824_1.html</t>
  </si>
  <si>
    <t xml:space="preserve">媒體轉述公告</t>
  </si>
  <si>
    <r>
      <rPr>
        <sz val="10"/>
        <color rgb="FF000000"/>
        <rFont val="Noto Sans CJK SC"/>
        <family val="2"/>
      </rPr>
      <t xml:space="preserve">較 </t>
    </r>
    <r>
      <rPr>
        <sz val="10"/>
        <color rgb="FF000000"/>
        <rFont val="Arial"/>
        <family val="0"/>
        <charset val="1"/>
      </rPr>
      <t xml:space="preserve">7-08 </t>
    </r>
    <r>
      <rPr>
        <sz val="10"/>
        <color rgb="FF000000"/>
        <rFont val="Noto Sans CJK SC"/>
        <family val="2"/>
      </rPr>
      <t xml:space="preserve">收盤 </t>
    </r>
    <r>
      <rPr>
        <sz val="10"/>
        <color rgb="FF000000"/>
        <rFont val="Arial"/>
        <family val="0"/>
        <charset val="1"/>
      </rPr>
      <t xml:space="preserve">1,825 </t>
    </r>
    <r>
      <rPr>
        <sz val="10"/>
        <color rgb="FF000000"/>
        <rFont val="Noto Sans CJK SC"/>
        <family val="2"/>
      </rPr>
      <t xml:space="preserve">港元折讓約 </t>
    </r>
    <r>
      <rPr>
        <sz val="10"/>
        <color rgb="FF000000"/>
        <rFont val="Arial"/>
        <family val="0"/>
        <charset val="1"/>
      </rPr>
      <t xml:space="preserve">12.99%</t>
    </r>
  </si>
  <si>
    <t xml:space="preserve">SRC_ZP_535</t>
  </si>
  <si>
    <t xml:space="preserve">placing1_gross</t>
  </si>
  <si>
    <r>
      <rPr>
        <sz val="10"/>
        <color rgb="FF000000"/>
        <rFont val="Arial"/>
        <family val="0"/>
        <charset val="1"/>
      </rPr>
      <t xml:space="preserve">2026-07 </t>
    </r>
    <r>
      <rPr>
        <sz val="10"/>
        <color rgb="FF000000"/>
        <rFont val="Noto Sans CJK SC"/>
        <family val="2"/>
      </rPr>
      <t xml:space="preserve">配售所得款項總額</t>
    </r>
  </si>
  <si>
    <t xml:space="preserve">觀點網（轉述完成公告）</t>
  </si>
  <si>
    <t xml:space="preserve">https://www.guandian.hk/article/20260713/573061.html</t>
  </si>
  <si>
    <r>
      <rPr>
        <sz val="10"/>
        <color rgb="FF000000"/>
        <rFont val="Noto Sans CJK SC"/>
        <family val="2"/>
      </rPr>
      <t xml:space="preserve">「約</t>
    </r>
    <r>
      <rPr>
        <sz val="10"/>
        <color rgb="FF000000"/>
        <rFont val="Arial"/>
        <family val="0"/>
        <charset val="1"/>
      </rPr>
      <t xml:space="preserve">314.11</t>
    </r>
    <r>
      <rPr>
        <sz val="10"/>
        <color rgb="FF000000"/>
        <rFont val="Noto Sans CJK SC"/>
        <family val="2"/>
      </rPr>
      <t xml:space="preserve">億港元」；</t>
    </r>
    <r>
      <rPr>
        <sz val="10"/>
        <color rgb="FF000000"/>
        <rFont val="Arial"/>
        <family val="0"/>
        <charset val="1"/>
      </rPr>
      <t xml:space="preserve">1,588×19,780,000</t>
    </r>
    <r>
      <rPr>
        <sz val="10"/>
        <color rgb="FF000000"/>
        <rFont val="Noto Sans CJK SC"/>
        <family val="2"/>
      </rPr>
      <t xml:space="preserve">＝</t>
    </r>
    <r>
      <rPr>
        <sz val="10"/>
        <color rgb="FF000000"/>
        <rFont val="Arial"/>
        <family val="0"/>
        <charset val="1"/>
      </rPr>
      <t xml:space="preserve">31,410.6 </t>
    </r>
    <r>
      <rPr>
        <sz val="10"/>
        <color rgb="FF000000"/>
        <rFont val="Noto Sans CJK SC"/>
        <family val="2"/>
      </rPr>
      <t xml:space="preserve">吻合</t>
    </r>
  </si>
  <si>
    <t xml:space="preserve">SRC_ZP_536</t>
  </si>
  <si>
    <t xml:space="preserve">placing1_net</t>
  </si>
  <si>
    <r>
      <rPr>
        <sz val="10"/>
        <color rgb="FF000000"/>
        <rFont val="Arial"/>
        <family val="0"/>
        <charset val="1"/>
      </rPr>
      <t xml:space="preserve">2026-07 </t>
    </r>
    <r>
      <rPr>
        <sz val="10"/>
        <color rgb="FF000000"/>
        <rFont val="Noto Sans CJK SC"/>
        <family val="2"/>
      </rPr>
      <t xml:space="preserve">配售所得款項淨額</t>
    </r>
  </si>
  <si>
    <r>
      <rPr>
        <sz val="10"/>
        <color rgb="FF000000"/>
        <rFont val="Noto Sans CJK SC"/>
        <family val="2"/>
      </rPr>
      <t xml:space="preserve">淨額約 </t>
    </r>
    <r>
      <rPr>
        <sz val="10"/>
        <color rgb="FF000000"/>
        <rFont val="Arial"/>
        <family val="0"/>
        <charset val="1"/>
      </rPr>
      <t xml:space="preserve">31,374.95 </t>
    </r>
    <r>
      <rPr>
        <sz val="10"/>
        <color rgb="FF000000"/>
        <rFont val="Noto Sans CJK SC"/>
        <family val="2"/>
      </rPr>
      <t xml:space="preserve">百萬港元；觀點網「約</t>
    </r>
    <r>
      <rPr>
        <sz val="10"/>
        <color rgb="FF000000"/>
        <rFont val="Arial"/>
        <family val="0"/>
        <charset val="1"/>
      </rPr>
      <t xml:space="preserve">313.75</t>
    </r>
    <r>
      <rPr>
        <sz val="10"/>
        <color rgb="FF000000"/>
        <rFont val="Noto Sans CJK SC"/>
        <family val="2"/>
      </rPr>
      <t xml:space="preserve">億港元」一致；幣別為港幣</t>
    </r>
  </si>
  <si>
    <t xml:space="preserve">SRC_ZP_537</t>
  </si>
  <si>
    <t xml:space="preserve">placing1_net_b</t>
  </si>
  <si>
    <r>
      <rPr>
        <sz val="10"/>
        <color rgb="FF000000"/>
        <rFont val="Arial"/>
        <family val="0"/>
        <charset val="1"/>
      </rPr>
      <t xml:space="preserve">2026-07 </t>
    </r>
    <r>
      <rPr>
        <sz val="10"/>
        <color rgb="FF000000"/>
        <rFont val="Noto Sans CJK SC"/>
        <family val="2"/>
      </rPr>
      <t xml:space="preserve">配售總額（線索：媒體稱人民幣 </t>
    </r>
    <r>
      <rPr>
        <sz val="10"/>
        <color rgb="FF000000"/>
        <rFont val="Arial"/>
        <family val="0"/>
        <charset val="1"/>
      </rPr>
      <t xml:space="preserve">272.31 </t>
    </r>
    <r>
      <rPr>
        <sz val="10"/>
        <color rgb="FF000000"/>
        <rFont val="Noto Sans CJK SC"/>
        <family val="2"/>
      </rPr>
      <t xml:space="preserve">億）</t>
    </r>
  </si>
  <si>
    <t xml:space="preserve">2026-07</t>
  </si>
  <si>
    <r>
      <rPr>
        <sz val="10"/>
        <color rgb="FF000000"/>
        <rFont val="Noto Sans CJK SC"/>
        <family val="2"/>
      </rPr>
      <t xml:space="preserve">未核得（見 </t>
    </r>
    <r>
      <rPr>
        <sz val="10"/>
        <color rgb="FF000000"/>
        <rFont val="Arial"/>
        <family val="0"/>
        <charset val="1"/>
      </rPr>
      <t xml:space="preserve">not_found</t>
    </r>
    <r>
      <rPr>
        <sz val="10"/>
        <color rgb="FF000000"/>
        <rFont val="Noto Sans CJK SC"/>
        <family val="2"/>
      </rPr>
      <t xml:space="preserve">）</t>
    </r>
  </si>
  <si>
    <t xml:space="preserve">公告只有港幣</t>
  </si>
  <si>
    <r>
      <rPr>
        <sz val="10"/>
        <color rgb="FF000000"/>
        <rFont val="Noto Sans CJK SC"/>
        <family val="2"/>
      </rPr>
      <t xml:space="preserve">公告總額 </t>
    </r>
    <r>
      <rPr>
        <sz val="10"/>
        <color rgb="FF000000"/>
        <rFont val="Arial"/>
        <family val="0"/>
        <charset val="1"/>
      </rPr>
      <t xml:space="preserve">314.11 </t>
    </r>
    <r>
      <rPr>
        <sz val="10"/>
        <color rgb="FF000000"/>
        <rFont val="Noto Sans CJK SC"/>
        <family val="2"/>
      </rPr>
      <t xml:space="preserve">億、淨額 </t>
    </r>
    <r>
      <rPr>
        <sz val="10"/>
        <color rgb="FF000000"/>
        <rFont val="Arial"/>
        <family val="0"/>
        <charset val="1"/>
      </rPr>
      <t xml:space="preserve">313.75 </t>
    </r>
    <r>
      <rPr>
        <sz val="10"/>
        <color rgb="FF000000"/>
        <rFont val="Noto Sans CJK SC"/>
        <family val="2"/>
      </rPr>
      <t xml:space="preserve">億，均為港幣；</t>
    </r>
    <r>
      <rPr>
        <sz val="10"/>
        <color rgb="FF000000"/>
        <rFont val="Arial"/>
        <family val="0"/>
        <charset val="1"/>
      </rPr>
      <t xml:space="preserve">272.31 </t>
    </r>
    <r>
      <rPr>
        <sz val="10"/>
        <color rgb="FF000000"/>
        <rFont val="Noto Sans CJK SC"/>
        <family val="2"/>
      </rPr>
      <t xml:space="preserve">億無原文可核，不登錄數值</t>
    </r>
  </si>
  <si>
    <t xml:space="preserve">SRC_ZP_538</t>
  </si>
  <si>
    <t xml:space="preserve">placing1_usd_media</t>
  </si>
  <si>
    <r>
      <rPr>
        <sz val="10"/>
        <color rgb="FF000000"/>
        <rFont val="Arial"/>
        <family val="0"/>
        <charset val="1"/>
      </rPr>
      <t xml:space="preserve">2026-07 </t>
    </r>
    <r>
      <rPr>
        <sz val="10"/>
        <color rgb="FF000000"/>
        <rFont val="Noto Sans CJK SC"/>
        <family val="2"/>
      </rPr>
      <t xml:space="preserve">配售規模（媒體美元口徑）</t>
    </r>
  </si>
  <si>
    <r>
      <rPr>
        <sz val="10"/>
        <color rgb="FF000000"/>
        <rFont val="Arial"/>
        <family val="0"/>
        <charset val="1"/>
      </rPr>
      <t xml:space="preserve">The Standard</t>
    </r>
    <r>
      <rPr>
        <sz val="10"/>
        <color rgb="FF000000"/>
        <rFont val="Noto Sans CJK SC"/>
        <family val="2"/>
      </rPr>
      <t xml:space="preserve">（</t>
    </r>
    <r>
      <rPr>
        <sz val="10"/>
        <color rgb="FF000000"/>
        <rFont val="Arial"/>
        <family val="0"/>
        <charset val="1"/>
      </rPr>
      <t xml:space="preserve">term sheet</t>
    </r>
    <r>
      <rPr>
        <sz val="10"/>
        <color rgb="FF000000"/>
        <rFont val="Noto Sans CJK SC"/>
        <family val="2"/>
      </rPr>
      <t xml:space="preserve">）</t>
    </r>
  </si>
  <si>
    <t xml:space="preserve">https://www.thestandard.com.hk/finance/article/336723/Chinas-Zhipu-AI-launches-US4-billion-Hong-Kong-shares-offering-term-sheet-shows</t>
  </si>
  <si>
    <r>
      <rPr>
        <sz val="10"/>
        <color rgb="FF000000"/>
        <rFont val="Noto Sans CJK SC"/>
        <family val="2"/>
      </rPr>
      <t xml:space="preserve">媒體引述 </t>
    </r>
    <r>
      <rPr>
        <sz val="10"/>
        <color rgb="FF000000"/>
        <rFont val="Arial"/>
        <family val="0"/>
        <charset val="1"/>
      </rPr>
      <t xml:space="preserve">term sheet</t>
    </r>
    <r>
      <rPr>
        <sz val="10"/>
        <color rgb="FF000000"/>
        <rFont val="Noto Sans CJK SC"/>
        <family val="2"/>
      </rPr>
      <t xml:space="preserve">（承銷方資料）</t>
    </r>
  </si>
  <si>
    <t xml:space="preserve">媒體</t>
  </si>
  <si>
    <r>
      <rPr>
        <sz val="10"/>
        <color rgb="FF000000"/>
        <rFont val="Noto Sans CJK SC"/>
        <family val="2"/>
      </rPr>
      <t xml:space="preserve">「</t>
    </r>
    <r>
      <rPr>
        <sz val="10"/>
        <color rgb="FF000000"/>
        <rFont val="Arial"/>
        <family val="0"/>
        <charset val="1"/>
      </rPr>
      <t xml:space="preserve">around US$4 billion(HK$31.2 billion)</t>
    </r>
    <r>
      <rPr>
        <sz val="10"/>
        <color rgb="FF000000"/>
        <rFont val="Noto Sans CJK SC"/>
        <family val="2"/>
      </rPr>
      <t xml:space="preserve">」；價格區間 </t>
    </r>
    <r>
      <rPr>
        <sz val="10"/>
        <color rgb="FF000000"/>
        <rFont val="Arial"/>
        <family val="0"/>
        <charset val="1"/>
      </rPr>
      <t xml:space="preserve">1,588–1,698</t>
    </r>
  </si>
  <si>
    <t xml:space="preserve">SRC_ZP_539</t>
  </si>
  <si>
    <t xml:space="preserve">placing1_use_rd</t>
  </si>
  <si>
    <r>
      <rPr>
        <sz val="10"/>
        <color rgb="FF000000"/>
        <rFont val="Arial"/>
        <family val="0"/>
        <charset val="1"/>
      </rPr>
      <t xml:space="preserve">2026-07 </t>
    </r>
    <r>
      <rPr>
        <sz val="10"/>
        <color rgb="FF000000"/>
        <rFont val="Noto Sans CJK SC"/>
        <family val="2"/>
      </rPr>
      <t xml:space="preserve">配售用途：</t>
    </r>
    <r>
      <rPr>
        <sz val="10"/>
        <color rgb="FF000000"/>
        <rFont val="Arial"/>
        <family val="0"/>
        <charset val="1"/>
      </rPr>
      <t xml:space="preserve">AI </t>
    </r>
    <r>
      <rPr>
        <sz val="10"/>
        <color rgb="FF000000"/>
        <rFont val="Noto Sans CJK SC"/>
        <family val="2"/>
      </rPr>
      <t xml:space="preserve">研發（含模型、人才、算力）</t>
    </r>
  </si>
  <si>
    <r>
      <rPr>
        <sz val="10"/>
        <color rgb="FF000000"/>
        <rFont val="Noto Sans CJK SC"/>
        <family val="2"/>
      </rPr>
      <t xml:space="preserve">研發 </t>
    </r>
    <r>
      <rPr>
        <sz val="10"/>
        <color rgb="FF000000"/>
        <rFont val="Arial"/>
        <family val="0"/>
        <charset val="1"/>
      </rPr>
      <t xml:space="preserve">55%</t>
    </r>
    <r>
      <rPr>
        <sz val="10"/>
        <color rgb="FF000000"/>
        <rFont val="Noto Sans CJK SC"/>
        <family val="2"/>
      </rPr>
      <t xml:space="preserve">、業務擴張／戰投／併購 </t>
    </r>
    <r>
      <rPr>
        <sz val="10"/>
        <color rgb="FF000000"/>
        <rFont val="Arial"/>
        <family val="0"/>
        <charset val="1"/>
      </rPr>
      <t xml:space="preserve">15%</t>
    </r>
    <r>
      <rPr>
        <sz val="10"/>
        <color rgb="FF000000"/>
        <rFont val="Noto Sans CJK SC"/>
        <family val="2"/>
      </rPr>
      <t xml:space="preserve">、資本結構與營運資金 </t>
    </r>
    <r>
      <rPr>
        <sz val="10"/>
        <color rgb="FF000000"/>
        <rFont val="Arial"/>
        <family val="0"/>
        <charset val="1"/>
      </rPr>
      <t xml:space="preserve">30%</t>
    </r>
    <r>
      <rPr>
        <sz val="10"/>
        <color rgb="FF000000"/>
        <rFont val="Noto Sans CJK SC"/>
        <family val="2"/>
      </rPr>
      <t xml:space="preserve">；預計 </t>
    </r>
    <r>
      <rPr>
        <sz val="10"/>
        <color rgb="FF000000"/>
        <rFont val="Arial"/>
        <family val="0"/>
        <charset val="1"/>
      </rPr>
      <t xml:space="preserve">2027 </t>
    </r>
    <r>
      <rPr>
        <sz val="10"/>
        <color rgb="FF000000"/>
        <rFont val="Noto Sans CJK SC"/>
        <family val="2"/>
      </rPr>
      <t xml:space="preserve">年底前用畢</t>
    </r>
  </si>
  <si>
    <t xml:space="preserve">SRC_ZP_540</t>
  </si>
  <si>
    <t xml:space="preserve">placing1_utilised_0831</t>
  </si>
  <si>
    <r>
      <rPr>
        <sz val="10"/>
        <color rgb="FF000000"/>
        <rFont val="Arial"/>
        <family val="0"/>
        <charset val="1"/>
      </rPr>
      <t xml:space="preserve">2026-07 </t>
    </r>
    <r>
      <rPr>
        <sz val="10"/>
        <color rgb="FF000000"/>
        <rFont val="Noto Sans CJK SC"/>
        <family val="2"/>
      </rPr>
      <t xml:space="preserve">配售款截至 </t>
    </r>
    <r>
      <rPr>
        <sz val="10"/>
        <color rgb="FF000000"/>
        <rFont val="Arial"/>
        <family val="0"/>
        <charset val="1"/>
      </rPr>
      <t xml:space="preserve">2026-08-31 </t>
    </r>
    <r>
      <rPr>
        <sz val="10"/>
        <color rgb="FF000000"/>
        <rFont val="Noto Sans CJK SC"/>
        <family val="2"/>
      </rPr>
      <t xml:space="preserve">已動用</t>
    </r>
  </si>
  <si>
    <r>
      <rPr>
        <sz val="10"/>
        <color rgb="FF000000"/>
        <rFont val="Noto Sans CJK SC"/>
        <family val="2"/>
      </rPr>
      <t xml:space="preserve">已動用約 </t>
    </r>
    <r>
      <rPr>
        <sz val="10"/>
        <color rgb="FF000000"/>
        <rFont val="Arial"/>
        <family val="0"/>
        <charset val="1"/>
      </rPr>
      <t xml:space="preserve">10,954.80 </t>
    </r>
    <r>
      <rPr>
        <sz val="10"/>
        <color rgb="FF000000"/>
        <rFont val="Noto Sans CJK SC"/>
        <family val="2"/>
      </rPr>
      <t xml:space="preserve">百萬港元（</t>
    </r>
    <r>
      <rPr>
        <sz val="10"/>
        <color rgb="FF000000"/>
        <rFont val="Arial"/>
        <family val="0"/>
        <charset val="1"/>
      </rPr>
      <t xml:space="preserve">34.92%</t>
    </r>
    <r>
      <rPr>
        <sz val="10"/>
        <color rgb="FF000000"/>
        <rFont val="Noto Sans CJK SC"/>
        <family val="2"/>
      </rPr>
      <t xml:space="preserve">），未動用約 </t>
    </r>
    <r>
      <rPr>
        <sz val="10"/>
        <color rgb="FF000000"/>
        <rFont val="Arial"/>
        <family val="0"/>
        <charset val="1"/>
      </rPr>
      <t xml:space="preserve">20,420.15 </t>
    </r>
    <r>
      <rPr>
        <sz val="10"/>
        <color rgb="FF000000"/>
        <rFont val="Noto Sans CJK SC"/>
        <family val="2"/>
      </rPr>
      <t xml:space="preserve">百萬港元</t>
    </r>
  </si>
  <si>
    <t xml:space="preserve">SRC_ZP_541</t>
  </si>
  <si>
    <t xml:space="preserve">placing2_price</t>
  </si>
  <si>
    <r>
      <rPr>
        <sz val="10"/>
        <color rgb="FF000000"/>
        <rFont val="Arial"/>
        <family val="0"/>
        <charset val="1"/>
      </rPr>
      <t xml:space="preserve">2026-09 </t>
    </r>
    <r>
      <rPr>
        <sz val="10"/>
        <color rgb="FF000000"/>
        <rFont val="Noto Sans CJK SC"/>
        <family val="2"/>
      </rPr>
      <t xml:space="preserve">配售價</t>
    </r>
  </si>
  <si>
    <t xml:space="preserve">2026-09-12</t>
  </si>
  <si>
    <r>
      <rPr>
        <sz val="10"/>
        <color rgb="FF000000"/>
        <rFont val="Noto Sans CJK SC"/>
        <family val="2"/>
      </rPr>
      <t xml:space="preserve">較 </t>
    </r>
    <r>
      <rPr>
        <sz val="10"/>
        <color rgb="FF000000"/>
        <rFont val="Arial"/>
        <family val="0"/>
        <charset val="1"/>
      </rPr>
      <t xml:space="preserve">9-11 </t>
    </r>
    <r>
      <rPr>
        <sz val="10"/>
        <color rgb="FF000000"/>
        <rFont val="Noto Sans CJK SC"/>
        <family val="2"/>
      </rPr>
      <t xml:space="preserve">收盤 </t>
    </r>
    <r>
      <rPr>
        <sz val="10"/>
        <color rgb="FF000000"/>
        <rFont val="Arial"/>
        <family val="0"/>
        <charset val="1"/>
      </rPr>
      <t xml:space="preserve">793.00 </t>
    </r>
    <r>
      <rPr>
        <sz val="10"/>
        <color rgb="FF000000"/>
        <rFont val="Noto Sans CJK SC"/>
        <family val="2"/>
      </rPr>
      <t xml:space="preserve">港元折讓約 </t>
    </r>
    <r>
      <rPr>
        <sz val="10"/>
        <color rgb="FF000000"/>
        <rFont val="Arial"/>
        <family val="0"/>
        <charset val="1"/>
      </rPr>
      <t xml:space="preserve">9.96%</t>
    </r>
    <r>
      <rPr>
        <sz val="10"/>
        <color rgb="FF000000"/>
        <rFont val="Noto Sans CJK SC"/>
        <family val="2"/>
      </rPr>
      <t xml:space="preserve">；較 </t>
    </r>
    <r>
      <rPr>
        <sz val="10"/>
        <color rgb="FF000000"/>
        <rFont val="Arial"/>
        <family val="0"/>
        <charset val="1"/>
      </rPr>
      <t xml:space="preserve">5 </t>
    </r>
    <r>
      <rPr>
        <sz val="10"/>
        <color rgb="FF000000"/>
        <rFont val="Noto Sans CJK SC"/>
        <family val="2"/>
      </rPr>
      <t xml:space="preserve">日均價 </t>
    </r>
    <r>
      <rPr>
        <sz val="10"/>
        <color rgb="FF000000"/>
        <rFont val="Arial"/>
        <family val="0"/>
        <charset val="1"/>
      </rPr>
      <t xml:space="preserve">891.90 </t>
    </r>
    <r>
      <rPr>
        <sz val="10"/>
        <color rgb="FF000000"/>
        <rFont val="Noto Sans CJK SC"/>
        <family val="2"/>
      </rPr>
      <t xml:space="preserve">折讓 </t>
    </r>
    <r>
      <rPr>
        <sz val="10"/>
        <color rgb="FF000000"/>
        <rFont val="Arial"/>
        <family val="0"/>
        <charset val="1"/>
      </rPr>
      <t xml:space="preserve">19.95%</t>
    </r>
  </si>
  <si>
    <t xml:space="preserve">SRC_ZP_542</t>
  </si>
  <si>
    <t xml:space="preserve">placing2_shares</t>
  </si>
  <si>
    <r>
      <rPr>
        <sz val="10"/>
        <color rgb="FF000000"/>
        <rFont val="Arial"/>
        <family val="0"/>
        <charset val="1"/>
      </rPr>
      <t xml:space="preserve">2026-09 </t>
    </r>
    <r>
      <rPr>
        <sz val="10"/>
        <color rgb="FF000000"/>
        <rFont val="Noto Sans CJK SC"/>
        <family val="2"/>
      </rPr>
      <t xml:space="preserve">配售股數</t>
    </r>
  </si>
  <si>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公告；騰訊新聞（完成公告轉述）</t>
    </r>
  </si>
  <si>
    <t xml:space="preserve">https://news.qq.com/rain/a/20260918A09O8G00?id=20260918A09O8G00&amp;path=a&amp;app=news&amp;suid=&amp;redirect_pc=1</t>
  </si>
  <si>
    <t xml:space="preserve">2026-09-18</t>
  </si>
  <si>
    <t xml:space="preserve">公司公告（媒體轉述完成）</t>
  </si>
  <si>
    <r>
      <rPr>
        <sz val="10"/>
        <color rgb="FF000000"/>
        <rFont val="Noto Sans CJK SC"/>
        <family val="2"/>
      </rPr>
      <t xml:space="preserve">「</t>
    </r>
    <r>
      <rPr>
        <sz val="10"/>
        <color rgb="FF000000"/>
        <rFont val="Arial"/>
        <family val="0"/>
        <charset val="1"/>
      </rPr>
      <t xml:space="preserve">2196.5</t>
    </r>
    <r>
      <rPr>
        <sz val="10"/>
        <color rgb="FF000000"/>
        <rFont val="Noto Sans CJK SC"/>
        <family val="2"/>
      </rPr>
      <t xml:space="preserve">萬股新</t>
    </r>
    <r>
      <rPr>
        <sz val="10"/>
        <color rgb="FF000000"/>
        <rFont val="Arial"/>
        <family val="0"/>
        <charset val="1"/>
      </rPr>
      <t xml:space="preserve">H</t>
    </r>
    <r>
      <rPr>
        <sz val="10"/>
        <color rgb="FF000000"/>
        <rFont val="Noto Sans CJK SC"/>
        <family val="2"/>
      </rPr>
      <t xml:space="preserve">股」，</t>
    </r>
    <r>
      <rPr>
        <sz val="10"/>
        <color rgb="FF000000"/>
        <rFont val="Arial"/>
        <family val="0"/>
        <charset val="1"/>
      </rPr>
      <t xml:space="preserve">2026-09-16 </t>
    </r>
    <r>
      <rPr>
        <sz val="10"/>
        <color rgb="FF000000"/>
        <rFont val="Noto Sans CJK SC"/>
        <family val="2"/>
      </rPr>
      <t xml:space="preserve">完成，占擴大後約 </t>
    </r>
    <r>
      <rPr>
        <sz val="10"/>
        <color rgb="FF000000"/>
        <rFont val="Arial"/>
        <family val="0"/>
        <charset val="1"/>
      </rPr>
      <t xml:space="preserve">4.50%</t>
    </r>
  </si>
  <si>
    <t xml:space="preserve">SRC_ZP_543</t>
  </si>
  <si>
    <t xml:space="preserve">placing2_gross</t>
  </si>
  <si>
    <r>
      <rPr>
        <sz val="10"/>
        <color rgb="FF000000"/>
        <rFont val="Arial"/>
        <family val="0"/>
        <charset val="1"/>
      </rPr>
      <t xml:space="preserve">2026-09 </t>
    </r>
    <r>
      <rPr>
        <sz val="10"/>
        <color rgb="FF000000"/>
        <rFont val="Noto Sans CJK SC"/>
        <family val="2"/>
      </rPr>
      <t xml:space="preserve">配售所得款項總額</t>
    </r>
  </si>
  <si>
    <r>
      <rPr>
        <sz val="10"/>
        <color rgb="FF000000"/>
        <rFont val="Noto Sans CJK SC"/>
        <family val="2"/>
      </rPr>
      <t xml:space="preserve">總額約 </t>
    </r>
    <r>
      <rPr>
        <sz val="10"/>
        <color rgb="FF000000"/>
        <rFont val="Arial"/>
        <family val="0"/>
        <charset val="1"/>
      </rPr>
      <t xml:space="preserve">15,683.01 </t>
    </r>
    <r>
      <rPr>
        <sz val="10"/>
        <color rgb="FF000000"/>
        <rFont val="Noto Sans CJK SC"/>
        <family val="2"/>
      </rPr>
      <t xml:space="preserve">百萬港元；</t>
    </r>
    <r>
      <rPr>
        <sz val="10"/>
        <color rgb="FF000000"/>
        <rFont val="Arial"/>
        <family val="0"/>
        <charset val="1"/>
      </rPr>
      <t xml:space="preserve">714×21,965,000 </t>
    </r>
    <r>
      <rPr>
        <sz val="10"/>
        <color rgb="FF000000"/>
        <rFont val="Noto Sans CJK SC"/>
        <family val="2"/>
      </rPr>
      <t xml:space="preserve">吻合</t>
    </r>
  </si>
  <si>
    <t xml:space="preserve">SRC_ZP_544</t>
  </si>
  <si>
    <t xml:space="preserve">placing2_net</t>
  </si>
  <si>
    <r>
      <rPr>
        <sz val="10"/>
        <color rgb="FF000000"/>
        <rFont val="Arial"/>
        <family val="0"/>
        <charset val="1"/>
      </rPr>
      <t xml:space="preserve">2026-09 </t>
    </r>
    <r>
      <rPr>
        <sz val="10"/>
        <color rgb="FF000000"/>
        <rFont val="Noto Sans CJK SC"/>
        <family val="2"/>
      </rPr>
      <t xml:space="preserve">配售所得款項淨額</t>
    </r>
  </si>
  <si>
    <r>
      <rPr>
        <sz val="10"/>
        <color rgb="FF000000"/>
        <rFont val="Noto Sans CJK SC"/>
        <family val="2"/>
      </rPr>
      <t xml:space="preserve">淨額約 </t>
    </r>
    <r>
      <rPr>
        <sz val="10"/>
        <color rgb="FF000000"/>
        <rFont val="Arial"/>
        <family val="0"/>
        <charset val="1"/>
      </rPr>
      <t xml:space="preserve">15,664.13 </t>
    </r>
    <r>
      <rPr>
        <sz val="10"/>
        <color rgb="FF000000"/>
        <rFont val="Noto Sans CJK SC"/>
        <family val="2"/>
      </rPr>
      <t xml:space="preserve">百萬港元；完成公告「約</t>
    </r>
    <r>
      <rPr>
        <sz val="10"/>
        <color rgb="FF000000"/>
        <rFont val="Arial"/>
        <family val="0"/>
        <charset val="1"/>
      </rPr>
      <t xml:space="preserve">156.64</t>
    </r>
    <r>
      <rPr>
        <sz val="10"/>
        <color rgb="FF000000"/>
        <rFont val="Noto Sans CJK SC"/>
        <family val="2"/>
      </rPr>
      <t xml:space="preserve">億港元」一致</t>
    </r>
  </si>
  <si>
    <t xml:space="preserve">SRC_ZP_545</t>
  </si>
  <si>
    <t xml:space="preserve">cb_principal</t>
  </si>
  <si>
    <r>
      <rPr>
        <sz val="10"/>
        <color rgb="FF000000"/>
        <rFont val="Arial"/>
        <family val="0"/>
        <charset val="1"/>
      </rPr>
      <t xml:space="preserve">2027 </t>
    </r>
    <r>
      <rPr>
        <sz val="10"/>
        <color rgb="FF000000"/>
        <rFont val="Noto Sans CJK SC"/>
        <family val="2"/>
      </rPr>
      <t xml:space="preserve">年到期美元結算零息可換股債券本金</t>
    </r>
  </si>
  <si>
    <r>
      <rPr>
        <sz val="10"/>
        <color rgb="FF000000"/>
        <rFont val="Arial"/>
        <family val="0"/>
        <charset val="1"/>
      </rPr>
      <t xml:space="preserve">2026-09-18 </t>
    </r>
    <r>
      <rPr>
        <sz val="10"/>
        <color rgb="FF000000"/>
        <rFont val="Noto Sans CJK SC"/>
        <family val="2"/>
      </rPr>
      <t xml:space="preserve">發行</t>
    </r>
  </si>
  <si>
    <r>
      <rPr>
        <sz val="10"/>
        <color rgb="FF000000"/>
        <rFont val="Noto Sans CJK SC"/>
        <family val="2"/>
      </rPr>
      <t xml:space="preserve">「本金總額為人民幣</t>
    </r>
    <r>
      <rPr>
        <sz val="10"/>
        <color rgb="FF000000"/>
        <rFont val="Arial"/>
        <family val="0"/>
        <charset val="1"/>
      </rPr>
      <t xml:space="preserve">201.4</t>
    </r>
    <r>
      <rPr>
        <sz val="10"/>
        <color rgb="FF000000"/>
        <rFont val="Noto Sans CJK SC"/>
        <family val="2"/>
      </rPr>
      <t xml:space="preserve">億元的債券」；人民幣計價、美元結算；發行價 </t>
    </r>
    <r>
      <rPr>
        <sz val="10"/>
        <color rgb="FF000000"/>
        <rFont val="Arial"/>
        <family val="0"/>
        <charset val="1"/>
      </rPr>
      <t xml:space="preserve">100.5%</t>
    </r>
  </si>
  <si>
    <t xml:space="preserve">SRC_ZP_546</t>
  </si>
  <si>
    <t xml:space="preserve">cb_gross_usd</t>
  </si>
  <si>
    <t xml:space="preserve">可換股債券所得款項總額</t>
  </si>
  <si>
    <r>
      <rPr>
        <sz val="10"/>
        <color rgb="FF000000"/>
        <rFont val="Noto Sans CJK SC"/>
        <family val="2"/>
      </rPr>
      <t xml:space="preserve">約 </t>
    </r>
    <r>
      <rPr>
        <sz val="10"/>
        <color rgb="FF000000"/>
        <rFont val="Arial"/>
        <family val="0"/>
        <charset val="1"/>
      </rPr>
      <t xml:space="preserve">3,015.64 </t>
    </r>
    <r>
      <rPr>
        <sz val="10"/>
        <color rgb="FF000000"/>
        <rFont val="Noto Sans CJK SC"/>
        <family val="2"/>
      </rPr>
      <t xml:space="preserve">百萬美元（約 </t>
    </r>
    <r>
      <rPr>
        <sz val="10"/>
        <color rgb="FF000000"/>
        <rFont val="Arial"/>
        <family val="0"/>
        <charset val="1"/>
      </rPr>
      <t xml:space="preserve">23,648.44 </t>
    </r>
    <r>
      <rPr>
        <sz val="10"/>
        <color rgb="FF000000"/>
        <rFont val="Noto Sans CJK SC"/>
        <family val="2"/>
      </rPr>
      <t xml:space="preserve">百萬港元）</t>
    </r>
  </si>
  <si>
    <t xml:space="preserve">SRC_ZP_547</t>
  </si>
  <si>
    <t xml:space="preserve">cb_net_usd</t>
  </si>
  <si>
    <t xml:space="preserve">可換股債券所得款項淨額</t>
  </si>
  <si>
    <r>
      <rPr>
        <sz val="10"/>
        <color rgb="FF000000"/>
        <rFont val="Noto Sans CJK SC"/>
        <family val="2"/>
      </rPr>
      <t xml:space="preserve">約 </t>
    </r>
    <r>
      <rPr>
        <sz val="10"/>
        <color rgb="FF000000"/>
        <rFont val="Arial"/>
        <family val="0"/>
        <charset val="1"/>
      </rPr>
      <t xml:space="preserve">3,010.77 </t>
    </r>
    <r>
      <rPr>
        <sz val="10"/>
        <color rgb="FF000000"/>
        <rFont val="Noto Sans CJK SC"/>
        <family val="2"/>
      </rPr>
      <t xml:space="preserve">百萬美元（約 </t>
    </r>
    <r>
      <rPr>
        <sz val="10"/>
        <color rgb="FF000000"/>
        <rFont val="Arial"/>
        <family val="0"/>
        <charset val="1"/>
      </rPr>
      <t xml:space="preserve">23,610.24 </t>
    </r>
    <r>
      <rPr>
        <sz val="10"/>
        <color rgb="FF000000"/>
        <rFont val="Noto Sans CJK SC"/>
        <family val="2"/>
      </rPr>
      <t xml:space="preserve">百萬港元）</t>
    </r>
  </si>
  <si>
    <t xml:space="preserve">SRC_ZP_548</t>
  </si>
  <si>
    <t xml:space="preserve">cb_conv_price</t>
  </si>
  <si>
    <t xml:space="preserve">可換股債券初始換股價</t>
  </si>
  <si>
    <r>
      <rPr>
        <sz val="10"/>
        <color rgb="FF000000"/>
        <rFont val="Noto Sans CJK SC"/>
        <family val="2"/>
      </rPr>
      <t xml:space="preserve">較 </t>
    </r>
    <r>
      <rPr>
        <sz val="10"/>
        <color rgb="FF000000"/>
        <rFont val="Arial"/>
        <family val="0"/>
        <charset val="1"/>
      </rPr>
      <t xml:space="preserve">793 </t>
    </r>
    <r>
      <rPr>
        <sz val="10"/>
        <color rgb="FF000000"/>
        <rFont val="Noto Sans CJK SC"/>
        <family val="2"/>
      </rPr>
      <t xml:space="preserve">溢價 </t>
    </r>
    <r>
      <rPr>
        <sz val="10"/>
        <color rgb="FF000000"/>
        <rFont val="Arial"/>
        <family val="0"/>
        <charset val="1"/>
      </rPr>
      <t xml:space="preserve">12.55%</t>
    </r>
    <r>
      <rPr>
        <sz val="10"/>
        <color rgb="FF000000"/>
        <rFont val="Noto Sans CJK SC"/>
        <family val="2"/>
      </rPr>
      <t xml:space="preserve">；換股期自 </t>
    </r>
    <r>
      <rPr>
        <sz val="10"/>
        <color rgb="FF000000"/>
        <rFont val="Arial"/>
        <family val="0"/>
        <charset val="1"/>
      </rPr>
      <t xml:space="preserve">2027-07-01</t>
    </r>
    <r>
      <rPr>
        <sz val="10"/>
        <color rgb="FF000000"/>
        <rFont val="Noto Sans CJK SC"/>
        <family val="2"/>
      </rPr>
      <t xml:space="preserve">；到期 </t>
    </r>
    <r>
      <rPr>
        <sz val="10"/>
        <color rgb="FF000000"/>
        <rFont val="Arial"/>
        <family val="0"/>
        <charset val="1"/>
      </rPr>
      <t xml:space="preserve">2027-09-16</t>
    </r>
    <r>
      <rPr>
        <sz val="10"/>
        <color rgb="FF000000"/>
        <rFont val="Noto Sans CJK SC"/>
        <family val="2"/>
      </rPr>
      <t xml:space="preserve">；票息 </t>
    </r>
    <r>
      <rPr>
        <sz val="10"/>
        <color rgb="FF000000"/>
        <rFont val="Arial"/>
        <family val="0"/>
        <charset val="1"/>
      </rPr>
      <t xml:space="preserve">0</t>
    </r>
  </si>
  <si>
    <t xml:space="preserve">SRC_ZP_549</t>
  </si>
  <si>
    <t xml:space="preserve">cb_conv_shares</t>
  </si>
  <si>
    <t xml:space="preserve">可換股債券初始換股股數</t>
  </si>
  <si>
    <r>
      <rPr>
        <sz val="10"/>
        <color rgb="FF000000"/>
        <rFont val="Noto Sans CJK SC"/>
        <family val="2"/>
      </rPr>
      <t xml:space="preserve">約占配售及轉換後 </t>
    </r>
    <r>
      <rPr>
        <sz val="10"/>
        <color rgb="FF000000"/>
        <rFont val="Arial"/>
        <family val="0"/>
        <charset val="1"/>
      </rPr>
      <t xml:space="preserve">5.36%</t>
    </r>
    <r>
      <rPr>
        <sz val="10"/>
        <color rgb="FF000000"/>
        <rFont val="Noto Sans CJK SC"/>
        <family val="2"/>
      </rPr>
      <t xml:space="preserve">；全面攤薄總股數 </t>
    </r>
    <r>
      <rPr>
        <sz val="10"/>
        <color rgb="FF000000"/>
        <rFont val="Arial"/>
        <family val="0"/>
        <charset val="1"/>
      </rPr>
      <t xml:space="preserve">513,953,116</t>
    </r>
  </si>
  <si>
    <t xml:space="preserve">SRC_ZP_550</t>
  </si>
  <si>
    <t xml:space="preserve">placing2_cb_use_rd</t>
  </si>
  <si>
    <r>
      <rPr>
        <sz val="10"/>
        <color rgb="FF000000"/>
        <rFont val="Arial"/>
        <family val="0"/>
        <charset val="1"/>
      </rPr>
      <t xml:space="preserve">2026-09 </t>
    </r>
    <r>
      <rPr>
        <sz val="10"/>
        <color rgb="FF000000"/>
        <rFont val="Noto Sans CJK SC"/>
        <family val="2"/>
      </rPr>
      <t xml:space="preserve">配售＋可轉債用途：</t>
    </r>
    <r>
      <rPr>
        <sz val="10"/>
        <color rgb="FF000000"/>
        <rFont val="Arial"/>
        <family val="0"/>
        <charset val="1"/>
      </rPr>
      <t xml:space="preserve">GLM </t>
    </r>
    <r>
      <rPr>
        <sz val="10"/>
        <color rgb="FF000000"/>
        <rFont val="Noto Sans CJK SC"/>
        <family val="2"/>
      </rPr>
      <t xml:space="preserve">研發、訓練推論、算力基建、人才</t>
    </r>
  </si>
  <si>
    <r>
      <rPr>
        <sz val="10"/>
        <color rgb="FF000000"/>
        <rFont val="Arial"/>
        <family val="0"/>
        <charset val="1"/>
      </rPr>
      <t xml:space="preserve">60% </t>
    </r>
    <r>
      <rPr>
        <sz val="10"/>
        <color rgb="FF000000"/>
        <rFont val="Noto Sans CJK SC"/>
        <family val="2"/>
      </rPr>
      <t xml:space="preserve">研發與算力、</t>
    </r>
    <r>
      <rPr>
        <sz val="10"/>
        <color rgb="FF000000"/>
        <rFont val="Arial"/>
        <family val="0"/>
        <charset val="1"/>
      </rPr>
      <t xml:space="preserve">15% </t>
    </r>
    <r>
      <rPr>
        <sz val="10"/>
        <color rgb="FF000000"/>
        <rFont val="Noto Sans CJK SC"/>
        <family val="2"/>
      </rPr>
      <t xml:space="preserve">擴張／戰投／併購、</t>
    </r>
    <r>
      <rPr>
        <sz val="10"/>
        <color rgb="FF000000"/>
        <rFont val="Arial"/>
        <family val="0"/>
        <charset val="1"/>
      </rPr>
      <t xml:space="preserve">25% </t>
    </r>
    <r>
      <rPr>
        <sz val="10"/>
        <color rgb="FF000000"/>
        <rFont val="Noto Sans CJK SC"/>
        <family val="2"/>
      </rPr>
      <t xml:space="preserve">資本結構與營運資金；</t>
    </r>
    <r>
      <rPr>
        <sz val="10"/>
        <color rgb="FF000000"/>
        <rFont val="Arial"/>
        <family val="0"/>
        <charset val="1"/>
      </rPr>
      <t xml:space="preserve">2028-06-30 </t>
    </r>
    <r>
      <rPr>
        <sz val="10"/>
        <color rgb="FF000000"/>
        <rFont val="Noto Sans CJK SC"/>
        <family val="2"/>
      </rPr>
      <t xml:space="preserve">前用畢</t>
    </r>
  </si>
  <si>
    <t xml:space="preserve">SRC_ZP_551</t>
  </si>
  <si>
    <t xml:space="preserve">placing2_cb_total_hkd</t>
  </si>
  <si>
    <r>
      <rPr>
        <sz val="10"/>
        <color rgb="FF000000"/>
        <rFont val="Arial"/>
        <family val="0"/>
        <charset val="1"/>
      </rPr>
      <t xml:space="preserve">2026-09 </t>
    </r>
    <r>
      <rPr>
        <sz val="10"/>
        <color rgb="FF000000"/>
        <rFont val="Noto Sans CJK SC"/>
        <family val="2"/>
      </rPr>
      <t xml:space="preserve">配售＋可轉債合計集資</t>
    </r>
  </si>
  <si>
    <r>
      <rPr>
        <sz val="10"/>
        <color rgb="FF000000"/>
        <rFont val="Noto Sans CJK SC"/>
        <family val="2"/>
      </rPr>
      <t xml:space="preserve">香港</t>
    </r>
    <r>
      <rPr>
        <sz val="10"/>
        <color rgb="FF000000"/>
        <rFont val="Arial"/>
        <family val="0"/>
        <charset val="1"/>
      </rPr>
      <t xml:space="preserve">01</t>
    </r>
  </si>
  <si>
    <r>
      <rPr>
        <sz val="10"/>
        <color rgb="FF000000"/>
        <rFont val="Arial"/>
        <family val="0"/>
        <charset val="1"/>
      </rPr>
      <t xml:space="preserve">https://global.hk01.com/</t>
    </r>
    <r>
      <rPr>
        <sz val="10"/>
        <color rgb="FF000000"/>
        <rFont val="Noto Sans CJK SC"/>
        <family val="2"/>
      </rPr>
      <t xml:space="preserve">财经快讯</t>
    </r>
    <r>
      <rPr>
        <sz val="10"/>
        <color rgb="FF000000"/>
        <rFont val="Arial"/>
        <family val="0"/>
        <charset val="1"/>
      </rPr>
      <t xml:space="preserve">/60389638/7</t>
    </r>
    <r>
      <rPr>
        <sz val="10"/>
        <color rgb="FF000000"/>
        <rFont val="Noto Sans CJK SC"/>
        <family val="2"/>
      </rPr>
      <t xml:space="preserve">月解禁抽水逾</t>
    </r>
    <r>
      <rPr>
        <sz val="10"/>
        <color rgb="FF000000"/>
        <rFont val="Arial"/>
        <family val="0"/>
        <charset val="1"/>
      </rPr>
      <t xml:space="preserve">310</t>
    </r>
    <r>
      <rPr>
        <sz val="10"/>
        <color rgb="FF000000"/>
        <rFont val="Noto Sans CJK SC"/>
        <family val="2"/>
      </rPr>
      <t xml:space="preserve">亿后</t>
    </r>
    <r>
      <rPr>
        <sz val="10"/>
        <color rgb="FF000000"/>
        <rFont val="Arial"/>
        <family val="0"/>
        <charset val="1"/>
      </rPr>
      <t xml:space="preserve">-</t>
    </r>
    <r>
      <rPr>
        <sz val="10"/>
        <color rgb="FF000000"/>
        <rFont val="Noto Sans CJK SC"/>
        <family val="2"/>
      </rPr>
      <t xml:space="preserve">智谱火速再配股兼发债</t>
    </r>
    <r>
      <rPr>
        <sz val="10"/>
        <color rgb="FF000000"/>
        <rFont val="Arial"/>
        <family val="0"/>
        <charset val="1"/>
      </rPr>
      <t xml:space="preserve">-</t>
    </r>
    <r>
      <rPr>
        <sz val="10"/>
        <color rgb="FF000000"/>
        <rFont val="Noto Sans CJK SC"/>
        <family val="2"/>
      </rPr>
      <t xml:space="preserve">合共筹</t>
    </r>
    <r>
      <rPr>
        <sz val="10"/>
        <color rgb="FF000000"/>
        <rFont val="Arial"/>
        <family val="0"/>
        <charset val="1"/>
      </rPr>
      <t xml:space="preserve">393</t>
    </r>
    <r>
      <rPr>
        <sz val="10"/>
        <color rgb="FF000000"/>
        <rFont val="Noto Sans CJK SC"/>
        <family val="2"/>
      </rPr>
      <t xml:space="preserve">亿</t>
    </r>
  </si>
  <si>
    <t xml:space="preserve">媒體加總（總額口徑）</t>
  </si>
  <si>
    <r>
      <rPr>
        <sz val="10"/>
        <color rgb="FF000000"/>
        <rFont val="Noto Sans CJK SC"/>
        <family val="2"/>
      </rPr>
      <t xml:space="preserve">「約</t>
    </r>
    <r>
      <rPr>
        <sz val="10"/>
        <color rgb="FF000000"/>
        <rFont val="Arial"/>
        <family val="0"/>
        <charset val="1"/>
      </rPr>
      <t xml:space="preserve">393.31</t>
    </r>
    <r>
      <rPr>
        <sz val="10"/>
        <color rgb="FF000000"/>
        <rFont val="Noto Sans CJK SC"/>
        <family val="2"/>
      </rPr>
      <t xml:space="preserve">億港元」＝</t>
    </r>
    <r>
      <rPr>
        <sz val="10"/>
        <color rgb="FF000000"/>
        <rFont val="Arial"/>
        <family val="0"/>
        <charset val="1"/>
      </rPr>
      <t xml:space="preserve">156.83</t>
    </r>
    <r>
      <rPr>
        <sz val="10"/>
        <color rgb="FF000000"/>
        <rFont val="Noto Sans CJK SC"/>
        <family val="2"/>
      </rPr>
      <t xml:space="preserve">＋</t>
    </r>
    <r>
      <rPr>
        <sz val="10"/>
        <color rgb="FF000000"/>
        <rFont val="Arial"/>
        <family val="0"/>
        <charset val="1"/>
      </rPr>
      <t xml:space="preserve">236.48</t>
    </r>
    <r>
      <rPr>
        <sz val="10"/>
        <color rgb="FF000000"/>
        <rFont val="Noto Sans CJK SC"/>
        <family val="2"/>
      </rPr>
      <t xml:space="preserve">；公司電話會稱「約</t>
    </r>
    <r>
      <rPr>
        <sz val="10"/>
        <color rgb="FF000000"/>
        <rFont val="Arial"/>
        <family val="0"/>
        <charset val="1"/>
      </rPr>
      <t xml:space="preserve">50</t>
    </r>
    <r>
      <rPr>
        <sz val="10"/>
        <color rgb="FF000000"/>
        <rFont val="Noto Sans CJK SC"/>
        <family val="2"/>
      </rPr>
      <t xml:space="preserve">億美元」</t>
    </r>
  </si>
  <si>
    <t xml:space="preserve">SRC_ZP_552</t>
  </si>
  <si>
    <t xml:space="preserve">bank_loans_1h26_cm</t>
  </si>
  <si>
    <t xml:space="preserve">銀行貸款總額</t>
  </si>
  <si>
    <r>
      <rPr>
        <sz val="10"/>
        <color rgb="FF000000"/>
        <rFont val="Arial"/>
        <family val="0"/>
        <charset val="1"/>
      </rPr>
      <t xml:space="preserve">RMB </t>
    </r>
    <r>
      <rPr>
        <sz val="10"/>
        <color rgb="FF000000"/>
        <rFont val="Noto Sans CJK SC"/>
        <family val="2"/>
      </rPr>
      <t xml:space="preserve">百萬</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</si>
  <si>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</si>
  <si>
    <t xml:space="preserve">https://www.hkexnews.hk/listedco/listconews/sehk/2026/0831/2026083101540_c.pdf</t>
  </si>
  <si>
    <t xml:space="preserve">未經審計（已審閱）</t>
  </si>
  <si>
    <r>
      <rPr>
        <sz val="10"/>
        <color rgb="FF000000"/>
        <rFont val="Noto Sans CJK SC"/>
        <family val="2"/>
      </rPr>
      <t xml:space="preserve">「銀行貸款總額為人民幣</t>
    </r>
    <r>
      <rPr>
        <sz val="10"/>
        <color rgb="FF000000"/>
        <rFont val="Arial"/>
        <family val="0"/>
        <charset val="1"/>
      </rPr>
      <t xml:space="preserve">2,224.8</t>
    </r>
    <r>
      <rPr>
        <sz val="10"/>
        <color rgb="FF000000"/>
        <rFont val="Noto Sans CJK SC"/>
        <family val="2"/>
      </rPr>
      <t xml:space="preserve">百萬元」；帶息、主要人民幣、無擔保</t>
    </r>
  </si>
  <si>
    <t xml:space="preserve">SRC_ZP_553</t>
  </si>
  <si>
    <t xml:space="preserve">bank_loans_fy25_cm</t>
  </si>
  <si>
    <t xml:space="preserve">經審計（比較數）</t>
  </si>
  <si>
    <r>
      <rPr>
        <sz val="10"/>
        <color rgb="FF000000"/>
        <rFont val="Arial"/>
        <family val="0"/>
        <charset val="1"/>
      </rPr>
      <t xml:space="preserve">2025-12-31 </t>
    </r>
    <r>
      <rPr>
        <sz val="10"/>
        <color rgb="FF000000"/>
        <rFont val="Noto Sans CJK SC"/>
        <family val="2"/>
      </rPr>
      <t xml:space="preserve">為人民幣 </t>
    </r>
    <r>
      <rPr>
        <sz val="10"/>
        <color rgb="FF000000"/>
        <rFont val="Arial"/>
        <family val="0"/>
        <charset val="1"/>
      </rPr>
      <t xml:space="preserve">689.5 </t>
    </r>
    <r>
      <rPr>
        <sz val="10"/>
        <color rgb="FF000000"/>
        <rFont val="Noto Sans CJK SC"/>
        <family val="2"/>
      </rPr>
      <t xml:space="preserve">百萬元</t>
    </r>
  </si>
  <si>
    <t xml:space="preserve">SRC_ZP_554</t>
  </si>
  <si>
    <t xml:space="preserve">gearing_1h26</t>
  </si>
  <si>
    <r>
      <rPr>
        <sz val="10"/>
        <color rgb="FF000000"/>
        <rFont val="Noto Sans CJK SC"/>
        <family val="2"/>
      </rPr>
      <t xml:space="preserve">資本負債比率（銀行貸款＋租賃負債）</t>
    </r>
    <r>
      <rPr>
        <sz val="10"/>
        <color rgb="FF000000"/>
        <rFont val="Arial"/>
        <family val="0"/>
        <charset val="1"/>
      </rPr>
      <t xml:space="preserve">÷</t>
    </r>
    <r>
      <rPr>
        <sz val="10"/>
        <color rgb="FF000000"/>
        <rFont val="Noto Sans CJK SC"/>
        <family val="2"/>
      </rPr>
      <t xml:space="preserve">權益</t>
    </r>
  </si>
  <si>
    <r>
      <rPr>
        <sz val="10"/>
        <color rgb="FF000000"/>
        <rFont val="Noto Sans CJK SC"/>
        <family val="2"/>
      </rPr>
      <t xml:space="preserve">權益 </t>
    </r>
    <r>
      <rPr>
        <sz val="10"/>
        <color rgb="FF000000"/>
        <rFont val="Arial"/>
        <family val="0"/>
        <charset val="1"/>
      </rPr>
      <t xml:space="preserve">2026-06-30 </t>
    </r>
    <r>
      <rPr>
        <sz val="10"/>
        <color rgb="FF000000"/>
        <rFont val="Noto Sans CJK SC"/>
        <family val="2"/>
      </rPr>
      <t xml:space="preserve">人民幣 </t>
    </r>
    <r>
      <rPr>
        <sz val="10"/>
        <color rgb="FF000000"/>
        <rFont val="Arial"/>
        <family val="0"/>
        <charset val="1"/>
      </rPr>
      <t xml:space="preserve">4,429.6 </t>
    </r>
    <r>
      <rPr>
        <sz val="10"/>
        <color rgb="FF000000"/>
        <rFont val="Noto Sans CJK SC"/>
        <family val="2"/>
      </rPr>
      <t xml:space="preserve">百萬元（</t>
    </r>
    <r>
      <rPr>
        <sz val="10"/>
        <color rgb="FF000000"/>
        <rFont val="Arial"/>
        <family val="0"/>
        <charset val="1"/>
      </rPr>
      <t xml:space="preserve">2025 </t>
    </r>
    <r>
      <rPr>
        <sz val="10"/>
        <color rgb="FF000000"/>
        <rFont val="Noto Sans CJK SC"/>
        <family val="2"/>
      </rPr>
      <t xml:space="preserve">年末 </t>
    </r>
    <r>
      <rPr>
        <sz val="10"/>
        <color rgb="FF000000"/>
        <rFont val="Arial"/>
        <family val="0"/>
        <charset val="1"/>
      </rPr>
      <t xml:space="preserve">-8,111.0</t>
    </r>
    <r>
      <rPr>
        <sz val="10"/>
        <color rgb="FF000000"/>
        <rFont val="Noto Sans CJK SC"/>
        <family val="2"/>
      </rPr>
      <t xml:space="preserve">）</t>
    </r>
  </si>
  <si>
    <t xml:space="preserve">SRC_ZP_555</t>
  </si>
  <si>
    <t xml:space="preserve">ma_hongzuan_consideration</t>
  </si>
  <si>
    <r>
      <rPr>
        <sz val="10"/>
        <color rgb="FF000000"/>
        <rFont val="Noto Sans CJK SC"/>
        <family val="2"/>
      </rPr>
      <t xml:space="preserve">收購北京紅鑽 </t>
    </r>
    <r>
      <rPr>
        <sz val="10"/>
        <color rgb="FF000000"/>
        <rFont val="Arial"/>
        <family val="0"/>
        <charset val="1"/>
      </rPr>
      <t xml:space="preserve">100% </t>
    </r>
    <r>
      <rPr>
        <sz val="10"/>
        <color rgb="FF000000"/>
        <rFont val="Noto Sans CJK SC"/>
        <family val="2"/>
      </rPr>
      <t xml:space="preserve">總代價（上限）</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</si>
  <si>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中期業績公告；投資界</t>
    </r>
  </si>
  <si>
    <r>
      <rPr>
        <sz val="10"/>
        <color rgb="FF000000"/>
        <rFont val="Noto Sans CJK SC"/>
        <family val="2"/>
      </rPr>
      <t xml:space="preserve">「以不超過人民幣</t>
    </r>
    <r>
      <rPr>
        <sz val="10"/>
        <color rgb="FF000000"/>
        <rFont val="Arial"/>
        <family val="0"/>
        <charset val="1"/>
      </rPr>
      <t xml:space="preserve">360.52</t>
    </r>
    <r>
      <rPr>
        <sz val="10"/>
        <color rgb="FF000000"/>
        <rFont val="Noto Sans CJK SC"/>
        <family val="2"/>
      </rPr>
      <t xml:space="preserve">百萬元的總代價收購北京紅鑽的</t>
    </r>
    <r>
      <rPr>
        <sz val="10"/>
        <color rgb="FF000000"/>
        <rFont val="Arial"/>
        <family val="0"/>
        <charset val="1"/>
      </rPr>
      <t xml:space="preserve">100%</t>
    </r>
    <r>
      <rPr>
        <sz val="10"/>
        <color rgb="FF000000"/>
        <rFont val="Noto Sans CJK SC"/>
        <family val="2"/>
      </rPr>
      <t xml:space="preserve">股權」；現金</t>
    </r>
  </si>
  <si>
    <t xml:space="preserve">SRC_ZP_556</t>
  </si>
  <si>
    <t xml:space="preserve">ma_hongzuan_equity_cash</t>
  </si>
  <si>
    <r>
      <rPr>
        <sz val="10"/>
        <color rgb="FF000000"/>
        <rFont val="Noto Sans CJK SC"/>
        <family val="2"/>
      </rPr>
      <t xml:space="preserve">北京紅鑽：股權現金對價（另承接債務約 </t>
    </r>
    <r>
      <rPr>
        <sz val="10"/>
        <color rgb="FF000000"/>
        <rFont val="Arial"/>
        <family val="0"/>
        <charset val="1"/>
      </rPr>
      <t xml:space="preserve">2.789 </t>
    </r>
    <r>
      <rPr>
        <sz val="10"/>
        <color rgb="FF000000"/>
        <rFont val="Noto Sans CJK SC"/>
        <family val="2"/>
      </rPr>
      <t xml:space="preserve">億元）</t>
    </r>
  </si>
  <si>
    <t xml:space="preserve">https://news.pedaily.cn/202604/562789.shtml</t>
  </si>
  <si>
    <r>
      <rPr>
        <sz val="10"/>
        <color rgb="FF000000"/>
        <rFont val="Noto Sans CJK SC"/>
        <family val="2"/>
      </rPr>
      <t xml:space="preserve">股權 </t>
    </r>
    <r>
      <rPr>
        <sz val="10"/>
        <color rgb="FF000000"/>
        <rFont val="Arial"/>
        <family val="0"/>
        <charset val="1"/>
      </rPr>
      <t xml:space="preserve">8,162 </t>
    </r>
    <r>
      <rPr>
        <sz val="10"/>
        <color rgb="FF000000"/>
        <rFont val="Noto Sans CJK SC"/>
        <family val="2"/>
      </rPr>
      <t xml:space="preserve">萬元＋債務安排約 </t>
    </r>
    <r>
      <rPr>
        <sz val="10"/>
        <color rgb="FF000000"/>
        <rFont val="Arial"/>
        <family val="0"/>
        <charset val="1"/>
      </rPr>
      <t xml:space="preserve">2.789 </t>
    </r>
    <r>
      <rPr>
        <sz val="10"/>
        <color rgb="FF000000"/>
        <rFont val="Noto Sans CJK SC"/>
        <family val="2"/>
      </rPr>
      <t xml:space="preserve">億元；標的為海淀鑽石大廈（約 </t>
    </r>
    <r>
      <rPr>
        <sz val="10"/>
        <color rgb="FF000000"/>
        <rFont val="Arial"/>
        <family val="0"/>
        <charset val="1"/>
      </rPr>
      <t xml:space="preserve">2.27 </t>
    </r>
    <r>
      <rPr>
        <sz val="10"/>
        <color rgb="FF000000"/>
        <rFont val="Noto Sans CJK SC"/>
        <family val="2"/>
      </rPr>
      <t xml:space="preserve">萬平方米），自用辦公</t>
    </r>
  </si>
  <si>
    <t xml:space="preserve">SRC_ZP_557</t>
  </si>
  <si>
    <t xml:space="preserve">capex_1h26_hongzuan</t>
  </si>
  <si>
    <t xml:space="preserve">資本支出（含紅鑽物業）</t>
  </si>
  <si>
    <r>
      <rPr>
        <sz val="10"/>
        <color rgb="FF000000"/>
        <rFont val="Arial"/>
        <family val="0"/>
        <charset val="1"/>
      </rPr>
      <t xml:space="preserve">1H25 53.7→1H26 390.6 </t>
    </r>
    <r>
      <rPr>
        <sz val="10"/>
        <color rgb="FF000000"/>
        <rFont val="Noto Sans CJK SC"/>
        <family val="2"/>
      </rPr>
      <t xml:space="preserve">百萬元，「主要由於…收購北京紅鑽」；即 </t>
    </r>
    <r>
      <rPr>
        <sz val="10"/>
        <color rgb="FF000000"/>
        <rFont val="Arial"/>
        <family val="0"/>
        <charset val="1"/>
      </rPr>
      <t xml:space="preserve">D11 </t>
    </r>
    <r>
      <rPr>
        <sz val="10"/>
        <color rgb="FF000000"/>
        <rFont val="Noto Sans CJK SC"/>
        <family val="2"/>
      </rPr>
      <t xml:space="preserve">的 </t>
    </r>
    <r>
      <rPr>
        <sz val="10"/>
        <color rgb="FF000000"/>
        <rFont val="Arial"/>
        <family val="0"/>
        <charset val="1"/>
      </rPr>
      <t xml:space="preserve">3.91 </t>
    </r>
    <r>
      <rPr>
        <sz val="10"/>
        <color rgb="FF000000"/>
        <rFont val="Noto Sans CJK SC"/>
        <family val="2"/>
      </rPr>
      <t xml:space="preserve">億主要非算力</t>
    </r>
  </si>
  <si>
    <t xml:space="preserve">SRC_ZP_558</t>
  </si>
  <si>
    <t xml:space="preserve">ma_zkjh_stake</t>
  </si>
  <si>
    <t xml:space="preserve">收購中科加禾持股比例</t>
  </si>
  <si>
    <t xml:space="preserve">投資界（引企查查）</t>
  </si>
  <si>
    <t xml:space="preserve">https://news.pedaily.cn/202607/566757.shtml</t>
  </si>
  <si>
    <t xml:space="preserve">媒體引工商登記（非公司公告）</t>
  </si>
  <si>
    <t xml:space="preserve">工商登記</t>
  </si>
  <si>
    <r>
      <rPr>
        <sz val="10"/>
        <color rgb="FF000000"/>
        <rFont val="Noto Sans CJK SC"/>
        <family val="2"/>
      </rPr>
      <t xml:space="preserve">「持股約</t>
    </r>
    <r>
      <rPr>
        <sz val="10"/>
        <color rgb="FF000000"/>
        <rFont val="Arial"/>
        <family val="0"/>
        <charset val="1"/>
      </rPr>
      <t xml:space="preserve">60%</t>
    </r>
    <r>
      <rPr>
        <sz val="10"/>
        <color rgb="FF000000"/>
        <rFont val="Noto Sans CJK SC"/>
        <family val="2"/>
      </rPr>
      <t xml:space="preserve">」；創始人崔慧敏降至 </t>
    </r>
    <r>
      <rPr>
        <sz val="10"/>
        <color rgb="FF000000"/>
        <rFont val="Arial"/>
        <family val="0"/>
        <charset val="1"/>
      </rPr>
      <t xml:space="preserve">11%</t>
    </r>
    <r>
      <rPr>
        <sz val="10"/>
        <color rgb="FF000000"/>
        <rFont val="Noto Sans CJK SC"/>
        <family val="2"/>
      </rPr>
      <t xml:space="preserve">；交易金額「未獲得披露」</t>
    </r>
  </si>
  <si>
    <t xml:space="preserve">SRC_ZP_559</t>
  </si>
  <si>
    <t xml:space="preserve">ma_zkjh_consideration</t>
  </si>
  <si>
    <t xml:space="preserve">收購中科加禾對價</t>
  </si>
  <si>
    <t xml:space="preserve">RMB</t>
  </si>
  <si>
    <r>
      <rPr>
        <sz val="10"/>
        <color rgb="FF000000"/>
        <rFont val="Arial"/>
        <family val="0"/>
        <charset val="1"/>
      </rPr>
      <t xml:space="preserve">21</t>
    </r>
    <r>
      <rPr>
        <sz val="10"/>
        <color rgb="FF000000"/>
        <rFont val="Noto Sans CJK SC"/>
        <family val="2"/>
      </rPr>
      <t xml:space="preserve">世紀經濟報道</t>
    </r>
  </si>
  <si>
    <t xml:space="preserve">https://www.sfccn.com/2026/7-21/2OMDE1MjBfMjE4NjM2OQ.html</t>
  </si>
  <si>
    <t xml:space="preserve">3</t>
  </si>
  <si>
    <r>
      <rPr>
        <sz val="10"/>
        <color rgb="FF000000"/>
        <rFont val="Noto Sans CJK SC"/>
        <family val="2"/>
      </rPr>
      <t xml:space="preserve">只稱「數億元人民幣」；</t>
    </r>
    <r>
      <rPr>
        <sz val="10"/>
        <color rgb="FF000000"/>
        <rFont val="Arial"/>
        <family val="0"/>
        <charset val="1"/>
      </rPr>
      <t xml:space="preserve">2.92 </t>
    </r>
    <r>
      <rPr>
        <sz val="10"/>
        <color rgb="FF000000"/>
        <rFont val="Noto Sans CJK SC"/>
        <family val="2"/>
      </rPr>
      <t xml:space="preserve">億未核得（見 </t>
    </r>
    <r>
      <rPr>
        <sz val="10"/>
        <color rgb="FF000000"/>
        <rFont val="Arial"/>
        <family val="0"/>
        <charset val="1"/>
      </rPr>
      <t xml:space="preserve">not_found</t>
    </r>
    <r>
      <rPr>
        <sz val="10"/>
        <color rgb="FF000000"/>
        <rFont val="Noto Sans CJK SC"/>
        <family val="2"/>
      </rPr>
      <t xml:space="preserve">）；標的為異構算力軟體棧／編譯</t>
    </r>
  </si>
  <si>
    <t xml:space="preserve">SRC_ZP_560</t>
  </si>
  <si>
    <t xml:space="preserve">shares_total_0630</t>
  </si>
  <si>
    <t xml:space="preserve">已發行股份總數</t>
  </si>
  <si>
    <r>
      <rPr>
        <sz val="10"/>
        <color rgb="FF000000"/>
        <rFont val="Noto Sans CJK SC"/>
        <family val="2"/>
      </rPr>
      <t xml:space="preserve">智譜 </t>
    </r>
    <r>
      <rPr>
        <sz val="10"/>
        <color rgb="FF000000"/>
        <rFont val="Arial"/>
        <family val="0"/>
        <charset val="1"/>
      </rPr>
      <t xml:space="preserve">FF301 </t>
    </r>
    <r>
      <rPr>
        <sz val="10"/>
        <color rgb="FF000000"/>
        <rFont val="Noto Sans CJK SC"/>
        <family val="2"/>
      </rPr>
      <t xml:space="preserve">月報表（</t>
    </r>
    <r>
      <rPr>
        <sz val="10"/>
        <color rgb="FF000000"/>
        <rFont val="Arial"/>
        <family val="0"/>
        <charset val="1"/>
      </rPr>
      <t xml:space="preserve">2026-06</t>
    </r>
    <r>
      <rPr>
        <sz val="10"/>
        <color rgb="FF000000"/>
        <rFont val="Noto Sans CJK SC"/>
        <family val="2"/>
      </rPr>
      <t xml:space="preserve">）</t>
    </r>
  </si>
  <si>
    <t xml:space="preserve">https://pdf.dfcfw.com/pdf/H2_AN202607071826772191_1.pdf</t>
  </si>
  <si>
    <t xml:space="preserve">2026-07-07</t>
  </si>
  <si>
    <r>
      <rPr>
        <sz val="10"/>
        <color rgb="FF000000"/>
        <rFont val="Arial"/>
        <family val="0"/>
        <charset val="1"/>
      </rPr>
      <t xml:space="preserve">H </t>
    </r>
    <r>
      <rPr>
        <sz val="10"/>
        <color rgb="FF000000"/>
        <rFont val="Noto Sans CJK SC"/>
        <family val="2"/>
      </rPr>
      <t xml:space="preserve">股 </t>
    </r>
    <r>
      <rPr>
        <sz val="10"/>
        <color rgb="FF000000"/>
        <rFont val="Arial"/>
        <family val="0"/>
        <charset val="1"/>
      </rPr>
      <t xml:space="preserve">221,314,605</t>
    </r>
    <r>
      <rPr>
        <sz val="10"/>
        <color rgb="FF000000"/>
        <rFont val="Noto Sans CJK SC"/>
        <family val="2"/>
      </rPr>
      <t xml:space="preserve">＋非上市股份 </t>
    </r>
    <r>
      <rPr>
        <sz val="10"/>
        <color rgb="FF000000"/>
        <rFont val="Arial"/>
        <family val="0"/>
        <charset val="1"/>
      </rPr>
      <t xml:space="preserve">224,528,485</t>
    </r>
    <r>
      <rPr>
        <sz val="10"/>
        <color rgb="FF000000"/>
        <rFont val="Noto Sans CJK SC"/>
        <family val="2"/>
      </rPr>
      <t xml:space="preserve">；面值 </t>
    </r>
    <r>
      <rPr>
        <sz val="10"/>
        <color rgb="FF000000"/>
        <rFont val="Arial"/>
        <family val="0"/>
        <charset val="1"/>
      </rPr>
      <t xml:space="preserve">RMB 0.1</t>
    </r>
  </si>
  <si>
    <t xml:space="preserve">SRC_ZP_561</t>
  </si>
  <si>
    <t xml:space="preserve">shares_h_0630</t>
  </si>
  <si>
    <r>
      <rPr>
        <sz val="10"/>
        <color rgb="FF000000"/>
        <rFont val="Arial"/>
        <family val="0"/>
        <charset val="1"/>
      </rPr>
      <t xml:space="preserve">H </t>
    </r>
    <r>
      <rPr>
        <sz val="10"/>
        <color rgb="FF000000"/>
        <rFont val="Noto Sans CJK SC"/>
        <family val="2"/>
      </rPr>
      <t xml:space="preserve">股數</t>
    </r>
  </si>
  <si>
    <r>
      <rPr>
        <sz val="10"/>
        <color rgb="FF000000"/>
        <rFont val="Noto Sans CJK SC"/>
        <family val="2"/>
      </rPr>
      <t xml:space="preserve">含 </t>
    </r>
    <r>
      <rPr>
        <sz val="10"/>
        <color rgb="FF000000"/>
        <rFont val="Arial"/>
        <family val="0"/>
        <charset val="1"/>
      </rPr>
      <t xml:space="preserve">IPO </t>
    </r>
    <r>
      <rPr>
        <sz val="10"/>
        <color rgb="FF000000"/>
        <rFont val="Noto Sans CJK SC"/>
        <family val="2"/>
      </rPr>
      <t xml:space="preserve">新股 </t>
    </r>
    <r>
      <rPr>
        <sz val="10"/>
        <color rgb="FF000000"/>
        <rFont val="Arial"/>
        <family val="0"/>
        <charset val="1"/>
      </rPr>
      <t xml:space="preserve">43,032,400 </t>
    </r>
    <r>
      <rPr>
        <sz val="10"/>
        <color rgb="FF000000"/>
        <rFont val="Noto Sans CJK SC"/>
        <family val="2"/>
      </rPr>
      <t xml:space="preserve">與全流通轉換股（推算 </t>
    </r>
    <r>
      <rPr>
        <sz val="10"/>
        <color rgb="FF000000"/>
        <rFont val="Arial"/>
        <family val="0"/>
        <charset val="1"/>
      </rPr>
      <t xml:space="preserve">178,282,205</t>
    </r>
    <r>
      <rPr>
        <sz val="10"/>
        <color rgb="FF000000"/>
        <rFont val="Noto Sans CJK SC"/>
        <family val="2"/>
      </rPr>
      <t xml:space="preserve">，</t>
    </r>
    <r>
      <rPr>
        <sz val="10"/>
        <color rgb="FF000000"/>
        <rFont val="Arial"/>
        <family val="0"/>
        <charset val="1"/>
      </rPr>
      <t xml:space="preserve">Derived</t>
    </r>
    <r>
      <rPr>
        <sz val="10"/>
        <color rgb="FF000000"/>
        <rFont val="Noto Sans CJK SC"/>
        <family val="2"/>
      </rPr>
      <t xml:space="preserve">）</t>
    </r>
  </si>
  <si>
    <t xml:space="preserve">SRC_ZP_562</t>
  </si>
  <si>
    <t xml:space="preserve">shares_unlisted</t>
  </si>
  <si>
    <t xml:space="preserve">非上市股份數</t>
  </si>
  <si>
    <r>
      <rPr>
        <sz val="10"/>
        <color rgb="FF000000"/>
        <rFont val="Noto Sans CJK SC"/>
        <family val="2"/>
      </rPr>
      <t xml:space="preserve">占 </t>
    </r>
    <r>
      <rPr>
        <sz val="10"/>
        <color rgb="FF000000"/>
        <rFont val="Arial"/>
        <family val="0"/>
        <charset val="1"/>
      </rPr>
      <t xml:space="preserve">465,623,090 </t>
    </r>
    <r>
      <rPr>
        <sz val="10"/>
        <color rgb="FF000000"/>
        <rFont val="Noto Sans CJK SC"/>
        <family val="2"/>
      </rPr>
      <t xml:space="preserve">股的 </t>
    </r>
    <r>
      <rPr>
        <sz val="10"/>
        <color rgb="FF000000"/>
        <rFont val="Arial"/>
        <family val="0"/>
        <charset val="1"/>
      </rPr>
      <t xml:space="preserve">48.22%</t>
    </r>
  </si>
  <si>
    <t xml:space="preserve">SRC_ZP_563</t>
  </si>
  <si>
    <t xml:space="preserve">shares_total_post_placing2</t>
  </si>
  <si>
    <r>
      <rPr>
        <sz val="10"/>
        <color rgb="FF000000"/>
        <rFont val="Arial"/>
        <family val="0"/>
        <charset val="1"/>
      </rPr>
      <t xml:space="preserve">2026-09 </t>
    </r>
    <r>
      <rPr>
        <sz val="10"/>
        <color rgb="FF000000"/>
        <rFont val="Noto Sans CJK SC"/>
        <family val="2"/>
      </rPr>
      <t xml:space="preserve">配售完成後已發行股份總數</t>
    </r>
  </si>
  <si>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公告（股權架構表「緊隨配售完成後」）</t>
    </r>
  </si>
  <si>
    <r>
      <rPr>
        <sz val="10"/>
        <color rgb="FF000000"/>
        <rFont val="Arial"/>
        <family val="0"/>
        <charset val="1"/>
      </rPr>
      <t xml:space="preserve">H </t>
    </r>
    <r>
      <rPr>
        <sz val="10"/>
        <color rgb="FF000000"/>
        <rFont val="Noto Sans CJK SC"/>
        <family val="2"/>
      </rPr>
      <t xml:space="preserve">股 </t>
    </r>
    <r>
      <rPr>
        <sz val="10"/>
        <color rgb="FF000000"/>
        <rFont val="Arial"/>
        <family val="0"/>
        <charset val="1"/>
      </rPr>
      <t xml:space="preserve">263,059,605</t>
    </r>
    <r>
      <rPr>
        <sz val="10"/>
        <color rgb="FF000000"/>
        <rFont val="Noto Sans CJK SC"/>
        <family val="2"/>
      </rPr>
      <t xml:space="preserve">（</t>
    </r>
    <r>
      <rPr>
        <sz val="10"/>
        <color rgb="FF000000"/>
        <rFont val="Arial"/>
        <family val="0"/>
        <charset val="1"/>
      </rPr>
      <t xml:space="preserve">Derived</t>
    </r>
    <r>
      <rPr>
        <sz val="10"/>
        <color rgb="FF000000"/>
        <rFont val="Noto Sans CJK SC"/>
        <family val="2"/>
      </rPr>
      <t xml:space="preserve">）＋非上市 </t>
    </r>
    <r>
      <rPr>
        <sz val="10"/>
        <color rgb="FF000000"/>
        <rFont val="Arial"/>
        <family val="0"/>
        <charset val="1"/>
      </rPr>
      <t xml:space="preserve">224,528,485</t>
    </r>
    <r>
      <rPr>
        <sz val="10"/>
        <color rgb="FF000000"/>
        <rFont val="Noto Sans CJK SC"/>
        <family val="2"/>
      </rPr>
      <t xml:space="preserve">；全面攤薄（含可轉債）</t>
    </r>
    <r>
      <rPr>
        <sz val="10"/>
        <color rgb="FF000000"/>
        <rFont val="Arial"/>
        <family val="0"/>
        <charset val="1"/>
      </rPr>
      <t xml:space="preserve">513,953,116</t>
    </r>
  </si>
  <si>
    <t xml:space="preserve">SRC_ZP_564</t>
  </si>
  <si>
    <t xml:space="preserve">holder_founder_group_pct</t>
  </si>
  <si>
    <t xml:space="preserve">最大股東集團（北京鏈湃、劉德兵、唐杰等）持股</t>
  </si>
  <si>
    <r>
      <rPr>
        <sz val="10"/>
        <color rgb="FF000000"/>
        <rFont val="Noto Sans CJK SC"/>
        <family val="2"/>
      </rPr>
      <t xml:space="preserve">非上市 </t>
    </r>
    <r>
      <rPr>
        <sz val="10"/>
        <color rgb="FF000000"/>
        <rFont val="Arial"/>
        <family val="0"/>
        <charset val="1"/>
      </rPr>
      <t xml:space="preserve">123,042,373</t>
    </r>
    <r>
      <rPr>
        <sz val="10"/>
        <color rgb="FF000000"/>
        <rFont val="Noto Sans CJK SC"/>
        <family val="2"/>
      </rPr>
      <t xml:space="preserve">（</t>
    </r>
    <r>
      <rPr>
        <sz val="10"/>
        <color rgb="FF000000"/>
        <rFont val="Arial"/>
        <family val="0"/>
        <charset val="1"/>
      </rPr>
      <t xml:space="preserve">26.43%</t>
    </r>
    <r>
      <rPr>
        <sz val="10"/>
        <color rgb="FF000000"/>
        <rFont val="Noto Sans CJK SC"/>
        <family val="2"/>
      </rPr>
      <t xml:space="preserve">）＋</t>
    </r>
    <r>
      <rPr>
        <sz val="10"/>
        <color rgb="FF000000"/>
        <rFont val="Arial"/>
        <family val="0"/>
        <charset val="1"/>
      </rPr>
      <t xml:space="preserve">H </t>
    </r>
    <r>
      <rPr>
        <sz val="10"/>
        <color rgb="FF000000"/>
        <rFont val="Noto Sans CJK SC"/>
        <family val="2"/>
      </rPr>
      <t xml:space="preserve">股 </t>
    </r>
    <r>
      <rPr>
        <sz val="10"/>
        <color rgb="FF000000"/>
        <rFont val="Arial"/>
        <family val="0"/>
        <charset val="1"/>
      </rPr>
      <t xml:space="preserve">10,001,857</t>
    </r>
    <r>
      <rPr>
        <sz val="10"/>
        <color rgb="FF000000"/>
        <rFont val="Noto Sans CJK SC"/>
        <family val="2"/>
      </rPr>
      <t xml:space="preserve">（</t>
    </r>
    <r>
      <rPr>
        <sz val="10"/>
        <color rgb="FF000000"/>
        <rFont val="Arial"/>
        <family val="0"/>
        <charset val="1"/>
      </rPr>
      <t xml:space="preserve">2.15%</t>
    </r>
    <r>
      <rPr>
        <sz val="10"/>
        <color rgb="FF000000"/>
        <rFont val="Noto Sans CJK SC"/>
        <family val="2"/>
      </rPr>
      <t xml:space="preserve">）；配售後 </t>
    </r>
    <r>
      <rPr>
        <sz val="10"/>
        <color rgb="FF000000"/>
        <rFont val="Arial"/>
        <family val="0"/>
        <charset val="1"/>
      </rPr>
      <t xml:space="preserve">27.28%</t>
    </r>
  </si>
  <si>
    <t xml:space="preserve">SRC_ZP_565</t>
  </si>
  <si>
    <t xml:space="preserve">holder_founder_group_preipo</t>
  </si>
  <si>
    <t xml:space="preserve">控股股東一致行動集團持股（上市前）</t>
  </si>
  <si>
    <r>
      <rPr>
        <sz val="10"/>
        <color rgb="FF000000"/>
        <rFont val="Noto Sans CJK SC"/>
        <family val="2"/>
      </rPr>
      <t xml:space="preserve">北京鏈湃、劉德兵、唐杰、李涓子、許斌、張海峰、慧惠、智登合計約 </t>
    </r>
    <r>
      <rPr>
        <sz val="10"/>
        <color rgb="FF000000"/>
        <rFont val="Arial"/>
        <family val="0"/>
        <charset val="1"/>
      </rPr>
      <t xml:space="preserve">33.03%</t>
    </r>
  </si>
  <si>
    <t xml:space="preserve">SRC_ZP_566</t>
  </si>
  <si>
    <t xml:space="preserve">holder_junlian_preipo</t>
  </si>
  <si>
    <t xml:space="preserve">君聯資本持股（上市前）</t>
  </si>
  <si>
    <r>
      <rPr>
        <sz val="10"/>
        <color rgb="FF000000"/>
        <rFont val="Noto Sans CJK SC"/>
        <family val="2"/>
      </rPr>
      <t xml:space="preserve">慧惠 </t>
    </r>
    <r>
      <rPr>
        <sz val="10"/>
        <color rgb="FF000000"/>
        <rFont val="Arial"/>
        <family val="0"/>
        <charset val="1"/>
      </rPr>
      <t xml:space="preserve">9.8%</t>
    </r>
    <r>
      <rPr>
        <sz val="10"/>
        <color rgb="FF000000"/>
        <rFont val="Noto Sans CJK SC"/>
        <family val="2"/>
      </rPr>
      <t xml:space="preserve">、北京鏈湃 </t>
    </r>
    <r>
      <rPr>
        <sz val="10"/>
        <color rgb="FF000000"/>
        <rFont val="Arial"/>
        <family val="0"/>
        <charset val="1"/>
      </rPr>
      <t xml:space="preserve">8.45%</t>
    </r>
    <r>
      <rPr>
        <sz val="10"/>
        <color rgb="FF000000"/>
        <rFont val="Noto Sans CJK SC"/>
        <family val="2"/>
      </rPr>
      <t xml:space="preserve">、智登 </t>
    </r>
    <r>
      <rPr>
        <sz val="10"/>
        <color rgb="FF000000"/>
        <rFont val="Arial"/>
        <family val="0"/>
        <charset val="1"/>
      </rPr>
      <t xml:space="preserve">6.75%</t>
    </r>
    <r>
      <rPr>
        <sz val="10"/>
        <color rgb="FF000000"/>
        <rFont val="Noto Sans CJK SC"/>
        <family val="2"/>
      </rPr>
      <t xml:space="preserve">、君聯 </t>
    </r>
    <r>
      <rPr>
        <sz val="10"/>
        <color rgb="FF000000"/>
        <rFont val="Arial"/>
        <family val="0"/>
        <charset val="1"/>
      </rPr>
      <t xml:space="preserve">6.73%</t>
    </r>
    <r>
      <rPr>
        <sz val="10"/>
        <color rgb="FF000000"/>
        <rFont val="Noto Sans CJK SC"/>
        <family val="2"/>
      </rPr>
      <t xml:space="preserve">、美團 </t>
    </r>
    <r>
      <rPr>
        <sz val="10"/>
        <color rgb="FF000000"/>
        <rFont val="Arial"/>
        <family val="0"/>
        <charset val="1"/>
      </rPr>
      <t xml:space="preserve">4.27%</t>
    </r>
    <r>
      <rPr>
        <sz val="10"/>
        <color rgb="FF000000"/>
        <rFont val="Noto Sans CJK SC"/>
        <family val="2"/>
      </rPr>
      <t xml:space="preserve">、啟明 </t>
    </r>
    <r>
      <rPr>
        <sz val="10"/>
        <color rgb="FF000000"/>
        <rFont val="Arial"/>
        <family val="0"/>
        <charset val="1"/>
      </rPr>
      <t xml:space="preserve">2.49%</t>
    </r>
  </si>
  <si>
    <t xml:space="preserve">SRC_ZP_567</t>
  </si>
  <si>
    <t xml:space="preserve">holder_meituan_preipo</t>
  </si>
  <si>
    <t xml:space="preserve">美團持股（上市前）</t>
  </si>
  <si>
    <r>
      <rPr>
        <sz val="10"/>
        <color rgb="FF000000"/>
        <rFont val="Noto Sans CJK SC"/>
        <family val="2"/>
      </rPr>
      <t xml:space="preserve">美團 </t>
    </r>
    <r>
      <rPr>
        <sz val="10"/>
        <color rgb="FF000000"/>
        <rFont val="Arial"/>
        <family val="0"/>
        <charset val="1"/>
      </rPr>
      <t xml:space="preserve">4.27%</t>
    </r>
    <r>
      <rPr>
        <sz val="10"/>
        <color rgb="FF000000"/>
        <rFont val="Noto Sans CJK SC"/>
        <family val="2"/>
      </rPr>
      <t xml:space="preserve">；阿里、騰訊、小米持股比例未取得</t>
    </r>
  </si>
  <si>
    <t xml:space="preserve">SRC_ZP_568</t>
  </si>
  <si>
    <t xml:space="preserve">lockup_2027_01</t>
  </si>
  <si>
    <r>
      <rPr>
        <sz val="10"/>
        <color rgb="FF000000"/>
        <rFont val="Arial"/>
        <family val="0"/>
        <charset val="1"/>
      </rPr>
      <t xml:space="preserve">2027-01-08 </t>
    </r>
    <r>
      <rPr>
        <sz val="10"/>
        <color rgb="FF000000"/>
        <rFont val="Noto Sans CJK SC"/>
        <family val="2"/>
      </rPr>
      <t xml:space="preserve">解禁（創辦人、早期投資人）占總股本</t>
    </r>
  </si>
  <si>
    <t xml:space="preserve">2027-01-08</t>
  </si>
  <si>
    <t xml:space="preserve">媒體估算</t>
  </si>
  <si>
    <r>
      <rPr>
        <sz val="10"/>
        <color rgb="FF000000"/>
        <rFont val="Noto Sans CJK SC"/>
        <family val="2"/>
      </rPr>
      <t xml:space="preserve">「接近總股本</t>
    </r>
    <r>
      <rPr>
        <sz val="10"/>
        <color rgb="FF000000"/>
        <rFont val="Arial"/>
        <family val="0"/>
        <charset val="1"/>
      </rPr>
      <t xml:space="preserve">40%</t>
    </r>
    <r>
      <rPr>
        <sz val="10"/>
        <color rgb="FF000000"/>
        <rFont val="Noto Sans CJK SC"/>
        <family val="2"/>
      </rPr>
      <t xml:space="preserve">」；</t>
    </r>
    <r>
      <rPr>
        <sz val="10"/>
        <color rgb="FF000000"/>
        <rFont val="Arial"/>
        <family val="0"/>
        <charset val="1"/>
      </rPr>
      <t xml:space="preserve">2026-07-08 </t>
    </r>
    <r>
      <rPr>
        <sz val="10"/>
        <color rgb="FF000000"/>
        <rFont val="Noto Sans CJK SC"/>
        <family val="2"/>
      </rPr>
      <t xml:space="preserve">解禁約 </t>
    </r>
    <r>
      <rPr>
        <sz val="10"/>
        <color rgb="FF000000"/>
        <rFont val="Arial"/>
        <family val="0"/>
        <charset val="1"/>
      </rPr>
      <t xml:space="preserve">2,568 </t>
    </r>
    <r>
      <rPr>
        <sz val="10"/>
        <color rgb="FF000000"/>
        <rFont val="Noto Sans CJK SC"/>
        <family val="2"/>
      </rPr>
      <t xml:space="preserve">萬股（基石 </t>
    </r>
    <r>
      <rPr>
        <sz val="10"/>
        <color rgb="FF000000"/>
        <rFont val="Arial"/>
        <family val="0"/>
        <charset val="1"/>
      </rPr>
      <t xml:space="preserve">1,199 </t>
    </r>
    <r>
      <rPr>
        <sz val="10"/>
        <color rgb="FF000000"/>
        <rFont val="Noto Sans CJK SC"/>
        <family val="2"/>
      </rPr>
      <t xml:space="preserve">萬＋部分上市前股）</t>
    </r>
  </si>
  <si>
    <t xml:space="preserve">SRC_ZP_569</t>
  </si>
  <si>
    <t xml:space="preserve">price_20261007</t>
  </si>
  <si>
    <t xml:space="preserve">收盤價</t>
  </si>
  <si>
    <t xml:space="preserve">2026-10-07</t>
  </si>
  <si>
    <t xml:space="preserve">老虎證券行情頁</t>
  </si>
  <si>
    <t xml:space="preserve">https://www.itiger.com/hans/stock/02513/news</t>
  </si>
  <si>
    <r>
      <rPr>
        <sz val="10"/>
        <color rgb="FF000000"/>
        <rFont val="Arial"/>
        <family val="0"/>
        <charset val="1"/>
      </rPr>
      <t xml:space="preserve">696.00</t>
    </r>
    <r>
      <rPr>
        <sz val="10"/>
        <color rgb="FF000000"/>
        <rFont val="Noto Sans CJK SC"/>
        <family val="2"/>
      </rPr>
      <t xml:space="preserve">，跌 </t>
    </r>
    <r>
      <rPr>
        <sz val="10"/>
        <color rgb="FF000000"/>
        <rFont val="Arial"/>
        <family val="0"/>
        <charset val="1"/>
      </rPr>
      <t xml:space="preserve">2.73%</t>
    </r>
    <r>
      <rPr>
        <sz val="10"/>
        <color rgb="FF000000"/>
        <rFont val="Noto Sans CJK SC"/>
        <family val="2"/>
      </rPr>
      <t xml:space="preserve">；前收 </t>
    </r>
    <r>
      <rPr>
        <sz val="10"/>
        <color rgb="FF000000"/>
        <rFont val="Arial"/>
        <family val="0"/>
        <charset val="1"/>
      </rPr>
      <t xml:space="preserve">715.50</t>
    </r>
    <r>
      <rPr>
        <sz val="10"/>
        <color rgb="FF000000"/>
        <rFont val="Noto Sans CJK SC"/>
        <family val="2"/>
      </rPr>
      <t xml:space="preserve">（</t>
    </r>
    <r>
      <rPr>
        <sz val="10"/>
        <color rgb="FF000000"/>
        <rFont val="Arial"/>
        <family val="0"/>
        <charset val="1"/>
      </rPr>
      <t xml:space="preserve">10-06</t>
    </r>
    <r>
      <rPr>
        <sz val="10"/>
        <color rgb="FF000000"/>
        <rFont val="Noto Sans CJK SC"/>
        <family val="2"/>
      </rPr>
      <t xml:space="preserve">）</t>
    </r>
  </si>
  <si>
    <t xml:space="preserve">SRC_ZP_570</t>
  </si>
  <si>
    <t xml:space="preserve">price_20261002</t>
  </si>
  <si>
    <r>
      <rPr>
        <sz val="10"/>
        <color rgb="FF000000"/>
        <rFont val="Noto Sans CJK SC"/>
        <family val="2"/>
      </rPr>
      <t xml:space="preserve">收盤價（</t>
    </r>
    <r>
      <rPr>
        <sz val="10"/>
        <color rgb="FF000000"/>
        <rFont val="Arial"/>
        <family val="0"/>
        <charset val="1"/>
      </rPr>
      <t xml:space="preserve">Investing </t>
    </r>
    <r>
      <rPr>
        <sz val="10"/>
        <color rgb="FF000000"/>
        <rFont val="Noto Sans CJK SC"/>
        <family val="2"/>
      </rPr>
      <t xml:space="preserve">頁）</t>
    </r>
  </si>
  <si>
    <t xml:space="preserve">2026-10-02/03</t>
  </si>
  <si>
    <t xml:space="preserve">Investing.com</t>
  </si>
  <si>
    <t xml:space="preserve">https://www.investing.com/equities/knowledge-atlas-tech-joint-stock</t>
  </si>
  <si>
    <t xml:space="preserve">2026-10-03</t>
  </si>
  <si>
    <r>
      <rPr>
        <sz val="10"/>
        <color rgb="FF000000"/>
        <rFont val="Noto Sans CJK SC"/>
        <family val="2"/>
      </rPr>
      <t xml:space="preserve">頁面寫 </t>
    </r>
    <r>
      <rPr>
        <sz val="10"/>
        <color rgb="FF000000"/>
        <rFont val="Arial"/>
        <family val="0"/>
        <charset val="1"/>
      </rPr>
      <t xml:space="preserve">626.50</t>
    </r>
    <r>
      <rPr>
        <sz val="10"/>
        <color rgb="FF000000"/>
        <rFont val="Noto Sans CJK SC"/>
        <family val="2"/>
      </rPr>
      <t xml:space="preserve">；市值 </t>
    </r>
    <r>
      <rPr>
        <sz val="10"/>
        <color rgb="FF000000"/>
        <rFont val="Arial"/>
        <family val="0"/>
        <charset val="1"/>
      </rPr>
      <t xml:space="preserve">291.71B </t>
    </r>
    <r>
      <rPr>
        <sz val="10"/>
        <color rgb="FF000000"/>
        <rFont val="Noto Sans CJK SC"/>
        <family val="2"/>
      </rPr>
      <t xml:space="preserve">以過時股數 </t>
    </r>
    <r>
      <rPr>
        <sz val="10"/>
        <color rgb="FF000000"/>
        <rFont val="Arial"/>
        <family val="0"/>
        <charset val="1"/>
      </rPr>
      <t xml:space="preserve">465.62M </t>
    </r>
    <r>
      <rPr>
        <sz val="10"/>
        <color rgb="FF000000"/>
        <rFont val="Noto Sans CJK SC"/>
        <family val="2"/>
      </rPr>
      <t xml:space="preserve">計算</t>
    </r>
  </si>
  <si>
    <t xml:space="preserve">SRC_ZP_571</t>
  </si>
  <si>
    <t xml:space="preserve">mktcap_20261007</t>
  </si>
  <si>
    <t xml:space="preserve">總市值</t>
  </si>
  <si>
    <r>
      <rPr>
        <sz val="10"/>
        <color rgb="FF000000"/>
        <rFont val="Noto Sans CJK SC"/>
        <family val="2"/>
      </rPr>
      <t xml:space="preserve">頁面「</t>
    </r>
    <r>
      <rPr>
        <sz val="10"/>
        <color rgb="FF000000"/>
        <rFont val="Arial"/>
        <family val="0"/>
        <charset val="1"/>
      </rPr>
      <t xml:space="preserve">3,396.48</t>
    </r>
    <r>
      <rPr>
        <sz val="10"/>
        <color rgb="FF000000"/>
        <rFont val="Noto Sans CJK SC"/>
        <family val="2"/>
      </rPr>
      <t xml:space="preserve">億」，未註幣別（港股報價，推定港幣）</t>
    </r>
  </si>
  <si>
    <t xml:space="preserve">SRC_ZP_572</t>
  </si>
  <si>
    <t xml:space="preserve">mktcap_20261007_b</t>
  </si>
  <si>
    <t xml:space="preserve">總市值（按公告股數計算）</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</si>
  <si>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696.00×487,588,090</t>
    </r>
  </si>
  <si>
    <r>
      <rPr>
        <sz val="10"/>
        <color rgb="FF000000"/>
        <rFont val="Noto Sans CJK SC"/>
        <family val="2"/>
      </rPr>
      <t xml:space="preserve">計算（含非上市股份，</t>
    </r>
    <r>
      <rPr>
        <sz val="10"/>
        <color rgb="FF000000"/>
        <rFont val="Arial"/>
        <family val="0"/>
        <charset val="1"/>
      </rPr>
      <t xml:space="preserve">H </t>
    </r>
    <r>
      <rPr>
        <sz val="10"/>
        <color rgb="FF000000"/>
        <rFont val="Noto Sans CJK SC"/>
        <family val="2"/>
      </rPr>
      <t xml:space="preserve">股＋非上市同價）</t>
    </r>
  </si>
  <si>
    <r>
      <rPr>
        <sz val="10"/>
        <color rgb="FF000000"/>
        <rFont val="Noto Sans CJK SC"/>
        <family val="2"/>
      </rPr>
      <t xml:space="preserve">與老虎差 </t>
    </r>
    <r>
      <rPr>
        <sz val="10"/>
        <color rgb="FF000000"/>
        <rFont val="Arial"/>
        <family val="0"/>
        <charset val="1"/>
      </rPr>
      <t xml:space="preserve">2.9 </t>
    </r>
    <r>
      <rPr>
        <sz val="10"/>
        <color rgb="FF000000"/>
        <rFont val="Noto Sans CJK SC"/>
        <family val="2"/>
      </rPr>
      <t xml:space="preserve">億，可能老虎股數口徑不同；</t>
    </r>
    <r>
      <rPr>
        <sz val="10"/>
        <color rgb="FF000000"/>
        <rFont val="Arial"/>
        <family val="0"/>
        <charset val="1"/>
      </rPr>
      <t xml:space="preserve">H </t>
    </r>
    <r>
      <rPr>
        <sz val="10"/>
        <color rgb="FF000000"/>
        <rFont val="Noto Sans CJK SC"/>
        <family val="2"/>
      </rPr>
      <t xml:space="preserve">股市值＝</t>
    </r>
    <r>
      <rPr>
        <sz val="10"/>
        <color rgb="FF000000"/>
        <rFont val="Arial"/>
        <family val="0"/>
        <charset val="1"/>
      </rPr>
      <t xml:space="preserve">696×263,059,605</t>
    </r>
  </si>
  <si>
    <t xml:space="preserve">SRC_ZP_573</t>
  </si>
  <si>
    <t xml:space="preserve">hi_52w</t>
  </si>
  <si>
    <r>
      <rPr>
        <sz val="10"/>
        <color rgb="FF000000"/>
        <rFont val="Arial"/>
        <family val="0"/>
        <charset val="1"/>
      </rPr>
      <t xml:space="preserve">52 </t>
    </r>
    <r>
      <rPr>
        <sz val="10"/>
        <color rgb="FF000000"/>
        <rFont val="Noto Sans CJK SC"/>
        <family val="2"/>
      </rPr>
      <t xml:space="preserve">週最高（盤中）</t>
    </r>
  </si>
  <si>
    <t xml:space="preserve">老虎證券行情頁；每日經濟新聞</t>
  </si>
  <si>
    <r>
      <rPr>
        <sz val="10"/>
        <color rgb="FF000000"/>
        <rFont val="Arial"/>
        <family val="0"/>
        <charset val="1"/>
      </rPr>
      <t xml:space="preserve">6-22 </t>
    </r>
    <r>
      <rPr>
        <sz val="10"/>
        <color rgb="FF000000"/>
        <rFont val="Noto Sans CJK SC"/>
        <family val="2"/>
      </rPr>
      <t xml:space="preserve">盤中 </t>
    </r>
    <r>
      <rPr>
        <sz val="10"/>
        <color rgb="FF000000"/>
        <rFont val="Arial"/>
        <family val="0"/>
        <charset val="1"/>
      </rPr>
      <t xml:space="preserve">2,980</t>
    </r>
    <r>
      <rPr>
        <sz val="10"/>
        <color rgb="FF000000"/>
        <rFont val="Noto Sans CJK SC"/>
        <family val="2"/>
      </rPr>
      <t xml:space="preserve">，市值約 </t>
    </r>
    <r>
      <rPr>
        <sz val="10"/>
        <color rgb="FF000000"/>
        <rFont val="Arial"/>
        <family val="0"/>
        <charset val="1"/>
      </rPr>
      <t xml:space="preserve">1.3 </t>
    </r>
    <r>
      <rPr>
        <sz val="10"/>
        <color rgb="FF000000"/>
        <rFont val="Noto Sans CJK SC"/>
        <family val="2"/>
      </rPr>
      <t xml:space="preserve">萬億港元；</t>
    </r>
    <r>
      <rPr>
        <sz val="10"/>
        <color rgb="FF000000"/>
        <rFont val="Arial"/>
        <family val="0"/>
        <charset val="1"/>
      </rPr>
      <t xml:space="preserve">6-11 </t>
    </r>
    <r>
      <rPr>
        <sz val="10"/>
        <color rgb="FF000000"/>
        <rFont val="Noto Sans CJK SC"/>
        <family val="2"/>
      </rPr>
      <t xml:space="preserve">低點 </t>
    </r>
    <r>
      <rPr>
        <sz val="10"/>
        <color rgb="FF000000"/>
        <rFont val="Arial"/>
        <family val="0"/>
        <charset val="1"/>
      </rPr>
      <t xml:space="preserve">1,061</t>
    </r>
  </si>
  <si>
    <t xml:space="preserve">SRC_ZP_574</t>
  </si>
  <si>
    <t xml:space="preserve">lo_52w</t>
  </si>
  <si>
    <r>
      <rPr>
        <sz val="10"/>
        <color rgb="FF000000"/>
        <rFont val="Arial"/>
        <family val="0"/>
        <charset val="1"/>
      </rPr>
      <t xml:space="preserve">52 </t>
    </r>
    <r>
      <rPr>
        <sz val="10"/>
        <color rgb="FF000000"/>
        <rFont val="Noto Sans CJK SC"/>
        <family val="2"/>
      </rPr>
      <t xml:space="preserve">週最低（上市首日盤中）</t>
    </r>
  </si>
  <si>
    <r>
      <rPr>
        <sz val="10"/>
        <color rgb="FF000000"/>
        <rFont val="Noto Sans CJK SC"/>
        <family val="2"/>
      </rPr>
      <t xml:space="preserve">老虎證券行情頁；</t>
    </r>
    <r>
      <rPr>
        <sz val="10"/>
        <color rgb="FF000000"/>
        <rFont val="Arial"/>
        <family val="0"/>
        <charset val="1"/>
      </rPr>
      <t xml:space="preserve">Investing.com</t>
    </r>
  </si>
  <si>
    <r>
      <rPr>
        <sz val="10"/>
        <color rgb="FF000000"/>
        <rFont val="Arial"/>
        <family val="0"/>
        <charset val="1"/>
      </rPr>
      <t xml:space="preserve">52 </t>
    </r>
    <r>
      <rPr>
        <sz val="10"/>
        <color rgb="FF000000"/>
        <rFont val="Noto Sans CJK SC"/>
        <family val="2"/>
      </rPr>
      <t xml:space="preserve">週區間 </t>
    </r>
    <r>
      <rPr>
        <sz val="10"/>
        <color rgb="FF000000"/>
        <rFont val="Arial"/>
        <family val="0"/>
        <charset val="1"/>
      </rPr>
      <t xml:space="preserve">116.10–2,980.00</t>
    </r>
  </si>
  <si>
    <t xml:space="preserve">SRC_ZP_575</t>
  </si>
  <si>
    <t xml:space="preserve">price_20260721</t>
  </si>
  <si>
    <t xml:space="preserve">收購中科加禾當日股價</t>
  </si>
  <si>
    <t xml:space="preserve">https://wallstreetcn.com/articles/3777553</t>
  </si>
  <si>
    <t xml:space="preserve">市場數據（午後報價）</t>
  </si>
  <si>
    <r>
      <rPr>
        <sz val="10"/>
        <color rgb="FF000000"/>
        <rFont val="Noto Sans CJK SC"/>
        <family val="2"/>
      </rPr>
      <t xml:space="preserve">「報</t>
    </r>
    <r>
      <rPr>
        <sz val="10"/>
        <color rgb="FF000000"/>
        <rFont val="Arial"/>
        <family val="0"/>
        <charset val="1"/>
      </rPr>
      <t xml:space="preserve">1232</t>
    </r>
    <r>
      <rPr>
        <sz val="10"/>
        <color rgb="FF000000"/>
        <rFont val="Noto Sans CJK SC"/>
        <family val="2"/>
      </rPr>
      <t xml:space="preserve">港元</t>
    </r>
    <r>
      <rPr>
        <sz val="10"/>
        <color rgb="FF000000"/>
        <rFont val="Arial"/>
        <family val="0"/>
        <charset val="1"/>
      </rPr>
      <t xml:space="preserve">/</t>
    </r>
    <r>
      <rPr>
        <sz val="10"/>
        <color rgb="FF000000"/>
        <rFont val="Noto Sans CJK SC"/>
        <family val="2"/>
      </rPr>
      <t xml:space="preserve">股」，單日漲 </t>
    </r>
    <r>
      <rPr>
        <sz val="10"/>
        <color rgb="FF000000"/>
        <rFont val="Arial"/>
        <family val="0"/>
        <charset val="1"/>
      </rPr>
      <t xml:space="preserve">38.35%</t>
    </r>
    <r>
      <rPr>
        <sz val="10"/>
        <color rgb="FF000000"/>
        <rFont val="Noto Sans CJK SC"/>
        <family val="2"/>
      </rPr>
      <t xml:space="preserve">；</t>
    </r>
    <r>
      <rPr>
        <sz val="10"/>
        <color rgb="FF000000"/>
        <rFont val="Arial"/>
        <family val="0"/>
        <charset val="1"/>
      </rPr>
      <t xml:space="preserve">7-17 </t>
    </r>
    <r>
      <rPr>
        <sz val="10"/>
        <color rgb="FF000000"/>
        <rFont val="Noto Sans CJK SC"/>
        <family val="2"/>
      </rPr>
      <t xml:space="preserve">跌 </t>
    </r>
    <r>
      <rPr>
        <sz val="10"/>
        <color rgb="FF000000"/>
        <rFont val="Arial"/>
        <family val="0"/>
        <charset val="1"/>
      </rPr>
      <t xml:space="preserve">28.49%</t>
    </r>
    <r>
      <rPr>
        <sz val="10"/>
        <color rgb="FF000000"/>
        <rFont val="Noto Sans CJK SC"/>
        <family val="2"/>
      </rPr>
      <t xml:space="preserve">、</t>
    </r>
    <r>
      <rPr>
        <sz val="10"/>
        <color rgb="FF000000"/>
        <rFont val="Arial"/>
        <family val="0"/>
        <charset val="1"/>
      </rPr>
      <t xml:space="preserve">7-20 </t>
    </r>
    <r>
      <rPr>
        <sz val="10"/>
        <color rgb="FF000000"/>
        <rFont val="Noto Sans CJK SC"/>
        <family val="2"/>
      </rPr>
      <t xml:space="preserve">跌 </t>
    </r>
    <r>
      <rPr>
        <sz val="10"/>
        <color rgb="FF000000"/>
        <rFont val="Arial"/>
        <family val="0"/>
        <charset val="1"/>
      </rPr>
      <t xml:space="preserve">19.56%</t>
    </r>
  </si>
  <si>
    <t xml:space="preserve">SRC_ZP_576</t>
  </si>
  <si>
    <t xml:space="preserve">mgmt_arr_guidance_ye26</t>
  </si>
  <si>
    <r>
      <rPr>
        <sz val="10"/>
        <color rgb="FF000000"/>
        <rFont val="Noto Sans CJK SC"/>
        <family val="2"/>
      </rPr>
      <t xml:space="preserve">管理層年末 </t>
    </r>
    <r>
      <rPr>
        <sz val="10"/>
        <color rgb="FF000000"/>
        <rFont val="Arial"/>
        <family val="0"/>
        <charset val="1"/>
      </rPr>
      <t xml:space="preserve">ARR </t>
    </r>
    <r>
      <rPr>
        <sz val="10"/>
        <color rgb="FF000000"/>
        <rFont val="Noto Sans CJK SC"/>
        <family val="2"/>
      </rPr>
      <t xml:space="preserve">指引</t>
    </r>
  </si>
  <si>
    <t xml:space="preserve">2026-12</t>
  </si>
  <si>
    <t xml:space="preserve">證券日報（同花順轉載）—投資人電話會</t>
  </si>
  <si>
    <r>
      <rPr>
        <sz val="10"/>
        <color rgb="FF000000"/>
        <rFont val="Noto Sans CJK SC"/>
        <family val="2"/>
      </rPr>
      <t xml:space="preserve">智譜（剛完成配售與可轉債；上市後股價、</t>
    </r>
    <r>
      <rPr>
        <sz val="10"/>
        <color rgb="FF000000"/>
        <rFont val="Arial"/>
        <family val="0"/>
        <charset val="1"/>
      </rPr>
      <t xml:space="preserve">2027-07 </t>
    </r>
    <r>
      <rPr>
        <sz val="10"/>
        <color rgb="FF000000"/>
        <rFont val="Noto Sans CJK SC"/>
        <family val="2"/>
      </rPr>
      <t xml:space="preserve">起換股）</t>
    </r>
  </si>
  <si>
    <r>
      <rPr>
        <sz val="10"/>
        <color rgb="FF000000"/>
        <rFont val="Noto Sans CJK SC"/>
        <family val="2"/>
      </rPr>
      <t xml:space="preserve">「年末</t>
    </r>
    <r>
      <rPr>
        <sz val="10"/>
        <color rgb="FF000000"/>
        <rFont val="Arial"/>
        <family val="0"/>
        <charset val="1"/>
      </rPr>
      <t xml:space="preserve">ARR</t>
    </r>
    <r>
      <rPr>
        <sz val="10"/>
        <color rgb="FF000000"/>
        <rFont val="Noto Sans CJK SC"/>
        <family val="2"/>
      </rPr>
      <t xml:space="preserve">指引由</t>
    </r>
    <r>
      <rPr>
        <sz val="10"/>
        <color rgb="FF000000"/>
        <rFont val="Arial"/>
        <family val="0"/>
        <charset val="1"/>
      </rPr>
      <t xml:space="preserve">24</t>
    </r>
    <r>
      <rPr>
        <sz val="10"/>
        <color rgb="FF000000"/>
        <rFont val="Noto Sans CJK SC"/>
        <family val="2"/>
      </rPr>
      <t xml:space="preserve">億美元上調至</t>
    </r>
    <r>
      <rPr>
        <sz val="10"/>
        <color rgb="FF000000"/>
        <rFont val="Arial"/>
        <family val="0"/>
        <charset val="1"/>
      </rPr>
      <t xml:space="preserve">30</t>
    </r>
    <r>
      <rPr>
        <sz val="10"/>
        <color rgb="FF000000"/>
        <rFont val="Noto Sans CJK SC"/>
        <family val="2"/>
      </rPr>
      <t xml:space="preserve">億美元」；當時 </t>
    </r>
    <r>
      <rPr>
        <sz val="10"/>
        <color rgb="FF000000"/>
        <rFont val="Arial"/>
        <family val="0"/>
        <charset val="1"/>
      </rPr>
      <t xml:space="preserve">ARR 18 </t>
    </r>
    <r>
      <rPr>
        <sz val="10"/>
        <color rgb="FF000000"/>
        <rFont val="Noto Sans CJK SC"/>
        <family val="2"/>
      </rPr>
      <t xml:space="preserve">億美元</t>
    </r>
  </si>
  <si>
    <t xml:space="preserve">SRC_ZP_577</t>
  </si>
  <si>
    <t xml:space="preserve">mgmt_arr_guidance_prior</t>
  </si>
  <si>
    <r>
      <rPr>
        <sz val="10"/>
        <color rgb="FF000000"/>
        <rFont val="Noto Sans CJK SC"/>
        <family val="2"/>
      </rPr>
      <t xml:space="preserve">管理層年末 </t>
    </r>
    <r>
      <rPr>
        <sz val="10"/>
        <color rgb="FF000000"/>
        <rFont val="Arial"/>
        <family val="0"/>
        <charset val="1"/>
      </rPr>
      <t xml:space="preserve">ARR </t>
    </r>
    <r>
      <rPr>
        <sz val="10"/>
        <color rgb="FF000000"/>
        <rFont val="Noto Sans CJK SC"/>
        <family val="2"/>
      </rPr>
      <t xml:space="preserve">指引（上調前）</t>
    </r>
  </si>
  <si>
    <t xml:space="preserve">證券日報（同花順轉載）</t>
  </si>
  <si>
    <t xml:space="preserve">智譜</t>
  </si>
  <si>
    <r>
      <rPr>
        <sz val="10"/>
        <color rgb="FF000000"/>
        <rFont val="Noto Sans CJK SC"/>
        <family val="2"/>
      </rPr>
      <t xml:space="preserve">先前指引 </t>
    </r>
    <r>
      <rPr>
        <sz val="10"/>
        <color rgb="FF000000"/>
        <rFont val="Arial"/>
        <family val="0"/>
        <charset val="1"/>
      </rPr>
      <t xml:space="preserve">24 </t>
    </r>
    <r>
      <rPr>
        <sz val="10"/>
        <color rgb="FF000000"/>
        <rFont val="Noto Sans CJK SC"/>
        <family val="2"/>
      </rPr>
      <t xml:space="preserve">億美元（招商證券國際亦稱「預期年底年化收入</t>
    </r>
    <r>
      <rPr>
        <sz val="10"/>
        <color rgb="FF000000"/>
        <rFont val="Arial"/>
        <family val="0"/>
        <charset val="1"/>
      </rPr>
      <t xml:space="preserve">24</t>
    </r>
    <r>
      <rPr>
        <sz val="10"/>
        <color rgb="FF000000"/>
        <rFont val="Noto Sans CJK SC"/>
        <family val="2"/>
      </rPr>
      <t xml:space="preserve">億美元」）</t>
    </r>
  </si>
  <si>
    <t xml:space="preserve">SRC_ZP_578</t>
  </si>
  <si>
    <t xml:space="preserve">mgmt_arr_current_0916</t>
  </si>
  <si>
    <r>
      <rPr>
        <sz val="10"/>
        <color rgb="FF000000"/>
        <rFont val="Noto Sans CJK SC"/>
        <family val="2"/>
      </rPr>
      <t xml:space="preserve">全公司 </t>
    </r>
    <r>
      <rPr>
        <sz val="10"/>
        <color rgb="FF000000"/>
        <rFont val="Arial"/>
        <family val="0"/>
        <charset val="1"/>
      </rPr>
      <t xml:space="preserve">ARR</t>
    </r>
    <r>
      <rPr>
        <sz val="10"/>
        <color rgb="FF000000"/>
        <rFont val="Noto Sans CJK SC"/>
        <family val="2"/>
      </rPr>
      <t xml:space="preserve">（管理層）</t>
    </r>
  </si>
  <si>
    <r>
      <rPr>
        <sz val="10"/>
        <color rgb="FF000000"/>
        <rFont val="Noto Sans CJK SC"/>
        <family val="2"/>
      </rPr>
      <t xml:space="preserve">管理層口徑（</t>
    </r>
    <r>
      <rPr>
        <sz val="10"/>
        <color rgb="FF000000"/>
        <rFont val="Arial"/>
        <family val="0"/>
        <charset val="1"/>
      </rPr>
      <t xml:space="preserve">ARR </t>
    </r>
    <r>
      <rPr>
        <sz val="10"/>
        <color rgb="FF000000"/>
        <rFont val="Noto Sans CJK SC"/>
        <family val="2"/>
      </rPr>
      <t xml:space="preserve">定義未揭露）</t>
    </r>
  </si>
  <si>
    <r>
      <rPr>
        <sz val="10"/>
        <color rgb="FF000000"/>
        <rFont val="Noto Sans CJK SC"/>
        <family val="2"/>
      </rPr>
      <t xml:space="preserve">全公司 </t>
    </r>
    <r>
      <rPr>
        <sz val="10"/>
        <color rgb="FF000000"/>
        <rFont val="Arial"/>
        <family val="0"/>
        <charset val="1"/>
      </rPr>
      <t xml:space="preserve">ARR 18 </t>
    </r>
    <r>
      <rPr>
        <sz val="10"/>
        <color rgb="FF000000"/>
        <rFont val="Noto Sans CJK SC"/>
        <family val="2"/>
      </rPr>
      <t xml:space="preserve">億美元；</t>
    </r>
    <r>
      <rPr>
        <sz val="10"/>
        <color rgb="FF000000"/>
        <rFont val="Arial"/>
        <family val="0"/>
        <charset val="1"/>
      </rPr>
      <t xml:space="preserve">8 </t>
    </r>
    <r>
      <rPr>
        <sz val="10"/>
        <color rgb="FF000000"/>
        <rFont val="Noto Sans CJK SC"/>
        <family val="2"/>
      </rPr>
      <t xml:space="preserve">月 </t>
    </r>
    <r>
      <rPr>
        <sz val="10"/>
        <color rgb="FF000000"/>
        <rFont val="Arial"/>
        <family val="0"/>
        <charset val="1"/>
      </rPr>
      <t xml:space="preserve">API </t>
    </r>
    <r>
      <rPr>
        <sz val="10"/>
        <color rgb="FF000000"/>
        <rFont val="Noto Sans CJK SC"/>
        <family val="2"/>
      </rPr>
      <t xml:space="preserve">月收入年化約 </t>
    </r>
    <r>
      <rPr>
        <sz val="10"/>
        <color rgb="FF000000"/>
        <rFont val="Arial"/>
        <family val="0"/>
        <charset val="1"/>
      </rPr>
      <t xml:space="preserve">16 </t>
    </r>
    <r>
      <rPr>
        <sz val="10"/>
        <color rgb="FF000000"/>
        <rFont val="Noto Sans CJK SC"/>
        <family val="2"/>
      </rPr>
      <t xml:space="preserve">億美元（財聯社）</t>
    </r>
  </si>
  <si>
    <t xml:space="preserve">SRC_ZP_579</t>
  </si>
  <si>
    <t xml:space="preserve">mgmt_arr_aug_api</t>
  </si>
  <si>
    <r>
      <rPr>
        <sz val="10"/>
        <color rgb="FF000000"/>
        <rFont val="Arial"/>
        <family val="0"/>
        <charset val="1"/>
      </rPr>
      <t xml:space="preserve">8 </t>
    </r>
    <r>
      <rPr>
        <sz val="10"/>
        <color rgb="FF000000"/>
        <rFont val="Noto Sans CJK SC"/>
        <family val="2"/>
      </rPr>
      <t xml:space="preserve">月收入年化 </t>
    </r>
    <r>
      <rPr>
        <sz val="10"/>
        <color rgb="FF000000"/>
        <rFont val="Arial"/>
        <family val="0"/>
        <charset val="1"/>
      </rPr>
      <t xml:space="preserve">ARR</t>
    </r>
    <r>
      <rPr>
        <sz val="10"/>
        <color rgb="FF000000"/>
        <rFont val="Noto Sans CJK SC"/>
        <family val="2"/>
      </rPr>
      <t xml:space="preserve">（管理層）</t>
    </r>
  </si>
  <si>
    <t xml:space="preserve">財聯社（中期業績會）</t>
  </si>
  <si>
    <r>
      <rPr>
        <sz val="10"/>
        <color rgb="FF000000"/>
        <rFont val="Arial"/>
        <family val="0"/>
        <charset val="1"/>
      </rPr>
      <t xml:space="preserve">8 </t>
    </r>
    <r>
      <rPr>
        <sz val="10"/>
        <color rgb="FF000000"/>
        <rFont val="Noto Sans CJK SC"/>
        <family val="2"/>
      </rPr>
      <t xml:space="preserve">月月收入年化約 </t>
    </r>
    <r>
      <rPr>
        <sz val="10"/>
        <color rgb="FF000000"/>
        <rFont val="Arial"/>
        <family val="0"/>
        <charset val="1"/>
      </rPr>
      <t xml:space="preserve">16 </t>
    </r>
    <r>
      <rPr>
        <sz val="10"/>
        <color rgb="FF000000"/>
        <rFont val="Noto Sans CJK SC"/>
        <family val="2"/>
      </rPr>
      <t xml:space="preserve">億美元；週收入</t>
    </r>
    <r>
      <rPr>
        <sz val="10"/>
        <color rgb="FF000000"/>
        <rFont val="Arial"/>
        <family val="0"/>
        <charset val="1"/>
      </rPr>
      <t xml:space="preserve">×52 </t>
    </r>
    <r>
      <rPr>
        <sz val="10"/>
        <color rgb="FF000000"/>
        <rFont val="Noto Sans CJK SC"/>
        <family val="2"/>
      </rPr>
      <t xml:space="preserve">激進口徑超 </t>
    </r>
    <r>
      <rPr>
        <sz val="10"/>
        <color rgb="FF000000"/>
        <rFont val="Arial"/>
        <family val="0"/>
        <charset val="1"/>
      </rPr>
      <t xml:space="preserve">20 </t>
    </r>
    <r>
      <rPr>
        <sz val="10"/>
        <color rgb="FF000000"/>
        <rFont val="Noto Sans CJK SC"/>
        <family val="2"/>
      </rPr>
      <t xml:space="preserve">億美元</t>
    </r>
  </si>
  <si>
    <t xml:space="preserve">SRC_ZP_580</t>
  </si>
  <si>
    <t xml:space="preserve">mgmt_inference_cost_cut</t>
  </si>
  <si>
    <r>
      <rPr>
        <sz val="10"/>
        <color rgb="FF000000"/>
        <rFont val="Noto Sans CJK SC"/>
        <family val="2"/>
      </rPr>
      <t xml:space="preserve">年初至今每 </t>
    </r>
    <r>
      <rPr>
        <sz val="10"/>
        <color rgb="FF000000"/>
        <rFont val="Arial"/>
        <family val="0"/>
        <charset val="1"/>
      </rPr>
      <t xml:space="preserve">token </t>
    </r>
    <r>
      <rPr>
        <sz val="10"/>
        <color rgb="FF000000"/>
        <rFont val="Noto Sans CJK SC"/>
        <family val="2"/>
      </rPr>
      <t xml:space="preserve">推論成本降幅（管理層）</t>
    </r>
  </si>
  <si>
    <r>
      <rPr>
        <sz val="10"/>
        <color rgb="FF000000"/>
        <rFont val="Arial"/>
        <family val="0"/>
        <charset val="1"/>
      </rPr>
      <t xml:space="preserve">2026-01</t>
    </r>
    <r>
      <rPr>
        <sz val="10"/>
        <color rgb="FF000000"/>
        <rFont val="Noto Sans CJK SC"/>
        <family val="2"/>
      </rPr>
      <t xml:space="preserve">～</t>
    </r>
    <r>
      <rPr>
        <sz val="10"/>
        <color rgb="FF000000"/>
        <rFont val="Arial"/>
        <family val="0"/>
        <charset val="1"/>
      </rPr>
      <t xml:space="preserve">08</t>
    </r>
  </si>
  <si>
    <r>
      <rPr>
        <sz val="10"/>
        <color rgb="FF000000"/>
        <rFont val="Noto Sans CJK SC"/>
        <family val="2"/>
      </rPr>
      <t xml:space="preserve">「</t>
    </r>
    <r>
      <rPr>
        <sz val="10"/>
        <color rgb="FF000000"/>
        <rFont val="Arial"/>
        <family val="0"/>
        <charset val="1"/>
      </rPr>
      <t xml:space="preserve">10</t>
    </r>
    <r>
      <rPr>
        <sz val="10"/>
        <color rgb="FF000000"/>
        <rFont val="Noto Sans CJK SC"/>
        <family val="2"/>
      </rPr>
      <t xml:space="preserve">萬級國產晶片」部署使單 </t>
    </r>
    <r>
      <rPr>
        <sz val="10"/>
        <color rgb="FF000000"/>
        <rFont val="Arial"/>
        <family val="0"/>
        <charset val="1"/>
      </rPr>
      <t xml:space="preserve">token </t>
    </r>
    <r>
      <rPr>
        <sz val="10"/>
        <color rgb="FF000000"/>
        <rFont val="Noto Sans CJK SC"/>
        <family val="2"/>
      </rPr>
      <t xml:space="preserve">推論成本下降約 </t>
    </r>
    <r>
      <rPr>
        <sz val="10"/>
        <color rgb="FF000000"/>
        <rFont val="Arial"/>
        <family val="0"/>
        <charset val="1"/>
      </rPr>
      <t xml:space="preserve">80%</t>
    </r>
    <r>
      <rPr>
        <sz val="10"/>
        <color rgb="FF000000"/>
        <rFont val="Noto Sans CJK SC"/>
        <family val="2"/>
      </rPr>
      <t xml:space="preserve">（轉述）</t>
    </r>
  </si>
  <si>
    <t xml:space="preserve">SRC_ZP_581</t>
  </si>
  <si>
    <t xml:space="preserve">mgmt_profit_target</t>
  </si>
  <si>
    <t xml:space="preserve">管理層獲利時點量化目標</t>
  </si>
  <si>
    <t xml:space="preserve">年</t>
  </si>
  <si>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中期業績公告「未來展望」</t>
    </r>
  </si>
  <si>
    <t xml:space="preserve">質化</t>
  </si>
  <si>
    <t xml:space="preserve">展望無獲利或毛利目標；僅稱「毛利率有望企穩回升」（企業智能體分部）</t>
  </si>
  <si>
    <t xml:space="preserve">SRC_ZP_582</t>
  </si>
  <si>
    <t xml:space="preserve">cons_rev_fy26</t>
  </si>
  <si>
    <r>
      <rPr>
        <sz val="10"/>
        <color rgb="FF000000"/>
        <rFont val="Noto Sans CJK SC"/>
        <family val="2"/>
      </rPr>
      <t xml:space="preserve">共識營收 </t>
    </r>
    <r>
      <rPr>
        <sz val="10"/>
        <color rgb="FF000000"/>
        <rFont val="Arial"/>
        <family val="0"/>
        <charset val="1"/>
      </rPr>
      <t xml:space="preserve">FY2026</t>
    </r>
  </si>
  <si>
    <t xml:space="preserve">FY2026</t>
  </si>
  <si>
    <r>
      <rPr>
        <sz val="10"/>
        <color rgb="FF000000"/>
        <rFont val="Arial"/>
        <family val="0"/>
        <charset val="1"/>
      </rPr>
      <t xml:space="preserve">Simply Wall St</t>
    </r>
    <r>
      <rPr>
        <sz val="10"/>
        <color rgb="FF000000"/>
        <rFont val="Noto Sans CJK SC"/>
        <family val="2"/>
      </rPr>
      <t xml:space="preserve">（共識，</t>
    </r>
    <r>
      <rPr>
        <sz val="10"/>
        <color rgb="FF000000"/>
        <rFont val="Arial"/>
        <family val="0"/>
        <charset val="1"/>
      </rPr>
      <t xml:space="preserve">23 </t>
    </r>
    <r>
      <rPr>
        <sz val="10"/>
        <color rgb="FF000000"/>
        <rFont val="Noto Sans CJK SC"/>
        <family val="2"/>
      </rPr>
      <t xml:space="preserve">位分析師）</t>
    </r>
  </si>
  <si>
    <t xml:space="preserve">https://simplywall.st/stocks/hk/software/shsc-2513/zai-shares/future</t>
  </si>
  <si>
    <t xml:space="preserve">2026-10-06</t>
  </si>
  <si>
    <r>
      <rPr>
        <sz val="10"/>
        <color rgb="FF000000"/>
        <rFont val="Noto Sans CJK SC"/>
        <family val="2"/>
      </rPr>
      <t xml:space="preserve">券商（承銷、交易誘因；中金、國泰君安為 </t>
    </r>
    <r>
      <rPr>
        <sz val="10"/>
        <color rgb="FF000000"/>
        <rFont val="Arial"/>
        <family val="0"/>
        <charset val="1"/>
      </rPr>
      <t xml:space="preserve">2026-09 </t>
    </r>
    <r>
      <rPr>
        <sz val="10"/>
        <color rgb="FF000000"/>
        <rFont val="Noto Sans CJK SC"/>
        <family val="2"/>
      </rPr>
      <t xml:space="preserve">配售承銷）</t>
    </r>
  </si>
  <si>
    <t xml:space="preserve">共識</t>
  </si>
  <si>
    <r>
      <rPr>
        <sz val="10"/>
        <color rgb="FF000000"/>
        <rFont val="Arial"/>
        <family val="0"/>
        <charset val="1"/>
      </rPr>
      <t xml:space="preserve">FY2026 </t>
    </r>
    <r>
      <rPr>
        <sz val="10"/>
        <color rgb="FF000000"/>
        <rFont val="Noto Sans CJK SC"/>
        <family val="2"/>
      </rPr>
      <t xml:space="preserve">營收 </t>
    </r>
    <r>
      <rPr>
        <sz val="10"/>
        <color rgb="FF000000"/>
        <rFont val="Arial"/>
        <family val="0"/>
        <charset val="1"/>
      </rPr>
      <t xml:space="preserve">6,048 </t>
    </r>
    <r>
      <rPr>
        <sz val="10"/>
        <color rgb="FF000000"/>
        <rFont val="Noto Sans CJK SC"/>
        <family val="2"/>
      </rPr>
      <t xml:space="preserve">百萬元；淨利 </t>
    </r>
    <r>
      <rPr>
        <sz val="10"/>
        <color rgb="FF000000"/>
        <rFont val="Arial"/>
        <family val="0"/>
        <charset val="1"/>
      </rPr>
      <t xml:space="preserve">-4,594</t>
    </r>
  </si>
  <si>
    <t xml:space="preserve">SRC_ZP_583</t>
  </si>
  <si>
    <t xml:space="preserve">cons_rev_fy27</t>
  </si>
  <si>
    <r>
      <rPr>
        <sz val="10"/>
        <color rgb="FF000000"/>
        <rFont val="Noto Sans CJK SC"/>
        <family val="2"/>
      </rPr>
      <t xml:space="preserve">共識營收 </t>
    </r>
    <r>
      <rPr>
        <sz val="10"/>
        <color rgb="FF000000"/>
        <rFont val="Arial"/>
        <family val="0"/>
        <charset val="1"/>
      </rPr>
      <t xml:space="preserve">FY2027</t>
    </r>
  </si>
  <si>
    <t xml:space="preserve">FY2027</t>
  </si>
  <si>
    <r>
      <rPr>
        <sz val="10"/>
        <color rgb="FF000000"/>
        <rFont val="Arial"/>
        <family val="0"/>
        <charset val="1"/>
      </rPr>
      <t xml:space="preserve">Simply Wall St</t>
    </r>
    <r>
      <rPr>
        <sz val="10"/>
        <color rgb="FF000000"/>
        <rFont val="Noto Sans CJK SC"/>
        <family val="2"/>
      </rPr>
      <t xml:space="preserve">（共識，</t>
    </r>
    <r>
      <rPr>
        <sz val="10"/>
        <color rgb="FF000000"/>
        <rFont val="Arial"/>
        <family val="0"/>
        <charset val="1"/>
      </rPr>
      <t xml:space="preserve">23 </t>
    </r>
    <r>
      <rPr>
        <sz val="10"/>
        <color rgb="FF000000"/>
        <rFont val="Noto Sans CJK SC"/>
        <family val="2"/>
      </rPr>
      <t xml:space="preserve">位）</t>
    </r>
  </si>
  <si>
    <t xml:space="preserve">券商（承銷、交易誘因）</t>
  </si>
  <si>
    <r>
      <rPr>
        <sz val="10"/>
        <color rgb="FF000000"/>
        <rFont val="Arial"/>
        <family val="0"/>
        <charset val="1"/>
      </rPr>
      <t xml:space="preserve">FY2027 </t>
    </r>
    <r>
      <rPr>
        <sz val="10"/>
        <color rgb="FF000000"/>
        <rFont val="Noto Sans CJK SC"/>
        <family val="2"/>
      </rPr>
      <t xml:space="preserve">營收 </t>
    </r>
    <r>
      <rPr>
        <sz val="10"/>
        <color rgb="FF000000"/>
        <rFont val="Arial"/>
        <family val="0"/>
        <charset val="1"/>
      </rPr>
      <t xml:space="preserve">18,013</t>
    </r>
    <r>
      <rPr>
        <sz val="10"/>
        <color rgb="FF000000"/>
        <rFont val="Noto Sans CJK SC"/>
        <family val="2"/>
      </rPr>
      <t xml:space="preserve">；淨利 </t>
    </r>
    <r>
      <rPr>
        <sz val="10"/>
        <color rgb="FF000000"/>
        <rFont val="Arial"/>
        <family val="0"/>
        <charset val="1"/>
      </rPr>
      <t xml:space="preserve">-4,072</t>
    </r>
  </si>
  <si>
    <t xml:space="preserve">SRC_ZP_584</t>
  </si>
  <si>
    <t xml:space="preserve">cons_rev_fy28</t>
  </si>
  <si>
    <r>
      <rPr>
        <sz val="10"/>
        <color rgb="FF000000"/>
        <rFont val="Noto Sans CJK SC"/>
        <family val="2"/>
      </rPr>
      <t xml:space="preserve">共識營收 </t>
    </r>
    <r>
      <rPr>
        <sz val="10"/>
        <color rgb="FF000000"/>
        <rFont val="Arial"/>
        <family val="0"/>
        <charset val="1"/>
      </rPr>
      <t xml:space="preserve">FY2028</t>
    </r>
  </si>
  <si>
    <t xml:space="preserve">FY2028</t>
  </si>
  <si>
    <r>
      <rPr>
        <sz val="10"/>
        <color rgb="FF000000"/>
        <rFont val="Arial"/>
        <family val="0"/>
        <charset val="1"/>
      </rPr>
      <t xml:space="preserve">Simply Wall St</t>
    </r>
    <r>
      <rPr>
        <sz val="10"/>
        <color rgb="FF000000"/>
        <rFont val="Noto Sans CJK SC"/>
        <family val="2"/>
      </rPr>
      <t xml:space="preserve">（共識，</t>
    </r>
    <r>
      <rPr>
        <sz val="10"/>
        <color rgb="FF000000"/>
        <rFont val="Arial"/>
        <family val="0"/>
        <charset val="1"/>
      </rPr>
      <t xml:space="preserve">21 </t>
    </r>
    <r>
      <rPr>
        <sz val="10"/>
        <color rgb="FF000000"/>
        <rFont val="Noto Sans CJK SC"/>
        <family val="2"/>
      </rPr>
      <t xml:space="preserve">位）</t>
    </r>
  </si>
  <si>
    <r>
      <rPr>
        <sz val="10"/>
        <color rgb="FF000000"/>
        <rFont val="Arial"/>
        <family val="0"/>
        <charset val="1"/>
      </rPr>
      <t xml:space="preserve">FY2028 </t>
    </r>
    <r>
      <rPr>
        <sz val="10"/>
        <color rgb="FF000000"/>
        <rFont val="Noto Sans CJK SC"/>
        <family val="2"/>
      </rPr>
      <t xml:space="preserve">營收 </t>
    </r>
    <r>
      <rPr>
        <sz val="10"/>
        <color rgb="FF000000"/>
        <rFont val="Arial"/>
        <family val="0"/>
        <charset val="1"/>
      </rPr>
      <t xml:space="preserve">37,900</t>
    </r>
    <r>
      <rPr>
        <sz val="10"/>
        <color rgb="FF000000"/>
        <rFont val="Noto Sans CJK SC"/>
        <family val="2"/>
      </rPr>
      <t xml:space="preserve">；淨利 </t>
    </r>
    <r>
      <rPr>
        <sz val="10"/>
        <color rgb="FF000000"/>
        <rFont val="Arial"/>
        <family val="0"/>
        <charset val="1"/>
      </rPr>
      <t xml:space="preserve">-882</t>
    </r>
  </si>
  <si>
    <t xml:space="preserve">SRC_ZP_585</t>
  </si>
  <si>
    <t xml:space="preserve">cons_ni_fy26</t>
  </si>
  <si>
    <r>
      <rPr>
        <sz val="10"/>
        <color rgb="FF000000"/>
        <rFont val="Noto Sans CJK SC"/>
        <family val="2"/>
      </rPr>
      <t xml:space="preserve">共識淨利 </t>
    </r>
    <r>
      <rPr>
        <sz val="10"/>
        <color rgb="FF000000"/>
        <rFont val="Arial"/>
        <family val="0"/>
        <charset val="1"/>
      </rPr>
      <t xml:space="preserve">FY2026</t>
    </r>
  </si>
  <si>
    <t xml:space="preserve">Simply Wall St</t>
  </si>
  <si>
    <r>
      <rPr>
        <sz val="10"/>
        <color rgb="FF000000"/>
        <rFont val="Arial"/>
        <family val="0"/>
        <charset val="1"/>
      </rPr>
      <t xml:space="preserve">FY2027 -4,072</t>
    </r>
    <r>
      <rPr>
        <sz val="10"/>
        <color rgb="FF000000"/>
        <rFont val="Noto Sans CJK SC"/>
        <family val="2"/>
      </rPr>
      <t xml:space="preserve">、</t>
    </r>
    <r>
      <rPr>
        <sz val="10"/>
        <color rgb="FF000000"/>
        <rFont val="Arial"/>
        <family val="0"/>
        <charset val="1"/>
      </rPr>
      <t xml:space="preserve">FY2028 -882</t>
    </r>
  </si>
  <si>
    <t xml:space="preserve">SRC_ZP_586</t>
  </si>
  <si>
    <t xml:space="preserve">cons_rev_fy26_b</t>
  </si>
  <si>
    <r>
      <rPr>
        <sz val="10"/>
        <color rgb="FF000000"/>
        <rFont val="Noto Sans CJK SC"/>
        <family val="2"/>
      </rPr>
      <t xml:space="preserve">共識營收 </t>
    </r>
    <r>
      <rPr>
        <sz val="10"/>
        <color rgb="FF000000"/>
        <rFont val="Arial"/>
        <family val="0"/>
        <charset val="1"/>
      </rPr>
      <t xml:space="preserve">FY2026</t>
    </r>
    <r>
      <rPr>
        <sz val="10"/>
        <color rgb="FF000000"/>
        <rFont val="Noto Sans CJK SC"/>
        <family val="2"/>
      </rPr>
      <t xml:space="preserve">（</t>
    </r>
    <r>
      <rPr>
        <sz val="10"/>
        <color rgb="FF000000"/>
        <rFont val="Arial"/>
        <family val="0"/>
        <charset val="1"/>
      </rPr>
      <t xml:space="preserve">2026-09 </t>
    </r>
    <r>
      <rPr>
        <sz val="10"/>
        <color rgb="FF000000"/>
        <rFont val="Noto Sans CJK SC"/>
        <family val="2"/>
      </rPr>
      <t xml:space="preserve">初）</t>
    </r>
  </si>
  <si>
    <r>
      <rPr>
        <sz val="10"/>
        <color rgb="FF000000"/>
        <rFont val="Arial"/>
        <family val="0"/>
        <charset val="1"/>
      </rPr>
      <t xml:space="preserve">RMB </t>
    </r>
    <r>
      <rPr>
        <sz val="10"/>
        <color rgb="FF000000"/>
        <rFont val="Noto Sans CJK SC"/>
        <family val="2"/>
      </rPr>
      <t xml:space="preserve">十億</t>
    </r>
  </si>
  <si>
    <r>
      <rPr>
        <sz val="10"/>
        <color rgb="FF000000"/>
        <rFont val="Arial"/>
        <family val="0"/>
        <charset val="1"/>
      </rPr>
      <t xml:space="preserve">Simply Wall St</t>
    </r>
    <r>
      <rPr>
        <sz val="10"/>
        <color rgb="FF000000"/>
        <rFont val="Noto Sans CJK SC"/>
        <family val="2"/>
      </rPr>
      <t xml:space="preserve">（</t>
    </r>
    <r>
      <rPr>
        <sz val="10"/>
        <color rgb="FF000000"/>
        <rFont val="Arial"/>
        <family val="0"/>
        <charset val="1"/>
      </rPr>
      <t xml:space="preserve">Webull </t>
    </r>
    <r>
      <rPr>
        <sz val="10"/>
        <color rgb="FF000000"/>
        <rFont val="Noto Sans CJK SC"/>
        <family val="2"/>
      </rPr>
      <t xml:space="preserve">轉載，</t>
    </r>
    <r>
      <rPr>
        <sz val="10"/>
        <color rgb="FF000000"/>
        <rFont val="Arial"/>
        <family val="0"/>
        <charset val="1"/>
      </rPr>
      <t xml:space="preserve">20 </t>
    </r>
    <r>
      <rPr>
        <sz val="10"/>
        <color rgb="FF000000"/>
        <rFont val="Noto Sans CJK SC"/>
        <family val="2"/>
      </rPr>
      <t xml:space="preserve">位）</t>
    </r>
  </si>
  <si>
    <t xml:space="preserve">https://www.webull.com/news/15528566565184512</t>
  </si>
  <si>
    <t xml:space="preserve">2026-09-06</t>
  </si>
  <si>
    <r>
      <rPr>
        <sz val="10"/>
        <color rgb="FF000000"/>
        <rFont val="Noto Sans CJK SC"/>
        <family val="2"/>
      </rPr>
      <t xml:space="preserve">「</t>
    </r>
    <r>
      <rPr>
        <sz val="10"/>
        <color rgb="FF000000"/>
        <rFont val="Arial"/>
        <family val="0"/>
        <charset val="1"/>
      </rPr>
      <t xml:space="preserve">CN¥6.1b</t>
    </r>
    <r>
      <rPr>
        <sz val="10"/>
        <color rgb="FF000000"/>
        <rFont val="Noto Sans CJK SC"/>
        <family val="2"/>
      </rPr>
      <t xml:space="preserve">」，前值 </t>
    </r>
    <r>
      <rPr>
        <sz val="10"/>
        <color rgb="FF000000"/>
        <rFont val="Arial"/>
        <family val="0"/>
        <charset val="1"/>
      </rPr>
      <t xml:space="preserve">CN¥4.0b</t>
    </r>
  </si>
  <si>
    <t xml:space="preserve">SRC_ZP_587</t>
  </si>
  <si>
    <t xml:space="preserve">cons_tp_avg</t>
  </si>
  <si>
    <t xml:space="preserve">共識平均目標價</t>
  </si>
  <si>
    <r>
      <rPr>
        <sz val="10"/>
        <color rgb="FF000000"/>
        <rFont val="Arial"/>
        <family val="0"/>
        <charset val="1"/>
      </rPr>
      <t xml:space="preserve">Investing.com</t>
    </r>
    <r>
      <rPr>
        <sz val="10"/>
        <color rgb="FF000000"/>
        <rFont val="Noto Sans CJK SC"/>
        <family val="2"/>
      </rPr>
      <t xml:space="preserve">（</t>
    </r>
    <r>
      <rPr>
        <sz val="10"/>
        <color rgb="FF000000"/>
        <rFont val="Arial"/>
        <family val="0"/>
        <charset val="1"/>
      </rPr>
      <t xml:space="preserve">24 </t>
    </r>
    <r>
      <rPr>
        <sz val="10"/>
        <color rgb="FF000000"/>
        <rFont val="Noto Sans CJK SC"/>
        <family val="2"/>
      </rPr>
      <t xml:space="preserve">位：</t>
    </r>
    <r>
      <rPr>
        <sz val="10"/>
        <color rgb="FF000000"/>
        <rFont val="Arial"/>
        <family val="0"/>
        <charset val="1"/>
      </rPr>
      <t xml:space="preserve">19 </t>
    </r>
    <r>
      <rPr>
        <sz val="10"/>
        <color rgb="FF000000"/>
        <rFont val="Noto Sans CJK SC"/>
        <family val="2"/>
      </rPr>
      <t xml:space="preserve">買入、</t>
    </r>
    <r>
      <rPr>
        <sz val="10"/>
        <color rgb="FF000000"/>
        <rFont val="Arial"/>
        <family val="0"/>
        <charset val="1"/>
      </rPr>
      <t xml:space="preserve">4 </t>
    </r>
    <r>
      <rPr>
        <sz val="10"/>
        <color rgb="FF000000"/>
        <rFont val="Noto Sans CJK SC"/>
        <family val="2"/>
      </rPr>
      <t xml:space="preserve">持有、</t>
    </r>
    <r>
      <rPr>
        <sz val="10"/>
        <color rgb="FF000000"/>
        <rFont val="Arial"/>
        <family val="0"/>
        <charset val="1"/>
      </rPr>
      <t xml:space="preserve">1 </t>
    </r>
    <r>
      <rPr>
        <sz val="10"/>
        <color rgb="FF000000"/>
        <rFont val="Noto Sans CJK SC"/>
        <family val="2"/>
      </rPr>
      <t xml:space="preserve">賣出）</t>
    </r>
  </si>
  <si>
    <r>
      <rPr>
        <sz val="10"/>
        <color rgb="FF000000"/>
        <rFont val="Noto Sans CJK SC"/>
        <family val="2"/>
      </rPr>
      <t xml:space="preserve">平均 </t>
    </r>
    <r>
      <rPr>
        <sz val="10"/>
        <color rgb="FF000000"/>
        <rFont val="Arial"/>
        <family val="0"/>
        <charset val="1"/>
      </rPr>
      <t xml:space="preserve">12 </t>
    </r>
    <r>
      <rPr>
        <sz val="10"/>
        <color rgb="FF000000"/>
        <rFont val="Noto Sans CJK SC"/>
        <family val="2"/>
      </rPr>
      <t xml:space="preserve">個月目標價 </t>
    </r>
    <r>
      <rPr>
        <sz val="10"/>
        <color rgb="FF000000"/>
        <rFont val="Arial"/>
        <family val="0"/>
        <charset val="1"/>
      </rPr>
      <t xml:space="preserve">1,567.30 </t>
    </r>
    <r>
      <rPr>
        <sz val="10"/>
        <color rgb="FF000000"/>
        <rFont val="Noto Sans CJK SC"/>
        <family val="2"/>
      </rPr>
      <t xml:space="preserve">港元，評級共識「買入」</t>
    </r>
  </si>
  <si>
    <t xml:space="preserve">SRC_ZP_588</t>
  </si>
  <si>
    <t xml:space="preserve">cons_tp_avg_b</t>
  </si>
  <si>
    <r>
      <rPr>
        <sz val="10"/>
        <color rgb="FF000000"/>
        <rFont val="Noto Sans CJK SC"/>
        <family val="2"/>
      </rPr>
      <t xml:space="preserve">共識目標價（</t>
    </r>
    <r>
      <rPr>
        <sz val="10"/>
        <color rgb="FF000000"/>
        <rFont val="Arial"/>
        <family val="0"/>
        <charset val="1"/>
      </rPr>
      <t xml:space="preserve">Simply Wall St</t>
    </r>
    <r>
      <rPr>
        <sz val="10"/>
        <color rgb="FF000000"/>
        <rFont val="Noto Sans CJK SC"/>
        <family val="2"/>
      </rPr>
      <t xml:space="preserve">，以 </t>
    </r>
    <r>
      <rPr>
        <sz val="10"/>
        <color rgb="FF000000"/>
        <rFont val="Arial"/>
        <family val="0"/>
        <charset val="1"/>
      </rPr>
      <t xml:space="preserve">CN¥ </t>
    </r>
    <r>
      <rPr>
        <sz val="10"/>
        <color rgb="FF000000"/>
        <rFont val="Noto Sans CJK SC"/>
        <family val="2"/>
      </rPr>
      <t xml:space="preserve">標示）</t>
    </r>
  </si>
  <si>
    <r>
      <rPr>
        <sz val="10"/>
        <color rgb="FF000000"/>
        <rFont val="Arial"/>
        <family val="0"/>
        <charset val="1"/>
      </rPr>
      <t xml:space="preserve">CNY</t>
    </r>
    <r>
      <rPr>
        <sz val="10"/>
        <color rgb="FF000000"/>
        <rFont val="Noto Sans CJK SC"/>
        <family val="2"/>
      </rPr>
      <t xml:space="preserve">／股（頁面標示）</t>
    </r>
  </si>
  <si>
    <r>
      <rPr>
        <sz val="10"/>
        <color rgb="FF000000"/>
        <rFont val="Arial"/>
        <family val="0"/>
        <charset val="1"/>
      </rPr>
      <t xml:space="preserve">Simply Wall St</t>
    </r>
    <r>
      <rPr>
        <sz val="10"/>
        <color rgb="FF000000"/>
        <rFont val="Noto Sans CJK SC"/>
        <family val="2"/>
      </rPr>
      <t xml:space="preserve">（</t>
    </r>
    <r>
      <rPr>
        <sz val="10"/>
        <color rgb="FF000000"/>
        <rFont val="Arial"/>
        <family val="0"/>
        <charset val="1"/>
      </rPr>
      <t xml:space="preserve">Webull </t>
    </r>
    <r>
      <rPr>
        <sz val="10"/>
        <color rgb="FF000000"/>
        <rFont val="Noto Sans CJK SC"/>
        <family val="2"/>
      </rPr>
      <t xml:space="preserve">轉載）</t>
    </r>
  </si>
  <si>
    <t xml:space="preserve">券商</t>
  </si>
  <si>
    <r>
      <rPr>
        <sz val="10"/>
        <color rgb="FF000000"/>
        <rFont val="Noto Sans CJK SC"/>
        <family val="2"/>
      </rPr>
      <t xml:space="preserve">頁面以「</t>
    </r>
    <r>
      <rPr>
        <sz val="10"/>
        <color rgb="FF000000"/>
        <rFont val="Arial"/>
        <family val="0"/>
        <charset val="1"/>
      </rPr>
      <t xml:space="preserve">CN¥1,427</t>
    </r>
    <r>
      <rPr>
        <sz val="10"/>
        <color rgb="FF000000"/>
        <rFont val="Noto Sans CJK SC"/>
        <family val="2"/>
      </rPr>
      <t xml:space="preserve">」標示（區間 </t>
    </r>
    <r>
      <rPr>
        <sz val="10"/>
        <color rgb="FF000000"/>
        <rFont val="Arial"/>
        <family val="0"/>
        <charset val="1"/>
      </rPr>
      <t xml:space="preserve">549–1,928</t>
    </r>
    <r>
      <rPr>
        <sz val="10"/>
        <color rgb="FF000000"/>
        <rFont val="Noto Sans CJK SC"/>
        <family val="2"/>
      </rPr>
      <t xml:space="preserve">）；幣別疑為平台換算，與 </t>
    </r>
    <r>
      <rPr>
        <sz val="10"/>
        <color rgb="FF000000"/>
        <rFont val="Arial"/>
        <family val="0"/>
        <charset val="1"/>
      </rPr>
      <t xml:space="preserve">Investing </t>
    </r>
    <r>
      <rPr>
        <sz val="10"/>
        <color rgb="FF000000"/>
        <rFont val="Noto Sans CJK SC"/>
        <family val="2"/>
      </rPr>
      <t xml:space="preserve">港幣口徑不可直比</t>
    </r>
  </si>
  <si>
    <t xml:space="preserve">SRC_ZP_589</t>
  </si>
  <si>
    <t xml:space="preserve">broker_gs_tp</t>
  </si>
  <si>
    <t xml:space="preserve">高盛目標價（中性→買入）</t>
  </si>
  <si>
    <t xml:space="preserve">2026-10-05</t>
  </si>
  <si>
    <t xml:space="preserve">財聯社（東方財富轉載）</t>
  </si>
  <si>
    <t xml:space="preserve">https://finance.eastmoney.com/a/202610053888577065.html</t>
  </si>
  <si>
    <t xml:space="preserve">高盛（交易誘因）</t>
  </si>
  <si>
    <r>
      <rPr>
        <sz val="10"/>
        <color rgb="FF000000"/>
        <rFont val="Noto Sans CJK SC"/>
        <family val="2"/>
      </rPr>
      <t xml:space="preserve">「從中性上調至買入 目標價為</t>
    </r>
    <r>
      <rPr>
        <sz val="10"/>
        <color rgb="FF000000"/>
        <rFont val="Arial"/>
        <family val="0"/>
        <charset val="1"/>
      </rPr>
      <t xml:space="preserve">1560</t>
    </r>
    <r>
      <rPr>
        <sz val="10"/>
        <color rgb="FF000000"/>
        <rFont val="Noto Sans CJK SC"/>
        <family val="2"/>
      </rPr>
      <t xml:space="preserve">港元」；上漲空間 </t>
    </r>
    <r>
      <rPr>
        <sz val="10"/>
        <color rgb="FF000000"/>
        <rFont val="Arial"/>
        <family val="0"/>
        <charset val="1"/>
      </rPr>
      <t xml:space="preserve">149%</t>
    </r>
  </si>
  <si>
    <t xml:space="preserve">SRC_ZP_590</t>
  </si>
  <si>
    <t xml:space="preserve">broker_cmsi_tp</t>
  </si>
  <si>
    <t xml:space="preserve">招商證券國際目標價（增持）</t>
  </si>
  <si>
    <t xml:space="preserve">2026-09-02</t>
  </si>
  <si>
    <r>
      <rPr>
        <sz val="10"/>
        <color rgb="FF000000"/>
        <rFont val="Noto Sans CJK SC"/>
        <family val="2"/>
      </rPr>
      <t xml:space="preserve">同花順（轉財聞，</t>
    </r>
    <r>
      <rPr>
        <sz val="10"/>
        <color rgb="FF000000"/>
        <rFont val="Arial"/>
        <family val="0"/>
        <charset val="1"/>
      </rPr>
      <t xml:space="preserve">AI </t>
    </r>
    <r>
      <rPr>
        <sz val="10"/>
        <color rgb="FF000000"/>
        <rFont val="Noto Sans CJK SC"/>
        <family val="2"/>
      </rPr>
      <t xml:space="preserve">生成稿）</t>
    </r>
  </si>
  <si>
    <t xml:space="preserve">https://stock.10jqka.com.cn/20260902/c679525880.shtml</t>
  </si>
  <si>
    <t xml:space="preserve">招商證券國際（交易誘因）</t>
  </si>
  <si>
    <r>
      <rPr>
        <sz val="10"/>
        <color rgb="FF000000"/>
        <rFont val="Noto Sans CJK SC"/>
        <family val="2"/>
      </rPr>
      <t xml:space="preserve">由 </t>
    </r>
    <r>
      <rPr>
        <sz val="10"/>
        <color rgb="FF000000"/>
        <rFont val="Arial"/>
        <family val="0"/>
        <charset val="1"/>
      </rPr>
      <t xml:space="preserve">1,282 </t>
    </r>
    <r>
      <rPr>
        <sz val="10"/>
        <color rgb="FF000000"/>
        <rFont val="Noto Sans CJK SC"/>
        <family val="2"/>
      </rPr>
      <t xml:space="preserve">升至 </t>
    </r>
    <r>
      <rPr>
        <sz val="10"/>
        <color rgb="FF000000"/>
        <rFont val="Arial"/>
        <family val="0"/>
        <charset val="1"/>
      </rPr>
      <t xml:space="preserve">1,600</t>
    </r>
    <r>
      <rPr>
        <sz val="10"/>
        <color rgb="FF000000"/>
        <rFont val="Noto Sans CJK SC"/>
        <family val="2"/>
      </rPr>
      <t xml:space="preserve">；稱最快 </t>
    </r>
    <r>
      <rPr>
        <sz val="10"/>
        <color rgb="FF000000"/>
        <rFont val="Arial"/>
        <family val="0"/>
        <charset val="1"/>
      </rPr>
      <t xml:space="preserve">2028 </t>
    </r>
    <r>
      <rPr>
        <sz val="10"/>
        <color rgb="FF000000"/>
        <rFont val="Noto Sans CJK SC"/>
        <family val="2"/>
      </rPr>
      <t xml:space="preserve">年盈虧平衡</t>
    </r>
  </si>
  <si>
    <t xml:space="preserve">SRC_ZP_591</t>
  </si>
  <si>
    <t xml:space="preserve">broker_guosen_rev</t>
  </si>
  <si>
    <r>
      <rPr>
        <sz val="10"/>
        <color rgb="FF000000"/>
        <rFont val="Noto Sans CJK SC"/>
        <family val="2"/>
      </rPr>
      <t xml:space="preserve">國信證券營收預測 </t>
    </r>
    <r>
      <rPr>
        <sz val="10"/>
        <color rgb="FF000000"/>
        <rFont val="Arial"/>
        <family val="0"/>
        <charset val="1"/>
      </rPr>
      <t xml:space="preserve">FY2026</t>
    </r>
    <r>
      <rPr>
        <sz val="10"/>
        <color rgb="FF000000"/>
        <rFont val="Noto Sans CJK SC"/>
        <family val="2"/>
      </rPr>
      <t xml:space="preserve">／</t>
    </r>
    <r>
      <rPr>
        <sz val="10"/>
        <color rgb="FF000000"/>
        <rFont val="Arial"/>
        <family val="0"/>
        <charset val="1"/>
      </rPr>
      <t xml:space="preserve">27</t>
    </r>
    <r>
      <rPr>
        <sz val="10"/>
        <color rgb="FF000000"/>
        <rFont val="Noto Sans CJK SC"/>
        <family val="2"/>
      </rPr>
      <t xml:space="preserve">／</t>
    </r>
    <r>
      <rPr>
        <sz val="10"/>
        <color rgb="FF000000"/>
        <rFont val="Arial"/>
        <family val="0"/>
        <charset val="1"/>
      </rPr>
      <t xml:space="preserve">28</t>
    </r>
  </si>
  <si>
    <r>
      <rPr>
        <sz val="10"/>
        <color rgb="FF000000"/>
        <rFont val="Arial"/>
        <family val="0"/>
        <charset val="1"/>
      </rPr>
      <t xml:space="preserve">RMB </t>
    </r>
    <r>
      <rPr>
        <sz val="10"/>
        <color rgb="FF000000"/>
        <rFont val="Noto Sans CJK SC"/>
        <family val="2"/>
      </rPr>
      <t xml:space="preserve">億（</t>
    </r>
    <r>
      <rPr>
        <sz val="10"/>
        <color rgb="FF000000"/>
        <rFont val="Arial"/>
        <family val="0"/>
        <charset val="1"/>
      </rPr>
      <t xml:space="preserve">FY2026</t>
    </r>
    <r>
      <rPr>
        <sz val="10"/>
        <color rgb="FF000000"/>
        <rFont val="Noto Sans CJK SC"/>
        <family val="2"/>
      </rPr>
      <t xml:space="preserve">）</t>
    </r>
  </si>
  <si>
    <t xml:space="preserve">FY2026–FY2028</t>
  </si>
  <si>
    <r>
      <rPr>
        <sz val="10"/>
        <color rgb="FF000000"/>
        <rFont val="Noto Sans CJK SC"/>
        <family val="2"/>
      </rPr>
      <t xml:space="preserve">格隆匯（國信證券 </t>
    </r>
    <r>
      <rPr>
        <sz val="10"/>
        <color rgb="FF000000"/>
        <rFont val="Arial"/>
        <family val="0"/>
        <charset val="1"/>
      </rPr>
      <t xml:space="preserve">26H1 </t>
    </r>
    <r>
      <rPr>
        <sz val="10"/>
        <color rgb="FF000000"/>
        <rFont val="Noto Sans CJK SC"/>
        <family val="2"/>
      </rPr>
      <t xml:space="preserve">點評）</t>
    </r>
  </si>
  <si>
    <t xml:space="preserve">國信證券（交易誘因）</t>
  </si>
  <si>
    <r>
      <rPr>
        <sz val="10"/>
        <color rgb="FF000000"/>
        <rFont val="Noto Sans CJK SC"/>
        <family val="2"/>
      </rPr>
      <t xml:space="preserve">營收 </t>
    </r>
    <r>
      <rPr>
        <sz val="10"/>
        <color rgb="FF000000"/>
        <rFont val="Arial"/>
        <family val="0"/>
        <charset val="1"/>
      </rPr>
      <t xml:space="preserve">62</t>
    </r>
    <r>
      <rPr>
        <sz val="10"/>
        <color rgb="FF000000"/>
        <rFont val="Noto Sans CJK SC"/>
        <family val="2"/>
      </rPr>
      <t xml:space="preserve">／</t>
    </r>
    <r>
      <rPr>
        <sz val="10"/>
        <color rgb="FF000000"/>
        <rFont val="Arial"/>
        <family val="0"/>
        <charset val="1"/>
      </rPr>
      <t xml:space="preserve">155</t>
    </r>
    <r>
      <rPr>
        <sz val="10"/>
        <color rgb="FF000000"/>
        <rFont val="Noto Sans CJK SC"/>
        <family val="2"/>
      </rPr>
      <t xml:space="preserve">／</t>
    </r>
    <r>
      <rPr>
        <sz val="10"/>
        <color rgb="FF000000"/>
        <rFont val="Arial"/>
        <family val="0"/>
        <charset val="1"/>
      </rPr>
      <t xml:space="preserve">344 </t>
    </r>
    <r>
      <rPr>
        <sz val="10"/>
        <color rgb="FF000000"/>
        <rFont val="Noto Sans CJK SC"/>
        <family val="2"/>
      </rPr>
      <t xml:space="preserve">億元；歸母淨利 </t>
    </r>
    <r>
      <rPr>
        <sz val="10"/>
        <color rgb="FF000000"/>
        <rFont val="Arial"/>
        <family val="0"/>
        <charset val="1"/>
      </rPr>
      <t xml:space="preserve">-36</t>
    </r>
    <r>
      <rPr>
        <sz val="10"/>
        <color rgb="FF000000"/>
        <rFont val="Noto Sans CJK SC"/>
        <family val="2"/>
      </rPr>
      <t xml:space="preserve">／</t>
    </r>
    <r>
      <rPr>
        <sz val="10"/>
        <color rgb="FF000000"/>
        <rFont val="Arial"/>
        <family val="0"/>
        <charset val="1"/>
      </rPr>
      <t xml:space="preserve">-30</t>
    </r>
    <r>
      <rPr>
        <sz val="10"/>
        <color rgb="FF000000"/>
        <rFont val="Noto Sans CJK SC"/>
        <family val="2"/>
      </rPr>
      <t xml:space="preserve">／</t>
    </r>
    <r>
      <rPr>
        <sz val="10"/>
        <color rgb="FF000000"/>
        <rFont val="Arial"/>
        <family val="0"/>
        <charset val="1"/>
      </rPr>
      <t xml:space="preserve">5 </t>
    </r>
    <r>
      <rPr>
        <sz val="10"/>
        <color rgb="FF000000"/>
        <rFont val="Noto Sans CJK SC"/>
        <family val="2"/>
      </rPr>
      <t xml:space="preserve">億元；優於大市；</t>
    </r>
    <r>
      <rPr>
        <sz val="10"/>
        <color rgb="FF000000"/>
        <rFont val="Arial"/>
        <family val="0"/>
        <charset val="1"/>
      </rPr>
      <t xml:space="preserve">2026 PS </t>
    </r>
    <r>
      <rPr>
        <sz val="10"/>
        <color rgb="FF000000"/>
        <rFont val="Noto Sans CJK SC"/>
        <family val="2"/>
      </rPr>
      <t xml:space="preserve">約 </t>
    </r>
    <r>
      <rPr>
        <sz val="10"/>
        <color rgb="FF000000"/>
        <rFont val="Arial"/>
        <family val="0"/>
        <charset val="1"/>
      </rPr>
      <t xml:space="preserve">82 </t>
    </r>
    <r>
      <rPr>
        <sz val="10"/>
        <color rgb="FF000000"/>
        <rFont val="Noto Sans CJK SC"/>
        <family val="2"/>
      </rPr>
      <t xml:space="preserve">倍</t>
    </r>
  </si>
  <si>
    <t xml:space="preserve">SRC_ZP_592</t>
  </si>
  <si>
    <t xml:space="preserve">broker_guozheng_rev</t>
  </si>
  <si>
    <r>
      <rPr>
        <sz val="10"/>
        <color rgb="FF000000"/>
        <rFont val="Noto Sans CJK SC"/>
        <family val="2"/>
      </rPr>
      <t xml:space="preserve">國證國際營收預測 </t>
    </r>
    <r>
      <rPr>
        <sz val="10"/>
        <color rgb="FF000000"/>
        <rFont val="Arial"/>
        <family val="0"/>
        <charset val="1"/>
      </rPr>
      <t xml:space="preserve">FY2026</t>
    </r>
    <r>
      <rPr>
        <sz val="10"/>
        <color rgb="FF000000"/>
        <rFont val="Noto Sans CJK SC"/>
        <family val="2"/>
      </rPr>
      <t xml:space="preserve">／</t>
    </r>
    <r>
      <rPr>
        <sz val="10"/>
        <color rgb="FF000000"/>
        <rFont val="Arial"/>
        <family val="0"/>
        <charset val="1"/>
      </rPr>
      <t xml:space="preserve">27</t>
    </r>
    <r>
      <rPr>
        <sz val="10"/>
        <color rgb="FF000000"/>
        <rFont val="Noto Sans CJK SC"/>
        <family val="2"/>
      </rPr>
      <t xml:space="preserve">／</t>
    </r>
    <r>
      <rPr>
        <sz val="10"/>
        <color rgb="FF000000"/>
        <rFont val="Arial"/>
        <family val="0"/>
        <charset val="1"/>
      </rPr>
      <t xml:space="preserve">28</t>
    </r>
  </si>
  <si>
    <t xml:space="preserve">格隆匯（國證國際首次覆蓋）</t>
  </si>
  <si>
    <t xml:space="preserve">https://m.gelonghui.com/news/5270015</t>
  </si>
  <si>
    <t xml:space="preserve">2026-07-15</t>
  </si>
  <si>
    <t xml:space="preserve">國證國際（交易誘因）</t>
  </si>
  <si>
    <r>
      <rPr>
        <sz val="10"/>
        <color rgb="FF000000"/>
        <rFont val="Arial"/>
        <family val="0"/>
        <charset val="1"/>
      </rPr>
      <t xml:space="preserve">42</t>
    </r>
    <r>
      <rPr>
        <sz val="10"/>
        <color rgb="FF000000"/>
        <rFont val="Noto Sans CJK SC"/>
        <family val="2"/>
      </rPr>
      <t xml:space="preserve">／</t>
    </r>
    <r>
      <rPr>
        <sz val="10"/>
        <color rgb="FF000000"/>
        <rFont val="Arial"/>
        <family val="0"/>
        <charset val="1"/>
      </rPr>
      <t xml:space="preserve">114</t>
    </r>
    <r>
      <rPr>
        <sz val="10"/>
        <color rgb="FF000000"/>
        <rFont val="Noto Sans CJK SC"/>
        <family val="2"/>
      </rPr>
      <t xml:space="preserve">／</t>
    </r>
    <r>
      <rPr>
        <sz val="10"/>
        <color rgb="FF000000"/>
        <rFont val="Arial"/>
        <family val="0"/>
        <charset val="1"/>
      </rPr>
      <t xml:space="preserve">251 </t>
    </r>
    <r>
      <rPr>
        <sz val="10"/>
        <color rgb="FF000000"/>
        <rFont val="Noto Sans CJK SC"/>
        <family val="2"/>
      </rPr>
      <t xml:space="preserve">億元；經調整淨虧 </t>
    </r>
    <r>
      <rPr>
        <sz val="10"/>
        <color rgb="FF000000"/>
        <rFont val="Arial"/>
        <family val="0"/>
        <charset val="1"/>
      </rPr>
      <t xml:space="preserve">37</t>
    </r>
    <r>
      <rPr>
        <sz val="10"/>
        <color rgb="FF000000"/>
        <rFont val="Noto Sans CJK SC"/>
        <family val="2"/>
      </rPr>
      <t xml:space="preserve">／</t>
    </r>
    <r>
      <rPr>
        <sz val="10"/>
        <color rgb="FF000000"/>
        <rFont val="Arial"/>
        <family val="0"/>
        <charset val="1"/>
      </rPr>
      <t xml:space="preserve">29</t>
    </r>
    <r>
      <rPr>
        <sz val="10"/>
        <color rgb="FF000000"/>
        <rFont val="Noto Sans CJK SC"/>
        <family val="2"/>
      </rPr>
      <t xml:space="preserve">／</t>
    </r>
    <r>
      <rPr>
        <sz val="10"/>
        <color rgb="FF000000"/>
        <rFont val="Arial"/>
        <family val="0"/>
        <charset val="1"/>
      </rPr>
      <t xml:space="preserve">2 </t>
    </r>
    <r>
      <rPr>
        <sz val="10"/>
        <color rgb="FF000000"/>
        <rFont val="Noto Sans CJK SC"/>
        <family val="2"/>
      </rPr>
      <t xml:space="preserve">億；目標價 </t>
    </r>
    <r>
      <rPr>
        <sz val="10"/>
        <color rgb="FF000000"/>
        <rFont val="Arial"/>
        <family val="0"/>
        <charset val="1"/>
      </rPr>
      <t xml:space="preserve">2,043 </t>
    </r>
    <r>
      <rPr>
        <sz val="10"/>
        <color rgb="FF000000"/>
        <rFont val="Noto Sans CJK SC"/>
        <family val="2"/>
      </rPr>
      <t xml:space="preserve">港元；</t>
    </r>
    <r>
      <rPr>
        <sz val="10"/>
        <color rgb="FF000000"/>
        <rFont val="Arial"/>
        <family val="0"/>
        <charset val="1"/>
      </rPr>
      <t xml:space="preserve">SOTP</t>
    </r>
    <r>
      <rPr>
        <sz val="10"/>
        <color rgb="FF000000"/>
        <rFont val="Noto Sans CJK SC"/>
        <family val="2"/>
      </rPr>
      <t xml:space="preserve">（</t>
    </r>
    <r>
      <rPr>
        <sz val="10"/>
        <color rgb="FF000000"/>
        <rFont val="Arial"/>
        <family val="0"/>
        <charset val="1"/>
      </rPr>
      <t xml:space="preserve">API 2027 </t>
    </r>
    <r>
      <rPr>
        <sz val="10"/>
        <color rgb="FF000000"/>
        <rFont val="Noto Sans CJK SC"/>
        <family val="2"/>
      </rPr>
      <t xml:space="preserve">年 </t>
    </r>
    <r>
      <rPr>
        <sz val="10"/>
        <color rgb="FF000000"/>
        <rFont val="Arial"/>
        <family val="0"/>
        <charset val="1"/>
      </rPr>
      <t xml:space="preserve">80 </t>
    </r>
    <r>
      <rPr>
        <sz val="10"/>
        <color rgb="FF000000"/>
        <rFont val="Noto Sans CJK SC"/>
        <family val="2"/>
      </rPr>
      <t xml:space="preserve">倍 </t>
    </r>
    <r>
      <rPr>
        <sz val="10"/>
        <color rgb="FF000000"/>
        <rFont val="Arial"/>
        <family val="0"/>
        <charset val="1"/>
      </rPr>
      <t xml:space="preserve">PS</t>
    </r>
    <r>
      <rPr>
        <sz val="10"/>
        <color rgb="FF000000"/>
        <rFont val="Noto Sans CJK SC"/>
        <family val="2"/>
      </rPr>
      <t xml:space="preserve">）</t>
    </r>
  </si>
  <si>
    <t xml:space="preserve">SRC_ZP_593</t>
  </si>
  <si>
    <t xml:space="preserve">broker_daiwa_tp</t>
  </si>
  <si>
    <t xml:space="preserve">大和目標價（首次買入）</t>
  </si>
  <si>
    <t xml:space="preserve">2026-08-12</t>
  </si>
  <si>
    <t xml:space="preserve">同花順</t>
  </si>
  <si>
    <t xml:space="preserve">https://stock.10jqka.com.cn/20260812/c678896247.shtml</t>
  </si>
  <si>
    <t xml:space="preserve">大和（交易誘因）</t>
  </si>
  <si>
    <r>
      <rPr>
        <sz val="10"/>
        <color rgb="FF000000"/>
        <rFont val="Noto Sans CJK SC"/>
        <family val="2"/>
      </rPr>
      <t xml:space="preserve">營收由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7.24 </t>
    </r>
    <r>
      <rPr>
        <sz val="10"/>
        <color rgb="FF000000"/>
        <rFont val="Noto Sans CJK SC"/>
        <family val="2"/>
      </rPr>
      <t xml:space="preserve">億升至 </t>
    </r>
    <r>
      <rPr>
        <sz val="10"/>
        <color rgb="FF000000"/>
        <rFont val="Arial"/>
        <family val="0"/>
        <charset val="1"/>
      </rPr>
      <t xml:space="preserve">2029 </t>
    </r>
    <r>
      <rPr>
        <sz val="10"/>
        <color rgb="FF000000"/>
        <rFont val="Noto Sans CJK SC"/>
        <family val="2"/>
      </rPr>
      <t xml:space="preserve">年 </t>
    </r>
    <r>
      <rPr>
        <sz val="10"/>
        <color rgb="FF000000"/>
        <rFont val="Arial"/>
        <family val="0"/>
        <charset val="1"/>
      </rPr>
      <t xml:space="preserve">475 </t>
    </r>
    <r>
      <rPr>
        <sz val="10"/>
        <color rgb="FF000000"/>
        <rFont val="Noto Sans CJK SC"/>
        <family val="2"/>
      </rPr>
      <t xml:space="preserve">億元人民幣（</t>
    </r>
    <r>
      <rPr>
        <sz val="10"/>
        <color rgb="FF000000"/>
        <rFont val="Arial"/>
        <family val="0"/>
        <charset val="1"/>
      </rPr>
      <t xml:space="preserve">CAGR 185%</t>
    </r>
    <r>
      <rPr>
        <sz val="10"/>
        <color rgb="FF000000"/>
        <rFont val="Noto Sans CJK SC"/>
        <family val="2"/>
      </rPr>
      <t xml:space="preserve">）</t>
    </r>
  </si>
  <si>
    <t xml:space="preserve">SRC_ZP_594</t>
  </si>
  <si>
    <t xml:space="preserve">broker_jpm_tp</t>
  </si>
  <si>
    <t xml:space="preserve">摩根大通目標價（增持）</t>
  </si>
  <si>
    <t xml:space="preserve">格隆匯</t>
  </si>
  <si>
    <t xml:space="preserve">https://m.gelonghui.com/news/5264523</t>
  </si>
  <si>
    <t xml:space="preserve">摩根大通（交易誘因）</t>
  </si>
  <si>
    <r>
      <rPr>
        <sz val="10"/>
        <color rgb="FF000000"/>
        <rFont val="Noto Sans CJK SC"/>
        <family val="2"/>
      </rPr>
      <t xml:space="preserve">由 </t>
    </r>
    <r>
      <rPr>
        <sz val="10"/>
        <color rgb="FF000000"/>
        <rFont val="Arial"/>
        <family val="0"/>
        <charset val="1"/>
      </rPr>
      <t xml:space="preserve">1,800 </t>
    </r>
    <r>
      <rPr>
        <sz val="10"/>
        <color rgb="FF000000"/>
        <rFont val="Noto Sans CJK SC"/>
        <family val="2"/>
      </rPr>
      <t xml:space="preserve">升至 </t>
    </r>
    <r>
      <rPr>
        <sz val="10"/>
        <color rgb="FF000000"/>
        <rFont val="Arial"/>
        <family val="0"/>
        <charset val="1"/>
      </rPr>
      <t xml:space="preserve">2,000</t>
    </r>
    <r>
      <rPr>
        <sz val="10"/>
        <color rgb="FF000000"/>
        <rFont val="Noto Sans CJK SC"/>
        <family val="2"/>
      </rPr>
      <t xml:space="preserve">；文中年份由上下文推定 </t>
    </r>
    <r>
      <rPr>
        <sz val="10"/>
        <color rgb="FF000000"/>
        <rFont val="Arial"/>
        <family val="0"/>
        <charset val="1"/>
      </rPr>
      <t xml:space="preserve">2026</t>
    </r>
  </si>
  <si>
    <t xml:space="preserve">SRC_ZP_595</t>
  </si>
  <si>
    <t xml:space="preserve">peer_mmx_price_20261007</t>
  </si>
  <si>
    <r>
      <rPr>
        <sz val="10"/>
        <color rgb="FF000000"/>
        <rFont val="Arial"/>
        <family val="0"/>
        <charset val="1"/>
      </rPr>
      <t xml:space="preserve">MiniMax </t>
    </r>
    <r>
      <rPr>
        <sz val="10"/>
        <color rgb="FF000000"/>
        <rFont val="Noto Sans CJK SC"/>
        <family val="2"/>
      </rPr>
      <t xml:space="preserve">股價</t>
    </r>
  </si>
  <si>
    <t xml:space="preserve">2026-10-07 13:56</t>
  </si>
  <si>
    <t xml:space="preserve">https://www.itiger.com/hant/stock/00100/news</t>
  </si>
  <si>
    <t xml:space="preserve">市場數據（盤中，非收盤）</t>
  </si>
  <si>
    <r>
      <rPr>
        <sz val="10"/>
        <color rgb="FF000000"/>
        <rFont val="Arial"/>
        <family val="0"/>
        <charset val="1"/>
      </rPr>
      <t xml:space="preserve">52 </t>
    </r>
    <r>
      <rPr>
        <sz val="10"/>
        <color rgb="FF000000"/>
        <rFont val="Noto Sans CJK SC"/>
        <family val="2"/>
      </rPr>
      <t xml:space="preserve">週高 </t>
    </r>
    <r>
      <rPr>
        <sz val="10"/>
        <color rgb="FF000000"/>
        <rFont val="Arial"/>
        <family val="0"/>
        <charset val="1"/>
      </rPr>
      <t xml:space="preserve">1,330</t>
    </r>
    <r>
      <rPr>
        <sz val="10"/>
        <color rgb="FF000000"/>
        <rFont val="Noto Sans CJK SC"/>
        <family val="2"/>
      </rPr>
      <t xml:space="preserve">、低 </t>
    </r>
    <r>
      <rPr>
        <sz val="10"/>
        <color rgb="FF000000"/>
        <rFont val="Arial"/>
        <family val="0"/>
        <charset val="1"/>
      </rPr>
      <t xml:space="preserve">186.20</t>
    </r>
  </si>
  <si>
    <t xml:space="preserve">SRC_ZP_596</t>
  </si>
  <si>
    <t xml:space="preserve">peer_mmx_mktcap</t>
  </si>
  <si>
    <r>
      <rPr>
        <sz val="10"/>
        <color rgb="FF000000"/>
        <rFont val="Arial"/>
        <family val="0"/>
        <charset val="1"/>
      </rPr>
      <t xml:space="preserve">MiniMax </t>
    </r>
    <r>
      <rPr>
        <sz val="10"/>
        <color rgb="FF000000"/>
        <rFont val="Noto Sans CJK SC"/>
        <family val="2"/>
      </rPr>
      <t xml:space="preserve">總市值</t>
    </r>
  </si>
  <si>
    <r>
      <rPr>
        <sz val="10"/>
        <color rgb="FF000000"/>
        <rFont val="Arial"/>
        <family val="0"/>
        <charset val="1"/>
      </rPr>
      <t xml:space="preserve">236×352,480,183</t>
    </r>
    <r>
      <rPr>
        <sz val="10"/>
        <color rgb="FF000000"/>
        <rFont val="Noto Sans CJK SC"/>
        <family val="2"/>
      </rPr>
      <t xml:space="preserve">（</t>
    </r>
    <r>
      <rPr>
        <sz val="10"/>
        <color rgb="FF000000"/>
        <rFont val="Arial"/>
        <family val="0"/>
        <charset val="1"/>
      </rPr>
      <t xml:space="preserve">A</t>
    </r>
    <r>
      <rPr>
        <sz val="10"/>
        <color rgb="FF000000"/>
        <rFont val="Noto Sans CJK SC"/>
        <family val="2"/>
      </rPr>
      <t xml:space="preserve">＋</t>
    </r>
    <r>
      <rPr>
        <sz val="10"/>
        <color rgb="FF000000"/>
        <rFont val="Arial"/>
        <family val="0"/>
        <charset val="1"/>
      </rPr>
      <t xml:space="preserve">B </t>
    </r>
    <r>
      <rPr>
        <sz val="10"/>
        <color rgb="FF000000"/>
        <rFont val="Noto Sans CJK SC"/>
        <family val="2"/>
      </rPr>
      <t xml:space="preserve">類）＝</t>
    </r>
    <r>
      <rPr>
        <sz val="10"/>
        <color rgb="FF000000"/>
        <rFont val="Arial"/>
        <family val="0"/>
        <charset val="1"/>
      </rPr>
      <t xml:space="preserve">831.9 </t>
    </r>
    <r>
      <rPr>
        <sz val="10"/>
        <color rgb="FF000000"/>
        <rFont val="Noto Sans CJK SC"/>
        <family val="2"/>
      </rPr>
      <t xml:space="preserve">億，</t>
    </r>
    <r>
      <rPr>
        <sz val="10"/>
        <color rgb="FF000000"/>
        <rFont val="Arial"/>
        <family val="0"/>
        <charset val="1"/>
      </rPr>
      <t xml:space="preserve">Derived </t>
    </r>
    <r>
      <rPr>
        <sz val="10"/>
        <color rgb="FF000000"/>
        <rFont val="Noto Sans CJK SC"/>
        <family val="2"/>
      </rPr>
      <t xml:space="preserve">勾稽相符</t>
    </r>
  </si>
  <si>
    <t xml:space="preserve">SRC_ZP_597</t>
  </si>
  <si>
    <t xml:space="preserve">peer_mmx_shares</t>
  </si>
  <si>
    <r>
      <rPr>
        <sz val="10"/>
        <color rgb="FF000000"/>
        <rFont val="Arial"/>
        <family val="0"/>
        <charset val="1"/>
      </rPr>
      <t xml:space="preserve">MiniMax </t>
    </r>
    <r>
      <rPr>
        <sz val="10"/>
        <color rgb="FF000000"/>
        <rFont val="Noto Sans CJK SC"/>
        <family val="2"/>
      </rPr>
      <t xml:space="preserve">已發行股份（</t>
    </r>
    <r>
      <rPr>
        <sz val="10"/>
        <color rgb="FF000000"/>
        <rFont val="Arial"/>
        <family val="0"/>
        <charset val="1"/>
      </rPr>
      <t xml:space="preserve">A </t>
    </r>
    <r>
      <rPr>
        <sz val="10"/>
        <color rgb="FF000000"/>
        <rFont val="Noto Sans CJK SC"/>
        <family val="2"/>
      </rPr>
      <t xml:space="preserve">類 </t>
    </r>
    <r>
      <rPr>
        <sz val="10"/>
        <color rgb="FF000000"/>
        <rFont val="Arial"/>
        <family val="0"/>
        <charset val="1"/>
      </rPr>
      <t xml:space="preserve">271,377,649</t>
    </r>
    <r>
      <rPr>
        <sz val="10"/>
        <color rgb="FF000000"/>
        <rFont val="Noto Sans CJK SC"/>
        <family val="2"/>
      </rPr>
      <t xml:space="preserve">＋</t>
    </r>
    <r>
      <rPr>
        <sz val="10"/>
        <color rgb="FF000000"/>
        <rFont val="Arial"/>
        <family val="0"/>
        <charset val="1"/>
      </rPr>
      <t xml:space="preserve">B </t>
    </r>
    <r>
      <rPr>
        <sz val="10"/>
        <color rgb="FF000000"/>
        <rFont val="Noto Sans CJK SC"/>
        <family val="2"/>
      </rPr>
      <t xml:space="preserve">類 </t>
    </r>
    <r>
      <rPr>
        <sz val="10"/>
        <color rgb="FF000000"/>
        <rFont val="Arial"/>
        <family val="0"/>
        <charset val="1"/>
      </rPr>
      <t xml:space="preserve">81,102,534</t>
    </r>
    <r>
      <rPr>
        <sz val="10"/>
        <color rgb="FF000000"/>
        <rFont val="Noto Sans CJK SC"/>
        <family val="2"/>
      </rPr>
      <t xml:space="preserve">）</t>
    </r>
  </si>
  <si>
    <t xml:space="preserve">2026-09-30</t>
  </si>
  <si>
    <r>
      <rPr>
        <sz val="10"/>
        <color rgb="FF000000"/>
        <rFont val="Arial"/>
        <family val="0"/>
        <charset val="1"/>
      </rPr>
      <t xml:space="preserve">MiniMax FF301 </t>
    </r>
    <r>
      <rPr>
        <sz val="10"/>
        <color rgb="FF000000"/>
        <rFont val="Noto Sans CJK SC"/>
        <family val="2"/>
      </rPr>
      <t xml:space="preserve">月報表</t>
    </r>
  </si>
  <si>
    <t xml:space="preserve">https://pdf.dfcfw.com/pdf/H2_AN202610021830089929_1.pdf</t>
  </si>
  <si>
    <t xml:space="preserve">2026-10-02</t>
  </si>
  <si>
    <r>
      <rPr>
        <sz val="10"/>
        <color rgb="FF000000"/>
        <rFont val="Noto Sans CJK SC"/>
        <family val="2"/>
      </rPr>
      <t xml:space="preserve">合計為 </t>
    </r>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A</t>
    </r>
    <r>
      <rPr>
        <sz val="10"/>
        <color rgb="FF000000"/>
        <rFont val="Noto Sans CJK SC"/>
        <family val="2"/>
      </rPr>
      <t xml:space="preserve">＋</t>
    </r>
    <r>
      <rPr>
        <sz val="10"/>
        <color rgb="FF000000"/>
        <rFont val="Arial"/>
        <family val="0"/>
        <charset val="1"/>
      </rPr>
      <t xml:space="preserve">B</t>
    </r>
    <r>
      <rPr>
        <sz val="10"/>
        <color rgb="FF000000"/>
        <rFont val="Noto Sans CJK SC"/>
        <family val="2"/>
      </rPr>
      <t xml:space="preserve">）；</t>
    </r>
    <r>
      <rPr>
        <sz val="10"/>
        <color rgb="FF000000"/>
        <rFont val="Arial"/>
        <family val="0"/>
        <charset val="1"/>
      </rPr>
      <t xml:space="preserve">B </t>
    </r>
    <r>
      <rPr>
        <sz val="10"/>
        <color rgb="FF000000"/>
        <rFont val="Noto Sans CJK SC"/>
        <family val="2"/>
      </rPr>
      <t xml:space="preserve">類不上市</t>
    </r>
  </si>
  <si>
    <t xml:space="preserve">SRC_ZP_598</t>
  </si>
  <si>
    <t xml:space="preserve">peer_mmx_rev_fy25</t>
  </si>
  <si>
    <r>
      <rPr>
        <sz val="10"/>
        <color rgb="FF000000"/>
        <rFont val="Arial"/>
        <family val="0"/>
        <charset val="1"/>
      </rPr>
      <t xml:space="preserve">MiniMax </t>
    </r>
    <r>
      <rPr>
        <sz val="10"/>
        <color rgb="FF000000"/>
        <rFont val="Noto Sans CJK SC"/>
        <family val="2"/>
      </rPr>
      <t xml:space="preserve">營收 </t>
    </r>
    <r>
      <rPr>
        <sz val="10"/>
        <color rgb="FF000000"/>
        <rFont val="Arial"/>
        <family val="0"/>
        <charset val="1"/>
      </rPr>
      <t xml:space="preserve">FY2025</t>
    </r>
  </si>
  <si>
    <r>
      <rPr>
        <sz val="10"/>
        <color rgb="FF000000"/>
        <rFont val="Arial"/>
        <family val="0"/>
        <charset val="1"/>
      </rPr>
      <t xml:space="preserve">MiniMax 2025 </t>
    </r>
    <r>
      <rPr>
        <sz val="10"/>
        <color rgb="FF000000"/>
        <rFont val="Noto Sans CJK SC"/>
        <family val="2"/>
      </rPr>
      <t xml:space="preserve">全年業績新聞稿</t>
    </r>
  </si>
  <si>
    <t xml:space="preserve">https://www.minimax.io/news/minimax-global-announces-full-year-2025-financial-results</t>
  </si>
  <si>
    <t xml:space="preserve">2026-03-02</t>
  </si>
  <si>
    <t xml:space="preserve">經審計（業績公告）</t>
  </si>
  <si>
    <r>
      <rPr>
        <sz val="10"/>
        <color rgb="FF000000"/>
        <rFont val="Noto Sans CJK SC"/>
        <family val="2"/>
      </rPr>
      <t xml:space="preserve">「</t>
    </r>
    <r>
      <rPr>
        <sz val="10"/>
        <color rgb="FF000000"/>
        <rFont val="Arial"/>
        <family val="0"/>
        <charset val="1"/>
      </rPr>
      <t xml:space="preserve">Total revenue increased by 158.9%…to US$79.0 million</t>
    </r>
    <r>
      <rPr>
        <sz val="10"/>
        <color rgb="FF000000"/>
        <rFont val="Noto Sans CJK SC"/>
        <family val="2"/>
      </rPr>
      <t xml:space="preserve">」；毛利率 </t>
    </r>
    <r>
      <rPr>
        <sz val="10"/>
        <color rgb="FF000000"/>
        <rFont val="Arial"/>
        <family val="0"/>
        <charset val="1"/>
      </rPr>
      <t xml:space="preserve">25.4%</t>
    </r>
  </si>
  <si>
    <t xml:space="preserve">SRC_ZP_599</t>
  </si>
  <si>
    <t xml:space="preserve">peer_mmx_nl_fy25</t>
  </si>
  <si>
    <r>
      <rPr>
        <sz val="10"/>
        <color rgb="FF000000"/>
        <rFont val="Arial"/>
        <family val="0"/>
        <charset val="1"/>
      </rPr>
      <t xml:space="preserve">MiniMax </t>
    </r>
    <r>
      <rPr>
        <sz val="10"/>
        <color rgb="FF000000"/>
        <rFont val="Noto Sans CJK SC"/>
        <family val="2"/>
      </rPr>
      <t xml:space="preserve">年度虧損 </t>
    </r>
    <r>
      <rPr>
        <sz val="10"/>
        <color rgb="FF000000"/>
        <rFont val="Arial"/>
        <family val="0"/>
        <charset val="1"/>
      </rPr>
      <t xml:space="preserve">FY2025</t>
    </r>
    <r>
      <rPr>
        <sz val="10"/>
        <color rgb="FF000000"/>
        <rFont val="Noto Sans CJK SC"/>
        <family val="2"/>
      </rPr>
      <t xml:space="preserve">（</t>
    </r>
    <r>
      <rPr>
        <sz val="10"/>
        <color rgb="FF000000"/>
        <rFont val="Arial"/>
        <family val="0"/>
        <charset val="1"/>
      </rPr>
      <t xml:space="preserve">IFRS</t>
    </r>
    <r>
      <rPr>
        <sz val="10"/>
        <color rgb="FF000000"/>
        <rFont val="Noto Sans CJK SC"/>
        <family val="2"/>
      </rPr>
      <t xml:space="preserve">）</t>
    </r>
  </si>
  <si>
    <r>
      <rPr>
        <sz val="10"/>
        <color rgb="FF000000"/>
        <rFont val="Noto Sans CJK SC"/>
        <family val="2"/>
      </rPr>
      <t xml:space="preserve">年度虧損 </t>
    </r>
    <r>
      <rPr>
        <sz val="10"/>
        <color rgb="FF000000"/>
        <rFont val="Arial"/>
        <family val="0"/>
        <charset val="1"/>
      </rPr>
      <t xml:space="preserve">1,871.6 </t>
    </r>
    <r>
      <rPr>
        <sz val="10"/>
        <color rgb="FF000000"/>
        <rFont val="Noto Sans CJK SC"/>
        <family val="2"/>
      </rPr>
      <t xml:space="preserve">百萬美元（含優先股公允值變動）；經調整淨虧 </t>
    </r>
    <r>
      <rPr>
        <sz val="10"/>
        <color rgb="FF000000"/>
        <rFont val="Arial"/>
        <family val="0"/>
        <charset val="1"/>
      </rPr>
      <t xml:space="preserve">250.9</t>
    </r>
  </si>
  <si>
    <t xml:space="preserve">SRC_ZP_600</t>
  </si>
  <si>
    <t xml:space="preserve">peer_mmx_adjnl_fy25</t>
  </si>
  <si>
    <r>
      <rPr>
        <sz val="10"/>
        <color rgb="FF000000"/>
        <rFont val="Arial"/>
        <family val="0"/>
        <charset val="1"/>
      </rPr>
      <t xml:space="preserve">MiniMax </t>
    </r>
    <r>
      <rPr>
        <sz val="10"/>
        <color rgb="FF000000"/>
        <rFont val="Noto Sans CJK SC"/>
        <family val="2"/>
      </rPr>
      <t xml:space="preserve">經調整淨虧損 </t>
    </r>
    <r>
      <rPr>
        <sz val="10"/>
        <color rgb="FF000000"/>
        <rFont val="Arial"/>
        <family val="0"/>
        <charset val="1"/>
      </rPr>
      <t xml:space="preserve">FY2025</t>
    </r>
  </si>
  <si>
    <r>
      <rPr>
        <sz val="10"/>
        <color rgb="FF000000"/>
        <rFont val="Noto Sans CJK SC"/>
        <family val="2"/>
      </rPr>
      <t xml:space="preserve">非 </t>
    </r>
    <r>
      <rPr>
        <sz val="10"/>
        <color rgb="FF000000"/>
        <rFont val="Arial"/>
        <family val="0"/>
        <charset val="1"/>
      </rPr>
      <t xml:space="preserve">IFRS</t>
    </r>
  </si>
  <si>
    <r>
      <rPr>
        <sz val="10"/>
        <color rgb="FF000000"/>
        <rFont val="Noto Sans CJK SC"/>
        <family val="2"/>
      </rPr>
      <t xml:space="preserve">「</t>
    </r>
    <r>
      <rPr>
        <sz val="10"/>
        <color rgb="FF000000"/>
        <rFont val="Arial"/>
        <family val="0"/>
        <charset val="1"/>
      </rPr>
      <t xml:space="preserve">Adjusted net loss was US$250.9 million</t>
    </r>
    <r>
      <rPr>
        <sz val="10"/>
        <color rgb="FF000000"/>
        <rFont val="Noto Sans CJK SC"/>
        <family val="2"/>
      </rPr>
      <t xml:space="preserve">」；年末現金類 </t>
    </r>
    <r>
      <rPr>
        <sz val="10"/>
        <color rgb="FF000000"/>
        <rFont val="Arial"/>
        <family val="0"/>
        <charset val="1"/>
      </rPr>
      <t xml:space="preserve">1,050.3 </t>
    </r>
    <r>
      <rPr>
        <sz val="10"/>
        <color rgb="FF000000"/>
        <rFont val="Noto Sans CJK SC"/>
        <family val="2"/>
      </rPr>
      <t xml:space="preserve">百萬美元</t>
    </r>
  </si>
  <si>
    <t xml:space="preserve">SRC_ZP_601</t>
  </si>
  <si>
    <t xml:space="preserve">peer_mmx_rev_1h26</t>
  </si>
  <si>
    <r>
      <rPr>
        <sz val="10"/>
        <color rgb="FF000000"/>
        <rFont val="Arial"/>
        <family val="0"/>
        <charset val="1"/>
      </rPr>
      <t xml:space="preserve">MiniMax </t>
    </r>
    <r>
      <rPr>
        <sz val="10"/>
        <color rgb="FF000000"/>
        <rFont val="Noto Sans CJK SC"/>
        <family val="2"/>
      </rPr>
      <t xml:space="preserve">營收 </t>
    </r>
    <r>
      <rPr>
        <sz val="10"/>
        <color rgb="FF000000"/>
        <rFont val="Arial"/>
        <family val="0"/>
        <charset val="1"/>
      </rPr>
      <t xml:space="preserve">1H2026</t>
    </r>
  </si>
  <si>
    <r>
      <rPr>
        <sz val="10"/>
        <color rgb="FF000000"/>
        <rFont val="Noto Sans CJK SC"/>
        <family val="2"/>
      </rPr>
      <t xml:space="preserve">老虎（轉 </t>
    </r>
    <r>
      <rPr>
        <sz val="10"/>
        <color rgb="FF000000"/>
        <rFont val="Arial"/>
        <family val="0"/>
        <charset val="1"/>
      </rPr>
      <t xml:space="preserve">MiniMax </t>
    </r>
    <r>
      <rPr>
        <sz val="10"/>
        <color rgb="FF000000"/>
        <rFont val="Noto Sans CJK SC"/>
        <family val="2"/>
      </rPr>
      <t xml:space="preserve">中期業績）</t>
    </r>
  </si>
  <si>
    <t xml:space="preserve">https://www.itiger.com/news/1169167557</t>
  </si>
  <si>
    <t xml:space="preserve">未經審計（媒體轉述）</t>
  </si>
  <si>
    <r>
      <rPr>
        <sz val="10"/>
        <color rgb="FF000000"/>
        <rFont val="Noto Sans CJK SC"/>
        <family val="2"/>
      </rPr>
      <t xml:space="preserve">「</t>
    </r>
    <r>
      <rPr>
        <sz val="10"/>
        <color rgb="FF000000"/>
        <rFont val="Arial"/>
        <family val="0"/>
        <charset val="1"/>
      </rPr>
      <t xml:space="preserve">revenue climbing 283.10%…to US$116.57 million</t>
    </r>
    <r>
      <rPr>
        <sz val="10"/>
        <color rgb="FF000000"/>
        <rFont val="Noto Sans CJK SC"/>
        <family val="2"/>
      </rPr>
      <t xml:space="preserve">」</t>
    </r>
  </si>
  <si>
    <t xml:space="preserve">SRC_ZP_602</t>
  </si>
  <si>
    <t xml:space="preserve">peer_mmx_nl_1h26</t>
  </si>
  <si>
    <r>
      <rPr>
        <sz val="10"/>
        <color rgb="FF000000"/>
        <rFont val="Arial"/>
        <family val="0"/>
        <charset val="1"/>
      </rPr>
      <t xml:space="preserve">MiniMax </t>
    </r>
    <r>
      <rPr>
        <sz val="10"/>
        <color rgb="FF000000"/>
        <rFont val="Noto Sans CJK SC"/>
        <family val="2"/>
      </rPr>
      <t xml:space="preserve">期間虧損 </t>
    </r>
    <r>
      <rPr>
        <sz val="10"/>
        <color rgb="FF000000"/>
        <rFont val="Arial"/>
        <family val="0"/>
        <charset val="1"/>
      </rPr>
      <t xml:space="preserve">1H2026</t>
    </r>
  </si>
  <si>
    <t xml:space="preserve">未經審計</t>
  </si>
  <si>
    <r>
      <rPr>
        <sz val="10"/>
        <color rgb="FF000000"/>
        <rFont val="Noto Sans CJK SC"/>
        <family val="2"/>
      </rPr>
      <t xml:space="preserve">期間虧損 </t>
    </r>
    <r>
      <rPr>
        <sz val="10"/>
        <color rgb="FF000000"/>
        <rFont val="Arial"/>
        <family val="0"/>
        <charset val="1"/>
      </rPr>
      <t xml:space="preserve">357.99 </t>
    </r>
    <r>
      <rPr>
        <sz val="10"/>
        <color rgb="FF000000"/>
        <rFont val="Noto Sans CJK SC"/>
        <family val="2"/>
      </rPr>
      <t xml:space="preserve">百萬美元；經調整淨虧 </t>
    </r>
    <r>
      <rPr>
        <sz val="10"/>
        <color rgb="FF000000"/>
        <rFont val="Arial"/>
        <family val="0"/>
        <charset val="1"/>
      </rPr>
      <t xml:space="preserve">293.03</t>
    </r>
  </si>
  <si>
    <t xml:space="preserve">SRC_ZP_603</t>
  </si>
  <si>
    <t xml:space="preserve">peer_mmx_cash_1h26</t>
  </si>
  <si>
    <r>
      <rPr>
        <sz val="10"/>
        <color rgb="FF000000"/>
        <rFont val="Arial"/>
        <family val="0"/>
        <charset val="1"/>
      </rPr>
      <t xml:space="preserve">MiniMax </t>
    </r>
    <r>
      <rPr>
        <sz val="10"/>
        <color rgb="FF000000"/>
        <rFont val="Noto Sans CJK SC"/>
        <family val="2"/>
      </rPr>
      <t xml:space="preserve">現金、等價物及短期投資</t>
    </r>
  </si>
  <si>
    <r>
      <rPr>
        <sz val="10"/>
        <color rgb="FF000000"/>
        <rFont val="Noto Sans CJK SC"/>
        <family val="2"/>
      </rPr>
      <t xml:space="preserve">「</t>
    </r>
    <r>
      <rPr>
        <sz val="10"/>
        <color rgb="FF000000"/>
        <rFont val="Arial"/>
        <family val="0"/>
        <charset val="1"/>
      </rPr>
      <t xml:space="preserve">US$1.32 billion as of 30 June 2026</t>
    </r>
    <r>
      <rPr>
        <sz val="10"/>
        <color rgb="FF000000"/>
        <rFont val="Noto Sans CJK SC"/>
        <family val="2"/>
      </rPr>
      <t xml:space="preserve">」；</t>
    </r>
    <r>
      <rPr>
        <sz val="10"/>
        <color rgb="FF000000"/>
        <rFont val="Arial"/>
        <family val="0"/>
        <charset val="1"/>
      </rPr>
      <t xml:space="preserve">EV </t>
    </r>
    <r>
      <rPr>
        <sz val="10"/>
        <color rgb="FF000000"/>
        <rFont val="Noto Sans CJK SC"/>
        <family val="2"/>
      </rPr>
      <t xml:space="preserve">計算需匯率（模型 </t>
    </r>
    <r>
      <rPr>
        <sz val="10"/>
        <color rgb="FF000000"/>
        <rFont val="Arial"/>
        <family val="0"/>
        <charset val="1"/>
      </rPr>
      <t xml:space="preserve">Inputs</t>
    </r>
    <r>
      <rPr>
        <sz val="10"/>
        <color rgb="FF000000"/>
        <rFont val="Noto Sans CJK SC"/>
        <family val="2"/>
      </rPr>
      <t xml:space="preserve">）</t>
    </r>
  </si>
  <si>
    <t xml:space="preserve">SRC_ZP_604</t>
  </si>
  <si>
    <t xml:space="preserve">peer_mmx_ev_rev</t>
  </si>
  <si>
    <r>
      <rPr>
        <sz val="10"/>
        <color rgb="FF000000"/>
        <rFont val="Arial"/>
        <family val="0"/>
        <charset val="1"/>
      </rPr>
      <t xml:space="preserve">MiniMax EV</t>
    </r>
    <r>
      <rPr>
        <sz val="10"/>
        <color rgb="FF000000"/>
        <rFont val="Noto Sans CJK SC"/>
        <family val="2"/>
      </rPr>
      <t xml:space="preserve">／營收（</t>
    </r>
    <r>
      <rPr>
        <sz val="10"/>
        <color rgb="FF000000"/>
        <rFont val="Arial"/>
        <family val="0"/>
        <charset val="1"/>
      </rPr>
      <t xml:space="preserve">TTM</t>
    </r>
    <r>
      <rPr>
        <sz val="10"/>
        <color rgb="FF000000"/>
        <rFont val="Noto Sans CJK SC"/>
        <family val="2"/>
      </rPr>
      <t xml:space="preserve">）</t>
    </r>
  </si>
  <si>
    <r>
      <rPr>
        <sz val="10"/>
        <color rgb="FF000000"/>
        <rFont val="Arial"/>
        <family val="0"/>
        <charset val="1"/>
      </rPr>
      <t xml:space="preserve">Derived</t>
    </r>
    <r>
      <rPr>
        <sz val="10"/>
        <color rgb="FF000000"/>
        <rFont val="Noto Sans CJK SC"/>
        <family val="2"/>
      </rPr>
      <t xml:space="preserve">（待模型以 </t>
    </r>
    <r>
      <rPr>
        <sz val="10"/>
        <color rgb="FF000000"/>
        <rFont val="Arial"/>
        <family val="0"/>
        <charset val="1"/>
      </rPr>
      <t xml:space="preserve">INP </t>
    </r>
    <r>
      <rPr>
        <sz val="10"/>
        <color rgb="FF000000"/>
        <rFont val="Noto Sans CJK SC"/>
        <family val="2"/>
      </rPr>
      <t xml:space="preserve">匯率計算）</t>
    </r>
  </si>
  <si>
    <r>
      <rPr>
        <sz val="10"/>
        <color rgb="FF000000"/>
        <rFont val="Noto Sans CJK SC"/>
        <family val="2"/>
      </rPr>
      <t xml:space="preserve">規則禁自行換匯；公式＝</t>
    </r>
    <r>
      <rPr>
        <sz val="10"/>
        <color rgb="FF000000"/>
        <rFont val="Arial"/>
        <family val="0"/>
        <charset val="1"/>
      </rPr>
      <t xml:space="preserve">(830.72</t>
    </r>
    <r>
      <rPr>
        <sz val="10"/>
        <color rgb="FF000000"/>
        <rFont val="Noto Sans CJK SC"/>
        <family val="2"/>
      </rPr>
      <t xml:space="preserve">億</t>
    </r>
    <r>
      <rPr>
        <sz val="10"/>
        <color rgb="FF000000"/>
        <rFont val="Arial"/>
        <family val="0"/>
        <charset val="1"/>
      </rPr>
      <t xml:space="preserve">HKD÷HKD/USD−13.2</t>
    </r>
    <r>
      <rPr>
        <sz val="10"/>
        <color rgb="FF000000"/>
        <rFont val="Noto Sans CJK SC"/>
        <family val="2"/>
      </rPr>
      <t xml:space="preserve">億</t>
    </r>
    <r>
      <rPr>
        <sz val="10"/>
        <color rgb="FF000000"/>
        <rFont val="Arial"/>
        <family val="0"/>
        <charset val="1"/>
      </rPr>
      <t xml:space="preserve">USD)÷TTM</t>
    </r>
    <r>
      <rPr>
        <sz val="10"/>
        <color rgb="FF000000"/>
        <rFont val="Noto Sans CJK SC"/>
        <family val="2"/>
      </rPr>
      <t xml:space="preserve">營收（</t>
    </r>
    <r>
      <rPr>
        <sz val="10"/>
        <color rgb="FF000000"/>
        <rFont val="Arial"/>
        <family val="0"/>
        <charset val="1"/>
      </rPr>
      <t xml:space="preserve">2H25</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t>
    </r>
    <r>
      <rPr>
        <sz val="10"/>
        <color rgb="FF000000"/>
        <rFont val="Arial"/>
        <family val="0"/>
        <charset val="1"/>
      </rPr>
      <t xml:space="preserve">2H25 </t>
    </r>
    <r>
      <rPr>
        <sz val="10"/>
        <color rgb="FF000000"/>
        <rFont val="Noto Sans CJK SC"/>
        <family val="2"/>
      </rPr>
      <t xml:space="preserve">需推算）</t>
    </r>
  </si>
  <si>
    <t xml:space="preserve">SRC_ZP_605</t>
  </si>
  <si>
    <t xml:space="preserve">cust_a_purch</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</si>
  <si>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：智譜向其採購（</t>
    </r>
    <r>
      <rPr>
        <sz val="10"/>
        <color rgb="FF000000"/>
        <rFont val="Arial"/>
        <family val="0"/>
        <charset val="1"/>
      </rPr>
      <t xml:space="preserve">2022–1H25 </t>
    </r>
    <r>
      <rPr>
        <sz val="10"/>
        <color rgb="FF000000"/>
        <rFont val="Noto Sans CJK SC"/>
        <family val="2"/>
      </rPr>
      <t xml:space="preserve">累計）</t>
    </r>
  </si>
  <si>
    <r>
      <rPr>
        <sz val="10"/>
        <color rgb="FF000000"/>
        <rFont val="Arial"/>
        <family val="0"/>
        <charset val="1"/>
      </rPr>
      <t xml:space="preserve">RMB </t>
    </r>
    <r>
      <rPr>
        <sz val="10"/>
        <color rgb="FF000000"/>
        <rFont val="Noto Sans CJK SC"/>
        <family val="2"/>
      </rPr>
      <t xml:space="preserve">億（採購）</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</si>
  <si>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SRC_ZP_433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拆出數值列（同一原文「向客戶採購了</t>
    </r>
    <r>
      <rPr>
        <sz val="10"/>
        <color rgb="FF000000"/>
        <rFont val="Arial"/>
        <family val="0"/>
        <charset val="1"/>
      </rPr>
      <t xml:space="preserve">2.47</t>
    </r>
    <r>
      <rPr>
        <sz val="10"/>
        <color rgb="FF000000"/>
        <rFont val="Noto Sans CJK SC"/>
        <family val="2"/>
      </rPr>
      <t xml:space="preserve">億元」）；</t>
    </r>
    <r>
      <rPr>
        <sz val="10"/>
        <color rgb="FF000000"/>
        <rFont val="Arial"/>
        <family val="0"/>
        <charset val="1"/>
      </rPr>
      <t xml:space="preserve">D19 </t>
    </r>
    <r>
      <rPr>
        <sz val="10"/>
        <color rgb="FF000000"/>
        <rFont val="Noto Sans CJK SC"/>
        <family val="2"/>
      </rPr>
      <t xml:space="preserve">回流對照；【</t>
    </r>
    <r>
      <rPr>
        <sz val="10"/>
        <color rgb="FF000000"/>
        <rFont val="Arial"/>
        <family val="0"/>
        <charset val="1"/>
      </rPr>
      <t xml:space="preserve">r2 P2 </t>
    </r>
    <r>
      <rPr>
        <sz val="10"/>
        <color rgb="FF000000"/>
        <rFont val="Noto Sans CJK SC"/>
        <family val="2"/>
      </rPr>
      <t xml:space="preserve">引用更正】同 </t>
    </r>
    <r>
      <rPr>
        <sz val="10"/>
        <color rgb="FF000000"/>
        <rFont val="Arial"/>
        <family val="0"/>
        <charset val="1"/>
      </rPr>
      <t xml:space="preserve">SRC_ZP_433</t>
    </r>
    <r>
      <rPr>
        <sz val="10"/>
        <color rgb="FF000000"/>
        <rFont val="Noto Sans CJK SC"/>
        <family val="2"/>
      </rPr>
      <t xml:space="preserve">；模型改引用 </t>
    </r>
    <r>
      <rPr>
        <sz val="10"/>
        <color rgb="FF000000"/>
        <rFont val="Arial"/>
        <family val="0"/>
        <charset val="1"/>
      </rPr>
      <t xml:space="preserve">SRC_ZP_786</t>
    </r>
    <r>
      <rPr>
        <sz val="10"/>
        <color rgb="FF000000"/>
        <rFont val="Noto Sans CJK SC"/>
        <family val="2"/>
      </rPr>
      <t xml:space="preserve">（採購 </t>
    </r>
    <r>
      <rPr>
        <sz val="10"/>
        <color rgb="FF000000"/>
        <rFont val="Arial"/>
        <family val="0"/>
        <charset val="1"/>
      </rPr>
      <t xml:space="preserve">0.247 </t>
    </r>
    <r>
      <rPr>
        <sz val="10"/>
        <color rgb="FF000000"/>
        <rFont val="Noto Sans CJK SC"/>
        <family val="2"/>
      </rPr>
      <t xml:space="preserve">億）</t>
    </r>
  </si>
  <si>
    <t xml:space="preserve">SRC_ZP_606</t>
  </si>
  <si>
    <t xml:space="preserve">broker_guosen_rev_fy27</t>
  </si>
  <si>
    <r>
      <rPr>
        <sz val="10"/>
        <color rgb="FF000000"/>
        <rFont val="Noto Sans CJK SC"/>
        <family val="2"/>
      </rPr>
      <t xml:space="preserve">國信證券營收預測 </t>
    </r>
    <r>
      <rPr>
        <sz val="10"/>
        <color rgb="FF000000"/>
        <rFont val="Arial"/>
        <family val="0"/>
        <charset val="1"/>
      </rPr>
      <t xml:space="preserve">FY2027</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</si>
  <si>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SRC_ZP_591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拆出（營收 </t>
    </r>
    <r>
      <rPr>
        <sz val="10"/>
        <color rgb="FF000000"/>
        <rFont val="Arial"/>
        <family val="0"/>
        <charset val="1"/>
      </rPr>
      <t xml:space="preserve">62</t>
    </r>
    <r>
      <rPr>
        <sz val="10"/>
        <color rgb="FF000000"/>
        <rFont val="Noto Sans CJK SC"/>
        <family val="2"/>
      </rPr>
      <t xml:space="preserve">／</t>
    </r>
    <r>
      <rPr>
        <sz val="10"/>
        <color rgb="FF000000"/>
        <rFont val="Arial"/>
        <family val="0"/>
        <charset val="1"/>
      </rPr>
      <t xml:space="preserve">155</t>
    </r>
    <r>
      <rPr>
        <sz val="10"/>
        <color rgb="FF000000"/>
        <rFont val="Noto Sans CJK SC"/>
        <family val="2"/>
      </rPr>
      <t xml:space="preserve">／</t>
    </r>
    <r>
      <rPr>
        <sz val="10"/>
        <color rgb="FF000000"/>
        <rFont val="Arial"/>
        <family val="0"/>
        <charset val="1"/>
      </rPr>
      <t xml:space="preserve">344 </t>
    </r>
    <r>
      <rPr>
        <sz val="10"/>
        <color rgb="FF000000"/>
        <rFont val="Noto Sans CJK SC"/>
        <family val="2"/>
      </rPr>
      <t xml:space="preserve">億元）</t>
    </r>
  </si>
  <si>
    <t xml:space="preserve">SRC_ZP_607</t>
  </si>
  <si>
    <t xml:space="preserve">broker_guosen_rev_fy28</t>
  </si>
  <si>
    <r>
      <rPr>
        <sz val="10"/>
        <color rgb="FF000000"/>
        <rFont val="Noto Sans CJK SC"/>
        <family val="2"/>
      </rPr>
      <t xml:space="preserve">國信證券營收預測 </t>
    </r>
    <r>
      <rPr>
        <sz val="10"/>
        <color rgb="FF000000"/>
        <rFont val="Arial"/>
        <family val="0"/>
        <charset val="1"/>
      </rPr>
      <t xml:space="preserve">FY2028</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</si>
  <si>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SRC_ZP_591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t>
    </r>
  </si>
  <si>
    <t xml:space="preserve">SRC_ZP_608</t>
  </si>
  <si>
    <t xml:space="preserve">broker_guozheng_rev_fy27</t>
  </si>
  <si>
    <r>
      <rPr>
        <sz val="10"/>
        <color rgb="FF000000"/>
        <rFont val="Noto Sans CJK SC"/>
        <family val="2"/>
      </rPr>
      <t xml:space="preserve">國證國際營收預測 </t>
    </r>
    <r>
      <rPr>
        <sz val="10"/>
        <color rgb="FF000000"/>
        <rFont val="Arial"/>
        <family val="0"/>
        <charset val="1"/>
      </rPr>
      <t xml:space="preserve">FY2027</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</si>
  <si>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SRC_ZP_592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t>
    </r>
    <r>
      <rPr>
        <sz val="10"/>
        <color rgb="FF000000"/>
        <rFont val="Arial"/>
        <family val="0"/>
        <charset val="1"/>
      </rPr>
      <t xml:space="preserve">42</t>
    </r>
    <r>
      <rPr>
        <sz val="10"/>
        <color rgb="FF000000"/>
        <rFont val="Noto Sans CJK SC"/>
        <family val="2"/>
      </rPr>
      <t xml:space="preserve">／</t>
    </r>
    <r>
      <rPr>
        <sz val="10"/>
        <color rgb="FF000000"/>
        <rFont val="Arial"/>
        <family val="0"/>
        <charset val="1"/>
      </rPr>
      <t xml:space="preserve">114</t>
    </r>
    <r>
      <rPr>
        <sz val="10"/>
        <color rgb="FF000000"/>
        <rFont val="Noto Sans CJK SC"/>
        <family val="2"/>
      </rPr>
      <t xml:space="preserve">／</t>
    </r>
    <r>
      <rPr>
        <sz val="10"/>
        <color rgb="FF000000"/>
        <rFont val="Arial"/>
        <family val="0"/>
        <charset val="1"/>
      </rPr>
      <t xml:space="preserve">251 </t>
    </r>
    <r>
      <rPr>
        <sz val="10"/>
        <color rgb="FF000000"/>
        <rFont val="Noto Sans CJK SC"/>
        <family val="2"/>
      </rPr>
      <t xml:space="preserve">億元）</t>
    </r>
  </si>
  <si>
    <t xml:space="preserve">SRC_ZP_609</t>
  </si>
  <si>
    <t xml:space="preserve">broker_guozheng_rev_fy28</t>
  </si>
  <si>
    <r>
      <rPr>
        <sz val="10"/>
        <color rgb="FF000000"/>
        <rFont val="Noto Sans CJK SC"/>
        <family val="2"/>
      </rPr>
      <t xml:space="preserve">國證國際營收預測 </t>
    </r>
    <r>
      <rPr>
        <sz val="10"/>
        <color rgb="FF000000"/>
        <rFont val="Arial"/>
        <family val="0"/>
        <charset val="1"/>
      </rPr>
      <t xml:space="preserve">FY2028</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</si>
  <si>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SRC_ZP_592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t>
    </r>
  </si>
  <si>
    <t xml:space="preserve">SRC_ZP_610</t>
  </si>
  <si>
    <t xml:space="preserve">broker_daiwa_rev_fy29</t>
  </si>
  <si>
    <r>
      <rPr>
        <sz val="10"/>
        <color rgb="FF000000"/>
        <rFont val="Noto Sans CJK SC"/>
        <family val="2"/>
      </rPr>
      <t xml:space="preserve">大和營收預測 </t>
    </r>
    <r>
      <rPr>
        <sz val="10"/>
        <color rgb="FF000000"/>
        <rFont val="Arial"/>
        <family val="0"/>
        <charset val="1"/>
      </rPr>
      <t xml:space="preserve">FY2029</t>
    </r>
  </si>
  <si>
    <t xml:space="preserve">FY2029</t>
  </si>
  <si>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SRC_ZP_593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7.24 </t>
    </r>
    <r>
      <rPr>
        <sz val="10"/>
        <color rgb="FF000000"/>
        <rFont val="Noto Sans CJK SC"/>
        <family val="2"/>
      </rPr>
      <t xml:space="preserve">億升至 </t>
    </r>
    <r>
      <rPr>
        <sz val="10"/>
        <color rgb="FF000000"/>
        <rFont val="Arial"/>
        <family val="0"/>
        <charset val="1"/>
      </rPr>
      <t xml:space="preserve">2029 </t>
    </r>
    <r>
      <rPr>
        <sz val="10"/>
        <color rgb="FF000000"/>
        <rFont val="Noto Sans CJK SC"/>
        <family val="2"/>
      </rPr>
      <t xml:space="preserve">年 </t>
    </r>
    <r>
      <rPr>
        <sz val="10"/>
        <color rgb="FF000000"/>
        <rFont val="Arial"/>
        <family val="0"/>
        <charset val="1"/>
      </rPr>
      <t xml:space="preserve">475 </t>
    </r>
    <r>
      <rPr>
        <sz val="10"/>
        <color rgb="FF000000"/>
        <rFont val="Noto Sans CJK SC"/>
        <family val="2"/>
      </rPr>
      <t xml:space="preserve">億元，</t>
    </r>
    <r>
      <rPr>
        <sz val="10"/>
        <color rgb="FF000000"/>
        <rFont val="Arial"/>
        <family val="0"/>
        <charset val="1"/>
      </rPr>
      <t xml:space="preserve">CAGR 185%</t>
    </r>
    <r>
      <rPr>
        <sz val="10"/>
        <color rgb="FF000000"/>
        <rFont val="Noto Sans CJK SC"/>
        <family val="2"/>
      </rPr>
      <t xml:space="preserve">）；</t>
    </r>
    <r>
      <rPr>
        <sz val="10"/>
        <color rgb="FF000000"/>
        <rFont val="Arial"/>
        <family val="0"/>
        <charset val="1"/>
      </rPr>
      <t xml:space="preserve">Reverse </t>
    </r>
    <r>
      <rPr>
        <sz val="10"/>
        <color rgb="FF000000"/>
        <rFont val="Noto Sans CJK SC"/>
        <family val="2"/>
      </rPr>
      <t xml:space="preserve">只作 </t>
    </r>
    <r>
      <rPr>
        <sz val="10"/>
        <color rgb="FF000000"/>
        <rFont val="Arial"/>
        <family val="0"/>
        <charset val="1"/>
      </rPr>
      <t xml:space="preserve">2029 </t>
    </r>
    <r>
      <rPr>
        <sz val="10"/>
        <color rgb="FF000000"/>
        <rFont val="Noto Sans CJK SC"/>
        <family val="2"/>
      </rPr>
      <t xml:space="preserve">對照</t>
    </r>
  </si>
  <si>
    <t xml:space="preserve">SRC_ZP_611</t>
  </si>
  <si>
    <t xml:space="preserve">rd_compute_fy22_p</t>
  </si>
  <si>
    <t xml:space="preserve">研發開支：算力服務費</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</si>
  <si>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t>
    </r>
  </si>
  <si>
    <r>
      <rPr>
        <sz val="10"/>
        <color rgb="FF000000"/>
        <rFont val="Noto Sans CJK SC"/>
        <family val="2"/>
      </rPr>
      <t xml:space="preserve">經審計（會計師報告，畢馬威 </t>
    </r>
    <r>
      <rPr>
        <sz val="10"/>
        <color rgb="FF000000"/>
        <rFont val="Arial"/>
        <family val="0"/>
        <charset val="1"/>
      </rPr>
      <t xml:space="preserve">2025-12-30</t>
    </r>
    <r>
      <rPr>
        <sz val="10"/>
        <color rgb="FF000000"/>
        <rFont val="Noto Sans CJK SC"/>
        <family val="2"/>
      </rPr>
      <t xml:space="preserve">）；明細表出自財務資料／業務節（非會計師報告附註），合計與會計師報告一致</t>
    </r>
  </si>
  <si>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14,633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換算成億；升級為一手來源；媒體 </t>
    </r>
    <r>
      <rPr>
        <sz val="10"/>
        <color rgb="FF000000"/>
        <rFont val="Arial"/>
        <family val="0"/>
        <charset val="1"/>
      </rPr>
      <t xml:space="preserve">0.15 </t>
    </r>
    <r>
      <rPr>
        <sz val="10"/>
        <color rgb="FF000000"/>
        <rFont val="Noto Sans CJK SC"/>
        <family val="2"/>
      </rPr>
      <t xml:space="preserve">億＝</t>
    </r>
    <r>
      <rPr>
        <sz val="10"/>
        <color rgb="FF000000"/>
        <rFont val="Arial"/>
        <family val="0"/>
        <charset val="1"/>
      </rPr>
      <t xml:space="preserve">14.6 </t>
    </r>
    <r>
      <rPr>
        <sz val="10"/>
        <color rgb="FF000000"/>
        <rFont val="Noto Sans CJK SC"/>
        <family val="2"/>
      </rPr>
      <t xml:space="preserve">百萬，值一致；另見 </t>
    </r>
    <r>
      <rPr>
        <sz val="10"/>
        <color rgb="FF000000"/>
        <rFont val="Arial"/>
        <family val="0"/>
        <charset val="1"/>
      </rPr>
      <t xml:space="preserve">SRC_ZP_451</t>
    </r>
    <r>
      <rPr>
        <sz val="10"/>
        <color rgb="FF000000"/>
        <rFont val="Noto Sans CJK SC"/>
        <family val="2"/>
      </rPr>
      <t xml:space="preserve">（媒體誤標為含雲端部署的總算力費）</t>
    </r>
  </si>
  <si>
    <t xml:space="preserve">SRC_ZP_612</t>
  </si>
  <si>
    <t xml:space="preserve">rd_compute_fy23</t>
  </si>
  <si>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311,746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</si>
  <si>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SRC_ZP_613</t>
  </si>
  <si>
    <t xml:space="preserve">rd_compute_fy24_p</t>
  </si>
  <si>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1,552,832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t>
    </r>
    <r>
      <rPr>
        <sz val="10"/>
        <color rgb="FF000000"/>
        <rFont val="Arial"/>
        <family val="0"/>
        <charset val="1"/>
      </rPr>
      <t xml:space="preserve">15.53 </t>
    </r>
    <r>
      <rPr>
        <sz val="10"/>
        <color rgb="FF000000"/>
        <rFont val="Noto Sans CJK SC"/>
        <family val="2"/>
      </rPr>
      <t xml:space="preserve">億（媒體 </t>
    </r>
    <r>
      <rPr>
        <sz val="10"/>
        <color rgb="FF000000"/>
        <rFont val="Arial"/>
        <family val="0"/>
        <charset val="1"/>
      </rPr>
      <t xml:space="preserve">15.52 </t>
    </r>
    <r>
      <rPr>
        <sz val="10"/>
        <color rgb="FF000000"/>
        <rFont val="Noto Sans CJK SC"/>
        <family val="2"/>
      </rPr>
      <t xml:space="preserve">為截尾），亦取代 </t>
    </r>
    <r>
      <rPr>
        <sz val="10"/>
        <color rgb="FF000000"/>
        <rFont val="Arial"/>
        <family val="0"/>
        <charset val="1"/>
      </rPr>
      <t xml:space="preserve">SRC_ZP_233</t>
    </r>
  </si>
  <si>
    <t xml:space="preserve">SRC_ZP_614</t>
  </si>
  <si>
    <t xml:space="preserve">rd_compute_1h24</t>
  </si>
  <si>
    <r>
      <rPr>
        <sz val="10"/>
        <color rgb="FF000000"/>
        <rFont val="Noto Sans CJK SC"/>
        <family val="2"/>
      </rPr>
      <t xml:space="preserve">經審閱（未經審計；畢馬威依 </t>
    </r>
    <r>
      <rPr>
        <sz val="10"/>
        <color rgb="FF000000"/>
        <rFont val="Arial"/>
        <family val="0"/>
        <charset val="1"/>
      </rPr>
      <t xml:space="preserve">HKSRE 2410 </t>
    </r>
    <r>
      <rPr>
        <sz val="10"/>
        <color rgb="FF000000"/>
        <rFont val="Noto Sans CJK SC"/>
        <family val="2"/>
      </rPr>
      <t xml:space="preserve">審閱）；明細表出自財務資料／業務節（非會計師報告附註），合計與會計師報告一致</t>
    </r>
  </si>
  <si>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603,237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</si>
  <si>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SRC_ZP_615</t>
  </si>
  <si>
    <t xml:space="preserve">rd_compute_1h25_p</t>
  </si>
  <si>
    <r>
      <rPr>
        <sz val="10"/>
        <color rgb="FF000000"/>
        <rFont val="Noto Sans CJK SC"/>
        <family val="2"/>
      </rPr>
      <t xml:space="preserve">經審計（會計師報告，畢馬威 </t>
    </r>
    <r>
      <rPr>
        <sz val="10"/>
        <color rgb="FF000000"/>
        <rFont val="Arial"/>
        <family val="0"/>
        <charset val="1"/>
      </rPr>
      <t xml:space="preserve">2025-12-30</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為往績記錄期之一，非僅審閱）；明細表出自財務資料／業務節（非會計師報告附註），合計與會計師報告一致</t>
    </r>
  </si>
  <si>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1,145,124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t>
    </r>
    <r>
      <rPr>
        <sz val="10"/>
        <color rgb="FF000000"/>
        <rFont val="Arial"/>
        <family val="0"/>
        <charset val="1"/>
      </rPr>
      <t xml:space="preserve">11.45 </t>
    </r>
    <r>
      <rPr>
        <sz val="10"/>
        <color rgb="FF000000"/>
        <rFont val="Noto Sans CJK SC"/>
        <family val="2"/>
      </rPr>
      <t xml:space="preserve">億一致；原 </t>
    </r>
    <r>
      <rPr>
        <sz val="10"/>
        <color rgb="FF000000"/>
        <rFont val="Arial"/>
        <family val="0"/>
        <charset val="1"/>
      </rPr>
      <t xml:space="preserve">note</t>
    </r>
    <r>
      <rPr>
        <sz val="10"/>
        <color rgb="FF000000"/>
        <rFont val="Noto Sans CJK SC"/>
        <family val="2"/>
      </rPr>
      <t xml:space="preserve">「含模型訓練及雲端部署服務」口徑有誤：此為研發開支項下算力費，雲端部署推論算力在營業成本（見 </t>
    </r>
    <r>
      <rPr>
        <sz val="10"/>
        <color rgb="FF000000"/>
        <rFont val="Arial"/>
        <family val="0"/>
        <charset val="1"/>
      </rPr>
      <t xml:space="preserve">cogs_compute</t>
    </r>
    <r>
      <rPr>
        <sz val="10"/>
        <color rgb="FF000000"/>
        <rFont val="Noto Sans CJK SC"/>
        <family val="2"/>
      </rPr>
      <t xml:space="preserve">）</t>
    </r>
  </si>
  <si>
    <t xml:space="preserve">SRC_ZP_616</t>
  </si>
  <si>
    <t xml:space="preserve">rd_wage_fy22</t>
  </si>
  <si>
    <t xml:space="preserve">研發開支：工資成本（含股權報酬）</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</si>
  <si>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41,982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換算成億；升級為一手來源；值一致（</t>
    </r>
    <r>
      <rPr>
        <sz val="10"/>
        <color rgb="FF000000"/>
        <rFont val="Arial"/>
        <family val="0"/>
        <charset val="1"/>
      </rPr>
      <t xml:space="preserve">0.42 </t>
    </r>
    <r>
      <rPr>
        <sz val="10"/>
        <color rgb="FF000000"/>
        <rFont val="Noto Sans CJK SC"/>
        <family val="2"/>
      </rPr>
      <t xml:space="preserve">億）</t>
    </r>
  </si>
  <si>
    <t xml:space="preserve">SRC_ZP_617</t>
  </si>
  <si>
    <t xml:space="preserve">rd_wage_fy23</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</si>
  <si>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137,296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換算成億；升級為一手來源；值一致</t>
    </r>
  </si>
  <si>
    <t xml:space="preserve">SRC_ZP_618</t>
  </si>
  <si>
    <t xml:space="preserve">rd_wage_fy24</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</si>
  <si>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324,193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換算成億；升級為一手來源；值一致</t>
    </r>
  </si>
  <si>
    <t xml:space="preserve">SRC_ZP_619</t>
  </si>
  <si>
    <t xml:space="preserve">rd_wage_1h24</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</si>
  <si>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107,988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</si>
  <si>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SRC_ZP_620</t>
  </si>
  <si>
    <t xml:space="preserve">rd_wage_1h25</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</si>
  <si>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265,567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換算成億；升級為一手來源；值一致</t>
    </r>
  </si>
  <si>
    <t xml:space="preserve">SRC_ZP_621</t>
  </si>
  <si>
    <t xml:space="preserve">rd_da_fy22</t>
  </si>
  <si>
    <t xml:space="preserve">研發開支：折舊及攤銷</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</si>
  <si>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14,689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</si>
  <si>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SRC_ZP_622</t>
  </si>
  <si>
    <t xml:space="preserve">rd_da_fy23</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</si>
  <si>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49,206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</si>
  <si>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SRC_ZP_623</t>
  </si>
  <si>
    <t xml:space="preserve">rd_da_fy24</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</si>
  <si>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259,038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</si>
  <si>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SRC_ZP_624</t>
  </si>
  <si>
    <t xml:space="preserve">rd_da_1h24</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</si>
  <si>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118,517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</si>
  <si>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SRC_ZP_625</t>
  </si>
  <si>
    <t xml:space="preserve">rd_da_1h25</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</si>
  <si>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123,966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</si>
  <si>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SRC_ZP_626</t>
  </si>
  <si>
    <t xml:space="preserve">rd_tech_fy22</t>
  </si>
  <si>
    <t xml:space="preserve">研發開支：技術服務及諮詢費</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</si>
  <si>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11,412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</si>
  <si>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SRC_ZP_627</t>
  </si>
  <si>
    <t xml:space="preserve">rd_tech_fy23</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</si>
  <si>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25,184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</si>
  <si>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SRC_ZP_628</t>
  </si>
  <si>
    <t xml:space="preserve">rd_tech_fy24</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</si>
  <si>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45,036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</si>
  <si>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SRC_ZP_629</t>
  </si>
  <si>
    <t xml:space="preserve">rd_tech_1h24</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</si>
  <si>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24,670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</si>
  <si>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SRC_ZP_630</t>
  </si>
  <si>
    <t xml:space="preserve">rd_tech_1h25</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</si>
  <si>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52,209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</si>
  <si>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SRC_ZP_631</t>
  </si>
  <si>
    <t xml:space="preserve">rd_other_fy22</t>
  </si>
  <si>
    <t xml:space="preserve">研發開支：其他</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</si>
  <si>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1,661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</si>
  <si>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SRC_ZP_632</t>
  </si>
  <si>
    <t xml:space="preserve">rd_other_fy23</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</si>
  <si>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5,452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</si>
  <si>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SRC_ZP_633</t>
  </si>
  <si>
    <t xml:space="preserve">rd_other_fy24</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</si>
  <si>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14,337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</si>
  <si>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SRC_ZP_634</t>
  </si>
  <si>
    <t xml:space="preserve">rd_other_1h24</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</si>
  <si>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4,805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</si>
  <si>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SRC_ZP_635</t>
  </si>
  <si>
    <t xml:space="preserve">rd_other_1h25</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</si>
  <si>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7,795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</si>
  <si>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SRC_ZP_636</t>
  </si>
  <si>
    <t xml:space="preserve">rd_compute_share_fy22</t>
  </si>
  <si>
    <r>
      <rPr>
        <sz val="10"/>
        <color rgb="FF000000"/>
        <rFont val="Noto Sans CJK SC"/>
        <family val="2"/>
      </rPr>
      <t xml:space="preserve">研發開支明細表百分比欄；第 </t>
    </r>
    <r>
      <rPr>
        <sz val="10"/>
        <color rgb="FF000000"/>
        <rFont val="Arial"/>
        <family val="0"/>
        <charset val="1"/>
      </rPr>
      <t xml:space="preserve">51 </t>
    </r>
    <r>
      <rPr>
        <sz val="10"/>
        <color rgb="FF000000"/>
        <rFont val="Noto Sans CJK SC"/>
        <family val="2"/>
      </rPr>
      <t xml:space="preserve">頁風險因素同列「分別佔我們研發開支的 </t>
    </r>
    <r>
      <rPr>
        <sz val="10"/>
        <color rgb="FF000000"/>
        <rFont val="Arial"/>
        <family val="0"/>
        <charset val="1"/>
      </rPr>
      <t xml:space="preserve">17.3%</t>
    </r>
    <r>
      <rPr>
        <sz val="10"/>
        <color rgb="FF000000"/>
        <rFont val="Noto Sans CJK SC"/>
        <family val="2"/>
      </rPr>
      <t xml:space="preserve">、</t>
    </r>
    <r>
      <rPr>
        <sz val="10"/>
        <color rgb="FF000000"/>
        <rFont val="Arial"/>
        <family val="0"/>
        <charset val="1"/>
      </rPr>
      <t xml:space="preserve">58.9%</t>
    </r>
    <r>
      <rPr>
        <sz val="10"/>
        <color rgb="FF000000"/>
        <rFont val="Noto Sans CJK SC"/>
        <family val="2"/>
      </rPr>
      <t xml:space="preserve">、</t>
    </r>
    <r>
      <rPr>
        <sz val="10"/>
        <color rgb="FF000000"/>
        <rFont val="Arial"/>
        <family val="0"/>
        <charset val="1"/>
      </rPr>
      <t xml:space="preserve">70.7%</t>
    </r>
    <r>
      <rPr>
        <sz val="10"/>
        <color rgb="FF000000"/>
        <rFont val="Noto Sans CJK SC"/>
        <family val="2"/>
      </rPr>
      <t xml:space="preserve">、</t>
    </r>
    <r>
      <rPr>
        <sz val="10"/>
        <color rgb="FF000000"/>
        <rFont val="Arial"/>
        <family val="0"/>
        <charset val="1"/>
      </rPr>
      <t xml:space="preserve">70.2%</t>
    </r>
    <r>
      <rPr>
        <sz val="10"/>
        <color rgb="FF000000"/>
        <rFont val="Noto Sans CJK SC"/>
        <family val="2"/>
      </rPr>
      <t xml:space="preserve">及 </t>
    </r>
    <r>
      <rPr>
        <sz val="10"/>
        <color rgb="FF000000"/>
        <rFont val="Arial"/>
        <family val="0"/>
        <charset val="1"/>
      </rPr>
      <t xml:space="preserve">71.8%</t>
    </r>
    <r>
      <rPr>
        <sz val="10"/>
        <color rgb="FF000000"/>
        <rFont val="Noto Sans CJK SC"/>
        <family val="2"/>
      </rPr>
      <t xml:space="preserve">」</t>
    </r>
  </si>
  <si>
    <t xml:space="preserve">SRC_ZP_637</t>
  </si>
  <si>
    <t xml:space="preserve">rd_compute_share_fy23</t>
  </si>
  <si>
    <t xml:space="preserve">SRC_ZP_638</t>
  </si>
  <si>
    <t xml:space="preserve">rd_compute_share_fy24</t>
  </si>
  <si>
    <t xml:space="preserve">SRC_ZP_639</t>
  </si>
  <si>
    <t xml:space="preserve">rd_compute_share_1h24</t>
  </si>
  <si>
    <t xml:space="preserve">SRC_ZP_640</t>
  </si>
  <si>
    <t xml:space="preserve">rd_compute_share_1h25_p</t>
  </si>
  <si>
    <t xml:space="preserve">SRC_ZP_641</t>
  </si>
  <si>
    <t xml:space="preserve">rd_wage_share_fy22</t>
  </si>
  <si>
    <t xml:space="preserve">研發開支明細表百分比欄</t>
  </si>
  <si>
    <t xml:space="preserve">SRC_ZP_642</t>
  </si>
  <si>
    <t xml:space="preserve">rd_wage_share_fy23</t>
  </si>
  <si>
    <t xml:space="preserve">SRC_ZP_643</t>
  </si>
  <si>
    <t xml:space="preserve">rd_wage_share_fy24</t>
  </si>
  <si>
    <t xml:space="preserve">研發開支明細表百分比欄；升級為一手來源；值一致</t>
  </si>
  <si>
    <t xml:space="preserve">SRC_ZP_644</t>
  </si>
  <si>
    <t xml:space="preserve">rd_wage_share_1h24</t>
  </si>
  <si>
    <t xml:space="preserve">SRC_ZP_645</t>
  </si>
  <si>
    <t xml:space="preserve">rd_wage_share_1h25</t>
  </si>
  <si>
    <t xml:space="preserve">SRC_ZP_646</t>
  </si>
  <si>
    <t xml:space="preserve">rd_compute_desc</t>
  </si>
  <si>
    <t xml:space="preserve">研發開支項下算力服務費之定義與用途</t>
  </si>
  <si>
    <t xml:space="preserve">文字</t>
  </si>
  <si>
    <t xml:space="preserve">FY2022–1H2025</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</si>
  <si>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255 </t>
    </r>
    <r>
      <rPr>
        <sz val="10"/>
        <color rgb="FF000000"/>
        <rFont val="Noto Sans CJK SC"/>
        <family val="2"/>
      </rPr>
      <t xml:space="preserve">頁</t>
    </r>
  </si>
  <si>
    <t xml:space="preserve">招股章程正文（管理層陳述）</t>
  </si>
  <si>
    <r>
      <rPr>
        <sz val="10"/>
        <color rgb="FF000000"/>
        <rFont val="Noto Sans CJK SC"/>
        <family val="2"/>
      </rPr>
      <t xml:space="preserve">原文（第 </t>
    </r>
    <r>
      <rPr>
        <sz val="10"/>
        <color rgb="FF000000"/>
        <rFont val="Arial"/>
        <family val="0"/>
        <charset val="1"/>
      </rPr>
      <t xml:space="preserve">255 </t>
    </r>
    <r>
      <rPr>
        <sz val="10"/>
        <color rgb="FF000000"/>
        <rFont val="Noto Sans CJK SC"/>
        <family val="2"/>
      </rPr>
      <t xml:space="preserve">頁＝印 </t>
    </r>
    <r>
      <rPr>
        <sz val="10"/>
        <color rgb="FF000000"/>
        <rFont val="Arial"/>
        <family val="0"/>
        <charset val="1"/>
      </rPr>
      <t xml:space="preserve">246</t>
    </r>
    <r>
      <rPr>
        <sz val="10"/>
        <color rgb="FF000000"/>
        <rFont val="Noto Sans CJK SC"/>
        <family val="2"/>
      </rPr>
      <t xml:space="preserve">）「算力…支撐研發活動中模型及智能體工具的訓練、推理及持續開發…向第三方算力供應商支付的研發活動所需的計算服務費」；第 </t>
    </r>
    <r>
      <rPr>
        <sz val="10"/>
        <color rgb="FF000000"/>
        <rFont val="Arial"/>
        <family val="0"/>
        <charset val="1"/>
      </rPr>
      <t xml:space="preserve">266 </t>
    </r>
    <r>
      <rPr>
        <sz val="10"/>
        <color rgb="FF000000"/>
        <rFont val="Noto Sans CJK SC"/>
        <family val="2"/>
      </rPr>
      <t xml:space="preserve">頁「向第三方供應商支付的算力服務費，以用於我們研發活動的算力」；未拆訓練 </t>
    </r>
    <r>
      <rPr>
        <sz val="10"/>
        <color rgb="FF000000"/>
        <rFont val="Arial"/>
        <family val="0"/>
        <charset val="1"/>
      </rPr>
      <t xml:space="preserve">vs </t>
    </r>
    <r>
      <rPr>
        <sz val="10"/>
        <color rgb="FF000000"/>
        <rFont val="Noto Sans CJK SC"/>
        <family val="2"/>
      </rPr>
      <t xml:space="preserve">推理</t>
    </r>
  </si>
  <si>
    <t xml:space="preserve">SRC_ZP_647</t>
  </si>
  <si>
    <t xml:space="preserve">rd_compute_driver_text</t>
  </si>
  <si>
    <t xml:space="preserve">研發算力費增加原因（管理層說明）</t>
  </si>
  <si>
    <t xml:space="preserve">FY2023–1H2025</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</si>
  <si>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271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</si>
  <si>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271/273/275 </t>
    </r>
    <r>
      <rPr>
        <sz val="10"/>
        <color rgb="FF000000"/>
        <rFont val="Noto Sans CJK SC"/>
        <family val="2"/>
      </rPr>
      <t xml:space="preserve">頁）「投入大量精力迭代我們的基座模型並投資於更先進的模型訓練基礎設施」；增額 </t>
    </r>
    <r>
      <rPr>
        <sz val="10"/>
        <color rgb="FF000000"/>
        <rFont val="Arial"/>
        <family val="0"/>
        <charset val="1"/>
      </rPr>
      <t xml:space="preserve">FY23 +297.1</t>
    </r>
    <r>
      <rPr>
        <sz val="10"/>
        <color rgb="FF000000"/>
        <rFont val="Noto Sans CJK SC"/>
        <family val="2"/>
      </rPr>
      <t xml:space="preserve">、</t>
    </r>
    <r>
      <rPr>
        <sz val="10"/>
        <color rgb="FF000000"/>
        <rFont val="Arial"/>
        <family val="0"/>
        <charset val="1"/>
      </rPr>
      <t xml:space="preserve">FY24 +1,241.1</t>
    </r>
    <r>
      <rPr>
        <sz val="10"/>
        <color rgb="FF000000"/>
        <rFont val="Noto Sans CJK SC"/>
        <family val="2"/>
      </rPr>
      <t xml:space="preserve">、</t>
    </r>
    <r>
      <rPr>
        <sz val="10"/>
        <color rgb="FF000000"/>
        <rFont val="Arial"/>
        <family val="0"/>
        <charset val="1"/>
      </rPr>
      <t xml:space="preserve">1H25 +541.9 </t>
    </r>
    <r>
      <rPr>
        <sz val="10"/>
        <color rgb="FF000000"/>
        <rFont val="Noto Sans CJK SC"/>
        <family val="2"/>
      </rPr>
      <t xml:space="preserve">百萬元</t>
    </r>
  </si>
  <si>
    <t xml:space="preserve">SRC_ZP_648</t>
  </si>
  <si>
    <t xml:space="preserve">rd_capitalised</t>
  </si>
  <si>
    <t xml:space="preserve">研發開支資本化</t>
  </si>
  <si>
    <t xml:space="preserve">原文「於往績記錄期，本公司並無將任何研發開支資本化」</t>
  </si>
  <si>
    <t xml:space="preserve">SRC_ZP_649</t>
  </si>
  <si>
    <t xml:space="preserve">rd_cash_cost_fy22</t>
  </si>
  <si>
    <t xml:space="preserve">現金經營成本：研發成本（不含工資及非現金項目，經營運資金調整）</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</si>
  <si>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291 </t>
    </r>
    <r>
      <rPr>
        <sz val="10"/>
        <color rgb="FF000000"/>
        <rFont val="Noto Sans CJK SC"/>
        <family val="2"/>
      </rPr>
      <t xml:space="preserve">頁</t>
    </r>
  </si>
  <si>
    <t xml:space="preserve">管理層口徑（招股章程財務資料節，非會計師報告科目）</t>
  </si>
  <si>
    <r>
      <rPr>
        <sz val="10"/>
        <color rgb="FF000000"/>
        <rFont val="Noto Sans CJK SC"/>
        <family val="2"/>
      </rPr>
      <t xml:space="preserve">現金經營成本表「研發成本」（第 </t>
    </r>
    <r>
      <rPr>
        <sz val="10"/>
        <color rgb="FF000000"/>
        <rFont val="Arial"/>
        <family val="0"/>
        <charset val="1"/>
      </rPr>
      <t xml:space="preserve">291 </t>
    </r>
    <r>
      <rPr>
        <sz val="10"/>
        <color rgb="FF000000"/>
        <rFont val="Noto Sans CJK SC"/>
        <family val="2"/>
      </rPr>
      <t xml:space="preserve">頁＝印 </t>
    </r>
    <r>
      <rPr>
        <sz val="10"/>
        <color rgb="FF000000"/>
        <rFont val="Arial"/>
        <family val="0"/>
        <charset val="1"/>
      </rPr>
      <t xml:space="preserve">282</t>
    </r>
    <r>
      <rPr>
        <sz val="10"/>
        <color rgb="FF000000"/>
        <rFont val="Noto Sans CJK SC"/>
        <family val="2"/>
      </rPr>
      <t xml:space="preserve">；附註</t>
    </r>
    <r>
      <rPr>
        <sz val="10"/>
        <color rgb="FF000000"/>
        <rFont val="Arial"/>
        <family val="0"/>
        <charset val="1"/>
      </rPr>
      <t xml:space="preserve">(1) </t>
    </r>
    <r>
      <rPr>
        <sz val="10"/>
        <color rgb="FF000000"/>
        <rFont val="Noto Sans CJK SC"/>
        <family val="2"/>
      </rPr>
      <t xml:space="preserve">定義）；</t>
    </r>
    <r>
      <rPr>
        <sz val="10"/>
        <color rgb="FF000000"/>
        <rFont val="Arial"/>
        <family val="0"/>
        <charset val="1"/>
      </rPr>
      <t xml:space="preserve">1H2024 </t>
    </r>
    <r>
      <rPr>
        <sz val="10"/>
        <color rgb="FF000000"/>
        <rFont val="Noto Sans CJK SC"/>
        <family val="2"/>
      </rPr>
      <t xml:space="preserve">未列；千元值 </t>
    </r>
    <r>
      <rPr>
        <sz val="10"/>
        <color rgb="FF000000"/>
        <rFont val="Arial"/>
        <family val="0"/>
        <charset val="1"/>
      </rPr>
      <t xml:space="preserve">25,894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</si>
  <si>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SRC_ZP_650</t>
  </si>
  <si>
    <t xml:space="preserve">rd_cash_cost_fy23</t>
  </si>
  <si>
    <r>
      <rPr>
        <sz val="10"/>
        <color rgb="FF000000"/>
        <rFont val="Noto Sans CJK SC"/>
        <family val="2"/>
      </rPr>
      <t xml:space="preserve">現金經營成本表「研發成本」（第 </t>
    </r>
    <r>
      <rPr>
        <sz val="10"/>
        <color rgb="FF000000"/>
        <rFont val="Arial"/>
        <family val="0"/>
        <charset val="1"/>
      </rPr>
      <t xml:space="preserve">291 </t>
    </r>
    <r>
      <rPr>
        <sz val="10"/>
        <color rgb="FF000000"/>
        <rFont val="Noto Sans CJK SC"/>
        <family val="2"/>
      </rPr>
      <t xml:space="preserve">頁＝印 </t>
    </r>
    <r>
      <rPr>
        <sz val="10"/>
        <color rgb="FF000000"/>
        <rFont val="Arial"/>
        <family val="0"/>
        <charset val="1"/>
      </rPr>
      <t xml:space="preserve">282</t>
    </r>
    <r>
      <rPr>
        <sz val="10"/>
        <color rgb="FF000000"/>
        <rFont val="Noto Sans CJK SC"/>
        <family val="2"/>
      </rPr>
      <t xml:space="preserve">；附註</t>
    </r>
    <r>
      <rPr>
        <sz val="10"/>
        <color rgb="FF000000"/>
        <rFont val="Arial"/>
        <family val="0"/>
        <charset val="1"/>
      </rPr>
      <t xml:space="preserve">(1) </t>
    </r>
    <r>
      <rPr>
        <sz val="10"/>
        <color rgb="FF000000"/>
        <rFont val="Noto Sans CJK SC"/>
        <family val="2"/>
      </rPr>
      <t xml:space="preserve">定義）；</t>
    </r>
    <r>
      <rPr>
        <sz val="10"/>
        <color rgb="FF000000"/>
        <rFont val="Arial"/>
        <family val="0"/>
        <charset val="1"/>
      </rPr>
      <t xml:space="preserve">1H2024 </t>
    </r>
    <r>
      <rPr>
        <sz val="10"/>
        <color rgb="FF000000"/>
        <rFont val="Noto Sans CJK SC"/>
        <family val="2"/>
      </rPr>
      <t xml:space="preserve">未列；千元值 </t>
    </r>
    <r>
      <rPr>
        <sz val="10"/>
        <color rgb="FF000000"/>
        <rFont val="Arial"/>
        <family val="0"/>
        <charset val="1"/>
      </rPr>
      <t xml:space="preserve">247,811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</si>
  <si>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SRC_ZP_651</t>
  </si>
  <si>
    <t xml:space="preserve">rd_cash_cost_fy24</t>
  </si>
  <si>
    <r>
      <rPr>
        <sz val="10"/>
        <color rgb="FF000000"/>
        <rFont val="Noto Sans CJK SC"/>
        <family val="2"/>
      </rPr>
      <t xml:space="preserve">現金經營成本表「研發成本」（第 </t>
    </r>
    <r>
      <rPr>
        <sz val="10"/>
        <color rgb="FF000000"/>
        <rFont val="Arial"/>
        <family val="0"/>
        <charset val="1"/>
      </rPr>
      <t xml:space="preserve">291 </t>
    </r>
    <r>
      <rPr>
        <sz val="10"/>
        <color rgb="FF000000"/>
        <rFont val="Noto Sans CJK SC"/>
        <family val="2"/>
      </rPr>
      <t xml:space="preserve">頁＝印 </t>
    </r>
    <r>
      <rPr>
        <sz val="10"/>
        <color rgb="FF000000"/>
        <rFont val="Arial"/>
        <family val="0"/>
        <charset val="1"/>
      </rPr>
      <t xml:space="preserve">282</t>
    </r>
    <r>
      <rPr>
        <sz val="10"/>
        <color rgb="FF000000"/>
        <rFont val="Noto Sans CJK SC"/>
        <family val="2"/>
      </rPr>
      <t xml:space="preserve">；附註</t>
    </r>
    <r>
      <rPr>
        <sz val="10"/>
        <color rgb="FF000000"/>
        <rFont val="Arial"/>
        <family val="0"/>
        <charset val="1"/>
      </rPr>
      <t xml:space="preserve">(1) </t>
    </r>
    <r>
      <rPr>
        <sz val="10"/>
        <color rgb="FF000000"/>
        <rFont val="Noto Sans CJK SC"/>
        <family val="2"/>
      </rPr>
      <t xml:space="preserve">定義）；</t>
    </r>
    <r>
      <rPr>
        <sz val="10"/>
        <color rgb="FF000000"/>
        <rFont val="Arial"/>
        <family val="0"/>
        <charset val="1"/>
      </rPr>
      <t xml:space="preserve">1H2024 </t>
    </r>
    <r>
      <rPr>
        <sz val="10"/>
        <color rgb="FF000000"/>
        <rFont val="Noto Sans CJK SC"/>
        <family val="2"/>
      </rPr>
      <t xml:space="preserve">未列；千元值 </t>
    </r>
    <r>
      <rPr>
        <sz val="10"/>
        <color rgb="FF000000"/>
        <rFont val="Arial"/>
        <family val="0"/>
        <charset val="1"/>
      </rPr>
      <t xml:space="preserve">1,425,605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</si>
  <si>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SRC_ZP_652</t>
  </si>
  <si>
    <t xml:space="preserve">rd_cash_cost_1h25</t>
  </si>
  <si>
    <r>
      <rPr>
        <sz val="10"/>
        <color rgb="FF000000"/>
        <rFont val="Noto Sans CJK SC"/>
        <family val="2"/>
      </rPr>
      <t xml:space="preserve">現金經營成本表「研發成本」（第 </t>
    </r>
    <r>
      <rPr>
        <sz val="10"/>
        <color rgb="FF000000"/>
        <rFont val="Arial"/>
        <family val="0"/>
        <charset val="1"/>
      </rPr>
      <t xml:space="preserve">291 </t>
    </r>
    <r>
      <rPr>
        <sz val="10"/>
        <color rgb="FF000000"/>
        <rFont val="Noto Sans CJK SC"/>
        <family val="2"/>
      </rPr>
      <t xml:space="preserve">頁＝印 </t>
    </r>
    <r>
      <rPr>
        <sz val="10"/>
        <color rgb="FF000000"/>
        <rFont val="Arial"/>
        <family val="0"/>
        <charset val="1"/>
      </rPr>
      <t xml:space="preserve">282</t>
    </r>
    <r>
      <rPr>
        <sz val="10"/>
        <color rgb="FF000000"/>
        <rFont val="Noto Sans CJK SC"/>
        <family val="2"/>
      </rPr>
      <t xml:space="preserve">；附註</t>
    </r>
    <r>
      <rPr>
        <sz val="10"/>
        <color rgb="FF000000"/>
        <rFont val="Arial"/>
        <family val="0"/>
        <charset val="1"/>
      </rPr>
      <t xml:space="preserve">(1) </t>
    </r>
    <r>
      <rPr>
        <sz val="10"/>
        <color rgb="FF000000"/>
        <rFont val="Noto Sans CJK SC"/>
        <family val="2"/>
      </rPr>
      <t xml:space="preserve">定義）；</t>
    </r>
    <r>
      <rPr>
        <sz val="10"/>
        <color rgb="FF000000"/>
        <rFont val="Arial"/>
        <family val="0"/>
        <charset val="1"/>
      </rPr>
      <t xml:space="preserve">1H2024 </t>
    </r>
    <r>
      <rPr>
        <sz val="10"/>
        <color rgb="FF000000"/>
        <rFont val="Noto Sans CJK SC"/>
        <family val="2"/>
      </rPr>
      <t xml:space="preserve">未列；千元值 </t>
    </r>
    <r>
      <rPr>
        <sz val="10"/>
        <color rgb="FF000000"/>
        <rFont val="Arial"/>
        <family val="0"/>
        <charset val="1"/>
      </rPr>
      <t xml:space="preserve">927,001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</si>
  <si>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SRC_ZP_653</t>
  </si>
  <si>
    <t xml:space="preserve">cash_cost_labor_fy22</t>
  </si>
  <si>
    <t xml:space="preserve">現金經營成本：僱傭人工（不含股份支付）</t>
  </si>
  <si>
    <t xml:space="preserve">管理層口徑（招股章程財務資料節）</t>
  </si>
  <si>
    <r>
      <rPr>
        <sz val="10"/>
        <color rgb="FF000000"/>
        <rFont val="Noto Sans CJK SC"/>
        <family val="2"/>
      </rPr>
      <t xml:space="preserve">現金經營成本表「僱傭人工」；千元值 </t>
    </r>
    <r>
      <rPr>
        <sz val="10"/>
        <color rgb="FF000000"/>
        <rFont val="Arial"/>
        <family val="0"/>
        <charset val="1"/>
      </rPr>
      <t xml:space="preserve">84,825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</si>
  <si>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SRC_ZP_654</t>
  </si>
  <si>
    <t xml:space="preserve">cash_cost_labor_fy23</t>
  </si>
  <si>
    <r>
      <rPr>
        <sz val="10"/>
        <color rgb="FF000000"/>
        <rFont val="Noto Sans CJK SC"/>
        <family val="2"/>
      </rPr>
      <t xml:space="preserve">現金經營成本表「僱傭人工」；千元值 </t>
    </r>
    <r>
      <rPr>
        <sz val="10"/>
        <color rgb="FF000000"/>
        <rFont val="Arial"/>
        <family val="0"/>
        <charset val="1"/>
      </rPr>
      <t xml:space="preserve">181,943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</si>
  <si>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SRC_ZP_655</t>
  </si>
  <si>
    <t xml:space="preserve">cash_cost_labor_fy24</t>
  </si>
  <si>
    <r>
      <rPr>
        <sz val="10"/>
        <color rgb="FF000000"/>
        <rFont val="Noto Sans CJK SC"/>
        <family val="2"/>
      </rPr>
      <t xml:space="preserve">現金經營成本表「僱傭人工」；千元值 </t>
    </r>
    <r>
      <rPr>
        <sz val="10"/>
        <color rgb="FF000000"/>
        <rFont val="Arial"/>
        <family val="0"/>
        <charset val="1"/>
      </rPr>
      <t xml:space="preserve">490,639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</si>
  <si>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SRC_ZP_656</t>
  </si>
  <si>
    <t xml:space="preserve">cash_cost_labor_1h25</t>
  </si>
  <si>
    <r>
      <rPr>
        <sz val="10"/>
        <color rgb="FF000000"/>
        <rFont val="Noto Sans CJK SC"/>
        <family val="2"/>
      </rPr>
      <t xml:space="preserve">現金經營成本表「僱傭人工」；千元值 </t>
    </r>
    <r>
      <rPr>
        <sz val="10"/>
        <color rgb="FF000000"/>
        <rFont val="Arial"/>
        <family val="0"/>
        <charset val="1"/>
      </rPr>
      <t xml:space="preserve">339,125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</si>
  <si>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SRC_ZP_657</t>
  </si>
  <si>
    <t xml:space="preserve">rd_expenditure_total_fy22</t>
  </si>
  <si>
    <t xml:space="preserve">總研發支出（研發開支＋資本化研發軟件－其攤銷）</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</si>
  <si>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294 </t>
    </r>
    <r>
      <rPr>
        <sz val="10"/>
        <color rgb="FF000000"/>
        <rFont val="Noto Sans CJK SC"/>
        <family val="2"/>
      </rPr>
      <t xml:space="preserve">頁</t>
    </r>
  </si>
  <si>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80,984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</si>
  <si>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SRC_ZP_658</t>
  </si>
  <si>
    <t xml:space="preserve">rd_expenditure_total_fy23</t>
  </si>
  <si>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562,665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</si>
  <si>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SRC_ZP_659</t>
  </si>
  <si>
    <t xml:space="preserve">rd_expenditure_total_fy24</t>
  </si>
  <si>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2,192,064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</si>
  <si>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SRC_ZP_660</t>
  </si>
  <si>
    <t xml:space="preserve">rd_expenditure_total_1h24</t>
  </si>
  <si>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860,721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</si>
  <si>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SRC_ZP_661</t>
  </si>
  <si>
    <t xml:space="preserve">rd_expenditure_total_1h25</t>
  </si>
  <si>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1,590,087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</si>
  <si>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SRC_ZP_662</t>
  </si>
  <si>
    <t xml:space="preserve">cogs_staff_p_fy22</t>
  </si>
  <si>
    <t xml:space="preserve">營業成本：工資成本</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</si>
  <si>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265 </t>
    </r>
    <r>
      <rPr>
        <sz val="10"/>
        <color rgb="FF000000"/>
        <rFont val="Noto Sans CJK SC"/>
        <family val="2"/>
      </rPr>
      <t xml:space="preserve">頁</t>
    </r>
  </si>
  <si>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16,434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</si>
  <si>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SRC_ZP_663</t>
  </si>
  <si>
    <t xml:space="preserve">cogs_staff_p_fy23</t>
  </si>
  <si>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15,375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</si>
  <si>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SRC_ZP_664</t>
  </si>
  <si>
    <t xml:space="preserve">cogs_staff_p_fy24</t>
  </si>
  <si>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74,262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</si>
  <si>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SRC_ZP_665</t>
  </si>
  <si>
    <t xml:space="preserve">cogs_staff_p_1h24</t>
  </si>
  <si>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10,832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</si>
  <si>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SRC_ZP_666</t>
  </si>
  <si>
    <t xml:space="preserve">cogs_staff_p_1h25</t>
  </si>
  <si>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37,628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</si>
  <si>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SRC_ZP_667</t>
  </si>
  <si>
    <t xml:space="preserve">cogs_compute_p_fy22</t>
  </si>
  <si>
    <t xml:space="preserve">營業成本：計算服務費</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</si>
  <si>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</si>
  <si>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SRC_ZP_668</t>
  </si>
  <si>
    <t xml:space="preserve">cogs_compute_p_fy23</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</si>
  <si>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11,996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</si>
  <si>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SRC_ZP_669</t>
  </si>
  <si>
    <t xml:space="preserve">cogs_compute_p_fy24</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</si>
  <si>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30,173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</si>
  <si>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SRC_ZP_670</t>
  </si>
  <si>
    <t xml:space="preserve">cogs_compute_p_1h24</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</si>
  <si>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8,451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</si>
  <si>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SRC_ZP_671</t>
  </si>
  <si>
    <t xml:space="preserve">cogs_compute_p_1h25</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</si>
  <si>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35,845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</si>
  <si>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SRC_ZP_672</t>
  </si>
  <si>
    <t xml:space="preserve">cogs_warranty_p_fy22</t>
  </si>
  <si>
    <t xml:space="preserve">營業成本：保修撥備</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</si>
  <si>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2,101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</si>
  <si>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SRC_ZP_673</t>
  </si>
  <si>
    <t xml:space="preserve">cogs_warranty_p_fy23</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</si>
  <si>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4,522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</si>
  <si>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SRC_ZP_674</t>
  </si>
  <si>
    <t xml:space="preserve">cogs_warranty_p_fy24</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</si>
  <si>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12,171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</si>
  <si>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SRC_ZP_675</t>
  </si>
  <si>
    <t xml:space="preserve">cogs_warranty_p_1h24</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</si>
  <si>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1,672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</si>
  <si>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SRC_ZP_676</t>
  </si>
  <si>
    <t xml:space="preserve">cogs_warranty_p_1h25</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</si>
  <si>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6,670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</si>
  <si>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SRC_ZP_677</t>
  </si>
  <si>
    <t xml:space="preserve">cogs_da_p_fy22</t>
  </si>
  <si>
    <t xml:space="preserve">營業成本：折舊及攤銷</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</si>
  <si>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1,912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</si>
  <si>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SRC_ZP_678</t>
  </si>
  <si>
    <t xml:space="preserve">cogs_da_p_fy23</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</si>
  <si>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6,436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</si>
  <si>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SRC_ZP_679</t>
  </si>
  <si>
    <t xml:space="preserve">cogs_da_p_fy24</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</si>
  <si>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6,769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</si>
  <si>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SRC_ZP_680</t>
  </si>
  <si>
    <t xml:space="preserve">cogs_da_p_1h24</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</si>
  <si>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549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</si>
  <si>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SRC_ZP_681</t>
  </si>
  <si>
    <t xml:space="preserve">cogs_da_p_1h25</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</si>
  <si>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2,074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</si>
  <si>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SRC_ZP_682</t>
  </si>
  <si>
    <t xml:space="preserve">cogs_tech_p_fy22</t>
  </si>
  <si>
    <t xml:space="preserve">營業成本：技術服務及諮詢費</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</si>
  <si>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4,553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</si>
  <si>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SRC_ZP_683</t>
  </si>
  <si>
    <t xml:space="preserve">cogs_tech_p_fy23</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</si>
  <si>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</si>
  <si>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SRC_ZP_684</t>
  </si>
  <si>
    <t xml:space="preserve">cogs_tech_p_fy24</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</si>
  <si>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9,126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</si>
  <si>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SRC_ZP_685</t>
  </si>
  <si>
    <t xml:space="preserve">cogs_tech_p_1h24</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</si>
  <si>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</si>
  <si>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SRC_ZP_686</t>
  </si>
  <si>
    <t xml:space="preserve">cogs_tech_p_1h25</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</si>
  <si>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6,165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</si>
  <si>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SRC_ZP_687</t>
  </si>
  <si>
    <t xml:space="preserve">cogs_tax_p_fy22</t>
  </si>
  <si>
    <t xml:space="preserve">營業成本：稅款及附加費</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</si>
  <si>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57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</si>
  <si>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SRC_ZP_688</t>
  </si>
  <si>
    <t xml:space="preserve">cogs_tax_p_fy23</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</si>
  <si>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1,713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</si>
  <si>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SRC_ZP_689</t>
  </si>
  <si>
    <t xml:space="preserve">cogs_tax_p_fy24</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</si>
  <si>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541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</si>
  <si>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SRC_ZP_690</t>
  </si>
  <si>
    <t xml:space="preserve">cogs_tax_p_1h24</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</si>
  <si>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</si>
  <si>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SRC_ZP_691</t>
  </si>
  <si>
    <t xml:space="preserve">cogs_tax_p_1h25</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</si>
  <si>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1,109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</si>
  <si>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SRC_ZP_692</t>
  </si>
  <si>
    <t xml:space="preserve">cogs_other_p_fy22</t>
  </si>
  <si>
    <t xml:space="preserve">營業成本：其他</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</si>
  <si>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992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</si>
  <si>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SRC_ZP_693</t>
  </si>
  <si>
    <t xml:space="preserve">cogs_other_p_fy23</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</si>
  <si>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3,391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</si>
  <si>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SRC_ZP_694</t>
  </si>
  <si>
    <t xml:space="preserve">cogs_other_p_fy24</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</si>
  <si>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3,483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</si>
  <si>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SRC_ZP_695</t>
  </si>
  <si>
    <t xml:space="preserve">cogs_other_p_1h24</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</si>
  <si>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729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</si>
  <si>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SRC_ZP_696</t>
  </si>
  <si>
    <t xml:space="preserve">cogs_other_p_1h25</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</si>
  <si>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5,962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</si>
  <si>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SRC_ZP_697</t>
  </si>
  <si>
    <t xml:space="preserve">cogs_onprem_p_fy22</t>
  </si>
  <si>
    <t xml:space="preserve">本地化部署營業成本（分部）</t>
  </si>
  <si>
    <r>
      <rPr>
        <sz val="10"/>
        <color rgb="FF000000"/>
        <rFont val="Noto Sans CJK SC"/>
        <family val="2"/>
      </rPr>
      <t xml:space="preserve">營業成本按分部劃分表「本地化部署」；千元值 </t>
    </r>
    <r>
      <rPr>
        <sz val="10"/>
        <color rgb="FF000000"/>
        <rFont val="Arial"/>
        <family val="0"/>
        <charset val="1"/>
      </rPr>
      <t xml:space="preserve">25,429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</si>
  <si>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SRC_ZP_698</t>
  </si>
  <si>
    <t xml:space="preserve">cogs_onprem_p_fy23</t>
  </si>
  <si>
    <r>
      <rPr>
        <sz val="10"/>
        <color rgb="FF000000"/>
        <rFont val="Noto Sans CJK SC"/>
        <family val="2"/>
      </rPr>
      <t xml:space="preserve">營業成本按分部劃分表「本地化部署」；千元值 </t>
    </r>
    <r>
      <rPr>
        <sz val="10"/>
        <color rgb="FF000000"/>
        <rFont val="Arial"/>
        <family val="0"/>
        <charset val="1"/>
      </rPr>
      <t xml:space="preserve">35,833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</si>
  <si>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SRC_ZP_699</t>
  </si>
  <si>
    <t xml:space="preserve">cogs_onprem_p_fy24</t>
  </si>
  <si>
    <r>
      <rPr>
        <sz val="10"/>
        <color rgb="FF000000"/>
        <rFont val="Noto Sans CJK SC"/>
        <family val="2"/>
      </rPr>
      <t xml:space="preserve">營業成本按分部劃分表「本地化部署」；千元值 </t>
    </r>
    <r>
      <rPr>
        <sz val="10"/>
        <color rgb="FF000000"/>
        <rFont val="Arial"/>
        <family val="0"/>
        <charset val="1"/>
      </rPr>
      <t xml:space="preserve">89,674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</si>
  <si>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SRC_ZP_700</t>
  </si>
  <si>
    <t xml:space="preserve">cogs_onprem_p_1h24</t>
  </si>
  <si>
    <r>
      <rPr>
        <sz val="10"/>
        <color rgb="FF000000"/>
        <rFont val="Noto Sans CJK SC"/>
        <family val="2"/>
      </rPr>
      <t xml:space="preserve">營業成本按分部劃分表「本地化部署」；千元值 </t>
    </r>
    <r>
      <rPr>
        <sz val="10"/>
        <color rgb="FF000000"/>
        <rFont val="Arial"/>
        <family val="0"/>
        <charset val="1"/>
      </rPr>
      <t xml:space="preserve">10,030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</si>
  <si>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SRC_ZP_701</t>
  </si>
  <si>
    <t xml:space="preserve">cogs_onprem_p_1h25</t>
  </si>
  <si>
    <r>
      <rPr>
        <sz val="10"/>
        <color rgb="FF000000"/>
        <rFont val="Noto Sans CJK SC"/>
        <family val="2"/>
      </rPr>
      <t xml:space="preserve">營業成本按分部劃分表「本地化部署」；千元值 </t>
    </r>
    <r>
      <rPr>
        <sz val="10"/>
        <color rgb="FF000000"/>
        <rFont val="Arial"/>
        <family val="0"/>
        <charset val="1"/>
      </rPr>
      <t xml:space="preserve">66,237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</si>
  <si>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SRC_ZP_702</t>
  </si>
  <si>
    <t xml:space="preserve">cogs_cloud_p_fy22</t>
  </si>
  <si>
    <t xml:space="preserve">雲端部署營業成本（分部）</t>
  </si>
  <si>
    <r>
      <rPr>
        <sz val="10"/>
        <color rgb="FF000000"/>
        <rFont val="Noto Sans CJK SC"/>
        <family val="2"/>
      </rPr>
      <t xml:space="preserve">營業成本按分部劃分表「雲端部署」；千元值 </t>
    </r>
    <r>
      <rPr>
        <sz val="10"/>
        <color rgb="FF000000"/>
        <rFont val="Arial"/>
        <family val="0"/>
        <charset val="1"/>
      </rPr>
      <t xml:space="preserve">620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</si>
  <si>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SRC_ZP_703</t>
  </si>
  <si>
    <t xml:space="preserve">cogs_cloud_p_fy23</t>
  </si>
  <si>
    <r>
      <rPr>
        <sz val="10"/>
        <color rgb="FF000000"/>
        <rFont val="Noto Sans CJK SC"/>
        <family val="2"/>
      </rPr>
      <t xml:space="preserve">營業成本按分部劃分表「雲端部署」；千元值 </t>
    </r>
    <r>
      <rPr>
        <sz val="10"/>
        <color rgb="FF000000"/>
        <rFont val="Arial"/>
        <family val="0"/>
        <charset val="1"/>
      </rPr>
      <t xml:space="preserve">8,223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</si>
  <si>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SRC_ZP_704</t>
  </si>
  <si>
    <t xml:space="preserve">cogs_cloud_p_fy24</t>
  </si>
  <si>
    <r>
      <rPr>
        <sz val="10"/>
        <color rgb="FF000000"/>
        <rFont val="Noto Sans CJK SC"/>
        <family val="2"/>
      </rPr>
      <t xml:space="preserve">營業成本按分部劃分表「雲端部署」；千元值 </t>
    </r>
    <r>
      <rPr>
        <sz val="10"/>
        <color rgb="FF000000"/>
        <rFont val="Arial"/>
        <family val="0"/>
        <charset val="1"/>
      </rPr>
      <t xml:space="preserve">46,851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</si>
  <si>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SRC_ZP_705</t>
  </si>
  <si>
    <t xml:space="preserve">cogs_cloud_p_1h24</t>
  </si>
  <si>
    <r>
      <rPr>
        <sz val="10"/>
        <color rgb="FF000000"/>
        <rFont val="Noto Sans CJK SC"/>
        <family val="2"/>
      </rPr>
      <t xml:space="preserve">營業成本按分部劃分表「雲端部署」；千元值 </t>
    </r>
    <r>
      <rPr>
        <sz val="10"/>
        <color rgb="FF000000"/>
        <rFont val="Arial"/>
        <family val="0"/>
        <charset val="1"/>
      </rPr>
      <t xml:space="preserve">12,920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</si>
  <si>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SRC_ZP_706</t>
  </si>
  <si>
    <t xml:space="preserve">cogs_cloud_p_1h25</t>
  </si>
  <si>
    <r>
      <rPr>
        <sz val="10"/>
        <color rgb="FF000000"/>
        <rFont val="Noto Sans CJK SC"/>
        <family val="2"/>
      </rPr>
      <t xml:space="preserve">營業成本按分部劃分表「雲端部署」；千元值 </t>
    </r>
    <r>
      <rPr>
        <sz val="10"/>
        <color rgb="FF000000"/>
        <rFont val="Arial"/>
        <family val="0"/>
        <charset val="1"/>
      </rPr>
      <t xml:space="preserve">29,216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</si>
  <si>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SRC_ZP_707</t>
  </si>
  <si>
    <t xml:space="preserve">gm_onprem_fy22</t>
  </si>
  <si>
    <t xml:space="preserve">本地化部署毛利率</t>
  </si>
  <si>
    <t xml:space="preserve">毛利及毛利率明細表</t>
  </si>
  <si>
    <t xml:space="preserve">SRC_ZP_708</t>
  </si>
  <si>
    <t xml:space="preserve">gm_cloud_fy22</t>
  </si>
  <si>
    <r>
      <rPr>
        <sz val="10"/>
        <color rgb="FF000000"/>
        <rFont val="Noto Sans CJK SC"/>
        <family val="2"/>
      </rPr>
      <t xml:space="preserve">毛利及毛利率明細表；</t>
    </r>
    <r>
      <rPr>
        <sz val="10"/>
        <color rgb="FF000000"/>
        <rFont val="Arial"/>
        <family val="0"/>
        <charset val="1"/>
      </rPr>
      <t xml:space="preserve">1H2025 </t>
    </r>
    <r>
      <rPr>
        <sz val="10"/>
        <color rgb="FF000000"/>
        <rFont val="Noto Sans CJK SC"/>
        <family val="2"/>
      </rPr>
      <t xml:space="preserve">毛損率 </t>
    </r>
    <r>
      <rPr>
        <sz val="10"/>
        <color rgb="FF000000"/>
        <rFont val="Arial"/>
        <family val="0"/>
        <charset val="1"/>
      </rPr>
      <t xml:space="preserve">(0.4%)</t>
    </r>
    <r>
      <rPr>
        <sz val="10"/>
        <color rgb="FF000000"/>
        <rFont val="Noto Sans CJK SC"/>
        <family val="2"/>
      </rPr>
      <t xml:space="preserve">，第 </t>
    </r>
    <r>
      <rPr>
        <sz val="10"/>
        <color rgb="FF000000"/>
        <rFont val="Arial"/>
        <family val="0"/>
        <charset val="1"/>
      </rPr>
      <t xml:space="preserve">271 </t>
    </r>
    <r>
      <rPr>
        <sz val="10"/>
        <color rgb="FF000000"/>
        <rFont val="Noto Sans CJK SC"/>
        <family val="2"/>
      </rPr>
      <t xml:space="preserve">頁稱「雲端部署價格下降符合市場趨勢，以及我們以有競爭力的價格快速獲得市場份額的策略」</t>
    </r>
  </si>
  <si>
    <t xml:space="preserve">SRC_ZP_709</t>
  </si>
  <si>
    <t xml:space="preserve">gm_onprem_fy23</t>
  </si>
  <si>
    <t xml:space="preserve">SRC_ZP_710</t>
  </si>
  <si>
    <t xml:space="preserve">gm_cloud_fy23</t>
  </si>
  <si>
    <t xml:space="preserve">SRC_ZP_711</t>
  </si>
  <si>
    <t xml:space="preserve">gm_onprem_fy24</t>
  </si>
  <si>
    <t xml:space="preserve">SRC_ZP_712</t>
  </si>
  <si>
    <t xml:space="preserve">gm_cloud_fy24</t>
  </si>
  <si>
    <t xml:space="preserve">SRC_ZP_713</t>
  </si>
  <si>
    <t xml:space="preserve">gm_onprem_1h24</t>
  </si>
  <si>
    <t xml:space="preserve">SRC_ZP_714</t>
  </si>
  <si>
    <t xml:space="preserve">gm_cloud_1h24</t>
  </si>
  <si>
    <t xml:space="preserve">SRC_ZP_715</t>
  </si>
  <si>
    <t xml:space="preserve">gm_onprem_1h25</t>
  </si>
  <si>
    <t xml:space="preserve">SRC_ZP_716</t>
  </si>
  <si>
    <t xml:space="preserve">gm_cloud_1h25</t>
  </si>
  <si>
    <t xml:space="preserve">SRC_ZP_717</t>
  </si>
  <si>
    <t xml:space="preserve">cogs_compute_desc</t>
  </si>
  <si>
    <t xml:space="preserve">營業成本項下計算服務費之定義（本地化訓練／微調＋雲端推論）</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</si>
  <si>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264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</si>
  <si>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264 </t>
    </r>
    <r>
      <rPr>
        <sz val="10"/>
        <color rgb="FF000000"/>
        <rFont val="Noto Sans CJK SC"/>
        <family val="2"/>
      </rPr>
      <t xml:space="preserve">頁＝印 </t>
    </r>
    <r>
      <rPr>
        <sz val="10"/>
        <color rgb="FF000000"/>
        <rFont val="Arial"/>
        <family val="0"/>
        <charset val="1"/>
      </rPr>
      <t xml:space="preserve">255</t>
    </r>
    <r>
      <rPr>
        <sz val="10"/>
        <color rgb="FF000000"/>
        <rFont val="Noto Sans CJK SC"/>
        <family val="2"/>
      </rPr>
      <t xml:space="preserve">）「向客戶交付本地化部署前用於模型訓練及微調的算力成本以及通過雲端部署為客戶提供服務所使用的算力成本…每次該等調用會消耗算力…這筆費用主要指支付給第三方雲服務提供商支持我們的模型訓練、託管及推算的計算資源的金額」</t>
    </r>
  </si>
  <si>
    <t xml:space="preserve">SRC_ZP_718</t>
  </si>
  <si>
    <t xml:space="preserve">sm_compute_fy22</t>
  </si>
  <si>
    <t xml:space="preserve">銷售及營銷開支：算力服務費</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</si>
  <si>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268 </t>
    </r>
    <r>
      <rPr>
        <sz val="10"/>
        <color rgb="FF000000"/>
        <rFont val="Noto Sans CJK SC"/>
        <family val="2"/>
      </rPr>
      <t xml:space="preserve">頁</t>
    </r>
  </si>
  <si>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</si>
  <si>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SRC_ZP_719</t>
  </si>
  <si>
    <t xml:space="preserve">sm_compute_fy23</t>
  </si>
  <si>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1,852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</si>
  <si>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SRC_ZP_720</t>
  </si>
  <si>
    <t xml:space="preserve">sm_compute_fy24</t>
  </si>
  <si>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12,840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</si>
  <si>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SRC_ZP_721</t>
  </si>
  <si>
    <t xml:space="preserve">sm_compute_1h24</t>
  </si>
  <si>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2,287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</si>
  <si>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SRC_ZP_722</t>
  </si>
  <si>
    <t xml:space="preserve">sm_compute_1h25</t>
  </si>
  <si>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20,564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</si>
  <si>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SRC_ZP_723</t>
  </si>
  <si>
    <t xml:space="preserve">sm_staff_fy22</t>
  </si>
  <si>
    <t xml:space="preserve">銷售及營銷開支：工資成本（含股權報酬）</t>
  </si>
  <si>
    <r>
      <rPr>
        <sz val="10"/>
        <color rgb="FF000000"/>
        <rFont val="Noto Sans CJK SC"/>
        <family val="2"/>
      </rPr>
      <t xml:space="preserve">銷售及營銷開支明細表「工資成本」；千元值 </t>
    </r>
    <r>
      <rPr>
        <sz val="10"/>
        <color rgb="FF000000"/>
        <rFont val="Arial"/>
        <family val="0"/>
        <charset val="1"/>
      </rPr>
      <t xml:space="preserve">11,378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</si>
  <si>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SRC_ZP_724</t>
  </si>
  <si>
    <t xml:space="preserve">sm_staff_fy23</t>
  </si>
  <si>
    <r>
      <rPr>
        <sz val="10"/>
        <color rgb="FF000000"/>
        <rFont val="Noto Sans CJK SC"/>
        <family val="2"/>
      </rPr>
      <t xml:space="preserve">銷售及營銷開支明細表「工資成本」；千元值 </t>
    </r>
    <r>
      <rPr>
        <sz val="10"/>
        <color rgb="FF000000"/>
        <rFont val="Arial"/>
        <family val="0"/>
        <charset val="1"/>
      </rPr>
      <t xml:space="preserve">30,334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</si>
  <si>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SRC_ZP_725</t>
  </si>
  <si>
    <t xml:space="preserve">sm_staff_fy24</t>
  </si>
  <si>
    <r>
      <rPr>
        <sz val="10"/>
        <color rgb="FF000000"/>
        <rFont val="Noto Sans CJK SC"/>
        <family val="2"/>
      </rPr>
      <t xml:space="preserve">銷售及營銷開支明細表「工資成本」；千元值 </t>
    </r>
    <r>
      <rPr>
        <sz val="10"/>
        <color rgb="FF000000"/>
        <rFont val="Arial"/>
        <family val="0"/>
        <charset val="1"/>
      </rPr>
      <t xml:space="preserve">93,695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</si>
  <si>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SRC_ZP_726</t>
  </si>
  <si>
    <t xml:space="preserve">sm_staff_1h24</t>
  </si>
  <si>
    <r>
      <rPr>
        <sz val="10"/>
        <color rgb="FF000000"/>
        <rFont val="Noto Sans CJK SC"/>
        <family val="2"/>
      </rPr>
      <t xml:space="preserve">銷售及營銷開支明細表「工資成本」；千元值 </t>
    </r>
    <r>
      <rPr>
        <sz val="10"/>
        <color rgb="FF000000"/>
        <rFont val="Arial"/>
        <family val="0"/>
        <charset val="1"/>
      </rPr>
      <t xml:space="preserve">44,493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</si>
  <si>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SRC_ZP_727</t>
  </si>
  <si>
    <t xml:space="preserve">sm_staff_1h25</t>
  </si>
  <si>
    <r>
      <rPr>
        <sz val="10"/>
        <color rgb="FF000000"/>
        <rFont val="Noto Sans CJK SC"/>
        <family val="2"/>
      </rPr>
      <t xml:space="preserve">銷售及營銷開支明細表「工資成本」；千元值 </t>
    </r>
    <r>
      <rPr>
        <sz val="10"/>
        <color rgb="FF000000"/>
        <rFont val="Arial"/>
        <family val="0"/>
        <charset val="1"/>
      </rPr>
      <t xml:space="preserve">71,744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</si>
  <si>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SRC_ZP_728</t>
  </si>
  <si>
    <t xml:space="preserve">sm_ad_fy22</t>
  </si>
  <si>
    <t xml:space="preserve">銷售及營銷開支：廣告及營銷開支</t>
  </si>
  <si>
    <r>
      <rPr>
        <sz val="10"/>
        <color rgb="FF000000"/>
        <rFont val="Noto Sans CJK SC"/>
        <family val="2"/>
      </rPr>
      <t xml:space="preserve">銷售及營銷開支明細表「廣告及營銷開支」；千元值 </t>
    </r>
    <r>
      <rPr>
        <sz val="10"/>
        <color rgb="FF000000"/>
        <rFont val="Arial"/>
        <family val="0"/>
        <charset val="1"/>
      </rPr>
      <t xml:space="preserve">1,167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</si>
  <si>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SRC_ZP_729</t>
  </si>
  <si>
    <t xml:space="preserve">sm_ad_fy23</t>
  </si>
  <si>
    <r>
      <rPr>
        <sz val="10"/>
        <color rgb="FF000000"/>
        <rFont val="Noto Sans CJK SC"/>
        <family val="2"/>
      </rPr>
      <t xml:space="preserve">銷售及營銷開支明細表「廣告及營銷開支」；千元值 </t>
    </r>
    <r>
      <rPr>
        <sz val="10"/>
        <color rgb="FF000000"/>
        <rFont val="Arial"/>
        <family val="0"/>
        <charset val="1"/>
      </rPr>
      <t xml:space="preserve">54,868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</si>
  <si>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SRC_ZP_730</t>
  </si>
  <si>
    <t xml:space="preserve">sm_ad_fy24</t>
  </si>
  <si>
    <r>
      <rPr>
        <sz val="10"/>
        <color rgb="FF000000"/>
        <rFont val="Noto Sans CJK SC"/>
        <family val="2"/>
      </rPr>
      <t xml:space="preserve">銷售及營銷開支明細表「廣告及營銷開支」；千元值 </t>
    </r>
    <r>
      <rPr>
        <sz val="10"/>
        <color rgb="FF000000"/>
        <rFont val="Arial"/>
        <family val="0"/>
        <charset val="1"/>
      </rPr>
      <t xml:space="preserve">237,453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</si>
  <si>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SRC_ZP_731</t>
  </si>
  <si>
    <t xml:space="preserve">sm_ad_1h24</t>
  </si>
  <si>
    <r>
      <rPr>
        <sz val="10"/>
        <color rgb="FF000000"/>
        <rFont val="Noto Sans CJK SC"/>
        <family val="2"/>
      </rPr>
      <t xml:space="preserve">銷售及營銷開支明細表「廣告及營銷開支」；千元值 </t>
    </r>
    <r>
      <rPr>
        <sz val="10"/>
        <color rgb="FF000000"/>
        <rFont val="Arial"/>
        <family val="0"/>
        <charset val="1"/>
      </rPr>
      <t xml:space="preserve">80,713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</si>
  <si>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SRC_ZP_732</t>
  </si>
  <si>
    <t xml:space="preserve">sm_ad_1h25</t>
  </si>
  <si>
    <r>
      <rPr>
        <sz val="10"/>
        <color rgb="FF000000"/>
        <rFont val="Noto Sans CJK SC"/>
        <family val="2"/>
      </rPr>
      <t xml:space="preserve">銷售及營銷開支明細表「廣告及營銷開支」；千元值 </t>
    </r>
    <r>
      <rPr>
        <sz val="10"/>
        <color rgb="FF000000"/>
        <rFont val="Arial"/>
        <family val="0"/>
        <charset val="1"/>
      </rPr>
      <t xml:space="preserve">95,675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</si>
  <si>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SRC_ZP_733</t>
  </si>
  <si>
    <t xml:space="preserve">ga_staff_fy22</t>
  </si>
  <si>
    <t xml:space="preserve">一般及行政開支：工資成本（含股權報酬）</t>
  </si>
  <si>
    <r>
      <rPr>
        <sz val="10"/>
        <color rgb="FF000000"/>
        <rFont val="Noto Sans CJK SC"/>
        <family val="2"/>
      </rPr>
      <t xml:space="preserve">一般及行政開支明細表「工資成本」；千元值 </t>
    </r>
    <r>
      <rPr>
        <sz val="10"/>
        <color rgb="FF000000"/>
        <rFont val="Arial"/>
        <family val="0"/>
        <charset val="1"/>
      </rPr>
      <t xml:space="preserve">20,923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</si>
  <si>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SRC_ZP_734</t>
  </si>
  <si>
    <t xml:space="preserve">ga_staff_fy23</t>
  </si>
  <si>
    <r>
      <rPr>
        <sz val="10"/>
        <color rgb="FF000000"/>
        <rFont val="Noto Sans CJK SC"/>
        <family val="2"/>
      </rPr>
      <t xml:space="preserve">一般及行政開支明細表「工資成本」；千元值 </t>
    </r>
    <r>
      <rPr>
        <sz val="10"/>
        <color rgb="FF000000"/>
        <rFont val="Arial"/>
        <family val="0"/>
        <charset val="1"/>
      </rPr>
      <t xml:space="preserve">33,956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</si>
  <si>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SRC_ZP_735</t>
  </si>
  <si>
    <t xml:space="preserve">ga_staff_fy24</t>
  </si>
  <si>
    <r>
      <rPr>
        <sz val="10"/>
        <color rgb="FF000000"/>
        <rFont val="Noto Sans CJK SC"/>
        <family val="2"/>
      </rPr>
      <t xml:space="preserve">一般及行政開支明細表「工資成本」；千元值 </t>
    </r>
    <r>
      <rPr>
        <sz val="10"/>
        <color rgb="FF000000"/>
        <rFont val="Arial"/>
        <family val="0"/>
        <charset val="1"/>
      </rPr>
      <t xml:space="preserve">78,369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</si>
  <si>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SRC_ZP_736</t>
  </si>
  <si>
    <t xml:space="preserve">ga_staff_1h24</t>
  </si>
  <si>
    <r>
      <rPr>
        <sz val="10"/>
        <color rgb="FF000000"/>
        <rFont val="Noto Sans CJK SC"/>
        <family val="2"/>
      </rPr>
      <t xml:space="preserve">一般及行政開支明細表「工資成本」；千元值 </t>
    </r>
    <r>
      <rPr>
        <sz val="10"/>
        <color rgb="FF000000"/>
        <rFont val="Arial"/>
        <family val="0"/>
        <charset val="1"/>
      </rPr>
      <t xml:space="preserve">29,041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</si>
  <si>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SRC_ZP_737</t>
  </si>
  <si>
    <t xml:space="preserve">ga_staff_1h25</t>
  </si>
  <si>
    <r>
      <rPr>
        <sz val="10"/>
        <color rgb="FF000000"/>
        <rFont val="Noto Sans CJK SC"/>
        <family val="2"/>
      </rPr>
      <t xml:space="preserve">一般及行政開支明細表「工資成本」；千元值 </t>
    </r>
    <r>
      <rPr>
        <sz val="10"/>
        <color rgb="FF000000"/>
        <rFont val="Arial"/>
        <family val="0"/>
        <charset val="1"/>
      </rPr>
      <t xml:space="preserve">124,655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</si>
  <si>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SRC_ZP_738</t>
  </si>
  <si>
    <t xml:space="preserve">cmp_fee_total_fy22_p</t>
  </si>
  <si>
    <t xml:space="preserve">算力服務費合計（研發＋營業成本＋銷售及營銷）</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</si>
  <si>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265</t>
    </r>
    <r>
      <rPr>
        <sz val="10"/>
        <color rgb="FF000000"/>
        <rFont val="Noto Sans CJK SC"/>
        <family val="2"/>
      </rPr>
      <t xml:space="preserve">、</t>
    </r>
    <r>
      <rPr>
        <sz val="10"/>
        <color rgb="FF000000"/>
        <rFont val="Arial"/>
        <family val="0"/>
        <charset val="1"/>
      </rPr>
      <t xml:space="preserve">267</t>
    </r>
    <r>
      <rPr>
        <sz val="10"/>
        <color rgb="FF000000"/>
        <rFont val="Noto Sans CJK SC"/>
        <family val="2"/>
      </rPr>
      <t xml:space="preserve">、</t>
    </r>
    <r>
      <rPr>
        <sz val="10"/>
        <color rgb="FF000000"/>
        <rFont val="Arial"/>
        <family val="0"/>
        <charset val="1"/>
      </rPr>
      <t xml:space="preserve">268 </t>
    </r>
    <r>
      <rPr>
        <sz val="10"/>
        <color rgb="FF000000"/>
        <rFont val="Noto Sans CJK SC"/>
        <family val="2"/>
      </rPr>
      <t xml:space="preserve">頁</t>
    </r>
  </si>
  <si>
    <t xml:space="preserve">由經審計科目加總</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</si>
  <si>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14,633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頁；與既有值差異：媒體 </t>
    </r>
    <r>
      <rPr>
        <sz val="10"/>
        <color rgb="FF000000"/>
        <rFont val="Arial"/>
        <family val="0"/>
        <charset val="1"/>
      </rPr>
      <t xml:space="preserve">0.15 </t>
    </r>
    <r>
      <rPr>
        <sz val="10"/>
        <color rgb="FF000000"/>
        <rFont val="Noto Sans CJK SC"/>
        <family val="2"/>
      </rPr>
      <t xml:space="preserve">億標為「含訓練與雲端部署」，實為研發項下；三科目合計仍 </t>
    </r>
    <r>
      <rPr>
        <sz val="10"/>
        <color rgb="FF000000"/>
        <rFont val="Arial"/>
        <family val="0"/>
        <charset val="1"/>
      </rPr>
      <t xml:space="preserve">14,633 </t>
    </r>
    <r>
      <rPr>
        <sz val="10"/>
        <color rgb="FF000000"/>
        <rFont val="Noto Sans CJK SC"/>
        <family val="2"/>
      </rPr>
      <t xml:space="preserve">千元（</t>
    </r>
    <r>
      <rPr>
        <sz val="10"/>
        <color rgb="FF000000"/>
        <rFont val="Arial"/>
        <family val="0"/>
        <charset val="1"/>
      </rPr>
      <t xml:space="preserve">FY22 </t>
    </r>
    <r>
      <rPr>
        <sz val="10"/>
        <color rgb="FF000000"/>
        <rFont val="Noto Sans CJK SC"/>
        <family val="2"/>
      </rPr>
      <t xml:space="preserve">營業成本、銷售無算力費）</t>
    </r>
  </si>
  <si>
    <t xml:space="preserve">SRC_ZP_739</t>
  </si>
  <si>
    <t xml:space="preserve">cmp_fee_total_fy23</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</si>
  <si>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325,594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t>
    </r>
  </si>
  <si>
    <t xml:space="preserve">SRC_ZP_740</t>
  </si>
  <si>
    <t xml:space="preserve">cmp_fee_total_fy24_p</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</si>
  <si>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1,595,845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頁；與既有值差異：媒體 </t>
    </r>
    <r>
      <rPr>
        <sz val="10"/>
        <color rgb="FF000000"/>
        <rFont val="Arial"/>
        <family val="0"/>
        <charset val="1"/>
      </rPr>
      <t xml:space="preserve">15.52 </t>
    </r>
    <r>
      <rPr>
        <sz val="10"/>
        <color rgb="FF000000"/>
        <rFont val="Noto Sans CJK SC"/>
        <family val="2"/>
      </rPr>
      <t xml:space="preserve">億標為「研發＋銷售成本合計」，實為研發項下 </t>
    </r>
    <r>
      <rPr>
        <sz val="10"/>
        <color rgb="FF000000"/>
        <rFont val="Arial"/>
        <family val="0"/>
        <charset val="1"/>
      </rPr>
      <t xml:space="preserve">15.53 </t>
    </r>
    <r>
      <rPr>
        <sz val="10"/>
        <color rgb="FF000000"/>
        <rFont val="Noto Sans CJK SC"/>
        <family val="2"/>
      </rPr>
      <t xml:space="preserve">億；三科目合計 </t>
    </r>
    <r>
      <rPr>
        <sz val="10"/>
        <color rgb="FF000000"/>
        <rFont val="Arial"/>
        <family val="0"/>
        <charset val="1"/>
      </rPr>
      <t xml:space="preserve">15.96 </t>
    </r>
    <r>
      <rPr>
        <sz val="10"/>
        <color rgb="FF000000"/>
        <rFont val="Noto Sans CJK SC"/>
        <family val="2"/>
      </rPr>
      <t xml:space="preserve">億；亦取代 </t>
    </r>
    <r>
      <rPr>
        <sz val="10"/>
        <color rgb="FF000000"/>
        <rFont val="Arial"/>
        <family val="0"/>
        <charset val="1"/>
      </rPr>
      <t xml:space="preserve">SRC_ZP_449</t>
    </r>
  </si>
  <si>
    <t xml:space="preserve">SRC_ZP_741</t>
  </si>
  <si>
    <t xml:space="preserve">cmp_fee_total_1h24</t>
  </si>
  <si>
    <t xml:space="preserve">由經審閱科目加總</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</si>
  <si>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613,975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t>
    </r>
  </si>
  <si>
    <t xml:space="preserve">SRC_ZP_742</t>
  </si>
  <si>
    <t xml:space="preserve">cmp_fee_total_1h25_p</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</si>
  <si>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1,201,533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頁；與既有值差異：媒體 </t>
    </r>
    <r>
      <rPr>
        <sz val="10"/>
        <color rgb="FF000000"/>
        <rFont val="Arial"/>
        <family val="0"/>
        <charset val="1"/>
      </rPr>
      <t xml:space="preserve">11.45 </t>
    </r>
    <r>
      <rPr>
        <sz val="10"/>
        <color rgb="FF000000"/>
        <rFont val="Noto Sans CJK SC"/>
        <family val="2"/>
      </rPr>
      <t xml:space="preserve">億為研發項下；三科目合計 </t>
    </r>
    <r>
      <rPr>
        <sz val="10"/>
        <color rgb="FF000000"/>
        <rFont val="Arial"/>
        <family val="0"/>
        <charset val="1"/>
      </rPr>
      <t xml:space="preserve">12.02 </t>
    </r>
    <r>
      <rPr>
        <sz val="10"/>
        <color rgb="FF000000"/>
        <rFont val="Noto Sans CJK SC"/>
        <family val="2"/>
      </rPr>
      <t xml:space="preserve">億</t>
    </r>
  </si>
  <si>
    <t xml:space="preserve">SRC_ZP_743</t>
  </si>
  <si>
    <t xml:space="preserve">cmp_fee_split_fy22</t>
  </si>
  <si>
    <t xml:space="preserve">算力服務費去向：研發／營業成本／銷售 占比</t>
  </si>
  <si>
    <r>
      <rPr>
        <sz val="10"/>
        <color rgb="FF000000"/>
        <rFont val="Arial"/>
        <family val="0"/>
        <charset val="1"/>
      </rPr>
      <t xml:space="preserve">%</t>
    </r>
    <r>
      <rPr>
        <sz val="10"/>
        <color rgb="FF000000"/>
        <rFont val="Noto Sans CJK SC"/>
        <family val="2"/>
      </rPr>
      <t xml:space="preserve">（研發占比）</t>
    </r>
  </si>
  <si>
    <t xml:space="preserve">由經審計科目推算</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</si>
  <si>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100.0%</t>
    </r>
    <r>
      <rPr>
        <sz val="10"/>
        <color rgb="FF000000"/>
        <rFont val="Noto Sans CJK SC"/>
        <family val="2"/>
      </rPr>
      <t xml:space="preserve">、營業成本 </t>
    </r>
    <r>
      <rPr>
        <sz val="10"/>
        <color rgb="FF000000"/>
        <rFont val="Arial"/>
        <family val="0"/>
        <charset val="1"/>
      </rPr>
      <t xml:space="preserve">0.0%</t>
    </r>
    <r>
      <rPr>
        <sz val="10"/>
        <color rgb="FF000000"/>
        <rFont val="Noto Sans CJK SC"/>
        <family val="2"/>
      </rPr>
      <t xml:space="preserve">、銷售及營銷 </t>
    </r>
    <r>
      <rPr>
        <sz val="10"/>
        <color rgb="FF000000"/>
        <rFont val="Arial"/>
        <family val="0"/>
        <charset val="1"/>
      </rPr>
      <t xml:space="preserve">0.0%</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</si>
  <si>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SRC_ZP_744</t>
  </si>
  <si>
    <t xml:space="preserve">cmp_fee_split_fy23</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</si>
  <si>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95.7%</t>
    </r>
    <r>
      <rPr>
        <sz val="10"/>
        <color rgb="FF000000"/>
        <rFont val="Noto Sans CJK SC"/>
        <family val="2"/>
      </rPr>
      <t xml:space="preserve">、營業成本 </t>
    </r>
    <r>
      <rPr>
        <sz val="10"/>
        <color rgb="FF000000"/>
        <rFont val="Arial"/>
        <family val="0"/>
        <charset val="1"/>
      </rPr>
      <t xml:space="preserve">3.7%</t>
    </r>
    <r>
      <rPr>
        <sz val="10"/>
        <color rgb="FF000000"/>
        <rFont val="Noto Sans CJK SC"/>
        <family val="2"/>
      </rPr>
      <t xml:space="preserve">、銷售及營銷 </t>
    </r>
    <r>
      <rPr>
        <sz val="10"/>
        <color rgb="FF000000"/>
        <rFont val="Arial"/>
        <family val="0"/>
        <charset val="1"/>
      </rPr>
      <t xml:space="preserve">0.6%</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</si>
  <si>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SRC_ZP_745</t>
  </si>
  <si>
    <t xml:space="preserve">cmp_fee_split_fy24</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</si>
  <si>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97.3%</t>
    </r>
    <r>
      <rPr>
        <sz val="10"/>
        <color rgb="FF000000"/>
        <rFont val="Noto Sans CJK SC"/>
        <family val="2"/>
      </rPr>
      <t xml:space="preserve">、營業成本 </t>
    </r>
    <r>
      <rPr>
        <sz val="10"/>
        <color rgb="FF000000"/>
        <rFont val="Arial"/>
        <family val="0"/>
        <charset val="1"/>
      </rPr>
      <t xml:space="preserve">1.9%</t>
    </r>
    <r>
      <rPr>
        <sz val="10"/>
        <color rgb="FF000000"/>
        <rFont val="Noto Sans CJK SC"/>
        <family val="2"/>
      </rPr>
      <t xml:space="preserve">、銷售及營銷 </t>
    </r>
    <r>
      <rPr>
        <sz val="10"/>
        <color rgb="FF000000"/>
        <rFont val="Arial"/>
        <family val="0"/>
        <charset val="1"/>
      </rPr>
      <t xml:space="preserve">0.8%</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</si>
  <si>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SRC_ZP_746</t>
  </si>
  <si>
    <t xml:space="preserve">cmp_fee_split_1h24</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</si>
  <si>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98.3%</t>
    </r>
    <r>
      <rPr>
        <sz val="10"/>
        <color rgb="FF000000"/>
        <rFont val="Noto Sans CJK SC"/>
        <family val="2"/>
      </rPr>
      <t xml:space="preserve">、營業成本 </t>
    </r>
    <r>
      <rPr>
        <sz val="10"/>
        <color rgb="FF000000"/>
        <rFont val="Arial"/>
        <family val="0"/>
        <charset val="1"/>
      </rPr>
      <t xml:space="preserve">1.4%</t>
    </r>
    <r>
      <rPr>
        <sz val="10"/>
        <color rgb="FF000000"/>
        <rFont val="Noto Sans CJK SC"/>
        <family val="2"/>
      </rPr>
      <t xml:space="preserve">、銷售及營銷 </t>
    </r>
    <r>
      <rPr>
        <sz val="10"/>
        <color rgb="FF000000"/>
        <rFont val="Arial"/>
        <family val="0"/>
        <charset val="1"/>
      </rPr>
      <t xml:space="preserve">0.4%</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</si>
  <si>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SRC_ZP_747</t>
  </si>
  <si>
    <t xml:space="preserve">cmp_fee_split_1h25</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</si>
  <si>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95.3%</t>
    </r>
    <r>
      <rPr>
        <sz val="10"/>
        <color rgb="FF000000"/>
        <rFont val="Noto Sans CJK SC"/>
        <family val="2"/>
      </rPr>
      <t xml:space="preserve">、營業成本 </t>
    </r>
    <r>
      <rPr>
        <sz val="10"/>
        <color rgb="FF000000"/>
        <rFont val="Arial"/>
        <family val="0"/>
        <charset val="1"/>
      </rPr>
      <t xml:space="preserve">3.0%</t>
    </r>
    <r>
      <rPr>
        <sz val="10"/>
        <color rgb="FF000000"/>
        <rFont val="Noto Sans CJK SC"/>
        <family val="2"/>
      </rPr>
      <t xml:space="preserve">、銷售及營銷 </t>
    </r>
    <r>
      <rPr>
        <sz val="10"/>
        <color rgb="FF000000"/>
        <rFont val="Arial"/>
        <family val="0"/>
        <charset val="1"/>
      </rPr>
      <t xml:space="preserve">1.7%</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</si>
  <si>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SRC_ZP_748</t>
  </si>
  <si>
    <t xml:space="preserve">sup_a_1h25</t>
  </si>
  <si>
    <r>
      <rPr>
        <sz val="10"/>
        <color rgb="FF000000"/>
        <rFont val="Noto Sans CJK SC"/>
        <family val="2"/>
      </rPr>
      <t xml:space="preserve">供應商</t>
    </r>
    <r>
      <rPr>
        <sz val="10"/>
        <color rgb="FF000000"/>
        <rFont val="Arial"/>
        <family val="0"/>
        <charset val="1"/>
      </rPr>
      <t xml:space="preserve">A</t>
    </r>
    <r>
      <rPr>
        <sz val="10"/>
        <color rgb="FF000000"/>
        <rFont val="Noto Sans CJK SC"/>
        <family val="2"/>
      </rPr>
      <t xml:space="preserve">採購額（計算服務）</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</si>
  <si>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216 </t>
    </r>
    <r>
      <rPr>
        <sz val="10"/>
        <color rgb="FF000000"/>
        <rFont val="Noto Sans CJK SC"/>
        <family val="2"/>
      </rPr>
      <t xml:space="preserve">頁</t>
    </r>
  </si>
  <si>
    <r>
      <rPr>
        <sz val="10"/>
        <color rgb="FF000000"/>
        <rFont val="Noto Sans CJK SC"/>
        <family val="2"/>
      </rPr>
      <t xml:space="preserve">五大供應商表：供應商</t>
    </r>
    <r>
      <rPr>
        <sz val="10"/>
        <color rgb="FF000000"/>
        <rFont val="Arial"/>
        <family val="0"/>
        <charset val="1"/>
      </rPr>
      <t xml:space="preserve">A</t>
    </r>
    <r>
      <rPr>
        <sz val="10"/>
        <color rgb="FF000000"/>
        <rFont val="Noto Sans CJK SC"/>
        <family val="2"/>
      </rPr>
      <t xml:space="preserve">｜採購內容「計算服務」｜合作年數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t>
    </r>
    <r>
      <rPr>
        <sz val="10"/>
        <color rgb="FF000000"/>
        <rFont val="Arial"/>
        <family val="0"/>
        <charset val="1"/>
      </rPr>
      <t xml:space="preserve">30</t>
    </r>
    <r>
      <rPr>
        <sz val="10"/>
        <color rgb="FF000000"/>
        <rFont val="Noto Sans CJK SC"/>
        <family val="2"/>
      </rPr>
      <t xml:space="preserve">日」｜</t>
    </r>
    <r>
      <rPr>
        <sz val="10"/>
        <color rgb="FF000000"/>
        <rFont val="Arial"/>
        <family val="0"/>
        <charset val="1"/>
      </rPr>
      <t xml:space="preserve">207,921 </t>
    </r>
    <r>
      <rPr>
        <sz val="10"/>
        <color rgb="FF000000"/>
        <rFont val="Noto Sans CJK SC"/>
        <family val="2"/>
      </rPr>
      <t xml:space="preserve">千元｜占採購總額 </t>
    </r>
    <r>
      <rPr>
        <sz val="10"/>
        <color rgb="FF000000"/>
        <rFont val="Arial"/>
        <family val="0"/>
        <charset val="1"/>
      </rPr>
      <t xml:space="preserve">13.4%</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10.0 </t>
    </r>
    <r>
      <rPr>
        <sz val="10"/>
        <color rgb="FF000000"/>
        <rFont val="Noto Sans CJK SC"/>
        <family val="2"/>
      </rPr>
      <t xml:space="preserve">百萬元</t>
    </r>
  </si>
  <si>
    <t xml:space="preserve">SRC_ZP_749</t>
  </si>
  <si>
    <t xml:space="preserve">sup_b_1h25</t>
  </si>
  <si>
    <r>
      <rPr>
        <sz val="10"/>
        <color rgb="FF000000"/>
        <rFont val="Noto Sans CJK SC"/>
        <family val="2"/>
      </rPr>
      <t xml:space="preserve">供應商</t>
    </r>
    <r>
      <rPr>
        <sz val="10"/>
        <color rgb="FF000000"/>
        <rFont val="Arial"/>
        <family val="0"/>
        <charset val="1"/>
      </rPr>
      <t xml:space="preserve">B</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</si>
  <si>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B</t>
    </r>
    <r>
      <rPr>
        <sz val="10"/>
        <color rgb="FF000000"/>
        <rFont val="Noto Sans CJK SC"/>
        <family val="2"/>
      </rPr>
      <t xml:space="preserve">｜採購內容「計算服務」｜合作年數 </t>
    </r>
    <r>
      <rPr>
        <sz val="10"/>
        <color rgb="FF000000"/>
        <rFont val="Arial"/>
        <family val="0"/>
        <charset val="1"/>
      </rPr>
      <t xml:space="preserve">1</t>
    </r>
    <r>
      <rPr>
        <sz val="10"/>
        <color rgb="FF000000"/>
        <rFont val="Noto Sans CJK SC"/>
        <family val="2"/>
      </rPr>
      <t xml:space="preserve">（表頭因字型缺失無法顯示，依欄位推定為業務關係年數）｜信貸期「</t>
    </r>
    <r>
      <rPr>
        <sz val="10"/>
        <color rgb="FF000000"/>
        <rFont val="Arial"/>
        <family val="0"/>
        <charset val="1"/>
      </rPr>
      <t xml:space="preserve">10</t>
    </r>
    <r>
      <rPr>
        <sz val="10"/>
        <color rgb="FF000000"/>
        <rFont val="Noto Sans CJK SC"/>
        <family val="2"/>
      </rPr>
      <t xml:space="preserve">個工作日」｜</t>
    </r>
    <r>
      <rPr>
        <sz val="10"/>
        <color rgb="FF000000"/>
        <rFont val="Arial"/>
        <family val="0"/>
        <charset val="1"/>
      </rPr>
      <t xml:space="preserve">157,052 </t>
    </r>
    <r>
      <rPr>
        <sz val="10"/>
        <color rgb="FF000000"/>
        <rFont val="Noto Sans CJK SC"/>
        <family val="2"/>
      </rPr>
      <t xml:space="preserve">千元｜占採購總額 </t>
    </r>
    <r>
      <rPr>
        <sz val="10"/>
        <color rgb="FF000000"/>
        <rFont val="Arial"/>
        <family val="0"/>
        <charset val="1"/>
      </rPr>
      <t xml:space="preserve">10.1%</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16 </t>
    </r>
    <r>
      <rPr>
        <sz val="10"/>
        <color rgb="FF000000"/>
        <rFont val="Noto Sans CJK SC"/>
        <family val="2"/>
      </rPr>
      <t xml:space="preserve">億元</t>
    </r>
  </si>
  <si>
    <t xml:space="preserve">SRC_ZP_750</t>
  </si>
  <si>
    <t xml:space="preserve">sup_c_1h25</t>
  </si>
  <si>
    <r>
      <rPr>
        <sz val="10"/>
        <color rgb="FF000000"/>
        <rFont val="Noto Sans CJK SC"/>
        <family val="2"/>
      </rPr>
      <t xml:space="preserve">供應商</t>
    </r>
    <r>
      <rPr>
        <sz val="10"/>
        <color rgb="FF000000"/>
        <rFont val="Arial"/>
        <family val="0"/>
        <charset val="1"/>
      </rPr>
      <t xml:space="preserve">C</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</si>
  <si>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C</t>
    </r>
    <r>
      <rPr>
        <sz val="10"/>
        <color rgb="FF000000"/>
        <rFont val="Noto Sans CJK SC"/>
        <family val="2"/>
      </rPr>
      <t xml:space="preserve">｜採購內容「計算服務」｜合作年數 </t>
    </r>
    <r>
      <rPr>
        <sz val="10"/>
        <color rgb="FF000000"/>
        <rFont val="Arial"/>
        <family val="0"/>
        <charset val="1"/>
      </rPr>
      <t xml:space="preserve">1</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152,430 </t>
    </r>
    <r>
      <rPr>
        <sz val="10"/>
        <color rgb="FF000000"/>
        <rFont val="Noto Sans CJK SC"/>
        <family val="2"/>
      </rPr>
      <t xml:space="preserve">千元｜占採購總額 </t>
    </r>
    <r>
      <rPr>
        <sz val="10"/>
        <color rgb="FF000000"/>
        <rFont val="Arial"/>
        <family val="0"/>
        <charset val="1"/>
      </rPr>
      <t xml:space="preserve">9.8%</t>
    </r>
    <r>
      <rPr>
        <sz val="10"/>
        <color rgb="FF000000"/>
        <rFont val="Noto Sans CJK SC"/>
        <family val="2"/>
      </rPr>
      <t xml:space="preserve">；嘉興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721.1 </t>
    </r>
    <r>
      <rPr>
        <sz val="10"/>
        <color rgb="FF000000"/>
        <rFont val="Noto Sans CJK SC"/>
        <family val="2"/>
      </rPr>
      <t xml:space="preserve">百萬元</t>
    </r>
  </si>
  <si>
    <t xml:space="preserve">SRC_ZP_751</t>
  </si>
  <si>
    <t xml:space="preserve">sup_d_1h25</t>
  </si>
  <si>
    <r>
      <rPr>
        <sz val="10"/>
        <color rgb="FF000000"/>
        <rFont val="Noto Sans CJK SC"/>
        <family val="2"/>
      </rPr>
      <t xml:space="preserve">供應商</t>
    </r>
    <r>
      <rPr>
        <sz val="10"/>
        <color rgb="FF000000"/>
        <rFont val="Arial"/>
        <family val="0"/>
        <charset val="1"/>
      </rPr>
      <t xml:space="preserve">D</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</si>
  <si>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D</t>
    </r>
    <r>
      <rPr>
        <sz val="10"/>
        <color rgb="FF000000"/>
        <rFont val="Noto Sans CJK SC"/>
        <family val="2"/>
      </rPr>
      <t xml:space="preserve">｜採購內容「計算服務」｜合作年數 </t>
    </r>
    <r>
      <rPr>
        <sz val="10"/>
        <color rgb="FF000000"/>
        <rFont val="Arial"/>
        <family val="0"/>
        <charset val="1"/>
      </rPr>
      <t xml:space="preserve">4</t>
    </r>
    <r>
      <rPr>
        <sz val="10"/>
        <color rgb="FF000000"/>
        <rFont val="Noto Sans CJK SC"/>
        <family val="2"/>
      </rPr>
      <t xml:space="preserve">（表頭因字型缺失無法顯示，依欄位推定為業務關係年數）｜信貸期「</t>
    </r>
    <r>
      <rPr>
        <sz val="10"/>
        <color rgb="FF000000"/>
        <rFont val="Arial"/>
        <family val="0"/>
        <charset val="1"/>
      </rPr>
      <t xml:space="preserve">5</t>
    </r>
    <r>
      <rPr>
        <sz val="10"/>
        <color rgb="FF000000"/>
        <rFont val="Noto Sans CJK SC"/>
        <family val="2"/>
      </rPr>
      <t xml:space="preserve">至</t>
    </r>
    <r>
      <rPr>
        <sz val="10"/>
        <color rgb="FF000000"/>
        <rFont val="Arial"/>
        <family val="0"/>
        <charset val="1"/>
      </rPr>
      <t xml:space="preserve">15</t>
    </r>
    <r>
      <rPr>
        <sz val="10"/>
        <color rgb="FF000000"/>
        <rFont val="Noto Sans CJK SC"/>
        <family val="2"/>
      </rPr>
      <t xml:space="preserve">個工作日」｜</t>
    </r>
    <r>
      <rPr>
        <sz val="10"/>
        <color rgb="FF000000"/>
        <rFont val="Arial"/>
        <family val="0"/>
        <charset val="1"/>
      </rPr>
      <t xml:space="preserve">139,442 </t>
    </r>
    <r>
      <rPr>
        <sz val="10"/>
        <color rgb="FF000000"/>
        <rFont val="Noto Sans CJK SC"/>
        <family val="2"/>
      </rPr>
      <t xml:space="preserve">千元｜占採購總額 </t>
    </r>
    <r>
      <rPr>
        <sz val="10"/>
        <color rgb="FF000000"/>
        <rFont val="Arial"/>
        <family val="0"/>
        <charset val="1"/>
      </rPr>
      <t xml:space="preserve">9.0%</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58.2 </t>
    </r>
    <r>
      <rPr>
        <sz val="10"/>
        <color rgb="FF000000"/>
        <rFont val="Noto Sans CJK SC"/>
        <family val="2"/>
      </rPr>
      <t xml:space="preserve">百萬元</t>
    </r>
  </si>
  <si>
    <t xml:space="preserve">SRC_ZP_752</t>
  </si>
  <si>
    <t xml:space="preserve">sup_e_1h25</t>
  </si>
  <si>
    <r>
      <rPr>
        <sz val="10"/>
        <color rgb="FF000000"/>
        <rFont val="Noto Sans CJK SC"/>
        <family val="2"/>
      </rPr>
      <t xml:space="preserve">供應商</t>
    </r>
    <r>
      <rPr>
        <sz val="10"/>
        <color rgb="FF000000"/>
        <rFont val="Arial"/>
        <family val="0"/>
        <charset val="1"/>
      </rPr>
      <t xml:space="preserve">E</t>
    </r>
    <r>
      <rPr>
        <sz val="10"/>
        <color rgb="FF000000"/>
        <rFont val="Noto Sans CJK SC"/>
        <family val="2"/>
      </rPr>
      <t xml:space="preserve">採購額（計算服務）</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</si>
  <si>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217 </t>
    </r>
    <r>
      <rPr>
        <sz val="10"/>
        <color rgb="FF000000"/>
        <rFont val="Noto Sans CJK SC"/>
        <family val="2"/>
      </rPr>
      <t xml:space="preserve">頁</t>
    </r>
  </si>
  <si>
    <r>
      <rPr>
        <sz val="10"/>
        <color rgb="FF000000"/>
        <rFont val="Noto Sans CJK SC"/>
        <family val="2"/>
      </rPr>
      <t xml:space="preserve">五大供應商表：供應商</t>
    </r>
    <r>
      <rPr>
        <sz val="10"/>
        <color rgb="FF000000"/>
        <rFont val="Arial"/>
        <family val="0"/>
        <charset val="1"/>
      </rPr>
      <t xml:space="preserve">E</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（表頭因字型缺失無法顯示，依欄位推定為業務關係年數）｜信貸期「不適用」｜</t>
    </r>
    <r>
      <rPr>
        <sz val="10"/>
        <color rgb="FF000000"/>
        <rFont val="Arial"/>
        <family val="0"/>
        <charset val="1"/>
      </rPr>
      <t xml:space="preserve">123,474 </t>
    </r>
    <r>
      <rPr>
        <sz val="10"/>
        <color rgb="FF000000"/>
        <rFont val="Noto Sans CJK SC"/>
        <family val="2"/>
      </rPr>
      <t xml:space="preserve">千元｜占採購總額 </t>
    </r>
    <r>
      <rPr>
        <sz val="10"/>
        <color rgb="FF000000"/>
        <rFont val="Arial"/>
        <family val="0"/>
        <charset val="1"/>
      </rPr>
      <t xml:space="preserve">7.9%</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 </t>
    </r>
    <r>
      <rPr>
        <sz val="10"/>
        <color rgb="FF000000"/>
        <rFont val="Noto Sans CJK SC"/>
        <family val="2"/>
      </rPr>
      <t xml:space="preserve">億元；第 </t>
    </r>
    <r>
      <rPr>
        <sz val="10"/>
        <color rgb="FF000000"/>
        <rFont val="Arial"/>
        <family val="0"/>
        <charset val="1"/>
      </rPr>
      <t xml:space="preserve">218 </t>
    </r>
    <r>
      <rPr>
        <sz val="10"/>
        <color rgb="FF000000"/>
        <rFont val="Noto Sans CJK SC"/>
        <family val="2"/>
      </rPr>
      <t xml:space="preserve">頁稱「雲服務提供商，是中國一家大型互聯網技術公司的附屬公司」；第 </t>
    </r>
    <r>
      <rPr>
        <sz val="10"/>
        <color rgb="FF000000"/>
        <rFont val="Arial"/>
        <family val="0"/>
        <charset val="1"/>
      </rPr>
      <t xml:space="preserve">218 </t>
    </r>
    <r>
      <rPr>
        <sz val="10"/>
        <color rgb="FF000000"/>
        <rFont val="Noto Sans CJK SC"/>
        <family val="2"/>
      </rPr>
      <t xml:space="preserve">頁正文稱 </t>
    </r>
    <r>
      <rPr>
        <sz val="10"/>
        <color rgb="FF000000"/>
        <rFont val="Arial"/>
        <family val="0"/>
        <charset val="1"/>
      </rPr>
      <t xml:space="preserve">1H2025 </t>
    </r>
    <r>
      <rPr>
        <sz val="10"/>
        <color rgb="FF000000"/>
        <rFont val="Noto Sans CJK SC"/>
        <family val="2"/>
      </rPr>
      <t xml:space="preserve">向 </t>
    </r>
    <r>
      <rPr>
        <sz val="10"/>
        <color rgb="FF000000"/>
        <rFont val="Arial"/>
        <family val="0"/>
        <charset val="1"/>
      </rPr>
      <t xml:space="preserve">E </t>
    </r>
    <r>
      <rPr>
        <sz val="10"/>
        <color rgb="FF000000"/>
        <rFont val="Noto Sans CJK SC"/>
        <family val="2"/>
      </rPr>
      <t xml:space="preserve">採購 </t>
    </r>
    <r>
      <rPr>
        <sz val="10"/>
        <color rgb="FF000000"/>
        <rFont val="Arial"/>
        <family val="0"/>
        <charset val="1"/>
      </rPr>
      <t xml:space="preserve">123.5 </t>
    </r>
    <r>
      <rPr>
        <sz val="10"/>
        <color rgb="FF000000"/>
        <rFont val="Noto Sans CJK SC"/>
        <family val="2"/>
      </rPr>
      <t xml:space="preserve">百萬元、占 </t>
    </r>
    <r>
      <rPr>
        <sz val="10"/>
        <color rgb="FF000000"/>
        <rFont val="Arial"/>
        <family val="0"/>
        <charset val="1"/>
      </rPr>
      <t xml:space="preserve">8.2%</t>
    </r>
    <r>
      <rPr>
        <sz val="10"/>
        <color rgb="FF000000"/>
        <rFont val="Noto Sans CJK SC"/>
        <family val="2"/>
      </rPr>
      <t xml:space="preserve">（與表列 </t>
    </r>
    <r>
      <rPr>
        <sz val="10"/>
        <color rgb="FF000000"/>
        <rFont val="Arial"/>
        <family val="0"/>
        <charset val="1"/>
      </rPr>
      <t xml:space="preserve">7.9% </t>
    </r>
    <r>
      <rPr>
        <sz val="10"/>
        <color rgb="FF000000"/>
        <rFont val="Noto Sans CJK SC"/>
        <family val="2"/>
      </rPr>
      <t xml:space="preserve">不一致）</t>
    </r>
  </si>
  <si>
    <t xml:space="preserve">SRC_ZP_753</t>
  </si>
  <si>
    <t xml:space="preserve">sup_e_fy24</t>
  </si>
  <si>
    <r>
      <rPr>
        <sz val="10"/>
        <color rgb="FF000000"/>
        <rFont val="Noto Sans CJK SC"/>
        <family val="2"/>
      </rPr>
      <t xml:space="preserve">五大供應商表：供應商</t>
    </r>
    <r>
      <rPr>
        <sz val="10"/>
        <color rgb="FF000000"/>
        <rFont val="Arial"/>
        <family val="0"/>
        <charset val="1"/>
      </rPr>
      <t xml:space="preserve">E</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（表頭因字型缺失無法顯示，依欄位推定為業務關係年數）｜信貸期「不適用」｜</t>
    </r>
    <r>
      <rPr>
        <sz val="10"/>
        <color rgb="FF000000"/>
        <rFont val="Arial"/>
        <family val="0"/>
        <charset val="1"/>
      </rPr>
      <t xml:space="preserve">394,771 </t>
    </r>
    <r>
      <rPr>
        <sz val="10"/>
        <color rgb="FF000000"/>
        <rFont val="Noto Sans CJK SC"/>
        <family val="2"/>
      </rPr>
      <t xml:space="preserve">千元｜占採購總額 </t>
    </r>
    <r>
      <rPr>
        <sz val="10"/>
        <color rgb="FF000000"/>
        <rFont val="Arial"/>
        <family val="0"/>
        <charset val="1"/>
      </rPr>
      <t xml:space="preserve">15.6%</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 </t>
    </r>
    <r>
      <rPr>
        <sz val="10"/>
        <color rgb="FF000000"/>
        <rFont val="Noto Sans CJK SC"/>
        <family val="2"/>
      </rPr>
      <t xml:space="preserve">億元；第 </t>
    </r>
    <r>
      <rPr>
        <sz val="10"/>
        <color rgb="FF000000"/>
        <rFont val="Arial"/>
        <family val="0"/>
        <charset val="1"/>
      </rPr>
      <t xml:space="preserve">218 </t>
    </r>
    <r>
      <rPr>
        <sz val="10"/>
        <color rgb="FF000000"/>
        <rFont val="Noto Sans CJK SC"/>
        <family val="2"/>
      </rPr>
      <t xml:space="preserve">頁稱「雲服務提供商，是中國一家大型互聯網技術公司的附屬公司」</t>
    </r>
  </si>
  <si>
    <t xml:space="preserve">SRC_ZP_754</t>
  </si>
  <si>
    <t xml:space="preserve">sup_c_fy24</t>
  </si>
  <si>
    <r>
      <rPr>
        <sz val="10"/>
        <color rgb="FF000000"/>
        <rFont val="Noto Sans CJK SC"/>
        <family val="2"/>
      </rPr>
      <t xml:space="preserve">五大供應商表：供應商</t>
    </r>
    <r>
      <rPr>
        <sz val="10"/>
        <color rgb="FF000000"/>
        <rFont val="Arial"/>
        <family val="0"/>
        <charset val="1"/>
      </rPr>
      <t xml:space="preserve">C</t>
    </r>
    <r>
      <rPr>
        <sz val="10"/>
        <color rgb="FF000000"/>
        <rFont val="Noto Sans CJK SC"/>
        <family val="2"/>
      </rPr>
      <t xml:space="preserve">｜採購內容「計算服務」｜合作年數 </t>
    </r>
    <r>
      <rPr>
        <sz val="10"/>
        <color rgb="FF000000"/>
        <rFont val="Arial"/>
        <family val="0"/>
        <charset val="1"/>
      </rPr>
      <t xml:space="preserve">1</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379,829 </t>
    </r>
    <r>
      <rPr>
        <sz val="10"/>
        <color rgb="FF000000"/>
        <rFont val="Noto Sans CJK SC"/>
        <family val="2"/>
      </rPr>
      <t xml:space="preserve">千元｜占採購總額 </t>
    </r>
    <r>
      <rPr>
        <sz val="10"/>
        <color rgb="FF000000"/>
        <rFont val="Arial"/>
        <family val="0"/>
        <charset val="1"/>
      </rPr>
      <t xml:space="preserve">15.0%</t>
    </r>
    <r>
      <rPr>
        <sz val="10"/>
        <color rgb="FF000000"/>
        <rFont val="Noto Sans CJK SC"/>
        <family val="2"/>
      </rPr>
      <t xml:space="preserve">；嘉興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721.1 </t>
    </r>
    <r>
      <rPr>
        <sz val="10"/>
        <color rgb="FF000000"/>
        <rFont val="Noto Sans CJK SC"/>
        <family val="2"/>
      </rPr>
      <t xml:space="preserve">百萬元</t>
    </r>
  </si>
  <si>
    <t xml:space="preserve">SRC_ZP_755</t>
  </si>
  <si>
    <t xml:space="preserve">sup_f_fy24</t>
  </si>
  <si>
    <r>
      <rPr>
        <sz val="10"/>
        <color rgb="FF000000"/>
        <rFont val="Noto Sans CJK SC"/>
        <family val="2"/>
      </rPr>
      <t xml:space="preserve">供應商</t>
    </r>
    <r>
      <rPr>
        <sz val="10"/>
        <color rgb="FF000000"/>
        <rFont val="Arial"/>
        <family val="0"/>
        <charset val="1"/>
      </rPr>
      <t xml:space="preserve">F</t>
    </r>
    <r>
      <rPr>
        <sz val="10"/>
        <color rgb="FF000000"/>
        <rFont val="Noto Sans CJK SC"/>
        <family val="2"/>
      </rPr>
      <t xml:space="preserve">採購額（計算硬件）</t>
    </r>
  </si>
  <si>
    <r>
      <rPr>
        <sz val="10"/>
        <color rgb="FF000000"/>
        <rFont val="Noto Sans CJK SC"/>
        <family val="2"/>
      </rPr>
      <t xml:space="preserve">五大供應商表：供應商</t>
    </r>
    <r>
      <rPr>
        <sz val="10"/>
        <color rgb="FF000000"/>
        <rFont val="Arial"/>
        <family val="0"/>
        <charset val="1"/>
      </rPr>
      <t xml:space="preserve">F</t>
    </r>
    <r>
      <rPr>
        <sz val="10"/>
        <color rgb="FF000000"/>
        <rFont val="Noto Sans CJK SC"/>
        <family val="2"/>
      </rPr>
      <t xml:space="preserve">｜採購內容「計算硬件」｜合作年數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t>
    </r>
    <r>
      <rPr>
        <sz val="10"/>
        <color rgb="FF000000"/>
        <rFont val="Arial"/>
        <family val="0"/>
        <charset val="1"/>
      </rPr>
      <t xml:space="preserve">7</t>
    </r>
    <r>
      <rPr>
        <sz val="10"/>
        <color rgb="FF000000"/>
        <rFont val="Noto Sans CJK SC"/>
        <family val="2"/>
      </rPr>
      <t xml:space="preserve">日」｜</t>
    </r>
    <r>
      <rPr>
        <sz val="10"/>
        <color rgb="FF000000"/>
        <rFont val="Arial"/>
        <family val="0"/>
        <charset val="1"/>
      </rPr>
      <t xml:space="preserve">191,150 </t>
    </r>
    <r>
      <rPr>
        <sz val="10"/>
        <color rgb="FF000000"/>
        <rFont val="Noto Sans CJK SC"/>
        <family val="2"/>
      </rPr>
      <t xml:space="preserve">千元｜占採購總額 </t>
    </r>
    <r>
      <rPr>
        <sz val="10"/>
        <color rgb="FF000000"/>
        <rFont val="Arial"/>
        <family val="0"/>
        <charset val="1"/>
      </rPr>
      <t xml:space="preserve">7.6%</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10.0 </t>
    </r>
    <r>
      <rPr>
        <sz val="10"/>
        <color rgb="FF000000"/>
        <rFont val="Noto Sans CJK SC"/>
        <family val="2"/>
      </rPr>
      <t xml:space="preserve">百萬元</t>
    </r>
  </si>
  <si>
    <t xml:space="preserve">SRC_ZP_756</t>
  </si>
  <si>
    <t xml:space="preserve">sup_g_fy24</t>
  </si>
  <si>
    <r>
      <rPr>
        <sz val="10"/>
        <color rgb="FF000000"/>
        <rFont val="Noto Sans CJK SC"/>
        <family val="2"/>
      </rPr>
      <t xml:space="preserve">供應商</t>
    </r>
    <r>
      <rPr>
        <sz val="10"/>
        <color rgb="FF000000"/>
        <rFont val="Arial"/>
        <family val="0"/>
        <charset val="1"/>
      </rPr>
      <t xml:space="preserve">G</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</si>
  <si>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G</t>
    </r>
    <r>
      <rPr>
        <sz val="10"/>
        <color rgb="FF000000"/>
        <rFont val="Noto Sans CJK SC"/>
        <family val="2"/>
      </rPr>
      <t xml:space="preserve">｜採購內容「計算服務」｜合作年數 </t>
    </r>
    <r>
      <rPr>
        <sz val="10"/>
        <color rgb="FF000000"/>
        <rFont val="Arial"/>
        <family val="0"/>
        <charset val="1"/>
      </rPr>
      <t xml:space="preserve">1</t>
    </r>
    <r>
      <rPr>
        <sz val="10"/>
        <color rgb="FF000000"/>
        <rFont val="Noto Sans CJK SC"/>
        <family val="2"/>
      </rPr>
      <t xml:space="preserve">（表頭因字型缺失無法顯示，依欄位推定為業務關係年數）｜信貸期「</t>
    </r>
    <r>
      <rPr>
        <sz val="10"/>
        <color rgb="FF000000"/>
        <rFont val="Arial"/>
        <family val="0"/>
        <charset val="1"/>
      </rPr>
      <t xml:space="preserve">10</t>
    </r>
    <r>
      <rPr>
        <sz val="10"/>
        <color rgb="FF000000"/>
        <rFont val="Noto Sans CJK SC"/>
        <family val="2"/>
      </rPr>
      <t xml:space="preserve">個工作日」｜</t>
    </r>
    <r>
      <rPr>
        <sz val="10"/>
        <color rgb="FF000000"/>
        <rFont val="Arial"/>
        <family val="0"/>
        <charset val="1"/>
      </rPr>
      <t xml:space="preserve">119,834 </t>
    </r>
    <r>
      <rPr>
        <sz val="10"/>
        <color rgb="FF000000"/>
        <rFont val="Noto Sans CJK SC"/>
        <family val="2"/>
      </rPr>
      <t xml:space="preserve">千元｜占採購總額 </t>
    </r>
    <r>
      <rPr>
        <sz val="10"/>
        <color rgb="FF000000"/>
        <rFont val="Arial"/>
        <family val="0"/>
        <charset val="1"/>
      </rPr>
      <t xml:space="preserve">4.7%</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及數據處理服務公司，註冊資本 </t>
    </r>
    <r>
      <rPr>
        <sz val="10"/>
        <color rgb="FF000000"/>
        <rFont val="Arial"/>
        <family val="0"/>
        <charset val="1"/>
      </rPr>
      <t xml:space="preserve">673.5 </t>
    </r>
    <r>
      <rPr>
        <sz val="10"/>
        <color rgb="FF000000"/>
        <rFont val="Noto Sans CJK SC"/>
        <family val="2"/>
      </rPr>
      <t xml:space="preserve">百萬元</t>
    </r>
  </si>
  <si>
    <t xml:space="preserve">SRC_ZP_757</t>
  </si>
  <si>
    <t xml:space="preserve">sup_d_fy24</t>
  </si>
  <si>
    <r>
      <rPr>
        <sz val="10"/>
        <color rgb="FF000000"/>
        <rFont val="Noto Sans CJK SC"/>
        <family val="2"/>
      </rPr>
      <t xml:space="preserve">五大供應商表：供應商</t>
    </r>
    <r>
      <rPr>
        <sz val="10"/>
        <color rgb="FF000000"/>
        <rFont val="Arial"/>
        <family val="0"/>
        <charset val="1"/>
      </rPr>
      <t xml:space="preserve">D</t>
    </r>
    <r>
      <rPr>
        <sz val="10"/>
        <color rgb="FF000000"/>
        <rFont val="Noto Sans CJK SC"/>
        <family val="2"/>
      </rPr>
      <t xml:space="preserve">｜採購內容「計算服務」｜合作年數 </t>
    </r>
    <r>
      <rPr>
        <sz val="10"/>
        <color rgb="FF000000"/>
        <rFont val="Arial"/>
        <family val="0"/>
        <charset val="1"/>
      </rPr>
      <t xml:space="preserve">4</t>
    </r>
    <r>
      <rPr>
        <sz val="10"/>
        <color rgb="FF000000"/>
        <rFont val="Noto Sans CJK SC"/>
        <family val="2"/>
      </rPr>
      <t xml:space="preserve">（表頭因字型缺失無法顯示，依欄位推定為業務關係年數）｜信貸期「</t>
    </r>
    <r>
      <rPr>
        <sz val="10"/>
        <color rgb="FF000000"/>
        <rFont val="Arial"/>
        <family val="0"/>
        <charset val="1"/>
      </rPr>
      <t xml:space="preserve">5</t>
    </r>
    <r>
      <rPr>
        <sz val="10"/>
        <color rgb="FF000000"/>
        <rFont val="Noto Sans CJK SC"/>
        <family val="2"/>
      </rPr>
      <t xml:space="preserve">至</t>
    </r>
    <r>
      <rPr>
        <sz val="10"/>
        <color rgb="FF000000"/>
        <rFont val="Arial"/>
        <family val="0"/>
        <charset val="1"/>
      </rPr>
      <t xml:space="preserve">15</t>
    </r>
    <r>
      <rPr>
        <sz val="10"/>
        <color rgb="FF000000"/>
        <rFont val="Noto Sans CJK SC"/>
        <family val="2"/>
      </rPr>
      <t xml:space="preserve">個工作日」｜</t>
    </r>
    <r>
      <rPr>
        <sz val="10"/>
        <color rgb="FF000000"/>
        <rFont val="Arial"/>
        <family val="0"/>
        <charset val="1"/>
      </rPr>
      <t xml:space="preserve">112,394 </t>
    </r>
    <r>
      <rPr>
        <sz val="10"/>
        <color rgb="FF000000"/>
        <rFont val="Noto Sans CJK SC"/>
        <family val="2"/>
      </rPr>
      <t xml:space="preserve">千元｜占採購總額 </t>
    </r>
    <r>
      <rPr>
        <sz val="10"/>
        <color rgb="FF000000"/>
        <rFont val="Arial"/>
        <family val="0"/>
        <charset val="1"/>
      </rPr>
      <t xml:space="preserve">4.4%</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58.2 </t>
    </r>
    <r>
      <rPr>
        <sz val="10"/>
        <color rgb="FF000000"/>
        <rFont val="Noto Sans CJK SC"/>
        <family val="2"/>
      </rPr>
      <t xml:space="preserve">百萬元</t>
    </r>
  </si>
  <si>
    <t xml:space="preserve">SRC_ZP_758</t>
  </si>
  <si>
    <t xml:space="preserve">sup_e_fy23</t>
  </si>
  <si>
    <r>
      <rPr>
        <sz val="10"/>
        <color rgb="FF000000"/>
        <rFont val="Noto Sans CJK SC"/>
        <family val="2"/>
      </rPr>
      <t xml:space="preserve">五大供應商表：供應商</t>
    </r>
    <r>
      <rPr>
        <sz val="10"/>
        <color rgb="FF000000"/>
        <rFont val="Arial"/>
        <family val="0"/>
        <charset val="1"/>
      </rPr>
      <t xml:space="preserve">E</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（表頭因字型缺失無法顯示，依欄位推定為業務關係年數）｜信貸期「不適用」｜</t>
    </r>
    <r>
      <rPr>
        <sz val="10"/>
        <color rgb="FF000000"/>
        <rFont val="Arial"/>
        <family val="0"/>
        <charset val="1"/>
      </rPr>
      <t xml:space="preserve">158,890 </t>
    </r>
    <r>
      <rPr>
        <sz val="10"/>
        <color rgb="FF000000"/>
        <rFont val="Noto Sans CJK SC"/>
        <family val="2"/>
      </rPr>
      <t xml:space="preserve">千元｜占採購總額 </t>
    </r>
    <r>
      <rPr>
        <sz val="10"/>
        <color rgb="FF000000"/>
        <rFont val="Arial"/>
        <family val="0"/>
        <charset val="1"/>
      </rPr>
      <t xml:space="preserve">16.4%</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 </t>
    </r>
    <r>
      <rPr>
        <sz val="10"/>
        <color rgb="FF000000"/>
        <rFont val="Noto Sans CJK SC"/>
        <family val="2"/>
      </rPr>
      <t xml:space="preserve">億元；第 </t>
    </r>
    <r>
      <rPr>
        <sz val="10"/>
        <color rgb="FF000000"/>
        <rFont val="Arial"/>
        <family val="0"/>
        <charset val="1"/>
      </rPr>
      <t xml:space="preserve">218 </t>
    </r>
    <r>
      <rPr>
        <sz val="10"/>
        <color rgb="FF000000"/>
        <rFont val="Noto Sans CJK SC"/>
        <family val="2"/>
      </rPr>
      <t xml:space="preserve">頁稱「雲服務提供商，是中國一家大型互聯網技術公司的附屬公司」</t>
    </r>
  </si>
  <si>
    <t xml:space="preserve">SRC_ZP_759</t>
  </si>
  <si>
    <t xml:space="preserve">sup_h_fy23</t>
  </si>
  <si>
    <r>
      <rPr>
        <sz val="10"/>
        <color rgb="FF000000"/>
        <rFont val="Noto Sans CJK SC"/>
        <family val="2"/>
      </rPr>
      <t xml:space="preserve">供應商</t>
    </r>
    <r>
      <rPr>
        <sz val="10"/>
        <color rgb="FF000000"/>
        <rFont val="Arial"/>
        <family val="0"/>
        <charset val="1"/>
      </rPr>
      <t xml:space="preserve">H</t>
    </r>
    <r>
      <rPr>
        <sz val="10"/>
        <color rgb="FF000000"/>
        <rFont val="Noto Sans CJK SC"/>
        <family val="2"/>
      </rPr>
      <t xml:space="preserve">採購額（計算服務及硬件）</t>
    </r>
  </si>
  <si>
    <r>
      <rPr>
        <sz val="10"/>
        <color rgb="FF000000"/>
        <rFont val="Noto Sans CJK SC"/>
        <family val="2"/>
      </rPr>
      <t xml:space="preserve">五大供應商表：供應商</t>
    </r>
    <r>
      <rPr>
        <sz val="10"/>
        <color rgb="FF000000"/>
        <rFont val="Arial"/>
        <family val="0"/>
        <charset val="1"/>
      </rPr>
      <t xml:space="preserve">H</t>
    </r>
    <r>
      <rPr>
        <sz val="10"/>
        <color rgb="FF000000"/>
        <rFont val="Noto Sans CJK SC"/>
        <family val="2"/>
      </rPr>
      <t xml:space="preserve">｜採購內容「計算服務及硬件」｜合作年數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t>
    </r>
    <r>
      <rPr>
        <sz val="10"/>
        <color rgb="FF000000"/>
        <rFont val="Arial"/>
        <family val="0"/>
        <charset val="1"/>
      </rPr>
      <t xml:space="preserve">2</t>
    </r>
    <r>
      <rPr>
        <sz val="10"/>
        <color rgb="FF000000"/>
        <rFont val="Noto Sans CJK SC"/>
        <family val="2"/>
      </rPr>
      <t xml:space="preserve">至</t>
    </r>
    <r>
      <rPr>
        <sz val="10"/>
        <color rgb="FF000000"/>
        <rFont val="Arial"/>
        <family val="0"/>
        <charset val="1"/>
      </rPr>
      <t xml:space="preserve">5</t>
    </r>
    <r>
      <rPr>
        <sz val="10"/>
        <color rgb="FF000000"/>
        <rFont val="Noto Sans CJK SC"/>
        <family val="2"/>
      </rPr>
      <t xml:space="preserve">日」｜</t>
    </r>
    <r>
      <rPr>
        <sz val="10"/>
        <color rgb="FF000000"/>
        <rFont val="Arial"/>
        <family val="0"/>
        <charset val="1"/>
      </rPr>
      <t xml:space="preserve">124,471 </t>
    </r>
    <r>
      <rPr>
        <sz val="10"/>
        <color rgb="FF000000"/>
        <rFont val="Noto Sans CJK SC"/>
        <family val="2"/>
      </rPr>
      <t xml:space="preserve">千元｜占採購總額 </t>
    </r>
    <r>
      <rPr>
        <sz val="10"/>
        <color rgb="FF000000"/>
        <rFont val="Arial"/>
        <family val="0"/>
        <charset val="1"/>
      </rPr>
      <t xml:space="preserve">12.8%</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服務公司，上交所上市，註冊資本 </t>
    </r>
    <r>
      <rPr>
        <sz val="10"/>
        <color rgb="FF000000"/>
        <rFont val="Arial"/>
        <family val="0"/>
        <charset val="1"/>
      </rPr>
      <t xml:space="preserve">47.8 </t>
    </r>
    <r>
      <rPr>
        <sz val="10"/>
        <color rgb="FF000000"/>
        <rFont val="Noto Sans CJK SC"/>
        <family val="2"/>
      </rPr>
      <t xml:space="preserve">百萬元</t>
    </r>
  </si>
  <si>
    <t xml:space="preserve">SRC_ZP_760</t>
  </si>
  <si>
    <t xml:space="preserve">sup_i_fy23</t>
  </si>
  <si>
    <r>
      <rPr>
        <sz val="10"/>
        <color rgb="FF000000"/>
        <rFont val="Noto Sans CJK SC"/>
        <family val="2"/>
      </rPr>
      <t xml:space="preserve">供應商</t>
    </r>
    <r>
      <rPr>
        <sz val="10"/>
        <color rgb="FF000000"/>
        <rFont val="Arial"/>
        <family val="0"/>
        <charset val="1"/>
      </rPr>
      <t xml:space="preserve">I</t>
    </r>
    <r>
      <rPr>
        <sz val="10"/>
        <color rgb="FF000000"/>
        <rFont val="Noto Sans CJK SC"/>
        <family val="2"/>
      </rPr>
      <t xml:space="preserve">採購額（計算硬件）</t>
    </r>
  </si>
  <si>
    <r>
      <rPr>
        <sz val="10"/>
        <color rgb="FF000000"/>
        <rFont val="Noto Sans CJK SC"/>
        <family val="2"/>
      </rPr>
      <t xml:space="preserve">五大供應商表：供應商</t>
    </r>
    <r>
      <rPr>
        <sz val="10"/>
        <color rgb="FF000000"/>
        <rFont val="Arial"/>
        <family val="0"/>
        <charset val="1"/>
      </rPr>
      <t xml:space="preserve">I</t>
    </r>
    <r>
      <rPr>
        <sz val="10"/>
        <color rgb="FF000000"/>
        <rFont val="Noto Sans CJK SC"/>
        <family val="2"/>
      </rPr>
      <t xml:space="preserve">｜採購內容「計算硬件」｜合作年數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95,841 </t>
    </r>
    <r>
      <rPr>
        <sz val="10"/>
        <color rgb="FF000000"/>
        <rFont val="Noto Sans CJK SC"/>
        <family val="2"/>
      </rPr>
      <t xml:space="preserve">千元｜占採購總額 </t>
    </r>
    <r>
      <rPr>
        <sz val="10"/>
        <color rgb="FF000000"/>
        <rFont val="Arial"/>
        <family val="0"/>
        <charset val="1"/>
      </rPr>
      <t xml:space="preserve">9.9%</t>
    </r>
    <r>
      <rPr>
        <sz val="10"/>
        <color rgb="FF000000"/>
        <rFont val="Noto Sans CJK SC"/>
        <family val="2"/>
      </rPr>
      <t xml:space="preserve">；重慶互聯網信息服務公司，註冊資本 </t>
    </r>
    <r>
      <rPr>
        <sz val="10"/>
        <color rgb="FF000000"/>
        <rFont val="Arial"/>
        <family val="0"/>
        <charset val="1"/>
      </rPr>
      <t xml:space="preserve">50.0 </t>
    </r>
    <r>
      <rPr>
        <sz val="10"/>
        <color rgb="FF000000"/>
        <rFont val="Noto Sans CJK SC"/>
        <family val="2"/>
      </rPr>
      <t xml:space="preserve">百萬元</t>
    </r>
  </si>
  <si>
    <t xml:space="preserve">SRC_ZP_761</t>
  </si>
  <si>
    <t xml:space="preserve">sup_j_fy23</t>
  </si>
  <si>
    <r>
      <rPr>
        <sz val="10"/>
        <color rgb="FF000000"/>
        <rFont val="Noto Sans CJK SC"/>
        <family val="2"/>
      </rPr>
      <t xml:space="preserve">供應商</t>
    </r>
    <r>
      <rPr>
        <sz val="10"/>
        <color rgb="FF000000"/>
        <rFont val="Arial"/>
        <family val="0"/>
        <charset val="1"/>
      </rPr>
      <t xml:space="preserve">J</t>
    </r>
    <r>
      <rPr>
        <sz val="10"/>
        <color rgb="FF000000"/>
        <rFont val="Noto Sans CJK SC"/>
        <family val="2"/>
      </rPr>
      <t xml:space="preserve">採購額（計算硬件）</t>
    </r>
  </si>
  <si>
    <r>
      <rPr>
        <sz val="10"/>
        <color rgb="FF000000"/>
        <rFont val="Noto Sans CJK SC"/>
        <family val="2"/>
      </rPr>
      <t xml:space="preserve">五大供應商表：供應商</t>
    </r>
    <r>
      <rPr>
        <sz val="10"/>
        <color rgb="FF000000"/>
        <rFont val="Arial"/>
        <family val="0"/>
        <charset val="1"/>
      </rPr>
      <t xml:space="preserve">J</t>
    </r>
    <r>
      <rPr>
        <sz val="10"/>
        <color rgb="FF000000"/>
        <rFont val="Noto Sans CJK SC"/>
        <family val="2"/>
      </rPr>
      <t xml:space="preserve">｜採購內容「計算硬件」｜合作年數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t>
    </r>
    <r>
      <rPr>
        <sz val="10"/>
        <color rgb="FF000000"/>
        <rFont val="Arial"/>
        <family val="0"/>
        <charset val="1"/>
      </rPr>
      <t xml:space="preserve">15</t>
    </r>
    <r>
      <rPr>
        <sz val="10"/>
        <color rgb="FF000000"/>
        <rFont val="Noto Sans CJK SC"/>
        <family val="2"/>
      </rPr>
      <t xml:space="preserve">至</t>
    </r>
    <r>
      <rPr>
        <sz val="10"/>
        <color rgb="FF000000"/>
        <rFont val="Arial"/>
        <family val="0"/>
        <charset val="1"/>
      </rPr>
      <t xml:space="preserve">40</t>
    </r>
    <r>
      <rPr>
        <sz val="10"/>
        <color rgb="FF000000"/>
        <rFont val="Noto Sans CJK SC"/>
        <family val="2"/>
      </rPr>
      <t xml:space="preserve">日」｜</t>
    </r>
    <r>
      <rPr>
        <sz val="10"/>
        <color rgb="FF000000"/>
        <rFont val="Arial"/>
        <family val="0"/>
        <charset val="1"/>
      </rPr>
      <t xml:space="preserve">83,869 </t>
    </r>
    <r>
      <rPr>
        <sz val="10"/>
        <color rgb="FF000000"/>
        <rFont val="Noto Sans CJK SC"/>
        <family val="2"/>
      </rPr>
      <t xml:space="preserve">千元｜占採購總額 </t>
    </r>
    <r>
      <rPr>
        <sz val="10"/>
        <color rgb="FF000000"/>
        <rFont val="Arial"/>
        <family val="0"/>
        <charset val="1"/>
      </rPr>
      <t xml:space="preserve">8.6%</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服務公司，上交所上市公司全資附屬，註冊資本 </t>
    </r>
    <r>
      <rPr>
        <sz val="10"/>
        <color rgb="FF000000"/>
        <rFont val="Arial"/>
        <family val="0"/>
        <charset val="1"/>
      </rPr>
      <t xml:space="preserve">700.0 </t>
    </r>
    <r>
      <rPr>
        <sz val="10"/>
        <color rgb="FF000000"/>
        <rFont val="Noto Sans CJK SC"/>
        <family val="2"/>
      </rPr>
      <t xml:space="preserve">百萬元</t>
    </r>
  </si>
  <si>
    <t xml:space="preserve">SRC_ZP_762</t>
  </si>
  <si>
    <t xml:space="preserve">sup_k_fy23</t>
  </si>
  <si>
    <r>
      <rPr>
        <sz val="10"/>
        <color rgb="FF000000"/>
        <rFont val="Noto Sans CJK SC"/>
        <family val="2"/>
      </rPr>
      <t xml:space="preserve">供應商</t>
    </r>
    <r>
      <rPr>
        <sz val="10"/>
        <color rgb="FF000000"/>
        <rFont val="Arial"/>
        <family val="0"/>
        <charset val="1"/>
      </rPr>
      <t xml:space="preserve">K</t>
    </r>
    <r>
      <rPr>
        <sz val="10"/>
        <color rgb="FF000000"/>
        <rFont val="Noto Sans CJK SC"/>
        <family val="2"/>
      </rPr>
      <t xml:space="preserve">採購額（計算硬件）</t>
    </r>
  </si>
  <si>
    <r>
      <rPr>
        <sz val="10"/>
        <color rgb="FF000000"/>
        <rFont val="Noto Sans CJK SC"/>
        <family val="2"/>
      </rPr>
      <t xml:space="preserve">五大供應商表：供應商</t>
    </r>
    <r>
      <rPr>
        <sz val="10"/>
        <color rgb="FF000000"/>
        <rFont val="Arial"/>
        <family val="0"/>
        <charset val="1"/>
      </rPr>
      <t xml:space="preserve">K</t>
    </r>
    <r>
      <rPr>
        <sz val="10"/>
        <color rgb="FF000000"/>
        <rFont val="Noto Sans CJK SC"/>
        <family val="2"/>
      </rPr>
      <t xml:space="preserve">｜採購內容「計算硬件」｜合作年數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57,345 </t>
    </r>
    <r>
      <rPr>
        <sz val="10"/>
        <color rgb="FF000000"/>
        <rFont val="Noto Sans CJK SC"/>
        <family val="2"/>
      </rPr>
      <t xml:space="preserve">千元｜占採購總額 </t>
    </r>
    <r>
      <rPr>
        <sz val="10"/>
        <color rgb="FF000000"/>
        <rFont val="Arial"/>
        <family val="0"/>
        <charset val="1"/>
      </rPr>
      <t xml:space="preserve">5.9%</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服務及數據處理公司，註冊資本 </t>
    </r>
    <r>
      <rPr>
        <sz val="10"/>
        <color rgb="FF000000"/>
        <rFont val="Arial"/>
        <family val="0"/>
        <charset val="1"/>
      </rPr>
      <t xml:space="preserve">14.0 </t>
    </r>
    <r>
      <rPr>
        <sz val="10"/>
        <color rgb="FF000000"/>
        <rFont val="Noto Sans CJK SC"/>
        <family val="2"/>
      </rPr>
      <t xml:space="preserve">百萬元</t>
    </r>
  </si>
  <si>
    <t xml:space="preserve">SRC_ZP_763</t>
  </si>
  <si>
    <t xml:space="preserve">sup_j_fy22</t>
  </si>
  <si>
    <r>
      <rPr>
        <sz val="10"/>
        <color rgb="FF000000"/>
        <rFont val="Noto Sans CJK SC"/>
        <family val="2"/>
      </rPr>
      <t xml:space="preserve">五大供應商表：供應商</t>
    </r>
    <r>
      <rPr>
        <sz val="10"/>
        <color rgb="FF000000"/>
        <rFont val="Arial"/>
        <family val="0"/>
        <charset val="1"/>
      </rPr>
      <t xml:space="preserve">J</t>
    </r>
    <r>
      <rPr>
        <sz val="10"/>
        <color rgb="FF000000"/>
        <rFont val="Noto Sans CJK SC"/>
        <family val="2"/>
      </rPr>
      <t xml:space="preserve">｜採購內容「計算硬件」｜合作年數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t>
    </r>
    <r>
      <rPr>
        <sz val="10"/>
        <color rgb="FF000000"/>
        <rFont val="Arial"/>
        <family val="0"/>
        <charset val="1"/>
      </rPr>
      <t xml:space="preserve">10</t>
    </r>
    <r>
      <rPr>
        <sz val="10"/>
        <color rgb="FF000000"/>
        <rFont val="Noto Sans CJK SC"/>
        <family val="2"/>
      </rPr>
      <t xml:space="preserve">日」｜</t>
    </r>
    <r>
      <rPr>
        <sz val="10"/>
        <color rgb="FF000000"/>
        <rFont val="Arial"/>
        <family val="0"/>
        <charset val="1"/>
      </rPr>
      <t xml:space="preserve">25,204 </t>
    </r>
    <r>
      <rPr>
        <sz val="10"/>
        <color rgb="FF000000"/>
        <rFont val="Noto Sans CJK SC"/>
        <family val="2"/>
      </rPr>
      <t xml:space="preserve">千元｜占採購總額 </t>
    </r>
    <r>
      <rPr>
        <sz val="10"/>
        <color rgb="FF000000"/>
        <rFont val="Arial"/>
        <family val="0"/>
        <charset val="1"/>
      </rPr>
      <t xml:space="preserve">33.1%</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服務公司，上交所上市公司全資附屬，註冊資本 </t>
    </r>
    <r>
      <rPr>
        <sz val="10"/>
        <color rgb="FF000000"/>
        <rFont val="Arial"/>
        <family val="0"/>
        <charset val="1"/>
      </rPr>
      <t xml:space="preserve">700.0 </t>
    </r>
    <r>
      <rPr>
        <sz val="10"/>
        <color rgb="FF000000"/>
        <rFont val="Noto Sans CJK SC"/>
        <family val="2"/>
      </rPr>
      <t xml:space="preserve">百萬元</t>
    </r>
  </si>
  <si>
    <t xml:space="preserve">SRC_ZP_764</t>
  </si>
  <si>
    <t xml:space="preserve">sup_l_fy22</t>
  </si>
  <si>
    <r>
      <rPr>
        <sz val="10"/>
        <color rgb="FF000000"/>
        <rFont val="Noto Sans CJK SC"/>
        <family val="2"/>
      </rPr>
      <t xml:space="preserve">供應商</t>
    </r>
    <r>
      <rPr>
        <sz val="10"/>
        <color rgb="FF000000"/>
        <rFont val="Arial"/>
        <family val="0"/>
        <charset val="1"/>
      </rPr>
      <t xml:space="preserve">L</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</si>
  <si>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L</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t>
    </r>
    <r>
      <rPr>
        <sz val="10"/>
        <color rgb="FF000000"/>
        <rFont val="Arial"/>
        <family val="0"/>
        <charset val="1"/>
      </rPr>
      <t xml:space="preserve">5</t>
    </r>
    <r>
      <rPr>
        <sz val="10"/>
        <color rgb="FF000000"/>
        <rFont val="Noto Sans CJK SC"/>
        <family val="2"/>
      </rPr>
      <t xml:space="preserve">日」｜</t>
    </r>
    <r>
      <rPr>
        <sz val="10"/>
        <color rgb="FF000000"/>
        <rFont val="Arial"/>
        <family val="0"/>
        <charset val="1"/>
      </rPr>
      <t xml:space="preserve">5,834 </t>
    </r>
    <r>
      <rPr>
        <sz val="10"/>
        <color rgb="FF000000"/>
        <rFont val="Noto Sans CJK SC"/>
        <family val="2"/>
      </rPr>
      <t xml:space="preserve">千元｜占採購總額 </t>
    </r>
    <r>
      <rPr>
        <sz val="10"/>
        <color rgb="FF000000"/>
        <rFont val="Arial"/>
        <family val="0"/>
        <charset val="1"/>
      </rPr>
      <t xml:space="preserve">7.7%</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服務及數據處理公司（第 </t>
    </r>
    <r>
      <rPr>
        <sz val="10"/>
        <color rgb="FF000000"/>
        <rFont val="Arial"/>
        <family val="0"/>
        <charset val="1"/>
      </rPr>
      <t xml:space="preserve">219 </t>
    </r>
    <r>
      <rPr>
        <sz val="10"/>
        <color rgb="FF000000"/>
        <rFont val="Noto Sans CJK SC"/>
        <family val="2"/>
      </rPr>
      <t xml:space="preserve">頁：超級計算機製造商），註冊資本 </t>
    </r>
    <r>
      <rPr>
        <sz val="10"/>
        <color rgb="FF000000"/>
        <rFont val="Arial"/>
        <family val="0"/>
        <charset val="1"/>
      </rPr>
      <t xml:space="preserve">200.0 </t>
    </r>
    <r>
      <rPr>
        <sz val="10"/>
        <color rgb="FF000000"/>
        <rFont val="Noto Sans CJK SC"/>
        <family val="2"/>
      </rPr>
      <t xml:space="preserve">百萬元</t>
    </r>
  </si>
  <si>
    <t xml:space="preserve">SRC_ZP_765</t>
  </si>
  <si>
    <t xml:space="preserve">sup_d_fy22</t>
  </si>
  <si>
    <r>
      <rPr>
        <sz val="10"/>
        <color rgb="FF000000"/>
        <rFont val="Noto Sans CJK SC"/>
        <family val="2"/>
      </rPr>
      <t xml:space="preserve">五大供應商表：供應商</t>
    </r>
    <r>
      <rPr>
        <sz val="10"/>
        <color rgb="FF000000"/>
        <rFont val="Arial"/>
        <family val="0"/>
        <charset val="1"/>
      </rPr>
      <t xml:space="preserve">D</t>
    </r>
    <r>
      <rPr>
        <sz val="10"/>
        <color rgb="FF000000"/>
        <rFont val="Noto Sans CJK SC"/>
        <family val="2"/>
      </rPr>
      <t xml:space="preserve">｜採購內容「計算服務」｜合作年數 </t>
    </r>
    <r>
      <rPr>
        <sz val="10"/>
        <color rgb="FF000000"/>
        <rFont val="Arial"/>
        <family val="0"/>
        <charset val="1"/>
      </rPr>
      <t xml:space="preserve">4</t>
    </r>
    <r>
      <rPr>
        <sz val="10"/>
        <color rgb="FF000000"/>
        <rFont val="Noto Sans CJK SC"/>
        <family val="2"/>
      </rPr>
      <t xml:space="preserve">（表頭因字型缺失無法顯示，依欄位推定為業務關係年數）｜信貸期「</t>
    </r>
    <r>
      <rPr>
        <sz val="10"/>
        <color rgb="FF000000"/>
        <rFont val="Arial"/>
        <family val="0"/>
        <charset val="1"/>
      </rPr>
      <t xml:space="preserve">5</t>
    </r>
    <r>
      <rPr>
        <sz val="10"/>
        <color rgb="FF000000"/>
        <rFont val="Noto Sans CJK SC"/>
        <family val="2"/>
      </rPr>
      <t xml:space="preserve">日」｜</t>
    </r>
    <r>
      <rPr>
        <sz val="10"/>
        <color rgb="FF000000"/>
        <rFont val="Arial"/>
        <family val="0"/>
        <charset val="1"/>
      </rPr>
      <t xml:space="preserve">5,028 </t>
    </r>
    <r>
      <rPr>
        <sz val="10"/>
        <color rgb="FF000000"/>
        <rFont val="Noto Sans CJK SC"/>
        <family val="2"/>
      </rPr>
      <t xml:space="preserve">千元｜占採購總額 </t>
    </r>
    <r>
      <rPr>
        <sz val="10"/>
        <color rgb="FF000000"/>
        <rFont val="Arial"/>
        <family val="0"/>
        <charset val="1"/>
      </rPr>
      <t xml:space="preserve">6.6%</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58.2 </t>
    </r>
    <r>
      <rPr>
        <sz val="10"/>
        <color rgb="FF000000"/>
        <rFont val="Noto Sans CJK SC"/>
        <family val="2"/>
      </rPr>
      <t xml:space="preserve">百萬元</t>
    </r>
  </si>
  <si>
    <t xml:space="preserve">SRC_ZP_766</t>
  </si>
  <si>
    <t xml:space="preserve">sup_e_fy22</t>
  </si>
  <si>
    <r>
      <rPr>
        <sz val="10"/>
        <color rgb="FF000000"/>
        <rFont val="Noto Sans CJK SC"/>
        <family val="2"/>
      </rPr>
      <t xml:space="preserve">五大供應商表：供應商</t>
    </r>
    <r>
      <rPr>
        <sz val="10"/>
        <color rgb="FF000000"/>
        <rFont val="Arial"/>
        <family val="0"/>
        <charset val="1"/>
      </rPr>
      <t xml:space="preserve">E</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（表頭因字型缺失無法顯示，依欄位推定為業務關係年數）｜信貸期「不適用」｜</t>
    </r>
    <r>
      <rPr>
        <sz val="10"/>
        <color rgb="FF000000"/>
        <rFont val="Arial"/>
        <family val="0"/>
        <charset val="1"/>
      </rPr>
      <t xml:space="preserve">2,804 </t>
    </r>
    <r>
      <rPr>
        <sz val="10"/>
        <color rgb="FF000000"/>
        <rFont val="Noto Sans CJK SC"/>
        <family val="2"/>
      </rPr>
      <t xml:space="preserve">千元｜占採購總額 </t>
    </r>
    <r>
      <rPr>
        <sz val="10"/>
        <color rgb="FF000000"/>
        <rFont val="Arial"/>
        <family val="0"/>
        <charset val="1"/>
      </rPr>
      <t xml:space="preserve">3.7%</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 </t>
    </r>
    <r>
      <rPr>
        <sz val="10"/>
        <color rgb="FF000000"/>
        <rFont val="Noto Sans CJK SC"/>
        <family val="2"/>
      </rPr>
      <t xml:space="preserve">億元；第 </t>
    </r>
    <r>
      <rPr>
        <sz val="10"/>
        <color rgb="FF000000"/>
        <rFont val="Arial"/>
        <family val="0"/>
        <charset val="1"/>
      </rPr>
      <t xml:space="preserve">218 </t>
    </r>
    <r>
      <rPr>
        <sz val="10"/>
        <color rgb="FF000000"/>
        <rFont val="Noto Sans CJK SC"/>
        <family val="2"/>
      </rPr>
      <t xml:space="preserve">頁稱「雲服務提供商，是中國一家大型互聯網技術公司的附屬公司」</t>
    </r>
  </si>
  <si>
    <t xml:space="preserve">SRC_ZP_767</t>
  </si>
  <si>
    <t xml:space="preserve">sup_m_fy22</t>
  </si>
  <si>
    <r>
      <rPr>
        <sz val="10"/>
        <color rgb="FF000000"/>
        <rFont val="Noto Sans CJK SC"/>
        <family val="2"/>
      </rPr>
      <t xml:space="preserve">供應商</t>
    </r>
    <r>
      <rPr>
        <sz val="10"/>
        <color rgb="FF000000"/>
        <rFont val="Arial"/>
        <family val="0"/>
        <charset val="1"/>
      </rPr>
      <t xml:space="preserve">M</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</si>
  <si>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M</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2,548 </t>
    </r>
    <r>
      <rPr>
        <sz val="10"/>
        <color rgb="FF000000"/>
        <rFont val="Noto Sans CJK SC"/>
        <family val="2"/>
      </rPr>
      <t xml:space="preserve">千元｜占採購總額 </t>
    </r>
    <r>
      <rPr>
        <sz val="10"/>
        <color rgb="FF000000"/>
        <rFont val="Arial"/>
        <family val="0"/>
        <charset val="1"/>
      </rPr>
      <t xml:space="preserve">3.4%</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92.3 </t>
    </r>
    <r>
      <rPr>
        <sz val="10"/>
        <color rgb="FF000000"/>
        <rFont val="Noto Sans CJK SC"/>
        <family val="2"/>
      </rPr>
      <t xml:space="preserve">百萬元</t>
    </r>
  </si>
  <si>
    <t xml:space="preserve">SRC_ZP_768</t>
  </si>
  <si>
    <t xml:space="preserve">sup_top5_amt_1h25</t>
  </si>
  <si>
    <t xml:space="preserve">前五大供應商採購額合計</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</si>
  <si>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216–217 </t>
    </r>
    <r>
      <rPr>
        <sz val="10"/>
        <color rgb="FF000000"/>
        <rFont val="Noto Sans CJK SC"/>
        <family val="2"/>
      </rPr>
      <t xml:space="preserve">頁</t>
    </r>
  </si>
  <si>
    <r>
      <rPr>
        <sz val="10"/>
        <color rgb="FF000000"/>
        <rFont val="Noto Sans CJK SC"/>
        <family val="2"/>
      </rPr>
      <t xml:space="preserve">五大供應商表合計 </t>
    </r>
    <r>
      <rPr>
        <sz val="10"/>
        <color rgb="FF000000"/>
        <rFont val="Arial"/>
        <family val="0"/>
        <charset val="1"/>
      </rPr>
      <t xml:space="preserve">780,319 </t>
    </r>
    <r>
      <rPr>
        <sz val="10"/>
        <color rgb="FF000000"/>
        <rFont val="Noto Sans CJK SC"/>
        <family val="2"/>
      </rPr>
      <t xml:space="preserve">千元、</t>
    </r>
    <r>
      <rPr>
        <sz val="10"/>
        <color rgb="FF000000"/>
        <rFont val="Arial"/>
        <family val="0"/>
        <charset val="1"/>
      </rPr>
      <t xml:space="preserve">50.2%</t>
    </r>
    <r>
      <rPr>
        <sz val="10"/>
        <color rgb="FF000000"/>
        <rFont val="Noto Sans CJK SC"/>
        <family val="2"/>
      </rPr>
      <t xml:space="preserve">；補充 </t>
    </r>
    <r>
      <rPr>
        <sz val="10"/>
        <color rgb="FF000000"/>
        <rFont val="Arial"/>
        <family val="0"/>
        <charset val="1"/>
      </rPr>
      <t xml:space="preserve">SRC_ZP_446</t>
    </r>
    <r>
      <rPr>
        <sz val="10"/>
        <color rgb="FF000000"/>
        <rFont val="Noto Sans CJK SC"/>
        <family val="2"/>
      </rPr>
      <t xml:space="preserve">（占比）之金額</t>
    </r>
  </si>
  <si>
    <t xml:space="preserve">SRC_ZP_769</t>
  </si>
  <si>
    <t xml:space="preserve">purch_total_1h25</t>
  </si>
  <si>
    <r>
      <rPr>
        <sz val="10"/>
        <color rgb="FF000000"/>
        <rFont val="Noto Sans CJK SC"/>
        <family val="2"/>
      </rPr>
      <t xml:space="preserve">採購總額（由前五大金額</t>
    </r>
    <r>
      <rPr>
        <sz val="10"/>
        <color rgb="FF000000"/>
        <rFont val="Arial"/>
        <family val="0"/>
        <charset val="1"/>
      </rPr>
      <t xml:space="preserve">÷</t>
    </r>
    <r>
      <rPr>
        <sz val="10"/>
        <color rgb="FF000000"/>
        <rFont val="Noto Sans CJK SC"/>
        <family val="2"/>
      </rPr>
      <t xml:space="preserve">占比反推）</t>
    </r>
  </si>
  <si>
    <t xml:space="preserve">由招股章程披露推算</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</si>
  <si>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780,319÷50.2%≈1,554 </t>
    </r>
    <r>
      <rPr>
        <sz val="10"/>
        <color rgb="FF000000"/>
        <rFont val="Noto Sans CJK SC"/>
        <family val="2"/>
      </rPr>
      <t xml:space="preserve">百萬元；四捨五入占比致誤差約 </t>
    </r>
    <r>
      <rPr>
        <sz val="10"/>
        <color rgb="FF000000"/>
        <rFont val="Arial"/>
        <family val="0"/>
        <charset val="1"/>
      </rPr>
      <t xml:space="preserve">±0.1%</t>
    </r>
    <r>
      <rPr>
        <sz val="10"/>
        <color rgb="FF000000"/>
        <rFont val="Noto Sans CJK SC"/>
        <family val="2"/>
      </rPr>
      <t xml:space="preserve">；採購總額含算力服務、算力硬件、廣告等</t>
    </r>
  </si>
  <si>
    <t xml:space="preserve">SRC_ZP_770</t>
  </si>
  <si>
    <t xml:space="preserve">sup_top5_amt_fy24</t>
  </si>
  <si>
    <r>
      <rPr>
        <sz val="10"/>
        <color rgb="FF000000"/>
        <rFont val="Noto Sans CJK SC"/>
        <family val="2"/>
      </rPr>
      <t xml:space="preserve">五大供應商表合計 </t>
    </r>
    <r>
      <rPr>
        <sz val="10"/>
        <color rgb="FF000000"/>
        <rFont val="Arial"/>
        <family val="0"/>
        <charset val="1"/>
      </rPr>
      <t xml:space="preserve">1,197,978 </t>
    </r>
    <r>
      <rPr>
        <sz val="10"/>
        <color rgb="FF000000"/>
        <rFont val="Noto Sans CJK SC"/>
        <family val="2"/>
      </rPr>
      <t xml:space="preserve">千元、</t>
    </r>
    <r>
      <rPr>
        <sz val="10"/>
        <color rgb="FF000000"/>
        <rFont val="Arial"/>
        <family val="0"/>
        <charset val="1"/>
      </rPr>
      <t xml:space="preserve">47.3%</t>
    </r>
    <r>
      <rPr>
        <sz val="10"/>
        <color rgb="FF000000"/>
        <rFont val="Noto Sans CJK SC"/>
        <family val="2"/>
      </rPr>
      <t xml:space="preserve">；補充 </t>
    </r>
    <r>
      <rPr>
        <sz val="10"/>
        <color rgb="FF000000"/>
        <rFont val="Arial"/>
        <family val="0"/>
        <charset val="1"/>
      </rPr>
      <t xml:space="preserve">SRC_ZP_444</t>
    </r>
    <r>
      <rPr>
        <sz val="10"/>
        <color rgb="FF000000"/>
        <rFont val="Noto Sans CJK SC"/>
        <family val="2"/>
      </rPr>
      <t xml:space="preserve">（占比）之金額</t>
    </r>
  </si>
  <si>
    <t xml:space="preserve">SRC_ZP_771</t>
  </si>
  <si>
    <t xml:space="preserve">purch_total_fy24</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</si>
  <si>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1,197,978÷47.3%≈2,533 </t>
    </r>
    <r>
      <rPr>
        <sz val="10"/>
        <color rgb="FF000000"/>
        <rFont val="Noto Sans CJK SC"/>
        <family val="2"/>
      </rPr>
      <t xml:space="preserve">百萬元；四捨五入占比致誤差約 </t>
    </r>
    <r>
      <rPr>
        <sz val="10"/>
        <color rgb="FF000000"/>
        <rFont val="Arial"/>
        <family val="0"/>
        <charset val="1"/>
      </rPr>
      <t xml:space="preserve">±0.1%</t>
    </r>
    <r>
      <rPr>
        <sz val="10"/>
        <color rgb="FF000000"/>
        <rFont val="Noto Sans CJK SC"/>
        <family val="2"/>
      </rPr>
      <t xml:space="preserve">；採購總額含算力服務、算力硬件、廣告等</t>
    </r>
  </si>
  <si>
    <t xml:space="preserve">SRC_ZP_772</t>
  </si>
  <si>
    <t xml:space="preserve">sup_top5_amt_fy23</t>
  </si>
  <si>
    <r>
      <rPr>
        <sz val="10"/>
        <color rgb="FF000000"/>
        <rFont val="Noto Sans CJK SC"/>
        <family val="2"/>
      </rPr>
      <t xml:space="preserve">五大供應商表合計 </t>
    </r>
    <r>
      <rPr>
        <sz val="10"/>
        <color rgb="FF000000"/>
        <rFont val="Arial"/>
        <family val="0"/>
        <charset val="1"/>
      </rPr>
      <t xml:space="preserve">520,416 </t>
    </r>
    <r>
      <rPr>
        <sz val="10"/>
        <color rgb="FF000000"/>
        <rFont val="Noto Sans CJK SC"/>
        <family val="2"/>
      </rPr>
      <t xml:space="preserve">千元、</t>
    </r>
    <r>
      <rPr>
        <sz val="10"/>
        <color rgb="FF000000"/>
        <rFont val="Arial"/>
        <family val="0"/>
        <charset val="1"/>
      </rPr>
      <t xml:space="preserve">53.6%</t>
    </r>
    <r>
      <rPr>
        <sz val="10"/>
        <color rgb="FF000000"/>
        <rFont val="Noto Sans CJK SC"/>
        <family val="2"/>
      </rPr>
      <t xml:space="preserve">；補充 </t>
    </r>
    <r>
      <rPr>
        <sz val="10"/>
        <color rgb="FF000000"/>
        <rFont val="Arial"/>
        <family val="0"/>
        <charset val="1"/>
      </rPr>
      <t xml:space="preserve">SRC_ZP_442</t>
    </r>
    <r>
      <rPr>
        <sz val="10"/>
        <color rgb="FF000000"/>
        <rFont val="Noto Sans CJK SC"/>
        <family val="2"/>
      </rPr>
      <t xml:space="preserve">（占比）之金額</t>
    </r>
  </si>
  <si>
    <t xml:space="preserve">SRC_ZP_773</t>
  </si>
  <si>
    <t xml:space="preserve">purch_total_fy23</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</si>
  <si>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520,416÷53.6%≈971 </t>
    </r>
    <r>
      <rPr>
        <sz val="10"/>
        <color rgb="FF000000"/>
        <rFont val="Noto Sans CJK SC"/>
        <family val="2"/>
      </rPr>
      <t xml:space="preserve">百萬元；四捨五入占比致誤差約 </t>
    </r>
    <r>
      <rPr>
        <sz val="10"/>
        <color rgb="FF000000"/>
        <rFont val="Arial"/>
        <family val="0"/>
        <charset val="1"/>
      </rPr>
      <t xml:space="preserve">±0.1%</t>
    </r>
    <r>
      <rPr>
        <sz val="10"/>
        <color rgb="FF000000"/>
        <rFont val="Noto Sans CJK SC"/>
        <family val="2"/>
      </rPr>
      <t xml:space="preserve">；採購總額含算力服務、算力硬件、廣告等</t>
    </r>
  </si>
  <si>
    <t xml:space="preserve">SRC_ZP_774</t>
  </si>
  <si>
    <t xml:space="preserve">sup_top5_amt_fy22</t>
  </si>
  <si>
    <r>
      <rPr>
        <sz val="10"/>
        <color rgb="FF000000"/>
        <rFont val="Noto Sans CJK SC"/>
        <family val="2"/>
      </rPr>
      <t xml:space="preserve">五大供應商表合計 </t>
    </r>
    <r>
      <rPr>
        <sz val="10"/>
        <color rgb="FF000000"/>
        <rFont val="Arial"/>
        <family val="0"/>
        <charset val="1"/>
      </rPr>
      <t xml:space="preserve">41,418 </t>
    </r>
    <r>
      <rPr>
        <sz val="10"/>
        <color rgb="FF000000"/>
        <rFont val="Noto Sans CJK SC"/>
        <family val="2"/>
      </rPr>
      <t xml:space="preserve">千元、</t>
    </r>
    <r>
      <rPr>
        <sz val="10"/>
        <color rgb="FF000000"/>
        <rFont val="Arial"/>
        <family val="0"/>
        <charset val="1"/>
      </rPr>
      <t xml:space="preserve">54.5%</t>
    </r>
    <r>
      <rPr>
        <sz val="10"/>
        <color rgb="FF000000"/>
        <rFont val="Noto Sans CJK SC"/>
        <family val="2"/>
      </rPr>
      <t xml:space="preserve">；補充 </t>
    </r>
    <r>
      <rPr>
        <sz val="10"/>
        <color rgb="FF000000"/>
        <rFont val="Arial"/>
        <family val="0"/>
        <charset val="1"/>
      </rPr>
      <t xml:space="preserve">SRC_ZP_440</t>
    </r>
    <r>
      <rPr>
        <sz val="10"/>
        <color rgb="FF000000"/>
        <rFont val="Noto Sans CJK SC"/>
        <family val="2"/>
      </rPr>
      <t xml:space="preserve">（占比）之金額</t>
    </r>
  </si>
  <si>
    <t xml:space="preserve">SRC_ZP_775</t>
  </si>
  <si>
    <t xml:space="preserve">purch_total_fy22</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</si>
  <si>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41,418÷54.5%≈76 </t>
    </r>
    <r>
      <rPr>
        <sz val="10"/>
        <color rgb="FF000000"/>
        <rFont val="Noto Sans CJK SC"/>
        <family val="2"/>
      </rPr>
      <t xml:space="preserve">百萬元；四捨五入占比致誤差約 </t>
    </r>
    <r>
      <rPr>
        <sz val="10"/>
        <color rgb="FF000000"/>
        <rFont val="Arial"/>
        <family val="0"/>
        <charset val="1"/>
      </rPr>
      <t xml:space="preserve">±0.1%</t>
    </r>
    <r>
      <rPr>
        <sz val="10"/>
        <color rgb="FF000000"/>
        <rFont val="Noto Sans CJK SC"/>
        <family val="2"/>
      </rPr>
      <t xml:space="preserve">；採購總額含算力服務、算力硬件、廣告等</t>
    </r>
  </si>
  <si>
    <t xml:space="preserve">SRC_ZP_776</t>
  </si>
  <si>
    <t xml:space="preserve">sup_top1_share_1h25_p</t>
  </si>
  <si>
    <r>
      <rPr>
        <sz val="10"/>
        <color rgb="FF000000"/>
        <rFont val="Noto Sans CJK SC"/>
        <family val="2"/>
      </rPr>
      <t xml:space="preserve">原文「我們自最大供應商的採購額分別佔我們採購總額的 </t>
    </r>
    <r>
      <rPr>
        <sz val="10"/>
        <color rgb="FF000000"/>
        <rFont val="Arial"/>
        <family val="0"/>
        <charset val="1"/>
      </rPr>
      <t xml:space="preserve">33.1%</t>
    </r>
    <r>
      <rPr>
        <sz val="10"/>
        <color rgb="FF000000"/>
        <rFont val="Noto Sans CJK SC"/>
        <family val="2"/>
      </rPr>
      <t xml:space="preserve">、</t>
    </r>
    <r>
      <rPr>
        <sz val="10"/>
        <color rgb="FF000000"/>
        <rFont val="Arial"/>
        <family val="0"/>
        <charset val="1"/>
      </rPr>
      <t xml:space="preserve">16.4%</t>
    </r>
    <r>
      <rPr>
        <sz val="10"/>
        <color rgb="FF000000"/>
        <rFont val="Noto Sans CJK SC"/>
        <family val="2"/>
      </rPr>
      <t xml:space="preserve">、</t>
    </r>
    <r>
      <rPr>
        <sz val="10"/>
        <color rgb="FF000000"/>
        <rFont val="Arial"/>
        <family val="0"/>
        <charset val="1"/>
      </rPr>
      <t xml:space="preserve">15.6%</t>
    </r>
    <r>
      <rPr>
        <sz val="10"/>
        <color rgb="FF000000"/>
        <rFont val="Noto Sans CJK SC"/>
        <family val="2"/>
      </rPr>
      <t xml:space="preserve">及 </t>
    </r>
    <r>
      <rPr>
        <sz val="10"/>
        <color rgb="FF000000"/>
        <rFont val="Arial"/>
        <family val="0"/>
        <charset val="1"/>
      </rPr>
      <t xml:space="preserve">13.4%</t>
    </r>
    <r>
      <rPr>
        <sz val="10"/>
        <color rgb="FF000000"/>
        <rFont val="Noto Sans CJK SC"/>
        <family val="2"/>
      </rPr>
      <t xml:space="preserve">」；頁碼補正，值相同</t>
    </r>
  </si>
  <si>
    <t xml:space="preserve">SRC_ZP_777</t>
  </si>
  <si>
    <t xml:space="preserve">sup_top1_share_fy24_p</t>
  </si>
  <si>
    <t xml:space="preserve">SRC_ZP_778</t>
  </si>
  <si>
    <t xml:space="preserve">sup_top1_share_fy23_p</t>
  </si>
  <si>
    <t xml:space="preserve">SRC_ZP_779</t>
  </si>
  <si>
    <t xml:space="preserve">sup_top1_share_fy22_p</t>
  </si>
  <si>
    <t xml:space="preserve">SRC_ZP_780</t>
  </si>
  <si>
    <t xml:space="preserve">sup_framework_terms</t>
  </si>
  <si>
    <t xml:space="preserve">計算資源供應商（雲服務）框架協議條款</t>
  </si>
  <si>
    <r>
      <rPr>
        <sz val="10"/>
        <color rgb="FF000000"/>
        <rFont val="Noto Sans CJK SC"/>
        <family val="2"/>
      </rPr>
      <t xml:space="preserve">原文（第 </t>
    </r>
    <r>
      <rPr>
        <sz val="10"/>
        <color rgb="FF000000"/>
        <rFont val="Arial"/>
        <family val="0"/>
        <charset val="1"/>
      </rPr>
      <t xml:space="preserve">216 </t>
    </r>
    <r>
      <rPr>
        <sz val="10"/>
        <color rgb="FF000000"/>
        <rFont val="Noto Sans CJK SC"/>
        <family val="2"/>
      </rPr>
      <t xml:space="preserve">頁＝印 </t>
    </r>
    <r>
      <rPr>
        <sz val="10"/>
        <color rgb="FF000000"/>
        <rFont val="Arial"/>
        <family val="0"/>
        <charset val="1"/>
      </rPr>
      <t xml:space="preserve">207</t>
    </r>
    <r>
      <rPr>
        <sz val="10"/>
        <color rgb="FF000000"/>
        <rFont val="Noto Sans CJK SC"/>
        <family val="2"/>
      </rPr>
      <t xml:space="preserve">）：服務範圍「雲計算服務，以及必要的計算基礎設施及技術支持服務」；期限「通常介乎一至四年，經雙方同意可續期」；付款期「根據協議的履約進度分期結算付款。一般而言，我們可獲授最多 </t>
    </r>
    <r>
      <rPr>
        <sz val="10"/>
        <color rgb="FF000000"/>
        <rFont val="Arial"/>
        <family val="0"/>
        <charset val="1"/>
      </rPr>
      <t xml:space="preserve">40 </t>
    </r>
    <r>
      <rPr>
        <sz val="10"/>
        <color rgb="FF000000"/>
        <rFont val="Noto Sans CJK SC"/>
        <family val="2"/>
      </rPr>
      <t xml:space="preserve">日的信貸期」；終止須書面同意或嚴重違約</t>
    </r>
  </si>
  <si>
    <t xml:space="preserve">SRC_ZP_781</t>
  </si>
  <si>
    <t xml:space="preserve">sup_credit_max_days</t>
  </si>
  <si>
    <t xml:space="preserve">算力供應商信貸期上限</t>
  </si>
  <si>
    <t xml:space="preserve">日</t>
  </si>
  <si>
    <r>
      <rPr>
        <sz val="10"/>
        <color rgb="FF000000"/>
        <rFont val="Noto Sans CJK SC"/>
        <family val="2"/>
      </rPr>
      <t xml:space="preserve">原文「一般而言，我們可獲授最多 </t>
    </r>
    <r>
      <rPr>
        <sz val="10"/>
        <color rgb="FF000000"/>
        <rFont val="Arial"/>
        <family val="0"/>
        <charset val="1"/>
      </rPr>
      <t xml:space="preserve">40 </t>
    </r>
    <r>
      <rPr>
        <sz val="10"/>
        <color rgb="FF000000"/>
        <rFont val="Noto Sans CJK SC"/>
        <family val="2"/>
      </rPr>
      <t xml:space="preserve">日的信貸期」</t>
    </r>
  </si>
  <si>
    <t xml:space="preserve">SRC_ZP_782</t>
  </si>
  <si>
    <t xml:space="preserve">sup_prepay_c</t>
  </si>
  <si>
    <r>
      <rPr>
        <sz val="10"/>
        <color rgb="FF000000"/>
        <rFont val="Noto Sans CJK SC"/>
        <family val="2"/>
      </rPr>
      <t xml:space="preserve">預付款條件之供應商（</t>
    </r>
    <r>
      <rPr>
        <sz val="10"/>
        <color rgb="FF000000"/>
        <rFont val="Arial"/>
        <family val="0"/>
        <charset val="1"/>
      </rPr>
      <t xml:space="preserve">C</t>
    </r>
    <r>
      <rPr>
        <sz val="10"/>
        <color rgb="FF000000"/>
        <rFont val="Noto Sans CJK SC"/>
        <family val="2"/>
      </rPr>
      <t xml:space="preserve">：嘉興 </t>
    </r>
    <r>
      <rPr>
        <sz val="10"/>
        <color rgb="FF000000"/>
        <rFont val="Arial"/>
        <family val="0"/>
        <charset val="1"/>
      </rPr>
      <t xml:space="preserve">IT </t>
    </r>
    <r>
      <rPr>
        <sz val="10"/>
        <color rgb="FF000000"/>
        <rFont val="Noto Sans CJK SC"/>
        <family val="2"/>
      </rPr>
      <t xml:space="preserve">服務公司，計算服務）</t>
    </r>
  </si>
  <si>
    <r>
      <rPr>
        <sz val="10"/>
        <color rgb="FF000000"/>
        <rFont val="Arial"/>
        <family val="0"/>
        <charset val="1"/>
      </rPr>
      <t xml:space="preserve">FY2024 </t>
    </r>
    <r>
      <rPr>
        <sz val="10"/>
        <color rgb="FF000000"/>
        <rFont val="Noto Sans CJK SC"/>
        <family val="2"/>
      </rPr>
      <t xml:space="preserve">第二大供應商 </t>
    </r>
    <r>
      <rPr>
        <sz val="10"/>
        <color rgb="FF000000"/>
        <rFont val="Arial"/>
        <family val="0"/>
        <charset val="1"/>
      </rPr>
      <t xml:space="preserve">C </t>
    </r>
    <r>
      <rPr>
        <sz val="10"/>
        <color rgb="FF000000"/>
        <rFont val="Noto Sans CJK SC"/>
        <family val="2"/>
      </rPr>
      <t xml:space="preserve">信貸期欄為「預付款」，採購 </t>
    </r>
    <r>
      <rPr>
        <sz val="10"/>
        <color rgb="FF000000"/>
        <rFont val="Arial"/>
        <family val="0"/>
        <charset val="1"/>
      </rPr>
      <t xml:space="preserve">379,829 </t>
    </r>
    <r>
      <rPr>
        <sz val="10"/>
        <color rgb="FF000000"/>
        <rFont val="Noto Sans CJK SC"/>
        <family val="2"/>
      </rPr>
      <t xml:space="preserve">千元（</t>
    </r>
    <r>
      <rPr>
        <sz val="10"/>
        <color rgb="FF000000"/>
        <rFont val="Arial"/>
        <family val="0"/>
        <charset val="1"/>
      </rPr>
      <t xml:space="preserve">15.0%</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仍為「預付款」</t>
    </r>
    <r>
      <rPr>
        <sz val="10"/>
        <color rgb="FF000000"/>
        <rFont val="Arial"/>
        <family val="0"/>
        <charset val="1"/>
      </rPr>
      <t xml:space="preserve">152,430 </t>
    </r>
    <r>
      <rPr>
        <sz val="10"/>
        <color rgb="FF000000"/>
        <rFont val="Noto Sans CJK SC"/>
        <family val="2"/>
      </rPr>
      <t xml:space="preserve">千元（</t>
    </r>
    <r>
      <rPr>
        <sz val="10"/>
        <color rgb="FF000000"/>
        <rFont val="Arial"/>
        <family val="0"/>
        <charset val="1"/>
      </rPr>
      <t xml:space="preserve">9.8%</t>
    </r>
    <r>
      <rPr>
        <sz val="10"/>
        <color rgb="FF000000"/>
        <rFont val="Noto Sans CJK SC"/>
        <family val="2"/>
      </rPr>
      <t xml:space="preserve">）；合作年數 </t>
    </r>
    <r>
      <rPr>
        <sz val="10"/>
        <color rgb="FF000000"/>
        <rFont val="Arial"/>
        <family val="0"/>
        <charset val="1"/>
      </rPr>
      <t xml:space="preserve">1</t>
    </r>
    <r>
      <rPr>
        <sz val="10"/>
        <color rgb="FF000000"/>
        <rFont val="Noto Sans CJK SC"/>
        <family val="2"/>
      </rPr>
      <t xml:space="preserve">；其他預付款供應商：</t>
    </r>
    <r>
      <rPr>
        <sz val="10"/>
        <color rgb="FF000000"/>
        <rFont val="Arial"/>
        <family val="0"/>
        <charset val="1"/>
      </rPr>
      <t xml:space="preserve">FY2023 I</t>
    </r>
    <r>
      <rPr>
        <sz val="10"/>
        <color rgb="FF000000"/>
        <rFont val="Noto Sans CJK SC"/>
        <family val="2"/>
      </rPr>
      <t xml:space="preserve">（計算硬件 </t>
    </r>
    <r>
      <rPr>
        <sz val="10"/>
        <color rgb="FF000000"/>
        <rFont val="Arial"/>
        <family val="0"/>
        <charset val="1"/>
      </rPr>
      <t xml:space="preserve">95,841</t>
    </r>
    <r>
      <rPr>
        <sz val="10"/>
        <color rgb="FF000000"/>
        <rFont val="Noto Sans CJK SC"/>
        <family val="2"/>
      </rPr>
      <t xml:space="preserve">）、</t>
    </r>
    <r>
      <rPr>
        <sz val="10"/>
        <color rgb="FF000000"/>
        <rFont val="Arial"/>
        <family val="0"/>
        <charset val="1"/>
      </rPr>
      <t xml:space="preserve">K</t>
    </r>
    <r>
      <rPr>
        <sz val="10"/>
        <color rgb="FF000000"/>
        <rFont val="Noto Sans CJK SC"/>
        <family val="2"/>
      </rPr>
      <t xml:space="preserve">（計算硬件 </t>
    </r>
    <r>
      <rPr>
        <sz val="10"/>
        <color rgb="FF000000"/>
        <rFont val="Arial"/>
        <family val="0"/>
        <charset val="1"/>
      </rPr>
      <t xml:space="preserve">57,345</t>
    </r>
    <r>
      <rPr>
        <sz val="10"/>
        <color rgb="FF000000"/>
        <rFont val="Noto Sans CJK SC"/>
        <family val="2"/>
      </rPr>
      <t xml:space="preserve">），</t>
    </r>
    <r>
      <rPr>
        <sz val="10"/>
        <color rgb="FF000000"/>
        <rFont val="Arial"/>
        <family val="0"/>
        <charset val="1"/>
      </rPr>
      <t xml:space="preserve">FY2022 M</t>
    </r>
    <r>
      <rPr>
        <sz val="10"/>
        <color rgb="FF000000"/>
        <rFont val="Noto Sans CJK SC"/>
        <family val="2"/>
      </rPr>
      <t xml:space="preserve">（計算服務 </t>
    </r>
    <r>
      <rPr>
        <sz val="10"/>
        <color rgb="FF000000"/>
        <rFont val="Arial"/>
        <family val="0"/>
        <charset val="1"/>
      </rPr>
      <t xml:space="preserve">2,548</t>
    </r>
    <r>
      <rPr>
        <sz val="10"/>
        <color rgb="FF000000"/>
        <rFont val="Noto Sans CJK SC"/>
        <family val="2"/>
      </rPr>
      <t xml:space="preserve">）</t>
    </r>
  </si>
  <si>
    <t xml:space="preserve">SRC_ZP_783</t>
  </si>
  <si>
    <t xml:space="preserve">sup_e_profile</t>
  </si>
  <si>
    <r>
      <rPr>
        <sz val="10"/>
        <color rgb="FF000000"/>
        <rFont val="Noto Sans CJK SC"/>
        <family val="2"/>
      </rPr>
      <t xml:space="preserve">最大算力雲供應商 </t>
    </r>
    <r>
      <rPr>
        <sz val="10"/>
        <color rgb="FF000000"/>
        <rFont val="Arial"/>
        <family val="0"/>
        <charset val="1"/>
      </rPr>
      <t xml:space="preserve">E </t>
    </r>
    <r>
      <rPr>
        <sz val="10"/>
        <color rgb="FF000000"/>
        <rFont val="Noto Sans CJK SC"/>
        <family val="2"/>
      </rPr>
      <t xml:space="preserve">之採購時序</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</si>
  <si>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218 </t>
    </r>
    <r>
      <rPr>
        <sz val="10"/>
        <color rgb="FF000000"/>
        <rFont val="Noto Sans CJK SC"/>
        <family val="2"/>
      </rPr>
      <t xml:space="preserve">頁</t>
    </r>
  </si>
  <si>
    <r>
      <rPr>
        <sz val="10"/>
        <color rgb="FF000000"/>
        <rFont val="Noto Sans CJK SC"/>
        <family val="2"/>
      </rPr>
      <t xml:space="preserve">經審計（會計師報告，畢馬威 </t>
    </r>
    <r>
      <rPr>
        <sz val="10"/>
        <color rgb="FF000000"/>
        <rFont val="Arial"/>
        <family val="0"/>
        <charset val="1"/>
      </rPr>
      <t xml:space="preserve">2025-12-30</t>
    </r>
    <r>
      <rPr>
        <sz val="10"/>
        <color rgb="FF000000"/>
        <rFont val="Noto Sans CJK SC"/>
        <family val="2"/>
      </rPr>
      <t xml:space="preserve">）</t>
    </r>
  </si>
  <si>
    <r>
      <rPr>
        <sz val="10"/>
        <color rgb="FF000000"/>
        <rFont val="Noto Sans CJK SC"/>
        <family val="2"/>
      </rPr>
      <t xml:space="preserve">原文「供應商</t>
    </r>
    <r>
      <rPr>
        <sz val="10"/>
        <color rgb="FF000000"/>
        <rFont val="Arial"/>
        <family val="0"/>
        <charset val="1"/>
      </rPr>
      <t xml:space="preserve">E</t>
    </r>
    <r>
      <rPr>
        <sz val="10"/>
        <color rgb="FF000000"/>
        <rFont val="Noto Sans CJK SC"/>
        <family val="2"/>
      </rPr>
      <t xml:space="preserve">是我們於 </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年的最大供應商…雲服務提供商，是中國一家大型互聯網技術公司的附屬公司…向供應商</t>
    </r>
    <r>
      <rPr>
        <sz val="10"/>
        <color rgb="FF000000"/>
        <rFont val="Arial"/>
        <family val="0"/>
        <charset val="1"/>
      </rPr>
      <t xml:space="preserve">E</t>
    </r>
    <r>
      <rPr>
        <sz val="10"/>
        <color rgb="FF000000"/>
        <rFont val="Noto Sans CJK SC"/>
        <family val="2"/>
      </rPr>
      <t xml:space="preserve">的採購額分別為人民幣 </t>
    </r>
    <r>
      <rPr>
        <sz val="10"/>
        <color rgb="FF000000"/>
        <rFont val="Arial"/>
        <family val="0"/>
        <charset val="1"/>
      </rPr>
      <t xml:space="preserve">2.8</t>
    </r>
    <r>
      <rPr>
        <sz val="10"/>
        <color rgb="FF000000"/>
        <rFont val="Noto Sans CJK SC"/>
        <family val="2"/>
      </rPr>
      <t xml:space="preserve">、</t>
    </r>
    <r>
      <rPr>
        <sz val="10"/>
        <color rgb="FF000000"/>
        <rFont val="Arial"/>
        <family val="0"/>
        <charset val="1"/>
      </rPr>
      <t xml:space="preserve">158.9</t>
    </r>
    <r>
      <rPr>
        <sz val="10"/>
        <color rgb="FF000000"/>
        <rFont val="Noto Sans CJK SC"/>
        <family val="2"/>
      </rPr>
      <t xml:space="preserve">、</t>
    </r>
    <r>
      <rPr>
        <sz val="10"/>
        <color rgb="FF000000"/>
        <rFont val="Arial"/>
        <family val="0"/>
        <charset val="1"/>
      </rPr>
      <t xml:space="preserve">394.8 </t>
    </r>
    <r>
      <rPr>
        <sz val="10"/>
        <color rgb="FF000000"/>
        <rFont val="Noto Sans CJK SC"/>
        <family val="2"/>
      </rPr>
      <t xml:space="preserve">百萬元及 </t>
    </r>
    <r>
      <rPr>
        <sz val="10"/>
        <color rgb="FF000000"/>
        <rFont val="Arial"/>
        <family val="0"/>
        <charset val="1"/>
      </rPr>
      <t xml:space="preserve">123.5 </t>
    </r>
    <r>
      <rPr>
        <sz val="10"/>
        <color rgb="FF000000"/>
        <rFont val="Noto Sans CJK SC"/>
        <family val="2"/>
      </rPr>
      <t xml:space="preserve">百萬元，分別佔 </t>
    </r>
    <r>
      <rPr>
        <sz val="10"/>
        <color rgb="FF000000"/>
        <rFont val="Arial"/>
        <family val="0"/>
        <charset val="1"/>
      </rPr>
      <t xml:space="preserve">3.7%</t>
    </r>
    <r>
      <rPr>
        <sz val="10"/>
        <color rgb="FF000000"/>
        <rFont val="Noto Sans CJK SC"/>
        <family val="2"/>
      </rPr>
      <t xml:space="preserve">、</t>
    </r>
    <r>
      <rPr>
        <sz val="10"/>
        <color rgb="FF000000"/>
        <rFont val="Arial"/>
        <family val="0"/>
        <charset val="1"/>
      </rPr>
      <t xml:space="preserve">16.4%</t>
    </r>
    <r>
      <rPr>
        <sz val="10"/>
        <color rgb="FF000000"/>
        <rFont val="Noto Sans CJK SC"/>
        <family val="2"/>
      </rPr>
      <t xml:space="preserve">、</t>
    </r>
    <r>
      <rPr>
        <sz val="10"/>
        <color rgb="FF000000"/>
        <rFont val="Arial"/>
        <family val="0"/>
        <charset val="1"/>
      </rPr>
      <t xml:space="preserve">15.6%</t>
    </r>
    <r>
      <rPr>
        <sz val="10"/>
        <color rgb="FF000000"/>
        <rFont val="Noto Sans CJK SC"/>
        <family val="2"/>
      </rPr>
      <t xml:space="preserve">及 </t>
    </r>
    <r>
      <rPr>
        <sz val="10"/>
        <color rgb="FF000000"/>
        <rFont val="Arial"/>
        <family val="0"/>
        <charset val="1"/>
      </rPr>
      <t xml:space="preserve">8.2%</t>
    </r>
    <r>
      <rPr>
        <sz val="10"/>
        <color rgb="FF000000"/>
        <rFont val="Noto Sans CJK SC"/>
        <family val="2"/>
      </rPr>
      <t xml:space="preserve">」；亦為客戶（</t>
    </r>
    <r>
      <rPr>
        <sz val="10"/>
        <color rgb="FF000000"/>
        <rFont val="Arial"/>
        <family val="0"/>
        <charset val="1"/>
      </rPr>
      <t xml:space="preserve">FY24 </t>
    </r>
    <r>
      <rPr>
        <sz val="10"/>
        <color rgb="FF000000"/>
        <rFont val="Noto Sans CJK SC"/>
        <family val="2"/>
      </rPr>
      <t xml:space="preserve">銷售 </t>
    </r>
    <r>
      <rPr>
        <sz val="10"/>
        <color rgb="FF000000"/>
        <rFont val="Arial"/>
        <family val="0"/>
        <charset val="1"/>
      </rPr>
      <t xml:space="preserve">2.4</t>
    </r>
    <r>
      <rPr>
        <sz val="10"/>
        <color rgb="FF000000"/>
        <rFont val="Noto Sans CJK SC"/>
        <family val="2"/>
      </rPr>
      <t xml:space="preserve">、</t>
    </r>
    <r>
      <rPr>
        <sz val="10"/>
        <color rgb="FF000000"/>
        <rFont val="Arial"/>
        <family val="0"/>
        <charset val="1"/>
      </rPr>
      <t xml:space="preserve">1H25 4.7 </t>
    </r>
    <r>
      <rPr>
        <sz val="10"/>
        <color rgb="FF000000"/>
        <rFont val="Noto Sans CJK SC"/>
        <family val="2"/>
      </rPr>
      <t xml:space="preserve">百萬元，原文誤植為「供應商</t>
    </r>
    <r>
      <rPr>
        <sz val="10"/>
        <color rgb="FF000000"/>
        <rFont val="Arial"/>
        <family val="0"/>
        <charset val="1"/>
      </rPr>
      <t xml:space="preserve">A</t>
    </r>
    <r>
      <rPr>
        <sz val="10"/>
        <color rgb="FF000000"/>
        <rFont val="Noto Sans CJK SC"/>
        <family val="2"/>
      </rPr>
      <t xml:space="preserve">」）</t>
    </r>
  </si>
  <si>
    <t xml:space="preserve">SRC_ZP_784</t>
  </si>
  <si>
    <t xml:space="preserve">sup_q_cloud</t>
  </si>
  <si>
    <r>
      <rPr>
        <sz val="10"/>
        <color rgb="FF000000"/>
        <rFont val="Noto Sans CJK SC"/>
        <family val="2"/>
      </rPr>
      <t xml:space="preserve">客戶 </t>
    </r>
    <r>
      <rPr>
        <sz val="10"/>
        <color rgb="FF000000"/>
        <rFont val="Arial"/>
        <family val="0"/>
        <charset val="1"/>
      </rPr>
      <t xml:space="preserve">Q</t>
    </r>
    <r>
      <rPr>
        <sz val="10"/>
        <color rgb="FF000000"/>
        <rFont val="Noto Sans CJK SC"/>
        <family val="2"/>
      </rPr>
      <t xml:space="preserve">（雲計算公司）兼算力供應商：採購額</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</si>
  <si>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219 </t>
    </r>
    <r>
      <rPr>
        <sz val="10"/>
        <color rgb="FF000000"/>
        <rFont val="Noto Sans CJK SC"/>
        <family val="2"/>
      </rPr>
      <t xml:space="preserve">頁</t>
    </r>
  </si>
  <si>
    <r>
      <rPr>
        <sz val="10"/>
        <color rgb="FF000000"/>
        <rFont val="Noto Sans CJK SC"/>
        <family val="2"/>
      </rPr>
      <t xml:space="preserve">經審計（會計師報告，畢馬威 </t>
    </r>
    <r>
      <rPr>
        <sz val="10"/>
        <color rgb="FF000000"/>
        <rFont val="Arial"/>
        <family val="0"/>
        <charset val="1"/>
      </rPr>
      <t xml:space="preserve">2025-12-30</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為往績記錄期之一，非僅審閱）</t>
    </r>
  </si>
  <si>
    <r>
      <rPr>
        <sz val="10"/>
        <color rgb="FF000000"/>
        <rFont val="Noto Sans CJK SC"/>
        <family val="2"/>
      </rPr>
      <t xml:space="preserve">原文「我們向客戶</t>
    </r>
    <r>
      <rPr>
        <sz val="10"/>
        <color rgb="FF000000"/>
        <rFont val="Arial"/>
        <family val="0"/>
        <charset val="1"/>
      </rPr>
      <t xml:space="preserve">Q</t>
    </r>
    <r>
      <rPr>
        <sz val="10"/>
        <color rgb="FF000000"/>
        <rFont val="Noto Sans CJK SC"/>
        <family val="2"/>
      </rPr>
      <t xml:space="preserve">的採購額分別為人民幣 </t>
    </r>
    <r>
      <rPr>
        <sz val="10"/>
        <color rgb="FF000000"/>
        <rFont val="Arial"/>
        <family val="0"/>
        <charset val="1"/>
      </rPr>
      <t xml:space="preserve">0.98 </t>
    </r>
    <r>
      <rPr>
        <sz val="10"/>
        <color rgb="FF000000"/>
        <rFont val="Noto Sans CJK SC"/>
        <family val="2"/>
      </rPr>
      <t xml:space="preserve">百萬元、人民幣 </t>
    </r>
    <r>
      <rPr>
        <sz val="10"/>
        <color rgb="FF000000"/>
        <rFont val="Arial"/>
        <family val="0"/>
        <charset val="1"/>
      </rPr>
      <t xml:space="preserve">27.2 </t>
    </r>
    <r>
      <rPr>
        <sz val="10"/>
        <color rgb="FF000000"/>
        <rFont val="Noto Sans CJK SC"/>
        <family val="2"/>
      </rPr>
      <t xml:space="preserve">百萬元、人民幣 </t>
    </r>
    <r>
      <rPr>
        <sz val="10"/>
        <color rgb="FF000000"/>
        <rFont val="Arial"/>
        <family val="0"/>
        <charset val="1"/>
      </rPr>
      <t xml:space="preserve">76.6 </t>
    </r>
    <r>
      <rPr>
        <sz val="10"/>
        <color rgb="FF000000"/>
        <rFont val="Noto Sans CJK SC"/>
        <family val="2"/>
      </rPr>
      <t xml:space="preserve">百萬元及人民幣 </t>
    </r>
    <r>
      <rPr>
        <sz val="10"/>
        <color rgb="FF000000"/>
        <rFont val="Arial"/>
        <family val="0"/>
        <charset val="1"/>
      </rPr>
      <t xml:space="preserve">94.5 </t>
    </r>
    <r>
      <rPr>
        <sz val="10"/>
        <color rgb="FF000000"/>
        <rFont val="Noto Sans CJK SC"/>
        <family val="2"/>
      </rPr>
      <t xml:space="preserve">百萬元，分別佔…</t>
    </r>
    <r>
      <rPr>
        <sz val="10"/>
        <color rgb="FF000000"/>
        <rFont val="Arial"/>
        <family val="0"/>
        <charset val="1"/>
      </rPr>
      <t xml:space="preserve">1.3%</t>
    </r>
    <r>
      <rPr>
        <sz val="10"/>
        <color rgb="FF000000"/>
        <rFont val="Noto Sans CJK SC"/>
        <family val="2"/>
      </rPr>
      <t xml:space="preserve">、</t>
    </r>
    <r>
      <rPr>
        <sz val="10"/>
        <color rgb="FF000000"/>
        <rFont val="Arial"/>
        <family val="0"/>
        <charset val="1"/>
      </rPr>
      <t xml:space="preserve">2.8%</t>
    </r>
    <r>
      <rPr>
        <sz val="10"/>
        <color rgb="FF000000"/>
        <rFont val="Noto Sans CJK SC"/>
        <family val="2"/>
      </rPr>
      <t xml:space="preserve">、</t>
    </r>
    <r>
      <rPr>
        <sz val="10"/>
        <color rgb="FF000000"/>
        <rFont val="Arial"/>
        <family val="0"/>
        <charset val="1"/>
      </rPr>
      <t xml:space="preserve">3.0%</t>
    </r>
    <r>
      <rPr>
        <sz val="10"/>
        <color rgb="FF000000"/>
        <rFont val="Noto Sans CJK SC"/>
        <family val="2"/>
      </rPr>
      <t xml:space="preserve">及 </t>
    </r>
    <r>
      <rPr>
        <sz val="10"/>
        <color rgb="FF000000"/>
        <rFont val="Arial"/>
        <family val="0"/>
        <charset val="1"/>
      </rPr>
      <t xml:space="preserve">6.3%</t>
    </r>
    <r>
      <rPr>
        <sz val="10"/>
        <color rgb="FF000000"/>
        <rFont val="Noto Sans CJK SC"/>
        <family val="2"/>
      </rPr>
      <t xml:space="preserve">」；</t>
    </r>
    <r>
      <rPr>
        <sz val="10"/>
        <color rgb="FF000000"/>
        <rFont val="Arial"/>
        <family val="0"/>
        <charset val="1"/>
      </rPr>
      <t xml:space="preserve">Q </t>
    </r>
    <r>
      <rPr>
        <sz val="10"/>
        <color rgb="FF000000"/>
        <rFont val="Noto Sans CJK SC"/>
        <family val="2"/>
      </rPr>
      <t xml:space="preserve">為杭州雲計算及 </t>
    </r>
    <r>
      <rPr>
        <sz val="10"/>
        <color rgb="FF000000"/>
        <rFont val="Arial"/>
        <family val="0"/>
        <charset val="1"/>
      </rPr>
      <t xml:space="preserve">AI </t>
    </r>
    <r>
      <rPr>
        <sz val="10"/>
        <color rgb="FF000000"/>
        <rFont val="Noto Sans CJK SC"/>
        <family val="2"/>
      </rPr>
      <t xml:space="preserve">公司（註冊資本 </t>
    </r>
    <r>
      <rPr>
        <sz val="10"/>
        <color rgb="FF000000"/>
        <rFont val="Arial"/>
        <family val="0"/>
        <charset val="1"/>
      </rPr>
      <t xml:space="preserve">10 </t>
    </r>
    <r>
      <rPr>
        <sz val="10"/>
        <color rgb="FF000000"/>
        <rFont val="Noto Sans CJK SC"/>
        <family val="2"/>
      </rPr>
      <t xml:space="preserve">億）；以百萬元換算（</t>
    </r>
    <r>
      <rPr>
        <sz val="10"/>
        <color rgb="FF000000"/>
        <rFont val="Arial"/>
        <family val="0"/>
        <charset val="1"/>
      </rPr>
      <t xml:space="preserve">94.5 </t>
    </r>
    <r>
      <rPr>
        <sz val="10"/>
        <color rgb="FF000000"/>
        <rFont val="Noto Sans CJK SC"/>
        <family val="2"/>
      </rPr>
      <t xml:space="preserve">百萬）</t>
    </r>
  </si>
  <si>
    <t xml:space="preserve">SRC_ZP_785</t>
  </si>
  <si>
    <t xml:space="preserve">cust_a_overlap_p</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</si>
  <si>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t>
    </r>
    <r>
      <rPr>
        <sz val="10"/>
        <color rgb="FF000000"/>
        <rFont val="Arial"/>
        <family val="0"/>
        <charset val="1"/>
      </rPr>
      <t xml:space="preserve">1H25</t>
    </r>
    <r>
      <rPr>
        <sz val="10"/>
        <color rgb="FF000000"/>
        <rFont val="Noto Sans CJK SC"/>
        <family val="2"/>
      </rPr>
      <t xml:space="preserve">）兼供應商：銷售 </t>
    </r>
    <r>
      <rPr>
        <sz val="10"/>
        <color rgb="FF000000"/>
        <rFont val="Arial"/>
        <family val="0"/>
        <charset val="1"/>
      </rPr>
      <t xml:space="preserve">vs </t>
    </r>
    <r>
      <rPr>
        <sz val="10"/>
        <color rgb="FF000000"/>
        <rFont val="Noto Sans CJK SC"/>
        <family val="2"/>
      </rPr>
      <t xml:space="preserve">採購</t>
    </r>
  </si>
  <si>
    <r>
      <rPr>
        <sz val="10"/>
        <color rgb="FF000000"/>
        <rFont val="Arial"/>
        <family val="0"/>
        <charset val="1"/>
      </rPr>
      <t xml:space="preserve">RMB </t>
    </r>
    <r>
      <rPr>
        <sz val="10"/>
        <color rgb="FF000000"/>
        <rFont val="Noto Sans CJK SC"/>
        <family val="2"/>
      </rPr>
      <t xml:space="preserve">億（銷售，</t>
    </r>
    <r>
      <rPr>
        <sz val="10"/>
        <color rgb="FF000000"/>
        <rFont val="Arial"/>
        <family val="0"/>
        <charset val="1"/>
      </rPr>
      <t xml:space="preserve">FY24+1H25</t>
    </r>
    <r>
      <rPr>
        <sz val="10"/>
        <color rgb="FF000000"/>
        <rFont val="Noto Sans CJK SC"/>
        <family val="2"/>
      </rPr>
      <t xml:space="preserve">）</t>
    </r>
  </si>
  <si>
    <t xml:space="preserve">FY2024–1H2025</t>
  </si>
  <si>
    <r>
      <rPr>
        <sz val="10"/>
        <color rgb="FF000000"/>
        <rFont val="Noto Sans CJK SC"/>
        <family val="2"/>
      </rPr>
      <t xml:space="preserve">原文「我們自客戶</t>
    </r>
    <r>
      <rPr>
        <sz val="10"/>
        <color rgb="FF000000"/>
        <rFont val="Arial"/>
        <family val="0"/>
        <charset val="1"/>
      </rPr>
      <t xml:space="preserve">A</t>
    </r>
    <r>
      <rPr>
        <sz val="10"/>
        <color rgb="FF000000"/>
        <rFont val="Noto Sans CJK SC"/>
        <family val="2"/>
      </rPr>
      <t xml:space="preserve">的採購額分別為零、零、人民幣 </t>
    </r>
    <r>
      <rPr>
        <sz val="10"/>
        <color rgb="FF000000"/>
        <rFont val="Arial"/>
        <family val="0"/>
        <charset val="1"/>
      </rPr>
      <t xml:space="preserve">12.9 </t>
    </r>
    <r>
      <rPr>
        <sz val="10"/>
        <color rgb="FF000000"/>
        <rFont val="Noto Sans CJK SC"/>
        <family val="2"/>
      </rPr>
      <t xml:space="preserve">百萬元及人民幣 </t>
    </r>
    <r>
      <rPr>
        <sz val="10"/>
        <color rgb="FF000000"/>
        <rFont val="Arial"/>
        <family val="0"/>
        <charset val="1"/>
      </rPr>
      <t xml:space="preserve">11.8 </t>
    </r>
    <r>
      <rPr>
        <sz val="10"/>
        <color rgb="FF000000"/>
        <rFont val="Noto Sans CJK SC"/>
        <family val="2"/>
      </rPr>
      <t xml:space="preserve">百萬元…向客戶</t>
    </r>
    <r>
      <rPr>
        <sz val="10"/>
        <color rgb="FF000000"/>
        <rFont val="Arial"/>
        <family val="0"/>
        <charset val="1"/>
      </rPr>
      <t xml:space="preserve">A</t>
    </r>
    <r>
      <rPr>
        <sz val="10"/>
        <color rgb="FF000000"/>
        <rFont val="Noto Sans CJK SC"/>
        <family val="2"/>
      </rPr>
      <t xml:space="preserve">的銷售額分別為零、零、人民幣 </t>
    </r>
    <r>
      <rPr>
        <sz val="10"/>
        <color rgb="FF000000"/>
        <rFont val="Arial"/>
        <family val="0"/>
        <charset val="1"/>
      </rPr>
      <t xml:space="preserve">3.2 </t>
    </r>
    <r>
      <rPr>
        <sz val="10"/>
        <color rgb="FF000000"/>
        <rFont val="Noto Sans CJK SC"/>
        <family val="2"/>
      </rPr>
      <t xml:space="preserve">百萬元及人民幣 </t>
    </r>
    <r>
      <rPr>
        <sz val="10"/>
        <color rgb="FF000000"/>
        <rFont val="Arial"/>
        <family val="0"/>
        <charset val="1"/>
      </rPr>
      <t xml:space="preserve">21.0 </t>
    </r>
    <r>
      <rPr>
        <sz val="10"/>
        <color rgb="FF000000"/>
        <rFont val="Noto Sans CJK SC"/>
        <family val="2"/>
      </rPr>
      <t xml:space="preserve">百萬元」；銷售合計 </t>
    </r>
    <r>
      <rPr>
        <sz val="10"/>
        <color rgb="FF000000"/>
        <rFont val="Arial"/>
        <family val="0"/>
        <charset val="1"/>
      </rPr>
      <t xml:space="preserve">24.2 </t>
    </r>
    <r>
      <rPr>
        <sz val="10"/>
        <color rgb="FF000000"/>
        <rFont val="Noto Sans CJK SC"/>
        <family val="2"/>
      </rPr>
      <t xml:space="preserve">百萬＝</t>
    </r>
    <r>
      <rPr>
        <sz val="10"/>
        <color rgb="FF000000"/>
        <rFont val="Arial"/>
        <family val="0"/>
        <charset val="1"/>
      </rPr>
      <t xml:space="preserve">0.242 </t>
    </r>
    <r>
      <rPr>
        <sz val="10"/>
        <color rgb="FF000000"/>
        <rFont val="Noto Sans CJK SC"/>
        <family val="2"/>
      </rPr>
      <t xml:space="preserve">億、採購 </t>
    </r>
    <r>
      <rPr>
        <sz val="10"/>
        <color rgb="FF000000"/>
        <rFont val="Arial"/>
        <family val="0"/>
        <charset val="1"/>
      </rPr>
      <t xml:space="preserve">24.7 </t>
    </r>
    <r>
      <rPr>
        <sz val="10"/>
        <color rgb="FF000000"/>
        <rFont val="Noto Sans CJK SC"/>
        <family val="2"/>
      </rPr>
      <t xml:space="preserve">百萬＝</t>
    </r>
    <r>
      <rPr>
        <sz val="10"/>
        <color rgb="FF000000"/>
        <rFont val="Arial"/>
        <family val="0"/>
        <charset val="1"/>
      </rPr>
      <t xml:space="preserve">0.247 </t>
    </r>
    <r>
      <rPr>
        <sz val="10"/>
        <color rgb="FF000000"/>
        <rFont val="Noto Sans CJK SC"/>
        <family val="2"/>
      </rPr>
      <t xml:space="preserve">億；與既有值差異：媒體寫 </t>
    </r>
    <r>
      <rPr>
        <sz val="10"/>
        <color rgb="FF000000"/>
        <rFont val="Arial"/>
        <family val="0"/>
        <charset val="1"/>
      </rPr>
      <t xml:space="preserve">2.42 </t>
    </r>
    <r>
      <rPr>
        <sz val="10"/>
        <color rgb="FF000000"/>
        <rFont val="Noto Sans CJK SC"/>
        <family val="2"/>
      </rPr>
      <t xml:space="preserve">億／</t>
    </r>
    <r>
      <rPr>
        <sz val="10"/>
        <color rgb="FF000000"/>
        <rFont val="Arial"/>
        <family val="0"/>
        <charset val="1"/>
      </rPr>
      <t xml:space="preserve">2.47 </t>
    </r>
    <r>
      <rPr>
        <sz val="10"/>
        <color rgb="FF000000"/>
        <rFont val="Noto Sans CJK SC"/>
        <family val="2"/>
      </rPr>
      <t xml:space="preserve">億，單位誤差 </t>
    </r>
    <r>
      <rPr>
        <sz val="10"/>
        <color rgb="FF000000"/>
        <rFont val="Arial"/>
        <family val="0"/>
        <charset val="1"/>
      </rPr>
      <t xml:space="preserve">10 </t>
    </r>
    <r>
      <rPr>
        <sz val="10"/>
        <color rgb="FF000000"/>
        <rFont val="Noto Sans CJK SC"/>
        <family val="2"/>
      </rPr>
      <t xml:space="preserve">倍；採購內容為數據庫及知識產權授權</t>
    </r>
  </si>
  <si>
    <t xml:space="preserve">SRC_ZP_786</t>
  </si>
  <si>
    <t xml:space="preserve">cust_a_purch_p</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</si>
  <si>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t>
    </r>
    <r>
      <rPr>
        <sz val="10"/>
        <color rgb="FF000000"/>
        <rFont val="Arial"/>
        <family val="0"/>
        <charset val="1"/>
      </rPr>
      <t xml:space="preserve">1H25</t>
    </r>
    <r>
      <rPr>
        <sz val="10"/>
        <color rgb="FF000000"/>
        <rFont val="Noto Sans CJK SC"/>
        <family val="2"/>
      </rPr>
      <t xml:space="preserve">）：智譜向其採購（</t>
    </r>
    <r>
      <rPr>
        <sz val="10"/>
        <color rgb="FF000000"/>
        <rFont val="Arial"/>
        <family val="0"/>
        <charset val="1"/>
      </rPr>
      <t xml:space="preserve">FY24+1H25</t>
    </r>
    <r>
      <rPr>
        <sz val="10"/>
        <color rgb="FF000000"/>
        <rFont val="Noto Sans CJK SC"/>
        <family val="2"/>
      </rPr>
      <t xml:space="preserve">）</t>
    </r>
  </si>
  <si>
    <r>
      <rPr>
        <sz val="10"/>
        <color rgb="FF000000"/>
        <rFont val="Noto Sans CJK SC"/>
        <family val="2"/>
      </rPr>
      <t xml:space="preserve">同 </t>
    </r>
    <r>
      <rPr>
        <sz val="10"/>
        <color rgb="FF000000"/>
        <rFont val="Arial"/>
        <family val="0"/>
        <charset val="1"/>
      </rPr>
      <t xml:space="preserve">cust_a_overlap_p</t>
    </r>
    <r>
      <rPr>
        <sz val="10"/>
        <color rgb="FF000000"/>
        <rFont val="Noto Sans CJK SC"/>
        <family val="2"/>
      </rPr>
      <t xml:space="preserve">；</t>
    </r>
    <r>
      <rPr>
        <sz val="10"/>
        <color rgb="FF000000"/>
        <rFont val="Arial"/>
        <family val="0"/>
        <charset val="1"/>
      </rPr>
      <t xml:space="preserve">12.9</t>
    </r>
    <r>
      <rPr>
        <sz val="10"/>
        <color rgb="FF000000"/>
        <rFont val="Noto Sans CJK SC"/>
        <family val="2"/>
      </rPr>
      <t xml:space="preserve">＋</t>
    </r>
    <r>
      <rPr>
        <sz val="10"/>
        <color rgb="FF000000"/>
        <rFont val="Arial"/>
        <family val="0"/>
        <charset val="1"/>
      </rPr>
      <t xml:space="preserve">11.8</t>
    </r>
    <r>
      <rPr>
        <sz val="10"/>
        <color rgb="FF000000"/>
        <rFont val="Noto Sans CJK SC"/>
        <family val="2"/>
      </rPr>
      <t xml:space="preserve">＝</t>
    </r>
    <r>
      <rPr>
        <sz val="10"/>
        <color rgb="FF000000"/>
        <rFont val="Arial"/>
        <family val="0"/>
        <charset val="1"/>
      </rPr>
      <t xml:space="preserve">24.7 </t>
    </r>
    <r>
      <rPr>
        <sz val="10"/>
        <color rgb="FF000000"/>
        <rFont val="Noto Sans CJK SC"/>
        <family val="2"/>
      </rPr>
      <t xml:space="preserve">百萬元；與既有值差異：既有 </t>
    </r>
    <r>
      <rPr>
        <sz val="10"/>
        <color rgb="FF000000"/>
        <rFont val="Arial"/>
        <family val="0"/>
        <charset val="1"/>
      </rPr>
      <t xml:space="preserve">2.47 </t>
    </r>
    <r>
      <rPr>
        <sz val="10"/>
        <color rgb="FF000000"/>
        <rFont val="Noto Sans CJK SC"/>
        <family val="2"/>
      </rPr>
      <t xml:space="preserve">億為媒體 </t>
    </r>
    <r>
      <rPr>
        <sz val="10"/>
        <color rgb="FF000000"/>
        <rFont val="Arial"/>
        <family val="0"/>
        <charset val="1"/>
      </rPr>
      <t xml:space="preserve">10 </t>
    </r>
    <r>
      <rPr>
        <sz val="10"/>
        <color rgb="FF000000"/>
        <rFont val="Noto Sans CJK SC"/>
        <family val="2"/>
      </rPr>
      <t xml:space="preserve">倍誤植</t>
    </r>
  </si>
  <si>
    <t xml:space="preserve">SRC_ZP_787</t>
  </si>
  <si>
    <t xml:space="preserve">prepay_compute_total_fy22</t>
  </si>
  <si>
    <t xml:space="preserve">預付計算服務費及其他（流動＋非流動）</t>
  </si>
  <si>
    <t xml:space="preserve">2022-12-31</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</si>
  <si>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398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</si>
  <si>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17(a)</t>
    </r>
    <r>
      <rPr>
        <sz val="10"/>
        <color rgb="FF000000"/>
        <rFont val="Noto Sans CJK SC"/>
        <family val="2"/>
      </rPr>
      <t xml:space="preserve">「預付計算服務費及其他」（第 </t>
    </r>
    <r>
      <rPr>
        <sz val="10"/>
        <color rgb="FF000000"/>
        <rFont val="Arial"/>
        <family val="0"/>
        <charset val="1"/>
      </rPr>
      <t xml:space="preserve">398 </t>
    </r>
    <r>
      <rPr>
        <sz val="10"/>
        <color rgb="FF000000"/>
        <rFont val="Noto Sans CJK SC"/>
        <family val="2"/>
      </rPr>
      <t xml:space="preserve">頁＝印 </t>
    </r>
    <r>
      <rPr>
        <sz val="10"/>
        <color rgb="FF000000"/>
        <rFont val="Arial"/>
        <family val="0"/>
        <charset val="1"/>
      </rPr>
      <t xml:space="preserve">I-55</t>
    </r>
    <r>
      <rPr>
        <sz val="10"/>
        <color rgb="FF000000"/>
        <rFont val="Noto Sans CJK SC"/>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11,633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</si>
  <si>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SRC_ZP_788</t>
  </si>
  <si>
    <t xml:space="preserve">prepay_compute_total_fy23</t>
  </si>
  <si>
    <t xml:space="preserve">2023-12-31</t>
  </si>
  <si>
    <r>
      <rPr>
        <sz val="10"/>
        <color rgb="FF000000"/>
        <rFont val="Noto Sans CJK SC"/>
        <family val="2"/>
      </rPr>
      <t xml:space="preserve">附註 </t>
    </r>
    <r>
      <rPr>
        <sz val="10"/>
        <color rgb="FF000000"/>
        <rFont val="Arial"/>
        <family val="0"/>
        <charset val="1"/>
      </rPr>
      <t xml:space="preserve">17(a)</t>
    </r>
    <r>
      <rPr>
        <sz val="10"/>
        <color rgb="FF000000"/>
        <rFont val="Noto Sans CJK SC"/>
        <family val="2"/>
      </rPr>
      <t xml:space="preserve">「預付計算服務費及其他」（第 </t>
    </r>
    <r>
      <rPr>
        <sz val="10"/>
        <color rgb="FF000000"/>
        <rFont val="Arial"/>
        <family val="0"/>
        <charset val="1"/>
      </rPr>
      <t xml:space="preserve">398 </t>
    </r>
    <r>
      <rPr>
        <sz val="10"/>
        <color rgb="FF000000"/>
        <rFont val="Noto Sans CJK SC"/>
        <family val="2"/>
      </rPr>
      <t xml:space="preserve">頁＝印 </t>
    </r>
    <r>
      <rPr>
        <sz val="10"/>
        <color rgb="FF000000"/>
        <rFont val="Arial"/>
        <family val="0"/>
        <charset val="1"/>
      </rPr>
      <t xml:space="preserve">I-55</t>
    </r>
    <r>
      <rPr>
        <sz val="10"/>
        <color rgb="FF000000"/>
        <rFont val="Noto Sans CJK SC"/>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88,295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</si>
  <si>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SRC_ZP_789</t>
  </si>
  <si>
    <t xml:space="preserve">prepay_compute_total_fy24</t>
  </si>
  <si>
    <t xml:space="preserve">2024-12-31</t>
  </si>
  <si>
    <r>
      <rPr>
        <sz val="10"/>
        <color rgb="FF000000"/>
        <rFont val="Noto Sans CJK SC"/>
        <family val="2"/>
      </rPr>
      <t xml:space="preserve">附註 </t>
    </r>
    <r>
      <rPr>
        <sz val="10"/>
        <color rgb="FF000000"/>
        <rFont val="Arial"/>
        <family val="0"/>
        <charset val="1"/>
      </rPr>
      <t xml:space="preserve">17(a)</t>
    </r>
    <r>
      <rPr>
        <sz val="10"/>
        <color rgb="FF000000"/>
        <rFont val="Noto Sans CJK SC"/>
        <family val="2"/>
      </rPr>
      <t xml:space="preserve">「預付計算服務費及其他」（第 </t>
    </r>
    <r>
      <rPr>
        <sz val="10"/>
        <color rgb="FF000000"/>
        <rFont val="Arial"/>
        <family val="0"/>
        <charset val="1"/>
      </rPr>
      <t xml:space="preserve">398 </t>
    </r>
    <r>
      <rPr>
        <sz val="10"/>
        <color rgb="FF000000"/>
        <rFont val="Noto Sans CJK SC"/>
        <family val="2"/>
      </rPr>
      <t xml:space="preserve">頁＝印 </t>
    </r>
    <r>
      <rPr>
        <sz val="10"/>
        <color rgb="FF000000"/>
        <rFont val="Arial"/>
        <family val="0"/>
        <charset val="1"/>
      </rPr>
      <t xml:space="preserve">I-55</t>
    </r>
    <r>
      <rPr>
        <sz val="10"/>
        <color rgb="FF000000"/>
        <rFont val="Noto Sans CJK SC"/>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166,893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</si>
  <si>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SRC_ZP_790</t>
  </si>
  <si>
    <t xml:space="preserve">prepay_compute_total_1h25</t>
  </si>
  <si>
    <r>
      <rPr>
        <sz val="10"/>
        <color rgb="FF000000"/>
        <rFont val="Noto Sans CJK SC"/>
        <family val="2"/>
      </rPr>
      <t xml:space="preserve">附註 </t>
    </r>
    <r>
      <rPr>
        <sz val="10"/>
        <color rgb="FF000000"/>
        <rFont val="Arial"/>
        <family val="0"/>
        <charset val="1"/>
      </rPr>
      <t xml:space="preserve">17(a)</t>
    </r>
    <r>
      <rPr>
        <sz val="10"/>
        <color rgb="FF000000"/>
        <rFont val="Noto Sans CJK SC"/>
        <family val="2"/>
      </rPr>
      <t xml:space="preserve">「預付計算服務費及其他」（第 </t>
    </r>
    <r>
      <rPr>
        <sz val="10"/>
        <color rgb="FF000000"/>
        <rFont val="Arial"/>
        <family val="0"/>
        <charset val="1"/>
      </rPr>
      <t xml:space="preserve">398 </t>
    </r>
    <r>
      <rPr>
        <sz val="10"/>
        <color rgb="FF000000"/>
        <rFont val="Noto Sans CJK SC"/>
        <family val="2"/>
      </rPr>
      <t xml:space="preserve">頁＝印 </t>
    </r>
    <r>
      <rPr>
        <sz val="10"/>
        <color rgb="FF000000"/>
        <rFont val="Arial"/>
        <family val="0"/>
        <charset val="1"/>
      </rPr>
      <t xml:space="preserve">I-55</t>
    </r>
    <r>
      <rPr>
        <sz val="10"/>
        <color rgb="FF000000"/>
        <rFont val="Noto Sans CJK SC"/>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134,030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</si>
  <si>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SRC_ZP_791</t>
  </si>
  <si>
    <t xml:space="preserve">prepay_compute_cur_fy22</t>
  </si>
  <si>
    <t xml:space="preserve">預付計算服務費（流動，算力服務費預付款項）</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</si>
  <si>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283 </t>
    </r>
    <r>
      <rPr>
        <sz val="10"/>
        <color rgb="FF000000"/>
        <rFont val="Noto Sans CJK SC"/>
        <family val="2"/>
      </rPr>
      <t xml:space="preserve">頁</t>
    </r>
  </si>
  <si>
    <r>
      <rPr>
        <sz val="10"/>
        <color rgb="FF000000"/>
        <rFont val="Noto Sans CJK SC"/>
        <family val="2"/>
      </rPr>
      <t xml:space="preserve">貿易及其他應收款項表「算力服務費預付款項」（第 </t>
    </r>
    <r>
      <rPr>
        <sz val="10"/>
        <color rgb="FF000000"/>
        <rFont val="Arial"/>
        <family val="0"/>
        <charset val="1"/>
      </rPr>
      <t xml:space="preserve">283 </t>
    </r>
    <r>
      <rPr>
        <sz val="10"/>
        <color rgb="FF000000"/>
        <rFont val="Noto Sans CJK SC"/>
        <family val="2"/>
      </rPr>
      <t xml:space="preserve">頁＝印 </t>
    </r>
    <r>
      <rPr>
        <sz val="10"/>
        <color rgb="FF000000"/>
        <rFont val="Arial"/>
        <family val="0"/>
        <charset val="1"/>
      </rPr>
      <t xml:space="preserve">274</t>
    </r>
    <r>
      <rPr>
        <sz val="10"/>
        <color rgb="FF000000"/>
        <rFont val="Noto Sans CJK SC"/>
        <family val="2"/>
      </rPr>
      <t xml:space="preserve">）；千元值 </t>
    </r>
    <r>
      <rPr>
        <sz val="10"/>
        <color rgb="FF000000"/>
        <rFont val="Arial"/>
        <family val="0"/>
        <charset val="1"/>
      </rPr>
      <t xml:space="preserve">11,633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</si>
  <si>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SRC_ZP_792</t>
  </si>
  <si>
    <t xml:space="preserve">prepay_compute_cur_fy23</t>
  </si>
  <si>
    <r>
      <rPr>
        <sz val="10"/>
        <color rgb="FF000000"/>
        <rFont val="Noto Sans CJK SC"/>
        <family val="2"/>
      </rPr>
      <t xml:space="preserve">貿易及其他應收款項表「算力服務費預付款項」（第 </t>
    </r>
    <r>
      <rPr>
        <sz val="10"/>
        <color rgb="FF000000"/>
        <rFont val="Arial"/>
        <family val="0"/>
        <charset val="1"/>
      </rPr>
      <t xml:space="preserve">283 </t>
    </r>
    <r>
      <rPr>
        <sz val="10"/>
        <color rgb="FF000000"/>
        <rFont val="Noto Sans CJK SC"/>
        <family val="2"/>
      </rPr>
      <t xml:space="preserve">頁＝印 </t>
    </r>
    <r>
      <rPr>
        <sz val="10"/>
        <color rgb="FF000000"/>
        <rFont val="Arial"/>
        <family val="0"/>
        <charset val="1"/>
      </rPr>
      <t xml:space="preserve">274</t>
    </r>
    <r>
      <rPr>
        <sz val="10"/>
        <color rgb="FF000000"/>
        <rFont val="Noto Sans CJK SC"/>
        <family val="2"/>
      </rPr>
      <t xml:space="preserve">）；千元值 </t>
    </r>
    <r>
      <rPr>
        <sz val="10"/>
        <color rgb="FF000000"/>
        <rFont val="Arial"/>
        <family val="0"/>
        <charset val="1"/>
      </rPr>
      <t xml:space="preserve">88,295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</si>
  <si>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SRC_ZP_793</t>
  </si>
  <si>
    <t xml:space="preserve">prepay_compute_cur_fy24</t>
  </si>
  <si>
    <r>
      <rPr>
        <sz val="10"/>
        <color rgb="FF000000"/>
        <rFont val="Noto Sans CJK SC"/>
        <family val="2"/>
      </rPr>
      <t xml:space="preserve">貿易及其他應收款項表「算力服務費預付款項」（第 </t>
    </r>
    <r>
      <rPr>
        <sz val="10"/>
        <color rgb="FF000000"/>
        <rFont val="Arial"/>
        <family val="0"/>
        <charset val="1"/>
      </rPr>
      <t xml:space="preserve">283 </t>
    </r>
    <r>
      <rPr>
        <sz val="10"/>
        <color rgb="FF000000"/>
        <rFont val="Noto Sans CJK SC"/>
        <family val="2"/>
      </rPr>
      <t xml:space="preserve">頁＝印 </t>
    </r>
    <r>
      <rPr>
        <sz val="10"/>
        <color rgb="FF000000"/>
        <rFont val="Arial"/>
        <family val="0"/>
        <charset val="1"/>
      </rPr>
      <t xml:space="preserve">274</t>
    </r>
    <r>
      <rPr>
        <sz val="10"/>
        <color rgb="FF000000"/>
        <rFont val="Noto Sans CJK SC"/>
        <family val="2"/>
      </rPr>
      <t xml:space="preserve">）；千元值 </t>
    </r>
    <r>
      <rPr>
        <sz val="10"/>
        <color rgb="FF000000"/>
        <rFont val="Arial"/>
        <family val="0"/>
        <charset val="1"/>
      </rPr>
      <t xml:space="preserve">127,371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</si>
  <si>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SRC_ZP_794</t>
  </si>
  <si>
    <t xml:space="preserve">prepay_compute_cur_1h25</t>
  </si>
  <si>
    <r>
      <rPr>
        <sz val="10"/>
        <color rgb="FF000000"/>
        <rFont val="Noto Sans CJK SC"/>
        <family val="2"/>
      </rPr>
      <t xml:space="preserve">貿易及其他應收款項表「算力服務費預付款項」（第 </t>
    </r>
    <r>
      <rPr>
        <sz val="10"/>
        <color rgb="FF000000"/>
        <rFont val="Arial"/>
        <family val="0"/>
        <charset val="1"/>
      </rPr>
      <t xml:space="preserve">283 </t>
    </r>
    <r>
      <rPr>
        <sz val="10"/>
        <color rgb="FF000000"/>
        <rFont val="Noto Sans CJK SC"/>
        <family val="2"/>
      </rPr>
      <t xml:space="preserve">頁＝印 </t>
    </r>
    <r>
      <rPr>
        <sz val="10"/>
        <color rgb="FF000000"/>
        <rFont val="Arial"/>
        <family val="0"/>
        <charset val="1"/>
      </rPr>
      <t xml:space="preserve">274</t>
    </r>
    <r>
      <rPr>
        <sz val="10"/>
        <color rgb="FF000000"/>
        <rFont val="Noto Sans CJK SC"/>
        <family val="2"/>
      </rPr>
      <t xml:space="preserve">）；千元值 </t>
    </r>
    <r>
      <rPr>
        <sz val="10"/>
        <color rgb="FF000000"/>
        <rFont val="Arial"/>
        <family val="0"/>
        <charset val="1"/>
      </rPr>
      <t xml:space="preserve">72,907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</si>
  <si>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SRC_ZP_795</t>
  </si>
  <si>
    <t xml:space="preserve">prepay_compute_ncur_fy22</t>
  </si>
  <si>
    <t xml:space="preserve">預付算力服務費（非流動）</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</si>
  <si>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281 </t>
    </r>
    <r>
      <rPr>
        <sz val="10"/>
        <color rgb="FF000000"/>
        <rFont val="Noto Sans CJK SC"/>
        <family val="2"/>
      </rPr>
      <t xml:space="preserve">頁</t>
    </r>
  </si>
  <si>
    <r>
      <rPr>
        <sz val="10"/>
        <color rgb="FF000000"/>
        <rFont val="Noto Sans CJK SC"/>
        <family val="2"/>
      </rPr>
      <t xml:space="preserve">其他非流動資產表（第 </t>
    </r>
    <r>
      <rPr>
        <sz val="10"/>
        <color rgb="FF000000"/>
        <rFont val="Arial"/>
        <family val="0"/>
        <charset val="1"/>
      </rPr>
      <t xml:space="preserve">281 </t>
    </r>
    <r>
      <rPr>
        <sz val="10"/>
        <color rgb="FF000000"/>
        <rFont val="Noto Sans CJK SC"/>
        <family val="2"/>
      </rPr>
      <t xml:space="preserve">頁＝印 </t>
    </r>
    <r>
      <rPr>
        <sz val="10"/>
        <color rgb="FF000000"/>
        <rFont val="Arial"/>
        <family val="0"/>
        <charset val="1"/>
      </rPr>
      <t xml:space="preserve">272</t>
    </r>
    <r>
      <rPr>
        <sz val="10"/>
        <color rgb="FF000000"/>
        <rFont val="Noto Sans CJK SC"/>
        <family val="2"/>
      </rPr>
      <t xml:space="preserve">）；原文「由於我們大幅增加算力的採購，我們已於 </t>
    </r>
    <r>
      <rPr>
        <sz val="10"/>
        <color rgb="FF000000"/>
        <rFont val="Arial"/>
        <family val="0"/>
        <charset val="1"/>
      </rPr>
      <t xml:space="preserve">2024 </t>
    </r>
    <r>
      <rPr>
        <sz val="10"/>
        <color rgb="FF000000"/>
        <rFont val="Noto Sans CJK SC"/>
        <family val="2"/>
      </rPr>
      <t xml:space="preserve">年預付算力服務費」；</t>
    </r>
    <r>
      <rPr>
        <sz val="10"/>
        <color rgb="FF000000"/>
        <rFont val="Arial"/>
        <family val="0"/>
        <charset val="1"/>
      </rPr>
      <t xml:space="preserve">FY22–23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</si>
  <si>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SRC_ZP_796</t>
  </si>
  <si>
    <t xml:space="preserve">prepay_compute_ncur_fy23</t>
  </si>
  <si>
    <t xml:space="preserve">SRC_ZP_797</t>
  </si>
  <si>
    <t xml:space="preserve">prepay_compute_ncur_fy24</t>
  </si>
  <si>
    <r>
      <rPr>
        <sz val="10"/>
        <color rgb="FF000000"/>
        <rFont val="Noto Sans CJK SC"/>
        <family val="2"/>
      </rPr>
      <t xml:space="preserve">其他非流動資產表（第 </t>
    </r>
    <r>
      <rPr>
        <sz val="10"/>
        <color rgb="FF000000"/>
        <rFont val="Arial"/>
        <family val="0"/>
        <charset val="1"/>
      </rPr>
      <t xml:space="preserve">281 </t>
    </r>
    <r>
      <rPr>
        <sz val="10"/>
        <color rgb="FF000000"/>
        <rFont val="Noto Sans CJK SC"/>
        <family val="2"/>
      </rPr>
      <t xml:space="preserve">頁＝印 </t>
    </r>
    <r>
      <rPr>
        <sz val="10"/>
        <color rgb="FF000000"/>
        <rFont val="Arial"/>
        <family val="0"/>
        <charset val="1"/>
      </rPr>
      <t xml:space="preserve">272</t>
    </r>
    <r>
      <rPr>
        <sz val="10"/>
        <color rgb="FF000000"/>
        <rFont val="Noto Sans CJK SC"/>
        <family val="2"/>
      </rPr>
      <t xml:space="preserve">）；原文「由於我們大幅增加算力的採購，我們已於 </t>
    </r>
    <r>
      <rPr>
        <sz val="10"/>
        <color rgb="FF000000"/>
        <rFont val="Arial"/>
        <family val="0"/>
        <charset val="1"/>
      </rPr>
      <t xml:space="preserve">2024 </t>
    </r>
    <r>
      <rPr>
        <sz val="10"/>
        <color rgb="FF000000"/>
        <rFont val="Noto Sans CJK SC"/>
        <family val="2"/>
      </rPr>
      <t xml:space="preserve">年預付算力服務費」；</t>
    </r>
    <r>
      <rPr>
        <sz val="10"/>
        <color rgb="FF000000"/>
        <rFont val="Arial"/>
        <family val="0"/>
        <charset val="1"/>
      </rPr>
      <t xml:space="preserve">FY22–23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39,522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</si>
  <si>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SRC_ZP_798</t>
  </si>
  <si>
    <t xml:space="preserve">prepay_compute_ncur_1h25</t>
  </si>
  <si>
    <r>
      <rPr>
        <sz val="10"/>
        <color rgb="FF000000"/>
        <rFont val="Noto Sans CJK SC"/>
        <family val="2"/>
      </rPr>
      <t xml:space="preserve">其他非流動資產表（第 </t>
    </r>
    <r>
      <rPr>
        <sz val="10"/>
        <color rgb="FF000000"/>
        <rFont val="Arial"/>
        <family val="0"/>
        <charset val="1"/>
      </rPr>
      <t xml:space="preserve">281 </t>
    </r>
    <r>
      <rPr>
        <sz val="10"/>
        <color rgb="FF000000"/>
        <rFont val="Noto Sans CJK SC"/>
        <family val="2"/>
      </rPr>
      <t xml:space="preserve">頁＝印 </t>
    </r>
    <r>
      <rPr>
        <sz val="10"/>
        <color rgb="FF000000"/>
        <rFont val="Arial"/>
        <family val="0"/>
        <charset val="1"/>
      </rPr>
      <t xml:space="preserve">272</t>
    </r>
    <r>
      <rPr>
        <sz val="10"/>
        <color rgb="FF000000"/>
        <rFont val="Noto Sans CJK SC"/>
        <family val="2"/>
      </rPr>
      <t xml:space="preserve">）；原文「由於我們大幅增加算力的採購，我們已於 </t>
    </r>
    <r>
      <rPr>
        <sz val="10"/>
        <color rgb="FF000000"/>
        <rFont val="Arial"/>
        <family val="0"/>
        <charset val="1"/>
      </rPr>
      <t xml:space="preserve">2024 </t>
    </r>
    <r>
      <rPr>
        <sz val="10"/>
        <color rgb="FF000000"/>
        <rFont val="Noto Sans CJK SC"/>
        <family val="2"/>
      </rPr>
      <t xml:space="preserve">年預付算力服務費」；</t>
    </r>
    <r>
      <rPr>
        <sz val="10"/>
        <color rgb="FF000000"/>
        <rFont val="Arial"/>
        <family val="0"/>
        <charset val="1"/>
      </rPr>
      <t xml:space="preserve">FY22–23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61,123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</si>
  <si>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SRC_ZP_799</t>
  </si>
  <si>
    <t xml:space="preserve">payable_compute_fy22</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</si>
  <si>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286 </t>
    </r>
    <r>
      <rPr>
        <sz val="10"/>
        <color rgb="FF000000"/>
        <rFont val="Noto Sans CJK SC"/>
        <family val="2"/>
      </rPr>
      <t xml:space="preserve">頁</t>
    </r>
  </si>
  <si>
    <r>
      <rPr>
        <sz val="10"/>
        <color rgb="FF000000"/>
        <rFont val="Noto Sans CJK SC"/>
        <family val="2"/>
      </rPr>
      <t xml:space="preserve">貿易及其他應付款項表「應付算力服務費」（第 </t>
    </r>
    <r>
      <rPr>
        <sz val="10"/>
        <color rgb="FF000000"/>
        <rFont val="Arial"/>
        <family val="0"/>
        <charset val="1"/>
      </rPr>
      <t xml:space="preserve">286 </t>
    </r>
    <r>
      <rPr>
        <sz val="10"/>
        <color rgb="FF000000"/>
        <rFont val="Noto Sans CJK SC"/>
        <family val="2"/>
      </rPr>
      <t xml:space="preserve">頁＝印 </t>
    </r>
    <r>
      <rPr>
        <sz val="10"/>
        <color rgb="FF000000"/>
        <rFont val="Arial"/>
        <family val="0"/>
        <charset val="1"/>
      </rPr>
      <t xml:space="preserve">277</t>
    </r>
    <r>
      <rPr>
        <sz val="10"/>
        <color rgb="FF000000"/>
        <rFont val="Noto Sans CJK SC"/>
        <family val="2"/>
      </rPr>
      <t xml:space="preserve">；附註 </t>
    </r>
    <r>
      <rPr>
        <sz val="10"/>
        <color rgb="FF000000"/>
        <rFont val="Arial"/>
        <family val="0"/>
        <charset val="1"/>
      </rPr>
      <t xml:space="preserve">22(a)</t>
    </r>
    <r>
      <rPr>
        <sz val="10"/>
        <color rgb="FF000000"/>
        <rFont val="Noto Sans CJK SC"/>
        <family val="2"/>
      </rPr>
      <t xml:space="preserve">）；千元值 </t>
    </r>
    <r>
      <rPr>
        <sz val="10"/>
        <color rgb="FF000000"/>
        <rFont val="Arial"/>
        <family val="0"/>
        <charset val="1"/>
      </rPr>
      <t xml:space="preserve">1,509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</si>
  <si>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SRC_ZP_800</t>
  </si>
  <si>
    <t xml:space="preserve">payable_compute_fy23</t>
  </si>
  <si>
    <r>
      <rPr>
        <sz val="10"/>
        <color rgb="FF000000"/>
        <rFont val="Noto Sans CJK SC"/>
        <family val="2"/>
      </rPr>
      <t xml:space="preserve">貿易及其他應付款項表「應付算力服務費」（第 </t>
    </r>
    <r>
      <rPr>
        <sz val="10"/>
        <color rgb="FF000000"/>
        <rFont val="Arial"/>
        <family val="0"/>
        <charset val="1"/>
      </rPr>
      <t xml:space="preserve">286 </t>
    </r>
    <r>
      <rPr>
        <sz val="10"/>
        <color rgb="FF000000"/>
        <rFont val="Noto Sans CJK SC"/>
        <family val="2"/>
      </rPr>
      <t xml:space="preserve">頁＝印 </t>
    </r>
    <r>
      <rPr>
        <sz val="10"/>
        <color rgb="FF000000"/>
        <rFont val="Arial"/>
        <family val="0"/>
        <charset val="1"/>
      </rPr>
      <t xml:space="preserve">277</t>
    </r>
    <r>
      <rPr>
        <sz val="10"/>
        <color rgb="FF000000"/>
        <rFont val="Noto Sans CJK SC"/>
        <family val="2"/>
      </rPr>
      <t xml:space="preserve">；附註 </t>
    </r>
    <r>
      <rPr>
        <sz val="10"/>
        <color rgb="FF000000"/>
        <rFont val="Arial"/>
        <family val="0"/>
        <charset val="1"/>
      </rPr>
      <t xml:space="preserve">22(a)</t>
    </r>
    <r>
      <rPr>
        <sz val="10"/>
        <color rgb="FF000000"/>
        <rFont val="Noto Sans CJK SC"/>
        <family val="2"/>
      </rPr>
      <t xml:space="preserve">）；千元值 </t>
    </r>
    <r>
      <rPr>
        <sz val="10"/>
        <color rgb="FF000000"/>
        <rFont val="Arial"/>
        <family val="0"/>
        <charset val="1"/>
      </rPr>
      <t xml:space="preserve">104,536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</si>
  <si>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SRC_ZP_801</t>
  </si>
  <si>
    <t xml:space="preserve">payable_compute_fy24_p</t>
  </si>
  <si>
    <r>
      <rPr>
        <sz val="10"/>
        <color rgb="FF000000"/>
        <rFont val="Noto Sans CJK SC"/>
        <family val="2"/>
      </rPr>
      <t xml:space="preserve">貿易及其他應付款項表「應付算力服務費」（第 </t>
    </r>
    <r>
      <rPr>
        <sz val="10"/>
        <color rgb="FF000000"/>
        <rFont val="Arial"/>
        <family val="0"/>
        <charset val="1"/>
      </rPr>
      <t xml:space="preserve">286 </t>
    </r>
    <r>
      <rPr>
        <sz val="10"/>
        <color rgb="FF000000"/>
        <rFont val="Noto Sans CJK SC"/>
        <family val="2"/>
      </rPr>
      <t xml:space="preserve">頁＝印 </t>
    </r>
    <r>
      <rPr>
        <sz val="10"/>
        <color rgb="FF000000"/>
        <rFont val="Arial"/>
        <family val="0"/>
        <charset val="1"/>
      </rPr>
      <t xml:space="preserve">277</t>
    </r>
    <r>
      <rPr>
        <sz val="10"/>
        <color rgb="FF000000"/>
        <rFont val="Noto Sans CJK SC"/>
        <family val="2"/>
      </rPr>
      <t xml:space="preserve">；附註 </t>
    </r>
    <r>
      <rPr>
        <sz val="10"/>
        <color rgb="FF000000"/>
        <rFont val="Arial"/>
        <family val="0"/>
        <charset val="1"/>
      </rPr>
      <t xml:space="preserve">22(a)</t>
    </r>
    <r>
      <rPr>
        <sz val="10"/>
        <color rgb="FF000000"/>
        <rFont val="Noto Sans CJK SC"/>
        <family val="2"/>
      </rPr>
      <t xml:space="preserve">）；千元值 </t>
    </r>
    <r>
      <rPr>
        <sz val="10"/>
        <color rgb="FF000000"/>
        <rFont val="Arial"/>
        <family val="0"/>
        <charset val="1"/>
      </rPr>
      <t xml:space="preserve">269,467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換算成億；升級為一手來源；值相同（年度公告比較數）</t>
    </r>
  </si>
  <si>
    <t xml:space="preserve">SRC_ZP_802</t>
  </si>
  <si>
    <t xml:space="preserve">payable_compute_1h25</t>
  </si>
  <si>
    <r>
      <rPr>
        <sz val="10"/>
        <color rgb="FF000000"/>
        <rFont val="Noto Sans CJK SC"/>
        <family val="2"/>
      </rPr>
      <t xml:space="preserve">貿易及其他應付款項表「應付算力服務費」（第 </t>
    </r>
    <r>
      <rPr>
        <sz val="10"/>
        <color rgb="FF000000"/>
        <rFont val="Arial"/>
        <family val="0"/>
        <charset val="1"/>
      </rPr>
      <t xml:space="preserve">286 </t>
    </r>
    <r>
      <rPr>
        <sz val="10"/>
        <color rgb="FF000000"/>
        <rFont val="Noto Sans CJK SC"/>
        <family val="2"/>
      </rPr>
      <t xml:space="preserve">頁＝印 </t>
    </r>
    <r>
      <rPr>
        <sz val="10"/>
        <color rgb="FF000000"/>
        <rFont val="Arial"/>
        <family val="0"/>
        <charset val="1"/>
      </rPr>
      <t xml:space="preserve">277</t>
    </r>
    <r>
      <rPr>
        <sz val="10"/>
        <color rgb="FF000000"/>
        <rFont val="Noto Sans CJK SC"/>
        <family val="2"/>
      </rPr>
      <t xml:space="preserve">；附註 </t>
    </r>
    <r>
      <rPr>
        <sz val="10"/>
        <color rgb="FF000000"/>
        <rFont val="Arial"/>
        <family val="0"/>
        <charset val="1"/>
      </rPr>
      <t xml:space="preserve">22(a)</t>
    </r>
    <r>
      <rPr>
        <sz val="10"/>
        <color rgb="FF000000"/>
        <rFont val="Noto Sans CJK SC"/>
        <family val="2"/>
      </rPr>
      <t xml:space="preserve">）；千元值 </t>
    </r>
    <r>
      <rPr>
        <sz val="10"/>
        <color rgb="FF000000"/>
        <rFont val="Arial"/>
        <family val="0"/>
        <charset val="1"/>
      </rPr>
      <t xml:space="preserve">495,348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</si>
  <si>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SRC_ZP_803</t>
  </si>
  <si>
    <t xml:space="preserve">payables_trade_other_fy22</t>
  </si>
  <si>
    <t xml:space="preserve">貿易及其他應付款項合計</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</si>
  <si>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277–278 </t>
    </r>
    <r>
      <rPr>
        <sz val="10"/>
        <color rgb="FF000000"/>
        <rFont val="Noto Sans CJK SC"/>
        <family val="2"/>
      </rPr>
      <t xml:space="preserve">頁</t>
    </r>
  </si>
  <si>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25,834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</si>
  <si>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SRC_ZP_804</t>
  </si>
  <si>
    <t xml:space="preserve">payables_trade_other_fy23</t>
  </si>
  <si>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288,197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</si>
  <si>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SRC_ZP_805</t>
  </si>
  <si>
    <t xml:space="preserve">payables_trade_other_fy24</t>
  </si>
  <si>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603,488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</si>
  <si>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SRC_ZP_806</t>
  </si>
  <si>
    <t xml:space="preserve">payables_trade_other_1h25</t>
  </si>
  <si>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838,417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</si>
  <si>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SRC_ZP_807</t>
  </si>
  <si>
    <t xml:space="preserve">payables_trade_other_oct25</t>
  </si>
  <si>
    <t xml:space="preserve">未經審計（招股章程財務資料節）</t>
  </si>
  <si>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1,209,354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</si>
  <si>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SRC_ZP_808</t>
  </si>
  <si>
    <t xml:space="preserve">commit_capital</t>
  </si>
  <si>
    <t xml:space="preserve">重大資本承擔</t>
  </si>
  <si>
    <r>
      <rPr>
        <sz val="10"/>
        <color rgb="FF000000"/>
        <rFont val="Arial"/>
        <family val="0"/>
        <charset val="1"/>
      </rPr>
      <t xml:space="preserve">2022-12-31</t>
    </r>
    <r>
      <rPr>
        <sz val="10"/>
        <color rgb="FF000000"/>
        <rFont val="Noto Sans CJK SC"/>
        <family val="2"/>
      </rPr>
      <t xml:space="preserve">～</t>
    </r>
    <r>
      <rPr>
        <sz val="10"/>
        <color rgb="FF000000"/>
        <rFont val="Arial"/>
        <family val="0"/>
        <charset val="1"/>
      </rPr>
      <t xml:space="preserve">2025-06-30</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</si>
  <si>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</si>
  <si>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）「截至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 </t>
    </r>
    <r>
      <rPr>
        <sz val="10"/>
        <color rgb="FF000000"/>
        <rFont val="Arial"/>
        <family val="0"/>
        <charset val="1"/>
      </rPr>
      <t xml:space="preserve">31 </t>
    </r>
    <r>
      <rPr>
        <sz val="10"/>
        <color rgb="FF000000"/>
        <rFont val="Noto Sans CJK SC"/>
        <family val="2"/>
      </rPr>
      <t xml:space="preserve">日以及截至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日，我們沒有任何重大資本承擔」；未見算力採購承諾或照付不議條款披露</t>
    </r>
  </si>
  <si>
    <t xml:space="preserve">SRC_ZP_809</t>
  </si>
  <si>
    <t xml:space="preserve">offbs</t>
  </si>
  <si>
    <t xml:space="preserve">資產負債表外安排</t>
  </si>
  <si>
    <t xml:space="preserve">最後實際可行日期</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</si>
  <si>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297 </t>
    </r>
    <r>
      <rPr>
        <sz val="10"/>
        <color rgb="FF000000"/>
        <rFont val="Noto Sans CJK SC"/>
        <family val="2"/>
      </rPr>
      <t xml:space="preserve">頁</t>
    </r>
  </si>
  <si>
    <r>
      <rPr>
        <sz val="10"/>
        <color rgb="FF000000"/>
        <rFont val="Noto Sans CJK SC"/>
        <family val="2"/>
      </rPr>
      <t xml:space="preserve">原文「截至最後實際可行日期，我們並無訂立任何資產負債表外交易或安排」；第 </t>
    </r>
    <r>
      <rPr>
        <sz val="10"/>
        <color rgb="FF000000"/>
        <rFont val="Arial"/>
        <family val="0"/>
        <charset val="1"/>
      </rPr>
      <t xml:space="preserve">292 </t>
    </r>
    <r>
      <rPr>
        <sz val="10"/>
        <color rgb="FF000000"/>
        <rFont val="Noto Sans CJK SC"/>
        <family val="2"/>
      </rPr>
      <t xml:space="preserve">頁亦稱無其他借款、擔保、租購承擔</t>
    </r>
  </si>
  <si>
    <t xml:space="preserve">SRC_ZP_810</t>
  </si>
  <si>
    <t xml:space="preserve">no_own_dc</t>
  </si>
  <si>
    <r>
      <rPr>
        <sz val="10"/>
        <color rgb="FF000000"/>
        <rFont val="Noto Sans CJK SC"/>
        <family val="2"/>
      </rPr>
      <t xml:space="preserve">自建 </t>
    </r>
    <r>
      <rPr>
        <sz val="10"/>
        <color rgb="FF000000"/>
        <rFont val="Arial"/>
        <family val="0"/>
        <charset val="1"/>
      </rPr>
      <t xml:space="preserve">AI </t>
    </r>
    <r>
      <rPr>
        <sz val="10"/>
        <color rgb="FF000000"/>
        <rFont val="Noto Sans CJK SC"/>
        <family val="2"/>
      </rPr>
      <t xml:space="preserve">資料中心計畫</t>
    </r>
  </si>
  <si>
    <r>
      <rPr>
        <sz val="10"/>
        <color rgb="FF000000"/>
        <rFont val="Noto Sans CJK SC"/>
        <family val="2"/>
      </rPr>
      <t xml:space="preserve">是否（</t>
    </r>
    <r>
      <rPr>
        <sz val="10"/>
        <color rgb="FF000000"/>
        <rFont val="Arial"/>
        <family val="0"/>
        <charset val="1"/>
      </rPr>
      <t xml:space="preserve">0</t>
    </r>
    <r>
      <rPr>
        <sz val="10"/>
        <color rgb="FF000000"/>
        <rFont val="Noto Sans CJK SC"/>
        <family val="2"/>
      </rPr>
      <t xml:space="preserve">＝無）</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</si>
  <si>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223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</si>
  <si>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223 </t>
    </r>
    <r>
      <rPr>
        <sz val="10"/>
        <color rgb="FF000000"/>
        <rFont val="Noto Sans CJK SC"/>
        <family val="2"/>
      </rPr>
      <t xml:space="preserve">頁＝印 </t>
    </r>
    <r>
      <rPr>
        <sz val="10"/>
        <color rgb="FF000000"/>
        <rFont val="Arial"/>
        <family val="0"/>
        <charset val="1"/>
      </rPr>
      <t xml:space="preserve">214</t>
    </r>
    <r>
      <rPr>
        <sz val="10"/>
        <color rgb="FF000000"/>
        <rFont val="Noto Sans CJK SC"/>
        <family val="2"/>
      </rPr>
      <t xml:space="preserve">）「由於我們並無計劃開發我們自身的</t>
    </r>
    <r>
      <rPr>
        <sz val="10"/>
        <color rgb="FF000000"/>
        <rFont val="Arial"/>
        <family val="0"/>
        <charset val="1"/>
      </rPr>
      <t xml:space="preserve">AI</t>
    </r>
    <r>
      <rPr>
        <sz val="10"/>
        <color rgb="FF000000"/>
        <rFont val="Noto Sans CJK SC"/>
        <family val="2"/>
      </rPr>
      <t xml:space="preserve">數據中心，此對我們的業務並無不利影響…我們從中國聲譽良好的雲計算服務提供商採購算力資源」</t>
    </r>
  </si>
  <si>
    <t xml:space="preserve">SRC_ZP_811</t>
  </si>
  <si>
    <t xml:space="preserve">lease_liab_total_fy22</t>
  </si>
  <si>
    <t xml:space="preserve">租賃負債合計（流動＋非流動）</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</si>
  <si>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292 </t>
    </r>
    <r>
      <rPr>
        <sz val="10"/>
        <color rgb="FF000000"/>
        <rFont val="Noto Sans CJK SC"/>
        <family val="2"/>
      </rPr>
      <t xml:space="preserve">頁</t>
    </r>
  </si>
  <si>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12,832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</si>
  <si>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SRC_ZP_812</t>
  </si>
  <si>
    <t xml:space="preserve">lease_liab_total_fy23</t>
  </si>
  <si>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270,882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</si>
  <si>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SRC_ZP_813</t>
  </si>
  <si>
    <t xml:space="preserve">lease_liab_total_fy24</t>
  </si>
  <si>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671,268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換算成億；升級為一手來源；值相同</t>
    </r>
  </si>
  <si>
    <t xml:space="preserve">SRC_ZP_814</t>
  </si>
  <si>
    <t xml:space="preserve">lease_liab_total_1h25</t>
  </si>
  <si>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599,590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</si>
  <si>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SRC_ZP_815</t>
  </si>
  <si>
    <t xml:space="preserve">lease_liab_total_oct25</t>
  </si>
  <si>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565,407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</si>
  <si>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SRC_ZP_816</t>
  </si>
  <si>
    <t xml:space="preserve">lease_liab_le1y_fy22</t>
  </si>
  <si>
    <r>
      <rPr>
        <sz val="10"/>
        <color rgb="FF000000"/>
        <rFont val="Noto Sans CJK SC"/>
        <family val="2"/>
      </rPr>
      <t xml:space="preserve">租賃負債到期：</t>
    </r>
    <r>
      <rPr>
        <sz val="10"/>
        <color rgb="FF000000"/>
        <rFont val="Arial"/>
        <family val="0"/>
        <charset val="1"/>
      </rPr>
      <t xml:space="preserve">1 </t>
    </r>
    <r>
      <rPr>
        <sz val="10"/>
        <color rgb="FF000000"/>
        <rFont val="Noto Sans CJK SC"/>
        <family val="2"/>
      </rPr>
      <t xml:space="preserve">年內</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</si>
  <si>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</si>
  <si>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頁＝印 </t>
    </r>
    <r>
      <rPr>
        <sz val="10"/>
        <color rgb="FF000000"/>
        <rFont val="Arial"/>
        <family val="0"/>
        <charset val="1"/>
      </rPr>
      <t xml:space="preserve">I-67</t>
    </r>
    <r>
      <rPr>
        <sz val="10"/>
        <color rgb="FF000000"/>
        <rFont val="Noto Sans CJK SC"/>
        <family val="2"/>
      </rPr>
      <t xml:space="preserve">）；千元值 </t>
    </r>
    <r>
      <rPr>
        <sz val="10"/>
        <color rgb="FF000000"/>
        <rFont val="Arial"/>
        <family val="0"/>
        <charset val="1"/>
      </rPr>
      <t xml:space="preserve">12,832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</si>
  <si>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SRC_ZP_817</t>
  </si>
  <si>
    <t xml:space="preserve">lease_liab_le1y_fy23</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</si>
  <si>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頁＝印 </t>
    </r>
    <r>
      <rPr>
        <sz val="10"/>
        <color rgb="FF000000"/>
        <rFont val="Arial"/>
        <family val="0"/>
        <charset val="1"/>
      </rPr>
      <t xml:space="preserve">I-67</t>
    </r>
    <r>
      <rPr>
        <sz val="10"/>
        <color rgb="FF000000"/>
        <rFont val="Noto Sans CJK SC"/>
        <family val="2"/>
      </rPr>
      <t xml:space="preserve">）；千元值 </t>
    </r>
    <r>
      <rPr>
        <sz val="10"/>
        <color rgb="FF000000"/>
        <rFont val="Arial"/>
        <family val="0"/>
        <charset val="1"/>
      </rPr>
      <t xml:space="preserve">66,765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</si>
  <si>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SRC_ZP_818</t>
  </si>
  <si>
    <t xml:space="preserve">lease_liab_le1y_fy24</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</si>
  <si>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頁＝印 </t>
    </r>
    <r>
      <rPr>
        <sz val="10"/>
        <color rgb="FF000000"/>
        <rFont val="Arial"/>
        <family val="0"/>
        <charset val="1"/>
      </rPr>
      <t xml:space="preserve">I-67</t>
    </r>
    <r>
      <rPr>
        <sz val="10"/>
        <color rgb="FF000000"/>
        <rFont val="Noto Sans CJK SC"/>
        <family val="2"/>
      </rPr>
      <t xml:space="preserve">）；千元值 </t>
    </r>
    <r>
      <rPr>
        <sz val="10"/>
        <color rgb="FF000000"/>
        <rFont val="Arial"/>
        <family val="0"/>
        <charset val="1"/>
      </rPr>
      <t xml:space="preserve">213,161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</si>
  <si>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SRC_ZP_819</t>
  </si>
  <si>
    <t xml:space="preserve">lease_liab_le1y_1h25</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</si>
  <si>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頁＝印 </t>
    </r>
    <r>
      <rPr>
        <sz val="10"/>
        <color rgb="FF000000"/>
        <rFont val="Arial"/>
        <family val="0"/>
        <charset val="1"/>
      </rPr>
      <t xml:space="preserve">I-67</t>
    </r>
    <r>
      <rPr>
        <sz val="10"/>
        <color rgb="FF000000"/>
        <rFont val="Noto Sans CJK SC"/>
        <family val="2"/>
      </rPr>
      <t xml:space="preserve">）；千元值 </t>
    </r>
    <r>
      <rPr>
        <sz val="10"/>
        <color rgb="FF000000"/>
        <rFont val="Arial"/>
        <family val="0"/>
        <charset val="1"/>
      </rPr>
      <t xml:space="preserve">213,458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</si>
  <si>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SRC_ZP_820</t>
  </si>
  <si>
    <t xml:space="preserve">lease_liab_1to2y_fy22</t>
  </si>
  <si>
    <r>
      <rPr>
        <sz val="10"/>
        <color rgb="FF000000"/>
        <rFont val="Noto Sans CJK SC"/>
        <family val="2"/>
      </rPr>
      <t xml:space="preserve">租賃負債到期：</t>
    </r>
    <r>
      <rPr>
        <sz val="10"/>
        <color rgb="FF000000"/>
        <rFont val="Arial"/>
        <family val="0"/>
        <charset val="1"/>
      </rPr>
      <t xml:space="preserve">1–2 </t>
    </r>
    <r>
      <rPr>
        <sz val="10"/>
        <color rgb="FF000000"/>
        <rFont val="Noto Sans CJK SC"/>
        <family val="2"/>
      </rPr>
      <t xml:space="preserve">年</t>
    </r>
  </si>
  <si>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</si>
  <si>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SRC_ZP_821</t>
  </si>
  <si>
    <t xml:space="preserve">lease_liab_1to2y_fy23</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</si>
  <si>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；千元值 </t>
    </r>
    <r>
      <rPr>
        <sz val="10"/>
        <color rgb="FF000000"/>
        <rFont val="Arial"/>
        <family val="0"/>
        <charset val="1"/>
      </rPr>
      <t xml:space="preserve">47,367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</si>
  <si>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SRC_ZP_822</t>
  </si>
  <si>
    <t xml:space="preserve">lease_liab_1to2y_fy24</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</si>
  <si>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；千元值 </t>
    </r>
    <r>
      <rPr>
        <sz val="10"/>
        <color rgb="FF000000"/>
        <rFont val="Arial"/>
        <family val="0"/>
        <charset val="1"/>
      </rPr>
      <t xml:space="preserve">205,437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</si>
  <si>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SRC_ZP_823</t>
  </si>
  <si>
    <t xml:space="preserve">lease_liab_1to2y_1h25</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</si>
  <si>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；千元值 </t>
    </r>
    <r>
      <rPr>
        <sz val="10"/>
        <color rgb="FF000000"/>
        <rFont val="Arial"/>
        <family val="0"/>
        <charset val="1"/>
      </rPr>
      <t xml:space="preserve">174,836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</si>
  <si>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SRC_ZP_824</t>
  </si>
  <si>
    <t xml:space="preserve">lease_liab_2to5y_fy22</t>
  </si>
  <si>
    <r>
      <rPr>
        <sz val="10"/>
        <color rgb="FF000000"/>
        <rFont val="Noto Sans CJK SC"/>
        <family val="2"/>
      </rPr>
      <t xml:space="preserve">租賃負債到期：</t>
    </r>
    <r>
      <rPr>
        <sz val="10"/>
        <color rgb="FF000000"/>
        <rFont val="Arial"/>
        <family val="0"/>
        <charset val="1"/>
      </rPr>
      <t xml:space="preserve">2–5 </t>
    </r>
    <r>
      <rPr>
        <sz val="10"/>
        <color rgb="FF000000"/>
        <rFont val="Noto Sans CJK SC"/>
        <family val="2"/>
      </rPr>
      <t xml:space="preserve">年</t>
    </r>
  </si>
  <si>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；租約「於 </t>
    </r>
    <r>
      <rPr>
        <sz val="10"/>
        <color rgb="FF000000"/>
        <rFont val="Arial"/>
        <family val="0"/>
        <charset val="1"/>
      </rPr>
      <t xml:space="preserve">1 </t>
    </r>
    <r>
      <rPr>
        <sz val="10"/>
        <color rgb="FF000000"/>
        <rFont val="Noto Sans CJK SC"/>
        <family val="2"/>
      </rPr>
      <t xml:space="preserve">至 </t>
    </r>
    <r>
      <rPr>
        <sz val="10"/>
        <color rgb="FF000000"/>
        <rFont val="Arial"/>
        <family val="0"/>
        <charset val="1"/>
      </rPr>
      <t xml:space="preserve">5 </t>
    </r>
    <r>
      <rPr>
        <sz val="10"/>
        <color rgb="FF000000"/>
        <rFont val="Noto Sans CJK SC"/>
        <family val="2"/>
      </rPr>
      <t xml:space="preserve">年內到期」；千元值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</si>
  <si>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SRC_ZP_825</t>
  </si>
  <si>
    <t xml:space="preserve">lease_liab_2to5y_fy23</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</si>
  <si>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；租約「於 </t>
    </r>
    <r>
      <rPr>
        <sz val="10"/>
        <color rgb="FF000000"/>
        <rFont val="Arial"/>
        <family val="0"/>
        <charset val="1"/>
      </rPr>
      <t xml:space="preserve">1 </t>
    </r>
    <r>
      <rPr>
        <sz val="10"/>
        <color rgb="FF000000"/>
        <rFont val="Noto Sans CJK SC"/>
        <family val="2"/>
      </rPr>
      <t xml:space="preserve">至 </t>
    </r>
    <r>
      <rPr>
        <sz val="10"/>
        <color rgb="FF000000"/>
        <rFont val="Arial"/>
        <family val="0"/>
        <charset val="1"/>
      </rPr>
      <t xml:space="preserve">5 </t>
    </r>
    <r>
      <rPr>
        <sz val="10"/>
        <color rgb="FF000000"/>
        <rFont val="Noto Sans CJK SC"/>
        <family val="2"/>
      </rPr>
      <t xml:space="preserve">年內到期」；千元值 </t>
    </r>
    <r>
      <rPr>
        <sz val="10"/>
        <color rgb="FF000000"/>
        <rFont val="Arial"/>
        <family val="0"/>
        <charset val="1"/>
      </rPr>
      <t xml:space="preserve">156,750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</si>
  <si>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SRC_ZP_826</t>
  </si>
  <si>
    <t xml:space="preserve">lease_liab_2to5y_fy24</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</si>
  <si>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；租約「於 </t>
    </r>
    <r>
      <rPr>
        <sz val="10"/>
        <color rgb="FF000000"/>
        <rFont val="Arial"/>
        <family val="0"/>
        <charset val="1"/>
      </rPr>
      <t xml:space="preserve">1 </t>
    </r>
    <r>
      <rPr>
        <sz val="10"/>
        <color rgb="FF000000"/>
        <rFont val="Noto Sans CJK SC"/>
        <family val="2"/>
      </rPr>
      <t xml:space="preserve">至 </t>
    </r>
    <r>
      <rPr>
        <sz val="10"/>
        <color rgb="FF000000"/>
        <rFont val="Arial"/>
        <family val="0"/>
        <charset val="1"/>
      </rPr>
      <t xml:space="preserve">5 </t>
    </r>
    <r>
      <rPr>
        <sz val="10"/>
        <color rgb="FF000000"/>
        <rFont val="Noto Sans CJK SC"/>
        <family val="2"/>
      </rPr>
      <t xml:space="preserve">年內到期」；千元值 </t>
    </r>
    <r>
      <rPr>
        <sz val="10"/>
        <color rgb="FF000000"/>
        <rFont val="Arial"/>
        <family val="0"/>
        <charset val="1"/>
      </rPr>
      <t xml:space="preserve">252,670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</si>
  <si>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SRC_ZP_827</t>
  </si>
  <si>
    <t xml:space="preserve">lease_liab_2to5y_1h25</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</si>
  <si>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；租約「於 </t>
    </r>
    <r>
      <rPr>
        <sz val="10"/>
        <color rgb="FF000000"/>
        <rFont val="Arial"/>
        <family val="0"/>
        <charset val="1"/>
      </rPr>
      <t xml:space="preserve">1 </t>
    </r>
    <r>
      <rPr>
        <sz val="10"/>
        <color rgb="FF000000"/>
        <rFont val="Noto Sans CJK SC"/>
        <family val="2"/>
      </rPr>
      <t xml:space="preserve">至 </t>
    </r>
    <r>
      <rPr>
        <sz val="10"/>
        <color rgb="FF000000"/>
        <rFont val="Arial"/>
        <family val="0"/>
        <charset val="1"/>
      </rPr>
      <t xml:space="preserve">5 </t>
    </r>
    <r>
      <rPr>
        <sz val="10"/>
        <color rgb="FF000000"/>
        <rFont val="Noto Sans CJK SC"/>
        <family val="2"/>
      </rPr>
      <t xml:space="preserve">年內到期」；千元值 </t>
    </r>
    <r>
      <rPr>
        <sz val="10"/>
        <color rgb="FF000000"/>
        <rFont val="Arial"/>
        <family val="0"/>
        <charset val="1"/>
      </rPr>
      <t xml:space="preserve">211,296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</si>
  <si>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SRC_ZP_828</t>
  </si>
  <si>
    <t xml:space="preserve">lease_rate</t>
  </si>
  <si>
    <t xml:space="preserve">租賃負債實際利率</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</si>
  <si>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424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</si>
  <si>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31(d) </t>
    </r>
    <r>
      <rPr>
        <sz val="10"/>
        <color rgb="FF000000"/>
        <rFont val="Noto Sans CJK SC"/>
        <family val="2"/>
      </rPr>
      <t xml:space="preserve">利率概況表「租賃負債 </t>
    </r>
    <r>
      <rPr>
        <sz val="10"/>
        <color rgb="FF000000"/>
        <rFont val="Arial"/>
        <family val="0"/>
        <charset val="1"/>
      </rPr>
      <t xml:space="preserve">4.75%</t>
    </r>
    <r>
      <rPr>
        <sz val="10"/>
        <color rgb="FF000000"/>
        <rFont val="Noto Sans CJK SC"/>
        <family val="2"/>
      </rPr>
      <t xml:space="preserve">」（第 </t>
    </r>
    <r>
      <rPr>
        <sz val="10"/>
        <color rgb="FF000000"/>
        <rFont val="Arial"/>
        <family val="0"/>
        <charset val="1"/>
      </rPr>
      <t xml:space="preserve">424 </t>
    </r>
    <r>
      <rPr>
        <sz val="10"/>
        <color rgb="FF000000"/>
        <rFont val="Noto Sans CJK SC"/>
        <family val="2"/>
      </rPr>
      <t xml:space="preserve">頁＝印 </t>
    </r>
    <r>
      <rPr>
        <sz val="10"/>
        <color rgb="FF000000"/>
        <rFont val="Arial"/>
        <family val="0"/>
        <charset val="1"/>
      </rPr>
      <t xml:space="preserve">I-81</t>
    </r>
    <r>
      <rPr>
        <sz val="10"/>
        <color rgb="FF000000"/>
        <rFont val="Noto Sans CJK SC"/>
        <family val="2"/>
      </rPr>
      <t xml:space="preserve">），四期相同</t>
    </r>
  </si>
  <si>
    <t xml:space="preserve">SRC_ZP_829</t>
  </si>
  <si>
    <t xml:space="preserve">lease_cash_total_fy22</t>
  </si>
  <si>
    <t xml:space="preserve">租賃現金流出總額（經營＋融資）</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</si>
  <si>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</si>
  <si>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14,281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</si>
  <si>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SRC_ZP_830</t>
  </si>
  <si>
    <t xml:space="preserve">lease_cash_total_fy23</t>
  </si>
  <si>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44,864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</si>
  <si>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SRC_ZP_831</t>
  </si>
  <si>
    <t xml:space="preserve">lease_cash_total_fy24</t>
  </si>
  <si>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187,388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</si>
  <si>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SRC_ZP_832</t>
  </si>
  <si>
    <t xml:space="preserve">lease_cash_total_1h24</t>
  </si>
  <si>
    <r>
      <rPr>
        <sz val="10"/>
        <color rgb="FF000000"/>
        <rFont val="Noto Sans CJK SC"/>
        <family val="2"/>
      </rPr>
      <t xml:space="preserve">經審閱（未經審計；畢馬威依 </t>
    </r>
    <r>
      <rPr>
        <sz val="10"/>
        <color rgb="FF000000"/>
        <rFont val="Arial"/>
        <family val="0"/>
        <charset val="1"/>
      </rPr>
      <t xml:space="preserve">HKSRE 2410 </t>
    </r>
    <r>
      <rPr>
        <sz val="10"/>
        <color rgb="FF000000"/>
        <rFont val="Noto Sans CJK SC"/>
        <family val="2"/>
      </rPr>
      <t xml:space="preserve">審閱）</t>
    </r>
  </si>
  <si>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77,822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</si>
  <si>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SRC_ZP_833</t>
  </si>
  <si>
    <t xml:space="preserve">lease_cash_total_1h25</t>
  </si>
  <si>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129,967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</si>
  <si>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SRC_ZP_834</t>
  </si>
  <si>
    <t xml:space="preserve">lease_principal_fy22</t>
  </si>
  <si>
    <t xml:space="preserve">已付租賃租金的資本部分（融資現金流）</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</si>
  <si>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359 </t>
    </r>
    <r>
      <rPr>
        <sz val="10"/>
        <color rgb="FF000000"/>
        <rFont val="Noto Sans CJK SC"/>
        <family val="2"/>
      </rPr>
      <t xml:space="preserve">頁</t>
    </r>
  </si>
  <si>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11,110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</si>
  <si>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SRC_ZP_835</t>
  </si>
  <si>
    <t xml:space="preserve">lease_principal_fy23</t>
  </si>
  <si>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31,829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</si>
  <si>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SRC_ZP_836</t>
  </si>
  <si>
    <t xml:space="preserve">lease_principal_fy24</t>
  </si>
  <si>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147,387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</si>
  <si>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SRC_ZP_837</t>
  </si>
  <si>
    <t xml:space="preserve">lease_principal_1h24</t>
  </si>
  <si>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61,771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</si>
  <si>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SRC_ZP_838</t>
  </si>
  <si>
    <t xml:space="preserve">lease_principal_1h25</t>
  </si>
  <si>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106,075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</si>
  <si>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SRC_ZP_839</t>
  </si>
  <si>
    <t xml:space="preserve">st_lease_exp_fy22</t>
  </si>
  <si>
    <t xml:space="preserve">短期租賃開支</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</si>
  <si>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391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</si>
  <si>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2,383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</si>
  <si>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SRC_ZP_840</t>
  </si>
  <si>
    <t xml:space="preserve">st_lease_exp_fy23</t>
  </si>
  <si>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5,537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</si>
  <si>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SRC_ZP_841</t>
  </si>
  <si>
    <t xml:space="preserve">st_lease_exp_fy24</t>
  </si>
  <si>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9,070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</si>
  <si>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SRC_ZP_842</t>
  </si>
  <si>
    <t xml:space="preserve">st_lease_exp_1h24</t>
  </si>
  <si>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4,211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</si>
  <si>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SRC_ZP_843</t>
  </si>
  <si>
    <t xml:space="preserve">st_lease_exp_1h25</t>
  </si>
  <si>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5,909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</si>
  <si>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SRC_ZP_844</t>
  </si>
  <si>
    <t xml:space="preserve">employees_1h25_p</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</si>
  <si>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221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</si>
  <si>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221 </t>
    </r>
    <r>
      <rPr>
        <sz val="10"/>
        <color rgb="FF000000"/>
        <rFont val="Noto Sans CJK SC"/>
        <family val="2"/>
      </rPr>
      <t xml:space="preserve">頁＝印 </t>
    </r>
    <r>
      <rPr>
        <sz val="10"/>
        <color rgb="FF000000"/>
        <rFont val="Arial"/>
        <family val="0"/>
        <charset val="1"/>
      </rPr>
      <t xml:space="preserve">212</t>
    </r>
    <r>
      <rPr>
        <sz val="10"/>
        <color rgb="FF000000"/>
        <rFont val="Noto Sans CJK SC"/>
        <family val="2"/>
      </rPr>
      <t xml:space="preserve">）「截至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日，我們共擁有 </t>
    </r>
    <r>
      <rPr>
        <sz val="10"/>
        <color rgb="FF000000"/>
        <rFont val="Arial"/>
        <family val="0"/>
        <charset val="1"/>
      </rPr>
      <t xml:space="preserve">883 </t>
    </r>
    <r>
      <rPr>
        <sz val="10"/>
        <color rgb="FF000000"/>
        <rFont val="Noto Sans CJK SC"/>
        <family val="2"/>
      </rPr>
      <t xml:space="preserve">名員工」；升級為一手來源（既有為中期公告比較數），值相同</t>
    </r>
  </si>
  <si>
    <t xml:space="preserve">SRC_ZP_845</t>
  </si>
  <si>
    <t xml:space="preserve">employees_rd_1h25</t>
  </si>
  <si>
    <t xml:space="preserve">員工人數：研發</t>
  </si>
  <si>
    <r>
      <rPr>
        <sz val="10"/>
        <color rgb="FF000000"/>
        <rFont val="Noto Sans CJK SC"/>
        <family val="2"/>
      </rPr>
      <t xml:space="preserve">按職能劃分員工表「研發 </t>
    </r>
    <r>
      <rPr>
        <sz val="10"/>
        <color rgb="FF000000"/>
        <rFont val="Arial"/>
        <family val="0"/>
        <charset val="1"/>
      </rPr>
      <t xml:space="preserve">657 74.4%</t>
    </r>
    <r>
      <rPr>
        <sz val="10"/>
        <color rgb="FF000000"/>
        <rFont val="Noto Sans CJK SC"/>
        <family val="2"/>
      </rPr>
      <t xml:space="preserve">」；升級為一手來源（</t>
    </r>
    <r>
      <rPr>
        <sz val="10"/>
        <color rgb="FF000000"/>
        <rFont val="Arial"/>
        <family val="0"/>
        <charset val="1"/>
      </rPr>
      <t xml:space="preserve">74.4% </t>
    </r>
    <r>
      <rPr>
        <sz val="10"/>
        <color rgb="FF000000"/>
        <rFont val="Noto Sans CJK SC"/>
        <family val="2"/>
      </rPr>
      <t xml:space="preserve">一致）</t>
    </r>
  </si>
  <si>
    <t xml:space="preserve">SRC_ZP_846</t>
  </si>
  <si>
    <t xml:space="preserve">employees_sm_1h25</t>
  </si>
  <si>
    <t xml:space="preserve">員工人數：銷售和營銷</t>
  </si>
  <si>
    <r>
      <rPr>
        <sz val="10"/>
        <color rgb="FF000000"/>
        <rFont val="Noto Sans CJK SC"/>
        <family val="2"/>
      </rPr>
      <t xml:space="preserve">按職能劃分員工表「銷售和營銷 </t>
    </r>
    <r>
      <rPr>
        <sz val="10"/>
        <color rgb="FF000000"/>
        <rFont val="Arial"/>
        <family val="0"/>
        <charset val="1"/>
      </rPr>
      <t xml:space="preserve">145 16.4%</t>
    </r>
    <r>
      <rPr>
        <sz val="10"/>
        <color rgb="FF000000"/>
        <rFont val="Noto Sans CJK SC"/>
        <family val="2"/>
      </rPr>
      <t xml:space="preserve">」</t>
    </r>
  </si>
  <si>
    <t xml:space="preserve">SRC_ZP_847</t>
  </si>
  <si>
    <t xml:space="preserve">employees_ga_1h25</t>
  </si>
  <si>
    <t xml:space="preserve">員工人數：管理和行政</t>
  </si>
  <si>
    <r>
      <rPr>
        <sz val="10"/>
        <color rgb="FF000000"/>
        <rFont val="Noto Sans CJK SC"/>
        <family val="2"/>
      </rPr>
      <t xml:space="preserve">按職能劃分員工表「管理和行政 </t>
    </r>
    <r>
      <rPr>
        <sz val="10"/>
        <color rgb="FF000000"/>
        <rFont val="Arial"/>
        <family val="0"/>
        <charset val="1"/>
      </rPr>
      <t xml:space="preserve">81 9.2%</t>
    </r>
    <r>
      <rPr>
        <sz val="10"/>
        <color rgb="FF000000"/>
        <rFont val="Noto Sans CJK SC"/>
        <family val="2"/>
      </rPr>
      <t xml:space="preserve">」</t>
    </r>
  </si>
  <si>
    <t xml:space="preserve">SRC_ZP_848</t>
  </si>
  <si>
    <t xml:space="preserve">employees_rd_share_1h25</t>
  </si>
  <si>
    <t xml:space="preserve">按職能劃分員工表；升級為一手來源</t>
  </si>
  <si>
    <t xml:space="preserve">SRC_ZP_849</t>
  </si>
  <si>
    <t xml:space="preserve">rd_team_1h25_p</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</si>
  <si>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187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</si>
  <si>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187 </t>
    </r>
    <r>
      <rPr>
        <sz val="10"/>
        <color rgb="FF000000"/>
        <rFont val="Noto Sans CJK SC"/>
        <family val="2"/>
      </rPr>
      <t xml:space="preserve">頁＝印 </t>
    </r>
    <r>
      <rPr>
        <sz val="10"/>
        <color rgb="FF000000"/>
        <rFont val="Arial"/>
        <family val="0"/>
        <charset val="1"/>
      </rPr>
      <t xml:space="preserve">178</t>
    </r>
    <r>
      <rPr>
        <sz val="10"/>
        <color rgb="FF000000"/>
        <rFont val="Noto Sans CJK SC"/>
        <family val="2"/>
      </rPr>
      <t xml:space="preserve">）「截至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日，我們擁有一支由 </t>
    </r>
    <r>
      <rPr>
        <sz val="10"/>
        <color rgb="FF000000"/>
        <rFont val="Arial"/>
        <family val="0"/>
        <charset val="1"/>
      </rPr>
      <t xml:space="preserve">657 </t>
    </r>
    <r>
      <rPr>
        <sz val="10"/>
        <color rgb="FF000000"/>
        <rFont val="Noto Sans CJK SC"/>
        <family val="2"/>
      </rPr>
      <t xml:space="preserve">名成員組成的研發團隊」；頁碼補正</t>
    </r>
  </si>
  <si>
    <t xml:space="preserve">SRC_ZP_850</t>
  </si>
  <si>
    <t xml:space="preserve">staff_cost_total_fy22</t>
  </si>
  <si>
    <t xml:space="preserve">員工成本總額（含股權報酬）</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</si>
  <si>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</si>
  <si>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90,721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</si>
  <si>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SRC_ZP_851</t>
  </si>
  <si>
    <t xml:space="preserve">staff_cost_total_fy23</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</si>
  <si>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217,285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</si>
  <si>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SRC_ZP_852</t>
  </si>
  <si>
    <t xml:space="preserve">staff_cost_total_fy24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</si>
  <si>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573,221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</si>
  <si>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SRC_ZP_853</t>
  </si>
  <si>
    <t xml:space="preserve">staff_cost_total_1h24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</si>
  <si>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192,354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</si>
  <si>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SRC_ZP_854</t>
  </si>
  <si>
    <t xml:space="preserve">staff_cost_total_1h25</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</si>
  <si>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499,594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換算成億；升級為一手來源；值相同</t>
    </r>
  </si>
  <si>
    <t xml:space="preserve">SRC_ZP_855</t>
  </si>
  <si>
    <t xml:space="preserve">staff_wages_fy22</t>
  </si>
  <si>
    <t xml:space="preserve">員工成本：工資、薪金及其他福利</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</si>
  <si>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82,198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</si>
  <si>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SRC_ZP_856</t>
  </si>
  <si>
    <t xml:space="preserve">staff_wages_fy23</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</si>
  <si>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195,117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</si>
  <si>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SRC_ZP_857</t>
  </si>
  <si>
    <t xml:space="preserve">staff_wages_fy24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</si>
  <si>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512,176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</si>
  <si>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SRC_ZP_858</t>
  </si>
  <si>
    <t xml:space="preserve">staff_wages_1h24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</si>
  <si>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171,663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</si>
  <si>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SRC_ZP_859</t>
  </si>
  <si>
    <t xml:space="preserve">staff_wages_1h25</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</si>
  <si>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318,624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</si>
  <si>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SRC_ZP_860</t>
  </si>
  <si>
    <t xml:space="preserve">staff_pension_fy22</t>
  </si>
  <si>
    <t xml:space="preserve">員工成本：界定供款退休福利</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</si>
  <si>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7,499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</si>
  <si>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SRC_ZP_861</t>
  </si>
  <si>
    <t xml:space="preserve">staff_pension_fy23</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</si>
  <si>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16,666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</si>
  <si>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SRC_ZP_862</t>
  </si>
  <si>
    <t xml:space="preserve">staff_pension_fy24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</si>
  <si>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37,466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</si>
  <si>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SRC_ZP_863</t>
  </si>
  <si>
    <t xml:space="preserve">staff_pension_1h24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</si>
  <si>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16,474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</si>
  <si>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SRC_ZP_864</t>
  </si>
  <si>
    <t xml:space="preserve">staff_pension_1h25</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</si>
  <si>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22,118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</si>
  <si>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SRC_ZP_865</t>
  </si>
  <si>
    <t xml:space="preserve">sbc_p_fy22</t>
  </si>
  <si>
    <t xml:space="preserve">以權益結算股份支付（計入損益）</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</si>
  <si>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1,024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</si>
  <si>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SRC_ZP_866</t>
  </si>
  <si>
    <t xml:space="preserve">sbc_p_fy23</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</si>
  <si>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5,502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</si>
  <si>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SRC_ZP_867</t>
  </si>
  <si>
    <t xml:space="preserve">sbc_p_fy24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</si>
  <si>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23,579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</si>
  <si>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SRC_ZP_868</t>
  </si>
  <si>
    <t xml:space="preserve">sbc_p_1h24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</si>
  <si>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4,217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</si>
  <si>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SRC_ZP_869</t>
  </si>
  <si>
    <t xml:space="preserve">sbc_p_1h25</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</si>
  <si>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158,852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</si>
  <si>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SRC_ZP_870</t>
  </si>
  <si>
    <t xml:space="preserve">sbc_by_function</t>
  </si>
  <si>
    <t xml:space="preserve">股權報酬按功能分配</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</si>
  <si>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266–268 </t>
    </r>
    <r>
      <rPr>
        <sz val="10"/>
        <color rgb="FF000000"/>
        <rFont val="Noto Sans CJK SC"/>
        <family val="2"/>
      </rPr>
      <t xml:space="preserve">頁</t>
    </r>
  </si>
  <si>
    <t xml:space="preserve">未揭露</t>
  </si>
  <si>
    <r>
      <rPr>
        <sz val="10"/>
        <color rgb="FF000000"/>
        <rFont val="Noto Sans CJK SC"/>
        <family val="2"/>
      </rPr>
      <t xml:space="preserve">招股章程未揭露股權報酬按功能拆分；各功能「工資成本」均註明「包括以股份為基礎的付款開支」（第 </t>
    </r>
    <r>
      <rPr>
        <sz val="10"/>
        <color rgb="FF000000"/>
        <rFont val="Arial"/>
        <family val="0"/>
        <charset val="1"/>
      </rPr>
      <t xml:space="preserve">266–268 </t>
    </r>
    <r>
      <rPr>
        <sz val="10"/>
        <color rgb="FF000000"/>
        <rFont val="Noto Sans CJK SC"/>
        <family val="2"/>
      </rPr>
      <t xml:space="preserve">頁）</t>
    </r>
  </si>
  <si>
    <t xml:space="preserve">SRC_ZP_871</t>
  </si>
  <si>
    <t xml:space="preserve">kmp_sbc_fy22</t>
  </si>
  <si>
    <t xml:space="preserve">關鍵管理人員股份支付</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</si>
  <si>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</si>
  <si>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779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</si>
  <si>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SRC_ZP_872</t>
  </si>
  <si>
    <t xml:space="preserve">kmp_sbc_fy23</t>
  </si>
  <si>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1,649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</si>
  <si>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SRC_ZP_873</t>
  </si>
  <si>
    <t xml:space="preserve">kmp_sbc_fy24</t>
  </si>
  <si>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4,050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</si>
  <si>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SRC_ZP_874</t>
  </si>
  <si>
    <t xml:space="preserve">kmp_sbc_1h24</t>
  </si>
  <si>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861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</si>
  <si>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SRC_ZP_875</t>
  </si>
  <si>
    <t xml:space="preserve">kmp_sbc_1h25</t>
  </si>
  <si>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39,878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</si>
  <si>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SRC_ZP_876</t>
  </si>
  <si>
    <t xml:space="preserve">esop_awards_1h25</t>
  </si>
  <si>
    <t xml:space="preserve">受限制股份尚未行使數（股權獎勵替換後）</t>
  </si>
  <si>
    <t xml:space="preserve">千份</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</si>
  <si>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415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</si>
  <si>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29(b)</t>
    </r>
    <r>
      <rPr>
        <sz val="10"/>
        <color rgb="FF000000"/>
        <rFont val="Noto Sans CJK SC"/>
        <family val="2"/>
      </rPr>
      <t xml:space="preserve">：替換 </t>
    </r>
    <r>
      <rPr>
        <sz val="10"/>
        <color rgb="FF000000"/>
        <rFont val="Arial"/>
        <family val="0"/>
        <charset val="1"/>
      </rPr>
      <t xml:space="preserve">2,016 </t>
    </r>
    <r>
      <rPr>
        <sz val="10"/>
        <color rgb="FF000000"/>
        <rFont val="Noto Sans CJK SC"/>
        <family val="2"/>
      </rPr>
      <t xml:space="preserve">千份＋期內授出 </t>
    </r>
    <r>
      <rPr>
        <sz val="10"/>
        <color rgb="FF000000"/>
        <rFont val="Arial"/>
        <family val="0"/>
        <charset val="1"/>
      </rPr>
      <t xml:space="preserve">4,604 </t>
    </r>
    <r>
      <rPr>
        <sz val="10"/>
        <color rgb="FF000000"/>
        <rFont val="Noto Sans CJK SC"/>
        <family val="2"/>
      </rPr>
      <t xml:space="preserve">千份＝</t>
    </r>
    <r>
      <rPr>
        <sz val="10"/>
        <color rgb="FF000000"/>
        <rFont val="Arial"/>
        <family val="0"/>
        <charset val="1"/>
      </rPr>
      <t xml:space="preserve">6,620 </t>
    </r>
    <r>
      <rPr>
        <sz val="10"/>
        <color rgb="FF000000"/>
        <rFont val="Noto Sans CJK SC"/>
        <family val="2"/>
      </rPr>
      <t xml:space="preserve">千份（拆股前；面值人民幣 </t>
    </r>
    <r>
      <rPr>
        <sz val="10"/>
        <color rgb="FF000000"/>
        <rFont val="Arial"/>
        <family val="0"/>
        <charset val="1"/>
      </rPr>
      <t xml:space="preserve">1 </t>
    </r>
    <r>
      <rPr>
        <sz val="10"/>
        <color rgb="FF000000"/>
        <rFont val="Noto Sans CJK SC"/>
        <family val="2"/>
      </rPr>
      <t xml:space="preserve">元／股，上市前 </t>
    </r>
    <r>
      <rPr>
        <sz val="10"/>
        <color rgb="FF000000"/>
        <rFont val="Arial"/>
        <family val="0"/>
        <charset val="1"/>
      </rPr>
      <t xml:space="preserve">1 </t>
    </r>
    <r>
      <rPr>
        <sz val="10"/>
        <color rgb="FF000000"/>
        <rFont val="Noto Sans CJK SC"/>
        <family val="2"/>
      </rPr>
      <t xml:space="preserve">拆 </t>
    </r>
    <r>
      <rPr>
        <sz val="10"/>
        <color rgb="FF000000"/>
        <rFont val="Arial"/>
        <family val="0"/>
        <charset val="1"/>
      </rPr>
      <t xml:space="preserve">10</t>
    </r>
    <r>
      <rPr>
        <sz val="10"/>
        <color rgb="FF000000"/>
        <rFont val="Noto Sans CJK SC"/>
        <family val="2"/>
      </rPr>
      <t xml:space="preserve">）；每股普通股公允價值人民幣 </t>
    </r>
    <r>
      <rPr>
        <sz val="10"/>
        <color rgb="FF000000"/>
        <rFont val="Arial"/>
        <family val="0"/>
        <charset val="1"/>
      </rPr>
      <t xml:space="preserve">302.73 </t>
    </r>
    <r>
      <rPr>
        <sz val="10"/>
        <color rgb="FF000000"/>
        <rFont val="Noto Sans CJK SC"/>
        <family val="2"/>
      </rPr>
      <t xml:space="preserve">元；行使價 </t>
    </r>
    <r>
      <rPr>
        <sz val="10"/>
        <color rgb="FF000000"/>
        <rFont val="Arial"/>
        <family val="0"/>
        <charset val="1"/>
      </rPr>
      <t xml:space="preserve">0.10–2.00 </t>
    </r>
    <r>
      <rPr>
        <sz val="10"/>
        <color rgb="FF000000"/>
        <rFont val="Noto Sans CJK SC"/>
        <family val="2"/>
      </rPr>
      <t xml:space="preserve">元</t>
    </r>
  </si>
  <si>
    <t xml:space="preserve">SRC_ZP_877</t>
  </si>
  <si>
    <t xml:space="preserve">capex_cash_ppe_fy22</t>
  </si>
  <si>
    <t xml:space="preserve">購買物業及設備的付款（現金資本開支）</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</si>
  <si>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358 </t>
    </r>
    <r>
      <rPr>
        <sz val="10"/>
        <color rgb="FF000000"/>
        <rFont val="Noto Sans CJK SC"/>
        <family val="2"/>
      </rPr>
      <t xml:space="preserve">頁</t>
    </r>
  </si>
  <si>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31,651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</si>
  <si>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SRC_ZP_878</t>
  </si>
  <si>
    <t xml:space="preserve">capex_cash_ppe_fy23</t>
  </si>
  <si>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506,760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</si>
  <si>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SRC_ZP_879</t>
  </si>
  <si>
    <t xml:space="preserve">capex_cash_ppe_fy24</t>
  </si>
  <si>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125,958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換算成億；與既有值差異：年度公告「資本開支」</t>
    </r>
    <r>
      <rPr>
        <sz val="10"/>
        <color rgb="FF000000"/>
        <rFont val="Arial"/>
        <family val="0"/>
        <charset val="1"/>
      </rPr>
      <t xml:space="preserve">462.3 </t>
    </r>
    <r>
      <rPr>
        <sz val="10"/>
        <color rgb="FF000000"/>
        <rFont val="Noto Sans CJK SC"/>
        <family val="2"/>
      </rPr>
      <t xml:space="preserve">百萬＝附註 </t>
    </r>
    <r>
      <rPr>
        <sz val="10"/>
        <color rgb="FF000000"/>
        <rFont val="Arial"/>
        <family val="0"/>
        <charset val="1"/>
      </rPr>
      <t xml:space="preserve">11 </t>
    </r>
    <r>
      <rPr>
        <sz val="10"/>
        <color rgb="FF000000"/>
        <rFont val="Noto Sans CJK SC"/>
        <family val="2"/>
      </rPr>
      <t xml:space="preserve">物業及設備添置 </t>
    </r>
    <r>
      <rPr>
        <sz val="10"/>
        <color rgb="FF000000"/>
        <rFont val="Arial"/>
        <family val="0"/>
        <charset val="1"/>
      </rPr>
      <t xml:space="preserve">455,545</t>
    </r>
    <r>
      <rPr>
        <sz val="10"/>
        <color rgb="FF000000"/>
        <rFont val="Noto Sans CJK SC"/>
        <family val="2"/>
      </rPr>
      <t xml:space="preserve">（含使用權資產 </t>
    </r>
    <r>
      <rPr>
        <sz val="10"/>
        <color rgb="FF000000"/>
        <rFont val="Arial"/>
        <family val="0"/>
        <charset val="1"/>
      </rPr>
      <t xml:space="preserve">337,092</t>
    </r>
    <r>
      <rPr>
        <sz val="10"/>
        <color rgb="FF000000"/>
        <rFont val="Noto Sans CJK SC"/>
        <family val="2"/>
      </rPr>
      <t xml:space="preserve">）＋無形資產添置 </t>
    </r>
    <r>
      <rPr>
        <sz val="10"/>
        <color rgb="FF000000"/>
        <rFont val="Arial"/>
        <family val="0"/>
        <charset val="1"/>
      </rPr>
      <t xml:space="preserve">6,802</t>
    </r>
    <r>
      <rPr>
        <sz val="10"/>
        <color rgb="FF000000"/>
        <rFont val="Noto Sans CJK SC"/>
        <family val="2"/>
      </rPr>
      <t xml:space="preserve">，屬權責口徑；現金口徑為 </t>
    </r>
    <r>
      <rPr>
        <sz val="10"/>
        <color rgb="FF000000"/>
        <rFont val="Arial"/>
        <family val="0"/>
        <charset val="1"/>
      </rPr>
      <t xml:space="preserve">125,958</t>
    </r>
    <r>
      <rPr>
        <sz val="10"/>
        <color rgb="FF000000"/>
        <rFont val="Noto Sans CJK SC"/>
        <family val="2"/>
      </rPr>
      <t xml:space="preserve">（</t>
    </r>
    <r>
      <rPr>
        <sz val="10"/>
        <color rgb="FF000000"/>
        <rFont val="Arial"/>
        <family val="0"/>
        <charset val="1"/>
      </rPr>
      <t xml:space="preserve">PPE</t>
    </r>
    <r>
      <rPr>
        <sz val="10"/>
        <color rgb="FF000000"/>
        <rFont val="Noto Sans CJK SC"/>
        <family val="2"/>
      </rPr>
      <t xml:space="preserve">）＋</t>
    </r>
    <r>
      <rPr>
        <sz val="10"/>
        <color rgb="FF000000"/>
        <rFont val="Arial"/>
        <family val="0"/>
        <charset val="1"/>
      </rPr>
      <t xml:space="preserve">6,802</t>
    </r>
    <r>
      <rPr>
        <sz val="10"/>
        <color rgb="FF000000"/>
        <rFont val="Noto Sans CJK SC"/>
        <family val="2"/>
      </rPr>
      <t xml:space="preserve">（無形）＝</t>
    </r>
    <r>
      <rPr>
        <sz val="10"/>
        <color rgb="FF000000"/>
        <rFont val="Arial"/>
        <family val="0"/>
        <charset val="1"/>
      </rPr>
      <t xml:space="preserve">132,760</t>
    </r>
  </si>
  <si>
    <t xml:space="preserve">SRC_ZP_880</t>
  </si>
  <si>
    <t xml:space="preserve">capex_cash_ppe_1h24</t>
  </si>
  <si>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98,388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</si>
  <si>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SRC_ZP_881</t>
  </si>
  <si>
    <t xml:space="preserve">capex_cash_ppe_1h25</t>
  </si>
  <si>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12,740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換算成億；與既有值差異：中期公告比較數 </t>
    </r>
    <r>
      <rPr>
        <sz val="10"/>
        <color rgb="FF000000"/>
        <rFont val="Arial"/>
        <family val="0"/>
        <charset val="1"/>
      </rPr>
      <t xml:space="preserve">53.7 </t>
    </r>
    <r>
      <rPr>
        <sz val="10"/>
        <color rgb="FF000000"/>
        <rFont val="Noto Sans CJK SC"/>
        <family val="2"/>
      </rPr>
      <t xml:space="preserve">百萬＝</t>
    </r>
    <r>
      <rPr>
        <sz val="10"/>
        <color rgb="FF000000"/>
        <rFont val="Arial"/>
        <family val="0"/>
        <charset val="1"/>
      </rPr>
      <t xml:space="preserve">PPE </t>
    </r>
    <r>
      <rPr>
        <sz val="10"/>
        <color rgb="FF000000"/>
        <rFont val="Noto Sans CJK SC"/>
        <family val="2"/>
      </rPr>
      <t xml:space="preserve">添置 </t>
    </r>
    <r>
      <rPr>
        <sz val="10"/>
        <color rgb="FF000000"/>
        <rFont val="Arial"/>
        <family val="0"/>
        <charset val="1"/>
      </rPr>
      <t xml:space="preserve">42,495</t>
    </r>
    <r>
      <rPr>
        <sz val="10"/>
        <color rgb="FF000000"/>
        <rFont val="Noto Sans CJK SC"/>
        <family val="2"/>
      </rPr>
      <t xml:space="preserve">（含使用權資產 </t>
    </r>
    <r>
      <rPr>
        <sz val="10"/>
        <color rgb="FF000000"/>
        <rFont val="Arial"/>
        <family val="0"/>
        <charset val="1"/>
      </rPr>
      <t xml:space="preserve">34,397</t>
    </r>
    <r>
      <rPr>
        <sz val="10"/>
        <color rgb="FF000000"/>
        <rFont val="Noto Sans CJK SC"/>
        <family val="2"/>
      </rPr>
      <t xml:space="preserve">）＋無形 </t>
    </r>
    <r>
      <rPr>
        <sz val="10"/>
        <color rgb="FF000000"/>
        <rFont val="Arial"/>
        <family val="0"/>
        <charset val="1"/>
      </rPr>
      <t xml:space="preserve">11,168</t>
    </r>
    <r>
      <rPr>
        <sz val="10"/>
        <color rgb="FF000000"/>
        <rFont val="Noto Sans CJK SC"/>
        <family val="2"/>
      </rPr>
      <t xml:space="preserve">；現金口徑 </t>
    </r>
    <r>
      <rPr>
        <sz val="10"/>
        <color rgb="FF000000"/>
        <rFont val="Arial"/>
        <family val="0"/>
        <charset val="1"/>
      </rPr>
      <t xml:space="preserve">12,740</t>
    </r>
    <r>
      <rPr>
        <sz val="10"/>
        <color rgb="FF000000"/>
        <rFont val="Noto Sans CJK SC"/>
        <family val="2"/>
      </rPr>
      <t xml:space="preserve">＋</t>
    </r>
    <r>
      <rPr>
        <sz val="10"/>
        <color rgb="FF000000"/>
        <rFont val="Arial"/>
        <family val="0"/>
        <charset val="1"/>
      </rPr>
      <t xml:space="preserve">11,168</t>
    </r>
    <r>
      <rPr>
        <sz val="10"/>
        <color rgb="FF000000"/>
        <rFont val="Noto Sans CJK SC"/>
        <family val="2"/>
      </rPr>
      <t xml:space="preserve">＝</t>
    </r>
    <r>
      <rPr>
        <sz val="10"/>
        <color rgb="FF000000"/>
        <rFont val="Arial"/>
        <family val="0"/>
        <charset val="1"/>
      </rPr>
      <t xml:space="preserve">23,908</t>
    </r>
  </si>
  <si>
    <t xml:space="preserve">SRC_ZP_882</t>
  </si>
  <si>
    <t xml:space="preserve">capex_cash_intang_fy22</t>
  </si>
  <si>
    <t xml:space="preserve">購買無形資產的付款</t>
  </si>
  <si>
    <r>
      <rPr>
        <sz val="10"/>
        <color rgb="FF000000"/>
        <rFont val="Noto Sans CJK SC"/>
        <family val="2"/>
      </rPr>
      <t xml:space="preserve">綜合現金流量表；千元值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</si>
  <si>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SRC_ZP_883</t>
  </si>
  <si>
    <t xml:space="preserve">capex_cash_intang_fy23</t>
  </si>
  <si>
    <r>
      <rPr>
        <sz val="10"/>
        <color rgb="FF000000"/>
        <rFont val="Noto Sans CJK SC"/>
        <family val="2"/>
      </rPr>
      <t xml:space="preserve">綜合現金流量表；千元值 </t>
    </r>
    <r>
      <rPr>
        <sz val="10"/>
        <color rgb="FF000000"/>
        <rFont val="Arial"/>
        <family val="0"/>
        <charset val="1"/>
      </rPr>
      <t xml:space="preserve">1,809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</si>
  <si>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SRC_ZP_884</t>
  </si>
  <si>
    <t xml:space="preserve">capex_cash_intang_fy24</t>
  </si>
  <si>
    <r>
      <rPr>
        <sz val="10"/>
        <color rgb="FF000000"/>
        <rFont val="Noto Sans CJK SC"/>
        <family val="2"/>
      </rPr>
      <t xml:space="preserve">綜合現金流量表；千元值 </t>
    </r>
    <r>
      <rPr>
        <sz val="10"/>
        <color rgb="FF000000"/>
        <rFont val="Arial"/>
        <family val="0"/>
        <charset val="1"/>
      </rPr>
      <t xml:space="preserve">6,802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</si>
  <si>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SRC_ZP_885</t>
  </si>
  <si>
    <t xml:space="preserve">capex_cash_intang_1h24</t>
  </si>
  <si>
    <r>
      <rPr>
        <sz val="10"/>
        <color rgb="FF000000"/>
        <rFont val="Noto Sans CJK SC"/>
        <family val="2"/>
      </rPr>
      <t xml:space="preserve">綜合現金流量表；千元值 </t>
    </r>
    <r>
      <rPr>
        <sz val="10"/>
        <color rgb="FF000000"/>
        <rFont val="Arial"/>
        <family val="0"/>
        <charset val="1"/>
      </rPr>
      <t xml:space="preserve">6,150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</si>
  <si>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SRC_ZP_886</t>
  </si>
  <si>
    <t xml:space="preserve">capex_cash_intang_1h25</t>
  </si>
  <si>
    <r>
      <rPr>
        <sz val="10"/>
        <color rgb="FF000000"/>
        <rFont val="Noto Sans CJK SC"/>
        <family val="2"/>
      </rPr>
      <t xml:space="preserve">綜合現金流量表；千元值 </t>
    </r>
    <r>
      <rPr>
        <sz val="10"/>
        <color rgb="FF000000"/>
        <rFont val="Arial"/>
        <family val="0"/>
        <charset val="1"/>
      </rPr>
      <t xml:space="preserve">11,168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</si>
  <si>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SRC_ZP_887</t>
  </si>
  <si>
    <t xml:space="preserve">capex_cash_total_fy22</t>
  </si>
  <si>
    <r>
      <rPr>
        <sz val="10"/>
        <color rgb="FF000000"/>
        <rFont val="Noto Sans CJK SC"/>
        <family val="2"/>
      </rPr>
      <t xml:space="preserve">資本支出合計（現金：</t>
    </r>
    <r>
      <rPr>
        <sz val="10"/>
        <color rgb="FF000000"/>
        <rFont val="Arial"/>
        <family val="0"/>
        <charset val="1"/>
      </rPr>
      <t xml:space="preserve">PPE</t>
    </r>
    <r>
      <rPr>
        <sz val="10"/>
        <color rgb="FF000000"/>
        <rFont val="Noto Sans CJK SC"/>
        <family val="2"/>
      </rPr>
      <t xml:space="preserve">＋無形）</t>
    </r>
  </si>
  <si>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31,651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</si>
  <si>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SRC_ZP_888</t>
  </si>
  <si>
    <t xml:space="preserve">capex_cash_total_fy23</t>
  </si>
  <si>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508,569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</si>
  <si>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SRC_ZP_889</t>
  </si>
  <si>
    <t xml:space="preserve">capex_cash_total_fy24</t>
  </si>
  <si>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132,760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</si>
  <si>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SRC_ZP_890</t>
  </si>
  <si>
    <t xml:space="preserve">capex_cash_total_1h24</t>
  </si>
  <si>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104,538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</si>
  <si>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SRC_ZP_891</t>
  </si>
  <si>
    <t xml:space="preserve">capex_cash_total_1h25</t>
  </si>
  <si>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23,908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</si>
  <si>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SRC_ZP_892</t>
  </si>
  <si>
    <t xml:space="preserve">ppe_add_equip_fy22</t>
  </si>
  <si>
    <t xml:space="preserve">電子設備及其他添置（自有）</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</si>
  <si>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388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</si>
  <si>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物業及設備變動（第 </t>
    </r>
    <r>
      <rPr>
        <sz val="10"/>
        <color rgb="FF000000"/>
        <rFont val="Arial"/>
        <family val="0"/>
        <charset val="1"/>
      </rPr>
      <t xml:space="preserve">387–388 </t>
    </r>
    <r>
      <rPr>
        <sz val="10"/>
        <color rgb="FF000000"/>
        <rFont val="Noto Sans CJK SC"/>
        <family val="2"/>
      </rPr>
      <t xml:space="preserve">頁＝印 </t>
    </r>
    <r>
      <rPr>
        <sz val="10"/>
        <color rgb="FF000000"/>
        <rFont val="Arial"/>
        <family val="0"/>
        <charset val="1"/>
      </rPr>
      <t xml:space="preserve">I-44/45</t>
    </r>
    <r>
      <rPr>
        <sz val="10"/>
        <color rgb="FF000000"/>
        <rFont val="Noto Sans CJK SC"/>
        <family val="2"/>
      </rPr>
      <t xml:space="preserve">）；</t>
    </r>
    <r>
      <rPr>
        <sz val="10"/>
        <color rgb="FF000000"/>
        <rFont val="Arial"/>
        <family val="0"/>
        <charset val="1"/>
      </rPr>
      <t xml:space="preserve">FY23 </t>
    </r>
    <r>
      <rPr>
        <sz val="10"/>
        <color rgb="FF000000"/>
        <rFont val="Noto Sans CJK SC"/>
        <family val="2"/>
      </rPr>
      <t xml:space="preserve">主要為算力硬件（第 </t>
    </r>
    <r>
      <rPr>
        <sz val="10"/>
        <color rgb="FF000000"/>
        <rFont val="Arial"/>
        <family val="0"/>
        <charset val="1"/>
      </rPr>
      <t xml:space="preserve">279 </t>
    </r>
    <r>
      <rPr>
        <sz val="10"/>
        <color rgb="FF000000"/>
        <rFont val="Noto Sans CJK SC"/>
        <family val="2"/>
      </rPr>
      <t xml:space="preserve">頁「採購大量電子設備（主要由可為我們提供額外算力的算力硬件組成）」）；千元值 </t>
    </r>
    <r>
      <rPr>
        <sz val="10"/>
        <color rgb="FF000000"/>
        <rFont val="Arial"/>
        <family val="0"/>
        <charset val="1"/>
      </rPr>
      <t xml:space="preserve">31,651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</si>
  <si>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SRC_ZP_893</t>
  </si>
  <si>
    <t xml:space="preserve">ppe_add_equip_fy23</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</si>
  <si>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物業及設備變動（第 </t>
    </r>
    <r>
      <rPr>
        <sz val="10"/>
        <color rgb="FF000000"/>
        <rFont val="Arial"/>
        <family val="0"/>
        <charset val="1"/>
      </rPr>
      <t xml:space="preserve">387–388 </t>
    </r>
    <r>
      <rPr>
        <sz val="10"/>
        <color rgb="FF000000"/>
        <rFont val="Noto Sans CJK SC"/>
        <family val="2"/>
      </rPr>
      <t xml:space="preserve">頁＝印 </t>
    </r>
    <r>
      <rPr>
        <sz val="10"/>
        <color rgb="FF000000"/>
        <rFont val="Arial"/>
        <family val="0"/>
        <charset val="1"/>
      </rPr>
      <t xml:space="preserve">I-44/45</t>
    </r>
    <r>
      <rPr>
        <sz val="10"/>
        <color rgb="FF000000"/>
        <rFont val="Noto Sans CJK SC"/>
        <family val="2"/>
      </rPr>
      <t xml:space="preserve">）；</t>
    </r>
    <r>
      <rPr>
        <sz val="10"/>
        <color rgb="FF000000"/>
        <rFont val="Arial"/>
        <family val="0"/>
        <charset val="1"/>
      </rPr>
      <t xml:space="preserve">FY23 </t>
    </r>
    <r>
      <rPr>
        <sz val="10"/>
        <color rgb="FF000000"/>
        <rFont val="Noto Sans CJK SC"/>
        <family val="2"/>
      </rPr>
      <t xml:space="preserve">主要為算力硬件（第 </t>
    </r>
    <r>
      <rPr>
        <sz val="10"/>
        <color rgb="FF000000"/>
        <rFont val="Arial"/>
        <family val="0"/>
        <charset val="1"/>
      </rPr>
      <t xml:space="preserve">279 </t>
    </r>
    <r>
      <rPr>
        <sz val="10"/>
        <color rgb="FF000000"/>
        <rFont val="Noto Sans CJK SC"/>
        <family val="2"/>
      </rPr>
      <t xml:space="preserve">頁「採購大量電子設備（主要由可為我們提供額外算力的算力硬件組成）」）；千元值 </t>
    </r>
    <r>
      <rPr>
        <sz val="10"/>
        <color rgb="FF000000"/>
        <rFont val="Arial"/>
        <family val="0"/>
        <charset val="1"/>
      </rPr>
      <t xml:space="preserve">500,462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</si>
  <si>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SRC_ZP_894</t>
  </si>
  <si>
    <t xml:space="preserve">ppe_add_equip_fy24</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</si>
  <si>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物業及設備變動（第 </t>
    </r>
    <r>
      <rPr>
        <sz val="10"/>
        <color rgb="FF000000"/>
        <rFont val="Arial"/>
        <family val="0"/>
        <charset val="1"/>
      </rPr>
      <t xml:space="preserve">387–388 </t>
    </r>
    <r>
      <rPr>
        <sz val="10"/>
        <color rgb="FF000000"/>
        <rFont val="Noto Sans CJK SC"/>
        <family val="2"/>
      </rPr>
      <t xml:space="preserve">頁＝印 </t>
    </r>
    <r>
      <rPr>
        <sz val="10"/>
        <color rgb="FF000000"/>
        <rFont val="Arial"/>
        <family val="0"/>
        <charset val="1"/>
      </rPr>
      <t xml:space="preserve">I-44/45</t>
    </r>
    <r>
      <rPr>
        <sz val="10"/>
        <color rgb="FF000000"/>
        <rFont val="Noto Sans CJK SC"/>
        <family val="2"/>
      </rPr>
      <t xml:space="preserve">）；</t>
    </r>
    <r>
      <rPr>
        <sz val="10"/>
        <color rgb="FF000000"/>
        <rFont val="Arial"/>
        <family val="0"/>
        <charset val="1"/>
      </rPr>
      <t xml:space="preserve">FY23 </t>
    </r>
    <r>
      <rPr>
        <sz val="10"/>
        <color rgb="FF000000"/>
        <rFont val="Noto Sans CJK SC"/>
        <family val="2"/>
      </rPr>
      <t xml:space="preserve">主要為算力硬件（第 </t>
    </r>
    <r>
      <rPr>
        <sz val="10"/>
        <color rgb="FF000000"/>
        <rFont val="Arial"/>
        <family val="0"/>
        <charset val="1"/>
      </rPr>
      <t xml:space="preserve">279 </t>
    </r>
    <r>
      <rPr>
        <sz val="10"/>
        <color rgb="FF000000"/>
        <rFont val="Noto Sans CJK SC"/>
        <family val="2"/>
      </rPr>
      <t xml:space="preserve">頁「採購大量電子設備（主要由可為我們提供額外算力的算力硬件組成）」）；千元值 </t>
    </r>
    <r>
      <rPr>
        <sz val="10"/>
        <color rgb="FF000000"/>
        <rFont val="Arial"/>
        <family val="0"/>
        <charset val="1"/>
      </rPr>
      <t xml:space="preserve">117,601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</si>
  <si>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SRC_ZP_895</t>
  </si>
  <si>
    <t xml:space="preserve">ppe_add_equip_1h25</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</si>
  <si>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物業及設備變動（第 </t>
    </r>
    <r>
      <rPr>
        <sz val="10"/>
        <color rgb="FF000000"/>
        <rFont val="Arial"/>
        <family val="0"/>
        <charset val="1"/>
      </rPr>
      <t xml:space="preserve">387–388 </t>
    </r>
    <r>
      <rPr>
        <sz val="10"/>
        <color rgb="FF000000"/>
        <rFont val="Noto Sans CJK SC"/>
        <family val="2"/>
      </rPr>
      <t xml:space="preserve">頁＝印 </t>
    </r>
    <r>
      <rPr>
        <sz val="10"/>
        <color rgb="FF000000"/>
        <rFont val="Arial"/>
        <family val="0"/>
        <charset val="1"/>
      </rPr>
      <t xml:space="preserve">I-44/45</t>
    </r>
    <r>
      <rPr>
        <sz val="10"/>
        <color rgb="FF000000"/>
        <rFont val="Noto Sans CJK SC"/>
        <family val="2"/>
      </rPr>
      <t xml:space="preserve">）；</t>
    </r>
    <r>
      <rPr>
        <sz val="10"/>
        <color rgb="FF000000"/>
        <rFont val="Arial"/>
        <family val="0"/>
        <charset val="1"/>
      </rPr>
      <t xml:space="preserve">FY23 </t>
    </r>
    <r>
      <rPr>
        <sz val="10"/>
        <color rgb="FF000000"/>
        <rFont val="Noto Sans CJK SC"/>
        <family val="2"/>
      </rPr>
      <t xml:space="preserve">主要為算力硬件（第 </t>
    </r>
    <r>
      <rPr>
        <sz val="10"/>
        <color rgb="FF000000"/>
        <rFont val="Arial"/>
        <family val="0"/>
        <charset val="1"/>
      </rPr>
      <t xml:space="preserve">279 </t>
    </r>
    <r>
      <rPr>
        <sz val="10"/>
        <color rgb="FF000000"/>
        <rFont val="Noto Sans CJK SC"/>
        <family val="2"/>
      </rPr>
      <t xml:space="preserve">頁「採購大量電子設備（主要由可為我們提供額外算力的算力硬件組成）」）；千元值 </t>
    </r>
    <r>
      <rPr>
        <sz val="10"/>
        <color rgb="FF000000"/>
        <rFont val="Arial"/>
        <family val="0"/>
        <charset val="1"/>
      </rPr>
      <t xml:space="preserve">5,285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</si>
  <si>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SRC_ZP_896</t>
  </si>
  <si>
    <t xml:space="preserve">rou_add_fy22</t>
  </si>
  <si>
    <t xml:space="preserve">使用權資產添置（辦公場所＋電子設備）</t>
  </si>
  <si>
    <r>
      <rPr>
        <sz val="10"/>
        <color rgb="FF000000"/>
        <rFont val="Noto Sans CJK SC"/>
        <family val="2"/>
      </rPr>
      <t xml:space="preserve">附註 </t>
    </r>
    <r>
      <rPr>
        <sz val="10"/>
        <color rgb="FF000000"/>
        <rFont val="Arial"/>
        <family val="0"/>
        <charset val="1"/>
      </rPr>
      <t xml:space="preserve">11(a)</t>
    </r>
    <r>
      <rPr>
        <sz val="10"/>
        <color rgb="FF000000"/>
        <rFont val="Noto Sans CJK SC"/>
        <family val="2"/>
      </rPr>
      <t xml:space="preserve">；</t>
    </r>
    <r>
      <rPr>
        <sz val="10"/>
        <color rgb="FF000000"/>
        <rFont val="Arial"/>
        <family val="0"/>
        <charset val="1"/>
      </rPr>
      <t xml:space="preserve">FY24 </t>
    </r>
    <r>
      <rPr>
        <sz val="10"/>
        <color rgb="FF000000"/>
        <rFont val="Noto Sans CJK SC"/>
        <family val="2"/>
      </rPr>
      <t xml:space="preserve">另由自有轉入 </t>
    </r>
    <r>
      <rPr>
        <sz val="10"/>
        <color rgb="FF000000"/>
        <rFont val="Arial"/>
        <family val="0"/>
        <charset val="1"/>
      </rPr>
      <t xml:space="preserve">205,403</t>
    </r>
    <r>
      <rPr>
        <sz val="10"/>
        <color rgb="FF000000"/>
        <rFont val="Noto Sans CJK SC"/>
        <family val="2"/>
      </rPr>
      <t xml:space="preserve">（售後租回，見 </t>
    </r>
    <r>
      <rPr>
        <sz val="10"/>
        <color rgb="FF000000"/>
        <rFont val="Arial"/>
        <family val="0"/>
        <charset val="1"/>
      </rPr>
      <t xml:space="preserve">ppe_saleleaseback_fy24</t>
    </r>
    <r>
      <rPr>
        <sz val="10"/>
        <color rgb="FF000000"/>
        <rFont val="Noto Sans CJK SC"/>
        <family val="2"/>
      </rPr>
      <t xml:space="preserve">）；千元值 </t>
    </r>
    <r>
      <rPr>
        <sz val="10"/>
        <color rgb="FF000000"/>
        <rFont val="Arial"/>
        <family val="0"/>
        <charset val="1"/>
      </rPr>
      <t xml:space="preserve">23,942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</si>
  <si>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SRC_ZP_897</t>
  </si>
  <si>
    <t xml:space="preserve">rou_add_fy23</t>
  </si>
  <si>
    <r>
      <rPr>
        <sz val="10"/>
        <color rgb="FF000000"/>
        <rFont val="Noto Sans CJK SC"/>
        <family val="2"/>
      </rPr>
      <t xml:space="preserve">附註 </t>
    </r>
    <r>
      <rPr>
        <sz val="10"/>
        <color rgb="FF000000"/>
        <rFont val="Arial"/>
        <family val="0"/>
        <charset val="1"/>
      </rPr>
      <t xml:space="preserve">11(a)</t>
    </r>
    <r>
      <rPr>
        <sz val="10"/>
        <color rgb="FF000000"/>
        <rFont val="Noto Sans CJK SC"/>
        <family val="2"/>
      </rPr>
      <t xml:space="preserve">；</t>
    </r>
    <r>
      <rPr>
        <sz val="10"/>
        <color rgb="FF000000"/>
        <rFont val="Arial"/>
        <family val="0"/>
        <charset val="1"/>
      </rPr>
      <t xml:space="preserve">FY24 </t>
    </r>
    <r>
      <rPr>
        <sz val="10"/>
        <color rgb="FF000000"/>
        <rFont val="Noto Sans CJK SC"/>
        <family val="2"/>
      </rPr>
      <t xml:space="preserve">另由自有轉入 </t>
    </r>
    <r>
      <rPr>
        <sz val="10"/>
        <color rgb="FF000000"/>
        <rFont val="Arial"/>
        <family val="0"/>
        <charset val="1"/>
      </rPr>
      <t xml:space="preserve">205,403</t>
    </r>
    <r>
      <rPr>
        <sz val="10"/>
        <color rgb="FF000000"/>
        <rFont val="Noto Sans CJK SC"/>
        <family val="2"/>
      </rPr>
      <t xml:space="preserve">（售後租回，見 </t>
    </r>
    <r>
      <rPr>
        <sz val="10"/>
        <color rgb="FF000000"/>
        <rFont val="Arial"/>
        <family val="0"/>
        <charset val="1"/>
      </rPr>
      <t xml:space="preserve">ppe_saleleaseback_fy24</t>
    </r>
    <r>
      <rPr>
        <sz val="10"/>
        <color rgb="FF000000"/>
        <rFont val="Noto Sans CJK SC"/>
        <family val="2"/>
      </rPr>
      <t xml:space="preserve">）；千元值 </t>
    </r>
    <r>
      <rPr>
        <sz val="10"/>
        <color rgb="FF000000"/>
        <rFont val="Arial"/>
        <family val="0"/>
        <charset val="1"/>
      </rPr>
      <t xml:space="preserve">294,699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</si>
  <si>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SRC_ZP_898</t>
  </si>
  <si>
    <t xml:space="preserve">rou_add_fy24</t>
  </si>
  <si>
    <r>
      <rPr>
        <sz val="10"/>
        <color rgb="FF000000"/>
        <rFont val="Noto Sans CJK SC"/>
        <family val="2"/>
      </rPr>
      <t xml:space="preserve">附註 </t>
    </r>
    <r>
      <rPr>
        <sz val="10"/>
        <color rgb="FF000000"/>
        <rFont val="Arial"/>
        <family val="0"/>
        <charset val="1"/>
      </rPr>
      <t xml:space="preserve">11(a)</t>
    </r>
    <r>
      <rPr>
        <sz val="10"/>
        <color rgb="FF000000"/>
        <rFont val="Noto Sans CJK SC"/>
        <family val="2"/>
      </rPr>
      <t xml:space="preserve">；</t>
    </r>
    <r>
      <rPr>
        <sz val="10"/>
        <color rgb="FF000000"/>
        <rFont val="Arial"/>
        <family val="0"/>
        <charset val="1"/>
      </rPr>
      <t xml:space="preserve">FY24 </t>
    </r>
    <r>
      <rPr>
        <sz val="10"/>
        <color rgb="FF000000"/>
        <rFont val="Noto Sans CJK SC"/>
        <family val="2"/>
      </rPr>
      <t xml:space="preserve">另由自有轉入 </t>
    </r>
    <r>
      <rPr>
        <sz val="10"/>
        <color rgb="FF000000"/>
        <rFont val="Arial"/>
        <family val="0"/>
        <charset val="1"/>
      </rPr>
      <t xml:space="preserve">205,403</t>
    </r>
    <r>
      <rPr>
        <sz val="10"/>
        <color rgb="FF000000"/>
        <rFont val="Noto Sans CJK SC"/>
        <family val="2"/>
      </rPr>
      <t xml:space="preserve">（售後租回，見 </t>
    </r>
    <r>
      <rPr>
        <sz val="10"/>
        <color rgb="FF000000"/>
        <rFont val="Arial"/>
        <family val="0"/>
        <charset val="1"/>
      </rPr>
      <t xml:space="preserve">ppe_saleleaseback_fy24</t>
    </r>
    <r>
      <rPr>
        <sz val="10"/>
        <color rgb="FF000000"/>
        <rFont val="Noto Sans CJK SC"/>
        <family val="2"/>
      </rPr>
      <t xml:space="preserve">）；千元值 </t>
    </r>
    <r>
      <rPr>
        <sz val="10"/>
        <color rgb="FF000000"/>
        <rFont val="Arial"/>
        <family val="0"/>
        <charset val="1"/>
      </rPr>
      <t xml:space="preserve">337,092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</si>
  <si>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SRC_ZP_899</t>
  </si>
  <si>
    <t xml:space="preserve">rou_add_1h25</t>
  </si>
  <si>
    <r>
      <rPr>
        <sz val="10"/>
        <color rgb="FF000000"/>
        <rFont val="Noto Sans CJK SC"/>
        <family val="2"/>
      </rPr>
      <t xml:space="preserve">附註 </t>
    </r>
    <r>
      <rPr>
        <sz val="10"/>
        <color rgb="FF000000"/>
        <rFont val="Arial"/>
        <family val="0"/>
        <charset val="1"/>
      </rPr>
      <t xml:space="preserve">11(a)</t>
    </r>
    <r>
      <rPr>
        <sz val="10"/>
        <color rgb="FF000000"/>
        <rFont val="Noto Sans CJK SC"/>
        <family val="2"/>
      </rPr>
      <t xml:space="preserve">；</t>
    </r>
    <r>
      <rPr>
        <sz val="10"/>
        <color rgb="FF000000"/>
        <rFont val="Arial"/>
        <family val="0"/>
        <charset val="1"/>
      </rPr>
      <t xml:space="preserve">FY24 </t>
    </r>
    <r>
      <rPr>
        <sz val="10"/>
        <color rgb="FF000000"/>
        <rFont val="Noto Sans CJK SC"/>
        <family val="2"/>
      </rPr>
      <t xml:space="preserve">另由自有轉入 </t>
    </r>
    <r>
      <rPr>
        <sz val="10"/>
        <color rgb="FF000000"/>
        <rFont val="Arial"/>
        <family val="0"/>
        <charset val="1"/>
      </rPr>
      <t xml:space="preserve">205,403</t>
    </r>
    <r>
      <rPr>
        <sz val="10"/>
        <color rgb="FF000000"/>
        <rFont val="Noto Sans CJK SC"/>
        <family val="2"/>
      </rPr>
      <t xml:space="preserve">（售後租回，見 </t>
    </r>
    <r>
      <rPr>
        <sz val="10"/>
        <color rgb="FF000000"/>
        <rFont val="Arial"/>
        <family val="0"/>
        <charset val="1"/>
      </rPr>
      <t xml:space="preserve">ppe_saleleaseback_fy24</t>
    </r>
    <r>
      <rPr>
        <sz val="10"/>
        <color rgb="FF000000"/>
        <rFont val="Noto Sans CJK SC"/>
        <family val="2"/>
      </rPr>
      <t xml:space="preserve">）；千元值 </t>
    </r>
    <r>
      <rPr>
        <sz val="10"/>
        <color rgb="FF000000"/>
        <rFont val="Arial"/>
        <family val="0"/>
        <charset val="1"/>
      </rPr>
      <t xml:space="preserve">34,397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</si>
  <si>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SRC_ZP_900</t>
  </si>
  <si>
    <t xml:space="preserve">ppe_add_total_fy22</t>
  </si>
  <si>
    <t xml:space="preserve">物業及設備添置合計（含使用權資產，權責口徑）</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</si>
  <si>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添置欄合計；年度公告「資本開支」與此加無形資產添置吻合；千元值 </t>
    </r>
    <r>
      <rPr>
        <sz val="10"/>
        <color rgb="FF000000"/>
        <rFont val="Arial"/>
        <family val="0"/>
        <charset val="1"/>
      </rPr>
      <t xml:space="preserve">55,593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</si>
  <si>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SRC_ZP_901</t>
  </si>
  <si>
    <t xml:space="preserve">ppe_add_total_fy23</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</si>
  <si>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添置欄合計；年度公告「資本開支」與此加無形資產添置吻合；千元值 </t>
    </r>
    <r>
      <rPr>
        <sz val="10"/>
        <color rgb="FF000000"/>
        <rFont val="Arial"/>
        <family val="0"/>
        <charset val="1"/>
      </rPr>
      <t xml:space="preserve">814,277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</si>
  <si>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SRC_ZP_902</t>
  </si>
  <si>
    <t xml:space="preserve">ppe_add_total_fy24</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</si>
  <si>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添置欄合計；年度公告「資本開支」與此加無形資產添置吻合；千元值 </t>
    </r>
    <r>
      <rPr>
        <sz val="10"/>
        <color rgb="FF000000"/>
        <rFont val="Arial"/>
        <family val="0"/>
        <charset val="1"/>
      </rPr>
      <t xml:space="preserve">455,545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</si>
  <si>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SRC_ZP_903</t>
  </si>
  <si>
    <t xml:space="preserve">ppe_add_total_1h25</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</si>
  <si>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添置欄合計；年度公告「資本開支」與此加無形資產添置吻合；千元值 </t>
    </r>
    <r>
      <rPr>
        <sz val="10"/>
        <color rgb="FF000000"/>
        <rFont val="Arial"/>
        <family val="0"/>
        <charset val="1"/>
      </rPr>
      <t xml:space="preserve">42,495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</si>
  <si>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SRC_ZP_904</t>
  </si>
  <si>
    <t xml:space="preserve">ppe_saleleaseback_fy24</t>
  </si>
  <si>
    <t xml:space="preserve">電子設備售後租回（融資安排）轉出原值</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</si>
  <si>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附註「與一名第三方達成一項融資安排…轉讓電子設備的合法所有權予該第三方，同時繼續使用該等租賃設備，租期為四年」；轉讓原值 </t>
    </r>
    <r>
      <rPr>
        <sz val="10"/>
        <color rgb="FF000000"/>
        <rFont val="Arial"/>
        <family val="0"/>
        <charset val="1"/>
      </rPr>
      <t xml:space="preserve">224,637 </t>
    </r>
    <r>
      <rPr>
        <sz val="10"/>
        <color rgb="FF000000"/>
        <rFont val="Noto Sans CJK SC"/>
        <family val="2"/>
      </rPr>
      <t xml:space="preserve">千元、轉入使用權資產 </t>
    </r>
    <r>
      <rPr>
        <sz val="10"/>
        <color rgb="FF000000"/>
        <rFont val="Arial"/>
        <family val="0"/>
        <charset val="1"/>
      </rPr>
      <t xml:space="preserve">205,403</t>
    </r>
    <r>
      <rPr>
        <sz val="10"/>
        <color rgb="FF000000"/>
        <rFont val="Noto Sans CJK SC"/>
        <family val="2"/>
      </rPr>
      <t xml:space="preserve">；現金流量表「物業及設備融資所得款項」</t>
    </r>
    <r>
      <rPr>
        <sz val="10"/>
        <color rgb="FF000000"/>
        <rFont val="Arial"/>
        <family val="0"/>
        <charset val="1"/>
      </rPr>
      <t xml:space="preserve">210,680 </t>
    </r>
    <r>
      <rPr>
        <sz val="10"/>
        <color rgb="FF000000"/>
        <rFont val="Noto Sans CJK SC"/>
        <family val="2"/>
      </rPr>
      <t xml:space="preserve">千元（第 </t>
    </r>
    <r>
      <rPr>
        <sz val="10"/>
        <color rgb="FF000000"/>
        <rFont val="Arial"/>
        <family val="0"/>
        <charset val="1"/>
      </rPr>
      <t xml:space="preserve">359 </t>
    </r>
    <r>
      <rPr>
        <sz val="10"/>
        <color rgb="FF000000"/>
        <rFont val="Noto Sans CJK SC"/>
        <family val="2"/>
      </rPr>
      <t xml:space="preserve">頁）；第 </t>
    </r>
    <r>
      <rPr>
        <sz val="10"/>
        <color rgb="FF000000"/>
        <rFont val="Arial"/>
        <family val="0"/>
        <charset val="1"/>
      </rPr>
      <t xml:space="preserve">279 </t>
    </r>
    <r>
      <rPr>
        <sz val="10"/>
        <color rgb="FF000000"/>
        <rFont val="Noto Sans CJK SC"/>
        <family val="2"/>
      </rPr>
      <t xml:space="preserve">頁「將部分電子設備從自有轉向租賃，以提高運營效率」</t>
    </r>
  </si>
  <si>
    <t xml:space="preserve">SRC_ZP_905</t>
  </si>
  <si>
    <t xml:space="preserve">ppe_disposal_proceeds_fy22</t>
  </si>
  <si>
    <t xml:space="preserve">出售物業及設備及無形資產所得款項</t>
  </si>
  <si>
    <r>
      <rPr>
        <sz val="10"/>
        <color rgb="FF000000"/>
        <rFont val="Noto Sans CJK SC"/>
        <family val="2"/>
      </rPr>
      <t xml:space="preserve">綜合現金流量表；</t>
    </r>
    <r>
      <rPr>
        <sz val="10"/>
        <color rgb="FF000000"/>
        <rFont val="Arial"/>
        <family val="0"/>
        <charset val="1"/>
      </rPr>
      <t xml:space="preserve">FY24 </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頁「處置算力硬件等部分電子設備」，</t>
    </r>
    <r>
      <rPr>
        <sz val="10"/>
        <color rgb="FF000000"/>
        <rFont val="Arial"/>
        <family val="0"/>
        <charset val="1"/>
      </rPr>
      <t xml:space="preserve">FY23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</si>
  <si>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SRC_ZP_906</t>
  </si>
  <si>
    <t xml:space="preserve">ppe_disposal_proceeds_fy23</t>
  </si>
  <si>
    <r>
      <rPr>
        <sz val="10"/>
        <color rgb="FF000000"/>
        <rFont val="Noto Sans CJK SC"/>
        <family val="2"/>
      </rPr>
      <t xml:space="preserve">綜合現金流量表；</t>
    </r>
    <r>
      <rPr>
        <sz val="10"/>
        <color rgb="FF000000"/>
        <rFont val="Arial"/>
        <family val="0"/>
        <charset val="1"/>
      </rPr>
      <t xml:space="preserve">FY24 </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頁「處置算力硬件等部分電子設備」，</t>
    </r>
    <r>
      <rPr>
        <sz val="10"/>
        <color rgb="FF000000"/>
        <rFont val="Arial"/>
        <family val="0"/>
        <charset val="1"/>
      </rPr>
      <t xml:space="preserve">FY23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</si>
  <si>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SRC_ZP_907</t>
  </si>
  <si>
    <t xml:space="preserve">ppe_disposal_proceeds_fy24</t>
  </si>
  <si>
    <r>
      <rPr>
        <sz val="10"/>
        <color rgb="FF000000"/>
        <rFont val="Noto Sans CJK SC"/>
        <family val="2"/>
      </rPr>
      <t xml:space="preserve">綜合現金流量表；</t>
    </r>
    <r>
      <rPr>
        <sz val="10"/>
        <color rgb="FF000000"/>
        <rFont val="Arial"/>
        <family val="0"/>
        <charset val="1"/>
      </rPr>
      <t xml:space="preserve">FY24 </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頁「處置算力硬件等部分電子設備」，</t>
    </r>
    <r>
      <rPr>
        <sz val="10"/>
        <color rgb="FF000000"/>
        <rFont val="Arial"/>
        <family val="0"/>
        <charset val="1"/>
      </rPr>
      <t xml:space="preserve">FY23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114,603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</si>
  <si>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SRC_ZP_908</t>
  </si>
  <si>
    <t xml:space="preserve">ppe_disposal_proceeds_1h24</t>
  </si>
  <si>
    <t xml:space="preserve">SRC_ZP_909</t>
  </si>
  <si>
    <t xml:space="preserve">ppe_disposal_proceeds_1h25</t>
  </si>
  <si>
    <r>
      <rPr>
        <sz val="10"/>
        <color rgb="FF000000"/>
        <rFont val="Noto Sans CJK SC"/>
        <family val="2"/>
      </rPr>
      <t xml:space="preserve">綜合現金流量表；</t>
    </r>
    <r>
      <rPr>
        <sz val="10"/>
        <color rgb="FF000000"/>
        <rFont val="Arial"/>
        <family val="0"/>
        <charset val="1"/>
      </rPr>
      <t xml:space="preserve">FY24 </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頁「處置算力硬件等部分電子設備」，</t>
    </r>
    <r>
      <rPr>
        <sz val="10"/>
        <color rgb="FF000000"/>
        <rFont val="Arial"/>
        <family val="0"/>
        <charset val="1"/>
      </rPr>
      <t xml:space="preserve">FY23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</si>
  <si>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SRC_ZP_910</t>
  </si>
  <si>
    <t xml:space="preserve">ppe_total_fy22</t>
  </si>
  <si>
    <t xml:space="preserve">物業及設備（含使用權資產）賬面值</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</si>
  <si>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t>
    </r>
  </si>
  <si>
    <r>
      <rPr>
        <sz val="10"/>
        <color rgb="FF000000"/>
        <rFont val="Noto Sans CJK SC"/>
        <family val="2"/>
      </rPr>
      <t xml:space="preserve">物業及設備明細表（第 </t>
    </r>
    <r>
      <rPr>
        <sz val="10"/>
        <color rgb="FF000000"/>
        <rFont val="Arial"/>
        <family val="0"/>
        <charset val="1"/>
      </rPr>
      <t xml:space="preserve">279 </t>
    </r>
    <r>
      <rPr>
        <sz val="10"/>
        <color rgb="FF000000"/>
        <rFont val="Noto Sans CJK SC"/>
        <family val="2"/>
      </rPr>
      <t xml:space="preserve">頁＝印 </t>
    </r>
    <r>
      <rPr>
        <sz val="10"/>
        <color rgb="FF000000"/>
        <rFont val="Arial"/>
        <family val="0"/>
        <charset val="1"/>
      </rPr>
      <t xml:space="preserve">270</t>
    </r>
    <r>
      <rPr>
        <sz val="10"/>
        <color rgb="FF000000"/>
        <rFont val="Noto Sans CJK SC"/>
        <family val="2"/>
      </rPr>
      <t xml:space="preserve">）；千元值 </t>
    </r>
    <r>
      <rPr>
        <sz val="10"/>
        <color rgb="FF000000"/>
        <rFont val="Arial"/>
        <family val="0"/>
        <charset val="1"/>
      </rPr>
      <t xml:space="preserve">41,418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</si>
  <si>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SRC_ZP_911</t>
  </si>
  <si>
    <t xml:space="preserve">ppe_total_fy23</t>
  </si>
  <si>
    <r>
      <rPr>
        <sz val="10"/>
        <color rgb="FF000000"/>
        <rFont val="Noto Sans CJK SC"/>
        <family val="2"/>
      </rPr>
      <t xml:space="preserve">物業及設備明細表（第 </t>
    </r>
    <r>
      <rPr>
        <sz val="10"/>
        <color rgb="FF000000"/>
        <rFont val="Arial"/>
        <family val="0"/>
        <charset val="1"/>
      </rPr>
      <t xml:space="preserve">279 </t>
    </r>
    <r>
      <rPr>
        <sz val="10"/>
        <color rgb="FF000000"/>
        <rFont val="Noto Sans CJK SC"/>
        <family val="2"/>
      </rPr>
      <t xml:space="preserve">頁＝印 </t>
    </r>
    <r>
      <rPr>
        <sz val="10"/>
        <color rgb="FF000000"/>
        <rFont val="Arial"/>
        <family val="0"/>
        <charset val="1"/>
      </rPr>
      <t xml:space="preserve">270</t>
    </r>
    <r>
      <rPr>
        <sz val="10"/>
        <color rgb="FF000000"/>
        <rFont val="Noto Sans CJK SC"/>
        <family val="2"/>
      </rPr>
      <t xml:space="preserve">）；千元值 </t>
    </r>
    <r>
      <rPr>
        <sz val="10"/>
        <color rgb="FF000000"/>
        <rFont val="Arial"/>
        <family val="0"/>
        <charset val="1"/>
      </rPr>
      <t xml:space="preserve">787,537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</si>
  <si>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SRC_ZP_912</t>
  </si>
  <si>
    <t xml:space="preserve">ppe_total_fy24</t>
  </si>
  <si>
    <r>
      <rPr>
        <sz val="10"/>
        <color rgb="FF000000"/>
        <rFont val="Noto Sans CJK SC"/>
        <family val="2"/>
      </rPr>
      <t xml:space="preserve">物業及設備明細表（第 </t>
    </r>
    <r>
      <rPr>
        <sz val="10"/>
        <color rgb="FF000000"/>
        <rFont val="Arial"/>
        <family val="0"/>
        <charset val="1"/>
      </rPr>
      <t xml:space="preserve">279 </t>
    </r>
    <r>
      <rPr>
        <sz val="10"/>
        <color rgb="FF000000"/>
        <rFont val="Noto Sans CJK SC"/>
        <family val="2"/>
      </rPr>
      <t xml:space="preserve">頁＝印 </t>
    </r>
    <r>
      <rPr>
        <sz val="10"/>
        <color rgb="FF000000"/>
        <rFont val="Arial"/>
        <family val="0"/>
        <charset val="1"/>
      </rPr>
      <t xml:space="preserve">270</t>
    </r>
    <r>
      <rPr>
        <sz val="10"/>
        <color rgb="FF000000"/>
        <rFont val="Noto Sans CJK SC"/>
        <family val="2"/>
      </rPr>
      <t xml:space="preserve">）；千元值 </t>
    </r>
    <r>
      <rPr>
        <sz val="10"/>
        <color rgb="FF000000"/>
        <rFont val="Arial"/>
        <family val="0"/>
        <charset val="1"/>
      </rPr>
      <t xml:space="preserve">866,363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</si>
  <si>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SRC_ZP_913</t>
  </si>
  <si>
    <t xml:space="preserve">ppe_total_1h25</t>
  </si>
  <si>
    <r>
      <rPr>
        <sz val="10"/>
        <color rgb="FF000000"/>
        <rFont val="Noto Sans CJK SC"/>
        <family val="2"/>
      </rPr>
      <t xml:space="preserve">物業及設備明細表（第 </t>
    </r>
    <r>
      <rPr>
        <sz val="10"/>
        <color rgb="FF000000"/>
        <rFont val="Arial"/>
        <family val="0"/>
        <charset val="1"/>
      </rPr>
      <t xml:space="preserve">279 </t>
    </r>
    <r>
      <rPr>
        <sz val="10"/>
        <color rgb="FF000000"/>
        <rFont val="Noto Sans CJK SC"/>
        <family val="2"/>
      </rPr>
      <t xml:space="preserve">頁＝印 </t>
    </r>
    <r>
      <rPr>
        <sz val="10"/>
        <color rgb="FF000000"/>
        <rFont val="Arial"/>
        <family val="0"/>
        <charset val="1"/>
      </rPr>
      <t xml:space="preserve">270</t>
    </r>
    <r>
      <rPr>
        <sz val="10"/>
        <color rgb="FF000000"/>
        <rFont val="Noto Sans CJK SC"/>
        <family val="2"/>
      </rPr>
      <t xml:space="preserve">）；千元值 </t>
    </r>
    <r>
      <rPr>
        <sz val="10"/>
        <color rgb="FF000000"/>
        <rFont val="Arial"/>
        <family val="0"/>
        <charset val="1"/>
      </rPr>
      <t xml:space="preserve">772,619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</si>
  <si>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SRC_ZP_914</t>
  </si>
  <si>
    <t xml:space="preserve">ppe_equip_nbv_fy22</t>
  </si>
  <si>
    <t xml:space="preserve">電子設備及其他（自有）賬面值</t>
  </si>
  <si>
    <r>
      <rPr>
        <sz val="10"/>
        <color rgb="FF000000"/>
        <rFont val="Noto Sans CJK SC"/>
        <family val="2"/>
      </rPr>
      <t xml:space="preserve">物業及設備明細表「電子設備及其他」；千元值 </t>
    </r>
    <r>
      <rPr>
        <sz val="10"/>
        <color rgb="FF000000"/>
        <rFont val="Arial"/>
        <family val="0"/>
        <charset val="1"/>
      </rPr>
      <t xml:space="preserve">29,447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</si>
  <si>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SRC_ZP_915</t>
  </si>
  <si>
    <t xml:space="preserve">ppe_equip_nbv_fy23</t>
  </si>
  <si>
    <r>
      <rPr>
        <sz val="10"/>
        <color rgb="FF000000"/>
        <rFont val="Noto Sans CJK SC"/>
        <family val="2"/>
      </rPr>
      <t xml:space="preserve">物業及設備明細表「電子設備及其他」；千元值 </t>
    </r>
    <r>
      <rPr>
        <sz val="10"/>
        <color rgb="FF000000"/>
        <rFont val="Arial"/>
        <family val="0"/>
        <charset val="1"/>
      </rPr>
      <t xml:space="preserve">511,348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</si>
  <si>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SRC_ZP_916</t>
  </si>
  <si>
    <t xml:space="preserve">ppe_equip_nbv_fy24</t>
  </si>
  <si>
    <r>
      <rPr>
        <sz val="10"/>
        <color rgb="FF000000"/>
        <rFont val="Noto Sans CJK SC"/>
        <family val="2"/>
      </rPr>
      <t xml:space="preserve">物業及設備明細表「電子設備及其他」；千元值 </t>
    </r>
    <r>
      <rPr>
        <sz val="10"/>
        <color rgb="FF000000"/>
        <rFont val="Arial"/>
        <family val="0"/>
        <charset val="1"/>
      </rPr>
      <t xml:space="preserve">228,130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</si>
  <si>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SRC_ZP_917</t>
  </si>
  <si>
    <t xml:space="preserve">ppe_equip_nbv_1h25</t>
  </si>
  <si>
    <r>
      <rPr>
        <sz val="10"/>
        <color rgb="FF000000"/>
        <rFont val="Noto Sans CJK SC"/>
        <family val="2"/>
      </rPr>
      <t xml:space="preserve">物業及設備明細表「電子設備及其他」；千元值 </t>
    </r>
    <r>
      <rPr>
        <sz val="10"/>
        <color rgb="FF000000"/>
        <rFont val="Arial"/>
        <family val="0"/>
        <charset val="1"/>
      </rPr>
      <t xml:space="preserve">202,690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</si>
  <si>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SRC_ZP_918</t>
  </si>
  <si>
    <t xml:space="preserve">rou_total_fy22</t>
  </si>
  <si>
    <t xml:space="preserve">使用權資產賬面值</t>
  </si>
  <si>
    <r>
      <rPr>
        <sz val="10"/>
        <color rgb="FF000000"/>
        <rFont val="Noto Sans CJK SC"/>
        <family val="2"/>
      </rPr>
      <t xml:space="preserve">物業及設備明細表「使用權資產」；千元值 </t>
    </r>
    <r>
      <rPr>
        <sz val="10"/>
        <color rgb="FF000000"/>
        <rFont val="Arial"/>
        <family val="0"/>
        <charset val="1"/>
      </rPr>
      <t xml:space="preserve">11,971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</si>
  <si>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SRC_ZP_919</t>
  </si>
  <si>
    <t xml:space="preserve">rou_total_fy23</t>
  </si>
  <si>
    <r>
      <rPr>
        <sz val="10"/>
        <color rgb="FF000000"/>
        <rFont val="Noto Sans CJK SC"/>
        <family val="2"/>
      </rPr>
      <t xml:space="preserve">物業及設備明細表「使用權資產」；千元值 </t>
    </r>
    <r>
      <rPr>
        <sz val="10"/>
        <color rgb="FF000000"/>
        <rFont val="Arial"/>
        <family val="0"/>
        <charset val="1"/>
      </rPr>
      <t xml:space="preserve">257,582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</si>
  <si>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SRC_ZP_920</t>
  </si>
  <si>
    <t xml:space="preserve">rou_total_fy24</t>
  </si>
  <si>
    <r>
      <rPr>
        <sz val="10"/>
        <color rgb="FF000000"/>
        <rFont val="Noto Sans CJK SC"/>
        <family val="2"/>
      </rPr>
      <t xml:space="preserve">物業及設備明細表「使用權資產」；千元值 </t>
    </r>
    <r>
      <rPr>
        <sz val="10"/>
        <color rgb="FF000000"/>
        <rFont val="Arial"/>
        <family val="0"/>
        <charset val="1"/>
      </rPr>
      <t xml:space="preserve">623,825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</si>
  <si>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SRC_ZP_921</t>
  </si>
  <si>
    <t xml:space="preserve">rou_total_1h25</t>
  </si>
  <si>
    <r>
      <rPr>
        <sz val="10"/>
        <color rgb="FF000000"/>
        <rFont val="Noto Sans CJK SC"/>
        <family val="2"/>
      </rPr>
      <t xml:space="preserve">物業及設備明細表「使用權資產」；千元值 </t>
    </r>
    <r>
      <rPr>
        <sz val="10"/>
        <color rgb="FF000000"/>
        <rFont val="Arial"/>
        <family val="0"/>
        <charset val="1"/>
      </rPr>
      <t xml:space="preserve">555,302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</si>
  <si>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SRC_ZP_922</t>
  </si>
  <si>
    <t xml:space="preserve">rou_equip_fy22</t>
  </si>
  <si>
    <t xml:space="preserve">使用權資產：電子設備（租賃算力硬件）賬面值</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</si>
  <si>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</si>
  <si>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頁＝印 </t>
    </r>
    <r>
      <rPr>
        <sz val="10"/>
        <color rgb="FF000000"/>
        <rFont val="Arial"/>
        <family val="0"/>
        <charset val="1"/>
      </rPr>
      <t xml:space="preserve">I-47</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</si>
  <si>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SRC_ZP_923</t>
  </si>
  <si>
    <t xml:space="preserve">rou_equip_fy23</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</si>
  <si>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頁＝印 </t>
    </r>
    <r>
      <rPr>
        <sz val="10"/>
        <color rgb="FF000000"/>
        <rFont val="Arial"/>
        <family val="0"/>
        <charset val="1"/>
      </rPr>
      <t xml:space="preserve">I-47</t>
    </r>
    <r>
      <rPr>
        <sz val="10"/>
        <color rgb="FF000000"/>
        <rFont val="Noto Sans CJK SC"/>
        <family val="2"/>
      </rPr>
      <t xml:space="preserve">）；千元值 </t>
    </r>
    <r>
      <rPr>
        <sz val="10"/>
        <color rgb="FF000000"/>
        <rFont val="Arial"/>
        <family val="0"/>
        <charset val="1"/>
      </rPr>
      <t xml:space="preserve">84,615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</si>
  <si>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SRC_ZP_924</t>
  </si>
  <si>
    <t xml:space="preserve">rou_equip_fy24</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</si>
  <si>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頁＝印 </t>
    </r>
    <r>
      <rPr>
        <sz val="10"/>
        <color rgb="FF000000"/>
        <rFont val="Arial"/>
        <family val="0"/>
        <charset val="1"/>
      </rPr>
      <t xml:space="preserve">I-47</t>
    </r>
    <r>
      <rPr>
        <sz val="10"/>
        <color rgb="FF000000"/>
        <rFont val="Noto Sans CJK SC"/>
        <family val="2"/>
      </rPr>
      <t xml:space="preserve">）；千元值 </t>
    </r>
    <r>
      <rPr>
        <sz val="10"/>
        <color rgb="FF000000"/>
        <rFont val="Arial"/>
        <family val="0"/>
        <charset val="1"/>
      </rPr>
      <t xml:space="preserve">483,737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</si>
  <si>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SRC_ZP_925</t>
  </si>
  <si>
    <t xml:space="preserve">rou_equip_1h25</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</si>
  <si>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頁＝印 </t>
    </r>
    <r>
      <rPr>
        <sz val="10"/>
        <color rgb="FF000000"/>
        <rFont val="Arial"/>
        <family val="0"/>
        <charset val="1"/>
      </rPr>
      <t xml:space="preserve">I-47</t>
    </r>
    <r>
      <rPr>
        <sz val="10"/>
        <color rgb="FF000000"/>
        <rFont val="Noto Sans CJK SC"/>
        <family val="2"/>
      </rPr>
      <t xml:space="preserve">）；千元值 </t>
    </r>
    <r>
      <rPr>
        <sz val="10"/>
        <color rgb="FF000000"/>
        <rFont val="Arial"/>
        <family val="0"/>
        <charset val="1"/>
      </rPr>
      <t xml:space="preserve">403,766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</si>
  <si>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SRC_ZP_926</t>
  </si>
  <si>
    <t xml:space="preserve">rou_office_fy22</t>
  </si>
  <si>
    <t xml:space="preserve">使用權資產：辦公場所賬面值</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</si>
  <si>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；千元值 </t>
    </r>
    <r>
      <rPr>
        <sz val="10"/>
        <color rgb="FF000000"/>
        <rFont val="Arial"/>
        <family val="0"/>
        <charset val="1"/>
      </rPr>
      <t xml:space="preserve">11,971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</si>
  <si>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SRC_ZP_927</t>
  </si>
  <si>
    <t xml:space="preserve">rou_office_fy23</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</si>
  <si>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；千元值 </t>
    </r>
    <r>
      <rPr>
        <sz val="10"/>
        <color rgb="FF000000"/>
        <rFont val="Arial"/>
        <family val="0"/>
        <charset val="1"/>
      </rPr>
      <t xml:space="preserve">172,967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</si>
  <si>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SRC_ZP_928</t>
  </si>
  <si>
    <t xml:space="preserve">rou_office_fy24</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</si>
  <si>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；千元值 </t>
    </r>
    <r>
      <rPr>
        <sz val="10"/>
        <color rgb="FF000000"/>
        <rFont val="Arial"/>
        <family val="0"/>
        <charset val="1"/>
      </rPr>
      <t xml:space="preserve">140,088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</si>
  <si>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SRC_ZP_929</t>
  </si>
  <si>
    <t xml:space="preserve">rou_office_1h25</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</si>
  <si>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；千元值 </t>
    </r>
    <r>
      <rPr>
        <sz val="10"/>
        <color rgb="FF000000"/>
        <rFont val="Arial"/>
        <family val="0"/>
        <charset val="1"/>
      </rPr>
      <t xml:space="preserve">151,536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</si>
  <si>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SRC_ZP_930</t>
  </si>
  <si>
    <t xml:space="preserve">dep_ppe_fy22</t>
  </si>
  <si>
    <t xml:space="preserve">物業及設備折舊（計入損益）</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</si>
  <si>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357 </t>
    </r>
    <r>
      <rPr>
        <sz val="10"/>
        <color rgb="FF000000"/>
        <rFont val="Noto Sans CJK SC"/>
        <family val="2"/>
      </rPr>
      <t xml:space="preserve">頁</t>
    </r>
  </si>
  <si>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16,567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</si>
  <si>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SRC_ZP_931</t>
  </si>
  <si>
    <t xml:space="preserve">dep_ppe_fy23</t>
  </si>
  <si>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63,822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</si>
  <si>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SRC_ZP_932</t>
  </si>
  <si>
    <t xml:space="preserve">dep_ppe_fy24</t>
  </si>
  <si>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270,252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</si>
  <si>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SRC_ZP_933</t>
  </si>
  <si>
    <t xml:space="preserve">dep_ppe_1h24</t>
  </si>
  <si>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131,105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</si>
  <si>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SRC_ZP_934</t>
  </si>
  <si>
    <t xml:space="preserve">dep_ppe_1h25</t>
  </si>
  <si>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132,908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</si>
  <si>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SRC_ZP_935</t>
  </si>
  <si>
    <t xml:space="preserve">dep_rou_equip_fy22</t>
  </si>
  <si>
    <t xml:space="preserve">使用權資產（電子設備）折舊</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</si>
  <si>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</si>
  <si>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SRC_ZP_936</t>
  </si>
  <si>
    <t xml:space="preserve">dep_rou_equip_fy23</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</si>
  <si>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3,542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</si>
  <si>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SRC_ZP_937</t>
  </si>
  <si>
    <t xml:space="preserve">dep_rou_equip_fy24</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</si>
  <si>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133,444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</si>
  <si>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SRC_ZP_938</t>
  </si>
  <si>
    <t xml:space="preserve">dep_rou_equip_1h24</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</si>
  <si>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53,032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</si>
  <si>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SRC_ZP_939</t>
  </si>
  <si>
    <t xml:space="preserve">dep_rou_equip_1h25</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</si>
  <si>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79,970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</si>
  <si>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SRC_ZP_940</t>
  </si>
  <si>
    <t xml:space="preserve">dep_owned_equip_fy22</t>
  </si>
  <si>
    <t xml:space="preserve">自有電子設備及其他折舊</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</si>
  <si>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年內支出欄；千元值 </t>
    </r>
    <r>
      <rPr>
        <sz val="10"/>
        <color rgb="FF000000"/>
        <rFont val="Arial"/>
        <family val="0"/>
        <charset val="1"/>
      </rPr>
      <t xml:space="preserve">4,596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</si>
  <si>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SRC_ZP_941</t>
  </si>
  <si>
    <t xml:space="preserve">dep_owned_equip_fy23</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</si>
  <si>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年內支出欄；千元值 </t>
    </r>
    <r>
      <rPr>
        <sz val="10"/>
        <color rgb="FF000000"/>
        <rFont val="Arial"/>
        <family val="0"/>
        <charset val="1"/>
      </rPr>
      <t xml:space="preserve">18,745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</si>
  <si>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SRC_ZP_942</t>
  </si>
  <si>
    <t xml:space="preserve">dep_owned_equip_fy24</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</si>
  <si>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年內支出欄；千元值 </t>
    </r>
    <r>
      <rPr>
        <sz val="10"/>
        <color rgb="FF000000"/>
        <rFont val="Arial"/>
        <family val="0"/>
        <charset val="1"/>
      </rPr>
      <t xml:space="preserve">88,949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</si>
  <si>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SRC_ZP_943</t>
  </si>
  <si>
    <t xml:space="preserve">dep_owned_equip_1h25</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</si>
  <si>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年內支出欄；千元值 </t>
    </r>
    <r>
      <rPr>
        <sz val="10"/>
        <color rgb="FF000000"/>
        <rFont val="Arial"/>
        <family val="0"/>
        <charset val="1"/>
      </rPr>
      <t xml:space="preserve">30,705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</si>
  <si>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SRC_ZP_944</t>
  </si>
  <si>
    <t xml:space="preserve">fcf_fin_fy22</t>
  </si>
  <si>
    <t xml:space="preserve">融資活動所得現金淨額</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</si>
  <si>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289 </t>
    </r>
    <r>
      <rPr>
        <sz val="10"/>
        <color rgb="FF000000"/>
        <rFont val="Noto Sans CJK SC"/>
        <family val="2"/>
      </rPr>
      <t xml:space="preserve">頁</t>
    </r>
  </si>
  <si>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191,196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</si>
  <si>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SRC_ZP_945</t>
  </si>
  <si>
    <t xml:space="preserve">fcf_fin_fy23</t>
  </si>
  <si>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2,463,043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</si>
  <si>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SRC_ZP_946</t>
  </si>
  <si>
    <t xml:space="preserve">fcf_fin_fy24</t>
  </si>
  <si>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3,312,073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</si>
  <si>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SRC_ZP_947</t>
  </si>
  <si>
    <t xml:space="preserve">fcf_fin_1h24</t>
  </si>
  <si>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816,341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</si>
  <si>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SRC_ZP_948</t>
  </si>
  <si>
    <t xml:space="preserve">fcf_fin_1h25</t>
  </si>
  <si>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2,165,110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</si>
  <si>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SRC_ZP_949</t>
  </si>
  <si>
    <t xml:space="preserve">ocf_p_fy22</t>
  </si>
  <si>
    <r>
      <rPr>
        <sz val="10"/>
        <color rgb="FF000000"/>
        <rFont val="Noto Sans CJK SC"/>
        <family val="2"/>
      </rPr>
      <t xml:space="preserve">綜合現金流量表概要；頁碼補正，值相同；千元值 </t>
    </r>
    <r>
      <rPr>
        <sz val="10"/>
        <color rgb="FF000000"/>
        <rFont val="Arial"/>
        <family val="0"/>
        <charset val="1"/>
      </rPr>
      <t xml:space="preserve">-68,246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</si>
  <si>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SRC_ZP_950</t>
  </si>
  <si>
    <t xml:space="preserve">ocf_p_fy23</t>
  </si>
  <si>
    <r>
      <rPr>
        <sz val="10"/>
        <color rgb="FF000000"/>
        <rFont val="Noto Sans CJK SC"/>
        <family val="2"/>
      </rPr>
      <t xml:space="preserve">綜合現金流量表概要；頁碼補正，值相同；千元值 </t>
    </r>
    <r>
      <rPr>
        <sz val="10"/>
        <color rgb="FF000000"/>
        <rFont val="Arial"/>
        <family val="0"/>
        <charset val="1"/>
      </rPr>
      <t xml:space="preserve">-648,017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</si>
  <si>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SRC_ZP_951</t>
  </si>
  <si>
    <t xml:space="preserve">ocf_p_fy24</t>
  </si>
  <si>
    <r>
      <rPr>
        <sz val="10"/>
        <color rgb="FF000000"/>
        <rFont val="Noto Sans CJK SC"/>
        <family val="2"/>
      </rPr>
      <t xml:space="preserve">綜合現金流量表概要；頁碼補正，值相同；千元值 </t>
    </r>
    <r>
      <rPr>
        <sz val="10"/>
        <color rgb="FF000000"/>
        <rFont val="Arial"/>
        <family val="0"/>
        <charset val="1"/>
      </rPr>
      <t xml:space="preserve">-2,244,919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</si>
  <si>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SRC_ZP_952</t>
  </si>
  <si>
    <t xml:space="preserve">ocf_p_1h24</t>
  </si>
  <si>
    <r>
      <rPr>
        <sz val="10"/>
        <color rgb="FF000000"/>
        <rFont val="Noto Sans CJK SC"/>
        <family val="2"/>
      </rPr>
      <t xml:space="preserve">綜合現金流量表概要；頁碼補正，值相同；千元值 </t>
    </r>
    <r>
      <rPr>
        <sz val="10"/>
        <color rgb="FF000000"/>
        <rFont val="Arial"/>
        <family val="0"/>
        <charset val="1"/>
      </rPr>
      <t xml:space="preserve">-994,678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</si>
  <si>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SRC_ZP_953</t>
  </si>
  <si>
    <t xml:space="preserve">ocf_p_1h25</t>
  </si>
  <si>
    <r>
      <rPr>
        <sz val="10"/>
        <color rgb="FF000000"/>
        <rFont val="Noto Sans CJK SC"/>
        <family val="2"/>
      </rPr>
      <t xml:space="preserve">綜合現金流量表概要；頁碼補正，值相同；千元值 </t>
    </r>
    <r>
      <rPr>
        <sz val="10"/>
        <color rgb="FF000000"/>
        <rFont val="Arial"/>
        <family val="0"/>
        <charset val="1"/>
      </rPr>
      <t xml:space="preserve">-1,327,150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</si>
  <si>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SRC_ZP_954</t>
  </si>
  <si>
    <t xml:space="preserve">icf_p_fy22</t>
  </si>
  <si>
    <r>
      <rPr>
        <sz val="10"/>
        <color rgb="FF000000"/>
        <rFont val="Noto Sans CJK SC"/>
        <family val="2"/>
      </rPr>
      <t xml:space="preserve">綜合現金流量表概要；頁碼補正，值相同；千元值 </t>
    </r>
    <r>
      <rPr>
        <sz val="10"/>
        <color rgb="FF000000"/>
        <rFont val="Arial"/>
        <family val="0"/>
        <charset val="1"/>
      </rPr>
      <t xml:space="preserve">32,921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</si>
  <si>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SRC_ZP_955</t>
  </si>
  <si>
    <t xml:space="preserve">icf_p_fy23</t>
  </si>
  <si>
    <r>
      <rPr>
        <sz val="10"/>
        <color rgb="FF000000"/>
        <rFont val="Noto Sans CJK SC"/>
        <family val="2"/>
      </rPr>
      <t xml:space="preserve">綜合現金流量表概要；頁碼補正，值相同；千元值 </t>
    </r>
    <r>
      <rPr>
        <sz val="10"/>
        <color rgb="FF000000"/>
        <rFont val="Arial"/>
        <family val="0"/>
        <charset val="1"/>
      </rPr>
      <t xml:space="preserve">-784,965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</si>
  <si>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SRC_ZP_956</t>
  </si>
  <si>
    <t xml:space="preserve">icf_p_fy24</t>
  </si>
  <si>
    <r>
      <rPr>
        <sz val="10"/>
        <color rgb="FF000000"/>
        <rFont val="Noto Sans CJK SC"/>
        <family val="2"/>
      </rPr>
      <t xml:space="preserve">綜合現金流量表概要；頁碼補正，值相同；千元值 </t>
    </r>
    <r>
      <rPr>
        <sz val="10"/>
        <color rgb="FF000000"/>
        <rFont val="Arial"/>
        <family val="0"/>
        <charset val="1"/>
      </rPr>
      <t xml:space="preserve">-48,559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</si>
  <si>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SRC_ZP_957</t>
  </si>
  <si>
    <t xml:space="preserve">icf_p_1h24</t>
  </si>
  <si>
    <r>
      <rPr>
        <sz val="10"/>
        <color rgb="FF000000"/>
        <rFont val="Noto Sans CJK SC"/>
        <family val="2"/>
      </rPr>
      <t xml:space="preserve">綜合現金流量表概要；頁碼補正，值相同；千元值 </t>
    </r>
    <r>
      <rPr>
        <sz val="10"/>
        <color rgb="FF000000"/>
        <rFont val="Arial"/>
        <family val="0"/>
        <charset val="1"/>
      </rPr>
      <t xml:space="preserve">-138,775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</si>
  <si>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SRC_ZP_958</t>
  </si>
  <si>
    <t xml:space="preserve">icf_p_1h25</t>
  </si>
  <si>
    <r>
      <rPr>
        <sz val="10"/>
        <color rgb="FF000000"/>
        <rFont val="Noto Sans CJK SC"/>
        <family val="2"/>
      </rPr>
      <t xml:space="preserve">綜合現金流量表概要；頁碼補正，值相同；千元值 </t>
    </r>
    <r>
      <rPr>
        <sz val="10"/>
        <color rgb="FF000000"/>
        <rFont val="Arial"/>
        <family val="0"/>
        <charset val="1"/>
      </rPr>
      <t xml:space="preserve">-556,373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</si>
  <si>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SRC_ZP_959</t>
  </si>
  <si>
    <t xml:space="preserve">cash_end_p_fy22</t>
  </si>
  <si>
    <r>
      <rPr>
        <sz val="10"/>
        <color rgb="FF000000"/>
        <rFont val="Noto Sans CJK SC"/>
        <family val="2"/>
      </rPr>
      <t xml:space="preserve">綜合現金流量表概要；頁碼補正，值相同；千元值 </t>
    </r>
    <r>
      <rPr>
        <sz val="10"/>
        <color rgb="FF000000"/>
        <rFont val="Arial"/>
        <family val="0"/>
        <charset val="1"/>
      </rPr>
      <t xml:space="preserve">218,928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</si>
  <si>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SRC_ZP_960</t>
  </si>
  <si>
    <t xml:space="preserve">cash_end_p_fy23</t>
  </si>
  <si>
    <r>
      <rPr>
        <sz val="10"/>
        <color rgb="FF000000"/>
        <rFont val="Noto Sans CJK SC"/>
        <family val="2"/>
      </rPr>
      <t xml:space="preserve">綜合現金流量表概要；頁碼補正，值相同；千元值 </t>
    </r>
    <r>
      <rPr>
        <sz val="10"/>
        <color rgb="FF000000"/>
        <rFont val="Arial"/>
        <family val="0"/>
        <charset val="1"/>
      </rPr>
      <t xml:space="preserve">1,249,175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</si>
  <si>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SRC_ZP_961</t>
  </si>
  <si>
    <t xml:space="preserve">cash_end_p_fy24</t>
  </si>
  <si>
    <r>
      <rPr>
        <sz val="10"/>
        <color rgb="FF000000"/>
        <rFont val="Noto Sans CJK SC"/>
        <family val="2"/>
      </rPr>
      <t xml:space="preserve">綜合現金流量表概要；頁碼補正，值相同；千元值 </t>
    </r>
    <r>
      <rPr>
        <sz val="10"/>
        <color rgb="FF000000"/>
        <rFont val="Arial"/>
        <family val="0"/>
        <charset val="1"/>
      </rPr>
      <t xml:space="preserve">2,268,164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換算成億；；與 </t>
    </r>
    <r>
      <rPr>
        <sz val="10"/>
        <color rgb="FF000000"/>
        <rFont val="Arial"/>
        <family val="0"/>
        <charset val="1"/>
      </rPr>
      <t xml:space="preserve">SRC_ZP_152</t>
    </r>
    <r>
      <rPr>
        <sz val="10"/>
        <color rgb="FF000000"/>
        <rFont val="Noto Sans CJK SC"/>
        <family val="2"/>
      </rPr>
      <t xml:space="preserve">（</t>
    </r>
    <r>
      <rPr>
        <sz val="10"/>
        <color rgb="FF000000"/>
        <rFont val="Arial"/>
        <family val="0"/>
        <charset val="1"/>
      </rPr>
      <t xml:space="preserve">2,269,222</t>
    </r>
    <r>
      <rPr>
        <sz val="10"/>
        <color rgb="FF000000"/>
        <rFont val="Noto Sans CJK SC"/>
        <family val="2"/>
      </rPr>
      <t xml:space="preserve">）差 </t>
    </r>
    <r>
      <rPr>
        <sz val="10"/>
        <color rgb="FF000000"/>
        <rFont val="Arial"/>
        <family val="0"/>
        <charset val="1"/>
      </rPr>
      <t xml:space="preserve">1,058 </t>
    </r>
    <r>
      <rPr>
        <sz val="10"/>
        <color rgb="FF000000"/>
        <rFont val="Noto Sans CJK SC"/>
        <family val="2"/>
      </rPr>
      <t xml:space="preserve">千元＝受限制現金（附註 </t>
    </r>
    <r>
      <rPr>
        <sz val="10"/>
        <color rgb="FF000000"/>
        <rFont val="Arial"/>
        <family val="0"/>
        <charset val="1"/>
      </rPr>
      <t xml:space="preserve">21(a)</t>
    </r>
    <r>
      <rPr>
        <sz val="10"/>
        <color rgb="FF000000"/>
        <rFont val="Noto Sans CJK SC"/>
        <family val="2"/>
      </rPr>
      <t xml:space="preserve">），差異已解</t>
    </r>
  </si>
  <si>
    <t xml:space="preserve">SRC_ZP_962</t>
  </si>
  <si>
    <t xml:space="preserve">cash_end_p_1h24</t>
  </si>
  <si>
    <r>
      <rPr>
        <sz val="10"/>
        <color rgb="FF000000"/>
        <rFont val="Noto Sans CJK SC"/>
        <family val="2"/>
      </rPr>
      <t xml:space="preserve">綜合現金流量表概要；頁碼補正，值相同；千元值 </t>
    </r>
    <r>
      <rPr>
        <sz val="10"/>
        <color rgb="FF000000"/>
        <rFont val="Arial"/>
        <family val="0"/>
        <charset val="1"/>
      </rPr>
      <t xml:space="preserve">932,066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</si>
  <si>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SRC_ZP_963</t>
  </si>
  <si>
    <t xml:space="preserve">cash_end_p_1h25</t>
  </si>
  <si>
    <r>
      <rPr>
        <sz val="10"/>
        <color rgb="FF000000"/>
        <rFont val="Noto Sans CJK SC"/>
        <family val="2"/>
      </rPr>
      <t xml:space="preserve">綜合現金流量表概要；頁碼補正，值相同；千元值 </t>
    </r>
    <r>
      <rPr>
        <sz val="10"/>
        <color rgb="FF000000"/>
        <rFont val="Arial"/>
        <family val="0"/>
        <charset val="1"/>
      </rPr>
      <t xml:space="preserve">2,551,970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</si>
  <si>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SRC_ZP_964</t>
  </si>
  <si>
    <t xml:space="preserve">proceeds_investor_instr_fy22</t>
  </si>
  <si>
    <t xml:space="preserve">向投資者發行金融工具所得款項</t>
  </si>
  <si>
    <r>
      <rPr>
        <sz val="10"/>
        <color rgb="FF000000"/>
        <rFont val="Noto Sans CJK SC"/>
        <family val="2"/>
      </rPr>
      <t xml:space="preserve">綜合現金流量表融資活動；千元值 </t>
    </r>
    <r>
      <rPr>
        <sz val="10"/>
        <color rgb="FF000000"/>
        <rFont val="Arial"/>
        <family val="0"/>
        <charset val="1"/>
      </rPr>
      <t xml:space="preserve">208,000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</si>
  <si>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SRC_ZP_965</t>
  </si>
  <si>
    <t xml:space="preserve">proceeds_investor_instr_fy23</t>
  </si>
  <si>
    <r>
      <rPr>
        <sz val="10"/>
        <color rgb="FF000000"/>
        <rFont val="Noto Sans CJK SC"/>
        <family val="2"/>
      </rPr>
      <t xml:space="preserve">綜合現金流量表融資活動；千元值 </t>
    </r>
    <r>
      <rPr>
        <sz val="10"/>
        <color rgb="FF000000"/>
        <rFont val="Arial"/>
        <family val="0"/>
        <charset val="1"/>
      </rPr>
      <t xml:space="preserve">2,419,038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</si>
  <si>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SRC_ZP_966</t>
  </si>
  <si>
    <t xml:space="preserve">proceeds_investor_instr_fy24</t>
  </si>
  <si>
    <r>
      <rPr>
        <sz val="10"/>
        <color rgb="FF000000"/>
        <rFont val="Noto Sans CJK SC"/>
        <family val="2"/>
      </rPr>
      <t xml:space="preserve">綜合現金流量表融資活動；千元值 </t>
    </r>
    <r>
      <rPr>
        <sz val="10"/>
        <color rgb="FF000000"/>
        <rFont val="Arial"/>
        <family val="0"/>
        <charset val="1"/>
      </rPr>
      <t xml:space="preserve">3,019,587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</si>
  <si>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SRC_ZP_967</t>
  </si>
  <si>
    <t xml:space="preserve">proceeds_investor_instr_1h24</t>
  </si>
  <si>
    <r>
      <rPr>
        <sz val="10"/>
        <color rgb="FF000000"/>
        <rFont val="Noto Sans CJK SC"/>
        <family val="2"/>
      </rPr>
      <t xml:space="preserve">綜合現金流量表融資活動；千元值 </t>
    </r>
    <r>
      <rPr>
        <sz val="10"/>
        <color rgb="FF000000"/>
        <rFont val="Arial"/>
        <family val="0"/>
        <charset val="1"/>
      </rPr>
      <t xml:space="preserve">893,190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</si>
  <si>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SRC_ZP_968</t>
  </si>
  <si>
    <t xml:space="preserve">proceeds_investor_instr_1h25</t>
  </si>
  <si>
    <r>
      <rPr>
        <sz val="10"/>
        <color rgb="FF000000"/>
        <rFont val="Noto Sans CJK SC"/>
        <family val="2"/>
      </rPr>
      <t xml:space="preserve">綜合現金流量表融資活動；千元值 </t>
    </r>
    <r>
      <rPr>
        <sz val="10"/>
        <color rgb="FF000000"/>
        <rFont val="Arial"/>
        <family val="0"/>
        <charset val="1"/>
      </rPr>
      <t xml:space="preserve">1,625,000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</si>
  <si>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SRC_ZP_969</t>
  </si>
  <si>
    <t xml:space="preserve">proceeds_cb_fy22</t>
  </si>
  <si>
    <t xml:space="preserve">發行可換股債券所得款項</t>
  </si>
  <si>
    <r>
      <rPr>
        <sz val="10"/>
        <color rgb="FF000000"/>
        <rFont val="Noto Sans CJK SC"/>
        <family val="2"/>
      </rPr>
      <t xml:space="preserve">綜合現金流量表；附註 </t>
    </r>
    <r>
      <rPr>
        <sz val="10"/>
        <color rgb="FF000000"/>
        <rFont val="Arial"/>
        <family val="0"/>
        <charset val="1"/>
      </rPr>
      <t xml:space="preserve">27</t>
    </r>
    <r>
      <rPr>
        <sz val="10"/>
        <color rgb="FF000000"/>
        <rFont val="Noto Sans CJK SC"/>
        <family val="2"/>
      </rPr>
      <t xml:space="preserve">：本金合計 </t>
    </r>
    <r>
      <rPr>
        <sz val="10"/>
        <color rgb="FF000000"/>
        <rFont val="Arial"/>
        <family val="0"/>
        <charset val="1"/>
      </rPr>
      <t xml:space="preserve">830 </t>
    </r>
    <r>
      <rPr>
        <sz val="10"/>
        <color rgb="FF000000"/>
        <rFont val="Noto Sans CJK SC"/>
        <family val="2"/>
      </rPr>
      <t xml:space="preserve">百萬元，年利率 </t>
    </r>
    <r>
      <rPr>
        <sz val="10"/>
        <color rgb="FF000000"/>
        <rFont val="Arial"/>
        <family val="0"/>
        <charset val="1"/>
      </rPr>
      <t xml:space="preserve">0%–8%</t>
    </r>
    <r>
      <rPr>
        <sz val="10"/>
        <color rgb="FF000000"/>
        <rFont val="Noto Sans CJK SC"/>
        <family val="2"/>
      </rPr>
      <t xml:space="preserve">，</t>
    </r>
    <r>
      <rPr>
        <sz val="10"/>
        <color rgb="FF000000"/>
        <rFont val="Arial"/>
        <family val="0"/>
        <charset val="1"/>
      </rPr>
      <t xml:space="preserve">2025-05 </t>
    </r>
    <r>
      <rPr>
        <sz val="10"/>
        <color rgb="FF000000"/>
        <rFont val="Noto Sans CJK SC"/>
        <family val="2"/>
      </rPr>
      <t xml:space="preserve">全數轉為向投資者發行的金融工具；千元值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</si>
  <si>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SRC_ZP_970</t>
  </si>
  <si>
    <t xml:space="preserve">proceeds_cb_fy23</t>
  </si>
  <si>
    <t xml:space="preserve">SRC_ZP_971</t>
  </si>
  <si>
    <t xml:space="preserve">proceeds_cb_fy24</t>
  </si>
  <si>
    <r>
      <rPr>
        <sz val="10"/>
        <color rgb="FF000000"/>
        <rFont val="Noto Sans CJK SC"/>
        <family val="2"/>
      </rPr>
      <t xml:space="preserve">綜合現金流量表；附註 </t>
    </r>
    <r>
      <rPr>
        <sz val="10"/>
        <color rgb="FF000000"/>
        <rFont val="Arial"/>
        <family val="0"/>
        <charset val="1"/>
      </rPr>
      <t xml:space="preserve">27</t>
    </r>
    <r>
      <rPr>
        <sz val="10"/>
        <color rgb="FF000000"/>
        <rFont val="Noto Sans CJK SC"/>
        <family val="2"/>
      </rPr>
      <t xml:space="preserve">：本金合計 </t>
    </r>
    <r>
      <rPr>
        <sz val="10"/>
        <color rgb="FF000000"/>
        <rFont val="Arial"/>
        <family val="0"/>
        <charset val="1"/>
      </rPr>
      <t xml:space="preserve">830 </t>
    </r>
    <r>
      <rPr>
        <sz val="10"/>
        <color rgb="FF000000"/>
        <rFont val="Noto Sans CJK SC"/>
        <family val="2"/>
      </rPr>
      <t xml:space="preserve">百萬元，年利率 </t>
    </r>
    <r>
      <rPr>
        <sz val="10"/>
        <color rgb="FF000000"/>
        <rFont val="Arial"/>
        <family val="0"/>
        <charset val="1"/>
      </rPr>
      <t xml:space="preserve">0%–8%</t>
    </r>
    <r>
      <rPr>
        <sz val="10"/>
        <color rgb="FF000000"/>
        <rFont val="Noto Sans CJK SC"/>
        <family val="2"/>
      </rPr>
      <t xml:space="preserve">，</t>
    </r>
    <r>
      <rPr>
        <sz val="10"/>
        <color rgb="FF000000"/>
        <rFont val="Arial"/>
        <family val="0"/>
        <charset val="1"/>
      </rPr>
      <t xml:space="preserve">2025-05 </t>
    </r>
    <r>
      <rPr>
        <sz val="10"/>
        <color rgb="FF000000"/>
        <rFont val="Noto Sans CJK SC"/>
        <family val="2"/>
      </rPr>
      <t xml:space="preserve">全數轉為向投資者發行的金融工具；千元值 </t>
    </r>
    <r>
      <rPr>
        <sz val="10"/>
        <color rgb="FF000000"/>
        <rFont val="Arial"/>
        <family val="0"/>
        <charset val="1"/>
      </rPr>
      <t xml:space="preserve">130,000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</si>
  <si>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SRC_ZP_972</t>
  </si>
  <si>
    <t xml:space="preserve">proceeds_cb_1h24</t>
  </si>
  <si>
    <t xml:space="preserve">SRC_ZP_973</t>
  </si>
  <si>
    <t xml:space="preserve">proceeds_cb_1h25</t>
  </si>
  <si>
    <r>
      <rPr>
        <sz val="10"/>
        <color rgb="FF000000"/>
        <rFont val="Noto Sans CJK SC"/>
        <family val="2"/>
      </rPr>
      <t xml:space="preserve">綜合現金流量表；附註 </t>
    </r>
    <r>
      <rPr>
        <sz val="10"/>
        <color rgb="FF000000"/>
        <rFont val="Arial"/>
        <family val="0"/>
        <charset val="1"/>
      </rPr>
      <t xml:space="preserve">27</t>
    </r>
    <r>
      <rPr>
        <sz val="10"/>
        <color rgb="FF000000"/>
        <rFont val="Noto Sans CJK SC"/>
        <family val="2"/>
      </rPr>
      <t xml:space="preserve">：本金合計 </t>
    </r>
    <r>
      <rPr>
        <sz val="10"/>
        <color rgb="FF000000"/>
        <rFont val="Arial"/>
        <family val="0"/>
        <charset val="1"/>
      </rPr>
      <t xml:space="preserve">830 </t>
    </r>
    <r>
      <rPr>
        <sz val="10"/>
        <color rgb="FF000000"/>
        <rFont val="Noto Sans CJK SC"/>
        <family val="2"/>
      </rPr>
      <t xml:space="preserve">百萬元，年利率 </t>
    </r>
    <r>
      <rPr>
        <sz val="10"/>
        <color rgb="FF000000"/>
        <rFont val="Arial"/>
        <family val="0"/>
        <charset val="1"/>
      </rPr>
      <t xml:space="preserve">0%–8%</t>
    </r>
    <r>
      <rPr>
        <sz val="10"/>
        <color rgb="FF000000"/>
        <rFont val="Noto Sans CJK SC"/>
        <family val="2"/>
      </rPr>
      <t xml:space="preserve">，</t>
    </r>
    <r>
      <rPr>
        <sz val="10"/>
        <color rgb="FF000000"/>
        <rFont val="Arial"/>
        <family val="0"/>
        <charset val="1"/>
      </rPr>
      <t xml:space="preserve">2025-05 </t>
    </r>
    <r>
      <rPr>
        <sz val="10"/>
        <color rgb="FF000000"/>
        <rFont val="Noto Sans CJK SC"/>
        <family val="2"/>
      </rPr>
      <t xml:space="preserve">全數轉為向投資者發行的金融工具；千元值 </t>
    </r>
    <r>
      <rPr>
        <sz val="10"/>
        <color rgb="FF000000"/>
        <rFont val="Arial"/>
        <family val="0"/>
        <charset val="1"/>
      </rPr>
      <t xml:space="preserve">700,000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</si>
  <si>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SRC_ZP_974</t>
  </si>
  <si>
    <t xml:space="preserve">restricted_cash_fy22</t>
  </si>
  <si>
    <t xml:space="preserve">受限制現金</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</si>
  <si>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</si>
  <si>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21(a)(i)</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頁＝印 </t>
    </r>
    <r>
      <rPr>
        <sz val="10"/>
        <color rgb="FF000000"/>
        <rFont val="Arial"/>
        <family val="0"/>
        <charset val="1"/>
      </rPr>
      <t xml:space="preserve">I-59</t>
    </r>
    <r>
      <rPr>
        <sz val="10"/>
        <color rgb="FF000000"/>
        <rFont val="Noto Sans CJK SC"/>
        <family val="2"/>
      </rPr>
      <t xml:space="preserve">）「受限制現金主要指投標及履約保證金存款」；補 </t>
    </r>
    <r>
      <rPr>
        <sz val="10"/>
        <color rgb="FF000000"/>
        <rFont val="Arial"/>
        <family val="0"/>
        <charset val="1"/>
      </rPr>
      <t xml:space="preserve">not_found</t>
    </r>
    <r>
      <rPr>
        <sz val="10"/>
        <color rgb="FF000000"/>
        <rFont val="Noto Sans CJK SC"/>
        <family val="2"/>
      </rPr>
      <t xml:space="preserve">「受限制現金」（招股章程期間）；千元值 </t>
    </r>
    <r>
      <rPr>
        <sz val="10"/>
        <color rgb="FF000000"/>
        <rFont val="Arial"/>
        <family val="0"/>
        <charset val="1"/>
      </rPr>
      <t xml:space="preserve">103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</si>
  <si>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SRC_ZP_975</t>
  </si>
  <si>
    <t xml:space="preserve">restricted_cash_fy23</t>
  </si>
  <si>
    <r>
      <rPr>
        <sz val="10"/>
        <color rgb="FF000000"/>
        <rFont val="Noto Sans CJK SC"/>
        <family val="2"/>
      </rPr>
      <t xml:space="preserve">附註 </t>
    </r>
    <r>
      <rPr>
        <sz val="10"/>
        <color rgb="FF000000"/>
        <rFont val="Arial"/>
        <family val="0"/>
        <charset val="1"/>
      </rPr>
      <t xml:space="preserve">21(a)(i)</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頁＝印 </t>
    </r>
    <r>
      <rPr>
        <sz val="10"/>
        <color rgb="FF000000"/>
        <rFont val="Arial"/>
        <family val="0"/>
        <charset val="1"/>
      </rPr>
      <t xml:space="preserve">I-59</t>
    </r>
    <r>
      <rPr>
        <sz val="10"/>
        <color rgb="FF000000"/>
        <rFont val="Noto Sans CJK SC"/>
        <family val="2"/>
      </rPr>
      <t xml:space="preserve">）「受限制現金主要指投標及履約保證金存款」；補 </t>
    </r>
    <r>
      <rPr>
        <sz val="10"/>
        <color rgb="FF000000"/>
        <rFont val="Arial"/>
        <family val="0"/>
        <charset val="1"/>
      </rPr>
      <t xml:space="preserve">not_found</t>
    </r>
    <r>
      <rPr>
        <sz val="10"/>
        <color rgb="FF000000"/>
        <rFont val="Noto Sans CJK SC"/>
        <family val="2"/>
      </rPr>
      <t xml:space="preserve">「受限制現金」（招股章程期間）；千元值 </t>
    </r>
    <r>
      <rPr>
        <sz val="10"/>
        <color rgb="FF000000"/>
        <rFont val="Arial"/>
        <family val="0"/>
        <charset val="1"/>
      </rPr>
      <t xml:space="preserve">216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</si>
  <si>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SRC_ZP_976</t>
  </si>
  <si>
    <t xml:space="preserve">restricted_cash_fy24</t>
  </si>
  <si>
    <r>
      <rPr>
        <sz val="10"/>
        <color rgb="FF000000"/>
        <rFont val="Noto Sans CJK SC"/>
        <family val="2"/>
      </rPr>
      <t xml:space="preserve">附註 </t>
    </r>
    <r>
      <rPr>
        <sz val="10"/>
        <color rgb="FF000000"/>
        <rFont val="Arial"/>
        <family val="0"/>
        <charset val="1"/>
      </rPr>
      <t xml:space="preserve">21(a)(i)</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頁＝印 </t>
    </r>
    <r>
      <rPr>
        <sz val="10"/>
        <color rgb="FF000000"/>
        <rFont val="Arial"/>
        <family val="0"/>
        <charset val="1"/>
      </rPr>
      <t xml:space="preserve">I-59</t>
    </r>
    <r>
      <rPr>
        <sz val="10"/>
        <color rgb="FF000000"/>
        <rFont val="Noto Sans CJK SC"/>
        <family val="2"/>
      </rPr>
      <t xml:space="preserve">）「受限制現金主要指投標及履約保證金存款」；補 </t>
    </r>
    <r>
      <rPr>
        <sz val="10"/>
        <color rgb="FF000000"/>
        <rFont val="Arial"/>
        <family val="0"/>
        <charset val="1"/>
      </rPr>
      <t xml:space="preserve">not_found</t>
    </r>
    <r>
      <rPr>
        <sz val="10"/>
        <color rgb="FF000000"/>
        <rFont val="Noto Sans CJK SC"/>
        <family val="2"/>
      </rPr>
      <t xml:space="preserve">「受限制現金」（招股章程期間）；千元值 </t>
    </r>
    <r>
      <rPr>
        <sz val="10"/>
        <color rgb="FF000000"/>
        <rFont val="Arial"/>
        <family val="0"/>
        <charset val="1"/>
      </rPr>
      <t xml:space="preserve">1,058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</si>
  <si>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SRC_ZP_977</t>
  </si>
  <si>
    <t xml:space="preserve">restricted_cash_1h25</t>
  </si>
  <si>
    <r>
      <rPr>
        <sz val="10"/>
        <color rgb="FF000000"/>
        <rFont val="Noto Sans CJK SC"/>
        <family val="2"/>
      </rPr>
      <t xml:space="preserve">附註 </t>
    </r>
    <r>
      <rPr>
        <sz val="10"/>
        <color rgb="FF000000"/>
        <rFont val="Arial"/>
        <family val="0"/>
        <charset val="1"/>
      </rPr>
      <t xml:space="preserve">21(a)(i)</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頁＝印 </t>
    </r>
    <r>
      <rPr>
        <sz val="10"/>
        <color rgb="FF000000"/>
        <rFont val="Arial"/>
        <family val="0"/>
        <charset val="1"/>
      </rPr>
      <t xml:space="preserve">I-59</t>
    </r>
    <r>
      <rPr>
        <sz val="10"/>
        <color rgb="FF000000"/>
        <rFont val="Noto Sans CJK SC"/>
        <family val="2"/>
      </rPr>
      <t xml:space="preserve">）「受限制現金主要指投標及履約保證金存款」；補 </t>
    </r>
    <r>
      <rPr>
        <sz val="10"/>
        <color rgb="FF000000"/>
        <rFont val="Arial"/>
        <family val="0"/>
        <charset val="1"/>
      </rPr>
      <t xml:space="preserve">not_found</t>
    </r>
    <r>
      <rPr>
        <sz val="10"/>
        <color rgb="FF000000"/>
        <rFont val="Noto Sans CJK SC"/>
        <family val="2"/>
      </rPr>
      <t xml:space="preserve">「受限制現金」（招股章程期間）；千元值 </t>
    </r>
    <r>
      <rPr>
        <sz val="10"/>
        <color rgb="FF000000"/>
        <rFont val="Arial"/>
        <family val="0"/>
        <charset val="1"/>
      </rPr>
      <t xml:space="preserve">4,146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</si>
  <si>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SRC_ZP_978</t>
  </si>
  <si>
    <t xml:space="preserve">bank_loans_p_fy22</t>
  </si>
  <si>
    <t xml:space="preserve">銀行貸款（含應計利息）</t>
  </si>
  <si>
    <r>
      <rPr>
        <sz val="10"/>
        <color rgb="FF000000"/>
        <rFont val="Noto Sans CJK SC"/>
        <family val="2"/>
      </rPr>
      <t xml:space="preserve">債務表（第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）；附註 </t>
    </r>
    <r>
      <rPr>
        <sz val="10"/>
        <color rgb="FF000000"/>
        <rFont val="Arial"/>
        <family val="0"/>
        <charset val="1"/>
      </rPr>
      <t xml:space="preserve">24</t>
    </r>
    <r>
      <rPr>
        <sz val="10"/>
        <color rgb="FF000000"/>
        <rFont val="Noto Sans CJK SC"/>
        <family val="2"/>
      </rPr>
      <t xml:space="preserve">「一年內需償還的無擔保無抵押銀行貸款」；千元值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</si>
  <si>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SRC_ZP_979</t>
  </si>
  <si>
    <t xml:space="preserve">bank_loans_p_fy23</t>
  </si>
  <si>
    <t xml:space="preserve">SRC_ZP_980</t>
  </si>
  <si>
    <t xml:space="preserve">bank_loans_p_fy24</t>
  </si>
  <si>
    <r>
      <rPr>
        <sz val="10"/>
        <color rgb="FF000000"/>
        <rFont val="Noto Sans CJK SC"/>
        <family val="2"/>
      </rPr>
      <t xml:space="preserve">債務表（第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）；附註 </t>
    </r>
    <r>
      <rPr>
        <sz val="10"/>
        <color rgb="FF000000"/>
        <rFont val="Arial"/>
        <family val="0"/>
        <charset val="1"/>
      </rPr>
      <t xml:space="preserve">24</t>
    </r>
    <r>
      <rPr>
        <sz val="10"/>
        <color rgb="FF000000"/>
        <rFont val="Noto Sans CJK SC"/>
        <family val="2"/>
      </rPr>
      <t xml:space="preserve">「一年內需償還的無擔保無抵押銀行貸款」；千元值 </t>
    </r>
    <r>
      <rPr>
        <sz val="10"/>
        <color rgb="FF000000"/>
        <rFont val="Arial"/>
        <family val="0"/>
        <charset val="1"/>
      </rPr>
      <t xml:space="preserve">137,246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換算成億；升級為一手來源；補利率與到期：實際利率 </t>
    </r>
    <r>
      <rPr>
        <sz val="10"/>
        <color rgb="FF000000"/>
        <rFont val="Arial"/>
        <family val="0"/>
        <charset val="1"/>
      </rPr>
      <t xml:space="preserve">2.65%</t>
    </r>
    <r>
      <rPr>
        <sz val="10"/>
        <color rgb="FF000000"/>
        <rFont val="Noto Sans CJK SC"/>
        <family val="2"/>
      </rPr>
      <t xml:space="preserve">、無抵押擔保、</t>
    </r>
    <r>
      <rPr>
        <sz val="10"/>
        <color rgb="FF000000"/>
        <rFont val="Arial"/>
        <family val="0"/>
        <charset val="1"/>
      </rPr>
      <t xml:space="preserve">2025-07 </t>
    </r>
    <r>
      <rPr>
        <sz val="10"/>
        <color rgb="FF000000"/>
        <rFont val="Noto Sans CJK SC"/>
        <family val="2"/>
      </rPr>
      <t xml:space="preserve">悉數償還</t>
    </r>
  </si>
  <si>
    <t xml:space="preserve">SRC_ZP_981</t>
  </si>
  <si>
    <t xml:space="preserve">bank_loans_p_1h25</t>
  </si>
  <si>
    <r>
      <rPr>
        <sz val="10"/>
        <color rgb="FF000000"/>
        <rFont val="Noto Sans CJK SC"/>
        <family val="2"/>
      </rPr>
      <t xml:space="preserve">債務表（第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）；附註 </t>
    </r>
    <r>
      <rPr>
        <sz val="10"/>
        <color rgb="FF000000"/>
        <rFont val="Arial"/>
        <family val="0"/>
        <charset val="1"/>
      </rPr>
      <t xml:space="preserve">24</t>
    </r>
    <r>
      <rPr>
        <sz val="10"/>
        <color rgb="FF000000"/>
        <rFont val="Noto Sans CJK SC"/>
        <family val="2"/>
      </rPr>
      <t xml:space="preserve">「一年內需償還的無擔保無抵押銀行貸款」；千元值 </t>
    </r>
    <r>
      <rPr>
        <sz val="10"/>
        <color rgb="FF000000"/>
        <rFont val="Arial"/>
        <family val="0"/>
        <charset val="1"/>
      </rPr>
      <t xml:space="preserve">137,214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</si>
  <si>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SRC_ZP_982</t>
  </si>
  <si>
    <t xml:space="preserve">bank_loans_p_oct25</t>
  </si>
  <si>
    <r>
      <rPr>
        <sz val="10"/>
        <color rgb="FF000000"/>
        <rFont val="Noto Sans CJK SC"/>
        <family val="2"/>
      </rPr>
      <t xml:space="preserve">債務表（第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）；附註 </t>
    </r>
    <r>
      <rPr>
        <sz val="10"/>
        <color rgb="FF000000"/>
        <rFont val="Arial"/>
        <family val="0"/>
        <charset val="1"/>
      </rPr>
      <t xml:space="preserve">24</t>
    </r>
    <r>
      <rPr>
        <sz val="10"/>
        <color rgb="FF000000"/>
        <rFont val="Noto Sans CJK SC"/>
        <family val="2"/>
      </rPr>
      <t xml:space="preserve">「一年內需償還的無擔保無抵押銀行貸款」；千元值 </t>
    </r>
    <r>
      <rPr>
        <sz val="10"/>
        <color rgb="FF000000"/>
        <rFont val="Arial"/>
        <family val="0"/>
        <charset val="1"/>
      </rPr>
      <t xml:space="preserve">268,367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</si>
  <si>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SRC_ZP_983</t>
  </si>
  <si>
    <t xml:space="preserve">bank_loan_rate_fy24</t>
  </si>
  <si>
    <r>
      <rPr>
        <sz val="10"/>
        <color rgb="FF000000"/>
        <rFont val="Noto Sans CJK SC"/>
        <family val="2"/>
      </rPr>
      <t xml:space="preserve">銀行貸款實際利率（</t>
    </r>
    <r>
      <rPr>
        <sz val="10"/>
        <color rgb="FF000000"/>
        <rFont val="Arial"/>
        <family val="0"/>
        <charset val="1"/>
      </rPr>
      <t xml:space="preserve">2024 </t>
    </r>
    <r>
      <rPr>
        <sz val="10"/>
        <color rgb="FF000000"/>
        <rFont val="Noto Sans CJK SC"/>
        <family val="2"/>
      </rPr>
      <t xml:space="preserve">年借入一筆）</t>
    </r>
  </si>
  <si>
    <r>
      <rPr>
        <sz val="10"/>
        <color rgb="FF000000"/>
        <rFont val="Noto Sans CJK SC"/>
        <family val="2"/>
      </rPr>
      <t xml:space="preserve">原文「我們於 </t>
    </r>
    <r>
      <rPr>
        <sz val="10"/>
        <color rgb="FF000000"/>
        <rFont val="Arial"/>
        <family val="0"/>
        <charset val="1"/>
      </rPr>
      <t xml:space="preserve">2024 </t>
    </r>
    <r>
      <rPr>
        <sz val="10"/>
        <color rgb="FF000000"/>
        <rFont val="Noto Sans CJK SC"/>
        <family val="2"/>
      </rPr>
      <t xml:space="preserve">年有一筆銀行貸款，實際利率為 </t>
    </r>
    <r>
      <rPr>
        <sz val="10"/>
        <color rgb="FF000000"/>
        <rFont val="Arial"/>
        <family val="0"/>
        <charset val="1"/>
      </rPr>
      <t xml:space="preserve">2.65%</t>
    </r>
    <r>
      <rPr>
        <sz val="10"/>
        <color rgb="FF000000"/>
        <rFont val="Noto Sans CJK SC"/>
        <family val="2"/>
      </rPr>
      <t xml:space="preserve">。該銀行貸款並無抵押或擔保，其後已於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7 </t>
    </r>
    <r>
      <rPr>
        <sz val="10"/>
        <color rgb="FF000000"/>
        <rFont val="Noto Sans CJK SC"/>
        <family val="2"/>
      </rPr>
      <t xml:space="preserve">月悉數償還」</t>
    </r>
  </si>
  <si>
    <t xml:space="preserve">SRC_ZP_984</t>
  </si>
  <si>
    <t xml:space="preserve">bank_loan_rate_2h25</t>
  </si>
  <si>
    <r>
      <rPr>
        <sz val="10"/>
        <color rgb="FF000000"/>
        <rFont val="Noto Sans CJK SC"/>
        <family val="2"/>
      </rPr>
      <t xml:space="preserve">新增銀行貸款實際利率（</t>
    </r>
    <r>
      <rPr>
        <sz val="10"/>
        <color rgb="FF000000"/>
        <rFont val="Arial"/>
        <family val="0"/>
        <charset val="1"/>
      </rPr>
      <t xml:space="preserve">2025-07</t>
    </r>
    <r>
      <rPr>
        <sz val="10"/>
        <color rgb="FF000000"/>
        <rFont val="Noto Sans CJK SC"/>
        <family val="2"/>
      </rPr>
      <t xml:space="preserve">～</t>
    </r>
    <r>
      <rPr>
        <sz val="10"/>
        <color rgb="FF000000"/>
        <rFont val="Arial"/>
        <family val="0"/>
        <charset val="1"/>
      </rPr>
      <t xml:space="preserve">10</t>
    </r>
    <r>
      <rPr>
        <sz val="10"/>
        <color rgb="FF000000"/>
        <rFont val="Noto Sans CJK SC"/>
        <family val="2"/>
      </rPr>
      <t xml:space="preserve">，十筆）</t>
    </r>
  </si>
  <si>
    <r>
      <rPr>
        <sz val="10"/>
        <color rgb="FF000000"/>
        <rFont val="Arial"/>
        <family val="0"/>
        <charset val="1"/>
      </rPr>
      <t xml:space="preserve">2025-07</t>
    </r>
    <r>
      <rPr>
        <sz val="10"/>
        <color rgb="FF000000"/>
        <rFont val="Noto Sans CJK SC"/>
        <family val="2"/>
      </rPr>
      <t xml:space="preserve">～</t>
    </r>
    <r>
      <rPr>
        <sz val="10"/>
        <color rgb="FF000000"/>
        <rFont val="Arial"/>
        <family val="0"/>
        <charset val="1"/>
      </rPr>
      <t xml:space="preserve">2025-10</t>
    </r>
  </si>
  <si>
    <r>
      <rPr>
        <sz val="10"/>
        <color rgb="FF000000"/>
        <rFont val="Noto Sans CJK SC"/>
        <family val="2"/>
      </rPr>
      <t xml:space="preserve">原文「自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7 </t>
    </r>
    <r>
      <rPr>
        <sz val="10"/>
        <color rgb="FF000000"/>
        <rFont val="Noto Sans CJK SC"/>
        <family val="2"/>
      </rPr>
      <t xml:space="preserve">月至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10 </t>
    </r>
    <r>
      <rPr>
        <sz val="10"/>
        <color rgb="FF000000"/>
        <rFont val="Noto Sans CJK SC"/>
        <family val="2"/>
      </rPr>
      <t xml:space="preserve">月，我們新增十筆銀行貸款，總額為人民幣 </t>
    </r>
    <r>
      <rPr>
        <sz val="10"/>
        <color rgb="FF000000"/>
        <rFont val="Arial"/>
        <family val="0"/>
        <charset val="1"/>
      </rPr>
      <t xml:space="preserve">268.2 </t>
    </r>
    <r>
      <rPr>
        <sz val="10"/>
        <color rgb="FF000000"/>
        <rFont val="Noto Sans CJK SC"/>
        <family val="2"/>
      </rPr>
      <t xml:space="preserve">百萬元，實際利率分別為 </t>
    </r>
    <r>
      <rPr>
        <sz val="10"/>
        <color rgb="FF000000"/>
        <rFont val="Arial"/>
        <family val="0"/>
        <charset val="1"/>
      </rPr>
      <t xml:space="preserve">2.20%</t>
    </r>
    <r>
      <rPr>
        <sz val="10"/>
        <color rgb="FF000000"/>
        <rFont val="Noto Sans CJK SC"/>
        <family val="2"/>
      </rPr>
      <t xml:space="preserve">及 </t>
    </r>
    <r>
      <rPr>
        <sz val="10"/>
        <color rgb="FF000000"/>
        <rFont val="Arial"/>
        <family val="0"/>
        <charset val="1"/>
      </rPr>
      <t xml:space="preserve">2.11%</t>
    </r>
    <r>
      <rPr>
        <sz val="10"/>
        <color rgb="FF000000"/>
        <rFont val="Noto Sans CJK SC"/>
        <family val="2"/>
      </rPr>
      <t xml:space="preserve">。該等銀行貸款並無抵押或擔保」</t>
    </r>
  </si>
  <si>
    <t xml:space="preserve">SRC_ZP_985</t>
  </si>
  <si>
    <t xml:space="preserve">bank_facility_unused_2510</t>
  </si>
  <si>
    <t xml:space="preserve">承諾未動用銀行融資</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</si>
  <si>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293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</si>
  <si>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293 </t>
    </r>
    <r>
      <rPr>
        <sz val="10"/>
        <color rgb="FF000000"/>
        <rFont val="Noto Sans CJK SC"/>
        <family val="2"/>
      </rPr>
      <t xml:space="preserve">頁＝印 </t>
    </r>
    <r>
      <rPr>
        <sz val="10"/>
        <color rgb="FF000000"/>
        <rFont val="Arial"/>
        <family val="0"/>
        <charset val="1"/>
      </rPr>
      <t xml:space="preserve">284</t>
    </r>
    <r>
      <rPr>
        <sz val="10"/>
        <color rgb="FF000000"/>
        <rFont val="Noto Sans CJK SC"/>
        <family val="2"/>
      </rPr>
      <t xml:space="preserve">）「截至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10 </t>
    </r>
    <r>
      <rPr>
        <sz val="10"/>
        <color rgb="FF000000"/>
        <rFont val="Noto Sans CJK SC"/>
        <family val="2"/>
      </rPr>
      <t xml:space="preserve">月 </t>
    </r>
    <r>
      <rPr>
        <sz val="10"/>
        <color rgb="FF000000"/>
        <rFont val="Arial"/>
        <family val="0"/>
        <charset val="1"/>
      </rPr>
      <t xml:space="preserve">31 </t>
    </r>
    <r>
      <rPr>
        <sz val="10"/>
        <color rgb="FF000000"/>
        <rFont val="Noto Sans CJK SC"/>
        <family val="2"/>
      </rPr>
      <t xml:space="preserve">日，我們承諾的未動用銀行融資為人民幣 </t>
    </r>
    <r>
      <rPr>
        <sz val="10"/>
        <color rgb="FF000000"/>
        <rFont val="Arial"/>
        <family val="0"/>
        <charset val="1"/>
      </rPr>
      <t xml:space="preserve">6,130.5 </t>
    </r>
    <r>
      <rPr>
        <sz val="10"/>
        <color rgb="FF000000"/>
        <rFont val="Noto Sans CJK SC"/>
        <family val="2"/>
      </rPr>
      <t xml:space="preserve">百萬元」；可拆解 </t>
    </r>
    <r>
      <rPr>
        <sz val="10"/>
        <color rgb="FF000000"/>
        <rFont val="Arial"/>
        <family val="0"/>
        <charset val="1"/>
      </rPr>
      <t xml:space="preserve">SRC_ZP_110 </t>
    </r>
    <r>
      <rPr>
        <sz val="10"/>
        <color rgb="FF000000"/>
        <rFont val="Noto Sans CJK SC"/>
        <family val="2"/>
      </rPr>
      <t xml:space="preserve">合計 </t>
    </r>
    <r>
      <rPr>
        <sz val="10"/>
        <color rgb="FF000000"/>
        <rFont val="Arial"/>
        <family val="0"/>
        <charset val="1"/>
      </rPr>
      <t xml:space="preserve">89.431 </t>
    </r>
    <r>
      <rPr>
        <sz val="10"/>
        <color rgb="FF000000"/>
        <rFont val="Noto Sans CJK SC"/>
        <family val="2"/>
      </rPr>
      <t xml:space="preserve">億中的授信部分；百萬</t>
    </r>
    <r>
      <rPr>
        <sz val="10"/>
        <color rgb="FF000000"/>
        <rFont val="Arial"/>
        <family val="0"/>
        <charset val="1"/>
      </rPr>
      <t xml:space="preserve">÷100</t>
    </r>
  </si>
  <si>
    <t xml:space="preserve">SRC_ZP_986</t>
  </si>
  <si>
    <t xml:space="preserve">investor_instr_redeem_terms</t>
  </si>
  <si>
    <t xml:space="preserve">向投資者發行金融工具贖回條款</t>
  </si>
  <si>
    <r>
      <rPr>
        <sz val="10"/>
        <color rgb="FF000000"/>
        <rFont val="Arial"/>
        <family val="0"/>
        <charset val="1"/>
      </rPr>
      <t xml:space="preserve">%</t>
    </r>
    <r>
      <rPr>
        <sz val="10"/>
        <color rgb="FF000000"/>
        <rFont val="Noto Sans CJK SC"/>
        <family val="2"/>
      </rPr>
      <t xml:space="preserve">（年利率）</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</si>
  <si>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411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</si>
  <si>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26</t>
    </r>
    <r>
      <rPr>
        <sz val="10"/>
        <color rgb="FF000000"/>
        <rFont val="Noto Sans CJK SC"/>
        <family val="2"/>
      </rPr>
      <t xml:space="preserve">：觸發事件含「</t>
    </r>
    <r>
      <rPr>
        <sz val="10"/>
        <color rgb="FF000000"/>
        <rFont val="Arial"/>
        <family val="0"/>
        <charset val="1"/>
      </rPr>
      <t xml:space="preserve">2028 </t>
    </r>
    <r>
      <rPr>
        <sz val="10"/>
        <color rgb="FF000000"/>
        <rFont val="Noto Sans CJK SC"/>
        <family val="2"/>
      </rPr>
      <t xml:space="preserve">年 </t>
    </r>
    <r>
      <rPr>
        <sz val="10"/>
        <color rgb="FF000000"/>
        <rFont val="Arial"/>
        <family val="0"/>
        <charset val="1"/>
      </rPr>
      <t xml:space="preserve">2 </t>
    </r>
    <r>
      <rPr>
        <sz val="10"/>
        <color rgb="FF000000"/>
        <rFont val="Noto Sans CJK SC"/>
        <family val="2"/>
      </rPr>
      <t xml:space="preserve">月前首次公開發售」未達成；最高結果為「原始本金投資加上按年利率 </t>
    </r>
    <r>
      <rPr>
        <sz val="10"/>
        <color rgb="FF000000"/>
        <rFont val="Arial"/>
        <family val="0"/>
        <charset val="1"/>
      </rPr>
      <t xml:space="preserve">12%</t>
    </r>
    <r>
      <rPr>
        <sz val="10"/>
        <color rgb="FF000000"/>
        <rFont val="Noto Sans CJK SC"/>
        <family val="2"/>
      </rPr>
      <t xml:space="preserve">計算的應計利息」；上市後贖回權終止並轉入權益；</t>
    </r>
    <r>
      <rPr>
        <sz val="10"/>
        <color rgb="FF000000"/>
        <rFont val="Arial"/>
        <family val="0"/>
        <charset val="1"/>
      </rPr>
      <t xml:space="preserve">1H2025 </t>
    </r>
    <r>
      <rPr>
        <sz val="10"/>
        <color rgb="FF000000"/>
        <rFont val="Noto Sans CJK SC"/>
        <family val="2"/>
      </rPr>
      <t xml:space="preserve">賬面 </t>
    </r>
    <r>
      <rPr>
        <sz val="10"/>
        <color rgb="FF000000"/>
        <rFont val="Arial"/>
        <family val="0"/>
        <charset val="1"/>
      </rPr>
      <t xml:space="preserve">9,564,760 </t>
    </r>
    <r>
      <rPr>
        <sz val="10"/>
        <color rgb="FF000000"/>
        <rFont val="Noto Sans CJK SC"/>
        <family val="2"/>
      </rPr>
      <t xml:space="preserve">千元</t>
    </r>
  </si>
  <si>
    <t xml:space="preserve">SRC_ZP_987</t>
  </si>
  <si>
    <t xml:space="preserve">tok_daily_202212</t>
  </si>
  <si>
    <t xml:space="preserve">2022-12</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</si>
  <si>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182 </t>
    </r>
    <r>
      <rPr>
        <sz val="10"/>
        <color rgb="FF000000"/>
        <rFont val="Noto Sans CJK SC"/>
        <family val="2"/>
      </rPr>
      <t xml:space="preserve">頁</t>
    </r>
  </si>
  <si>
    <t xml:space="preserve">智譜（上市招股誘因；營運數據非會計師報告科目）</t>
  </si>
  <si>
    <r>
      <rPr>
        <sz val="10"/>
        <color rgb="FF000000"/>
        <rFont val="Noto Sans CJK SC"/>
        <family val="2"/>
      </rPr>
      <t xml:space="preserve">原文（第 </t>
    </r>
    <r>
      <rPr>
        <sz val="10"/>
        <color rgb="FF000000"/>
        <rFont val="Arial"/>
        <family val="0"/>
        <charset val="1"/>
      </rPr>
      <t xml:space="preserve">182 </t>
    </r>
    <r>
      <rPr>
        <sz val="10"/>
        <color rgb="FF000000"/>
        <rFont val="Noto Sans CJK SC"/>
        <family val="2"/>
      </rPr>
      <t xml:space="preserve">頁＝印 </t>
    </r>
    <r>
      <rPr>
        <sz val="10"/>
        <color rgb="FF000000"/>
        <rFont val="Arial"/>
        <family val="0"/>
        <charset val="1"/>
      </rPr>
      <t xml:space="preserve">173</t>
    </r>
    <r>
      <rPr>
        <sz val="10"/>
        <color rgb="FF000000"/>
        <rFont val="Noto Sans CJK SC"/>
        <family val="2"/>
      </rPr>
      <t xml:space="preserve">）「於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月以及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消耗量分別為 </t>
    </r>
    <r>
      <rPr>
        <sz val="10"/>
        <color rgb="FF000000"/>
        <rFont val="Arial"/>
        <family val="0"/>
        <charset val="1"/>
      </rPr>
      <t xml:space="preserve">5 </t>
    </r>
    <r>
      <rPr>
        <sz val="10"/>
        <color rgb="FF000000"/>
        <rFont val="Noto Sans CJK SC"/>
        <family val="2"/>
      </rPr>
      <t xml:space="preserve">億、</t>
    </r>
    <r>
      <rPr>
        <sz val="10"/>
        <color rgb="FF000000"/>
        <rFont val="Arial"/>
        <family val="0"/>
        <charset val="1"/>
      </rPr>
      <t xml:space="preserve">21 </t>
    </r>
    <r>
      <rPr>
        <sz val="10"/>
        <color rgb="FF000000"/>
        <rFont val="Noto Sans CJK SC"/>
        <family val="2"/>
      </rPr>
      <t xml:space="preserve">億、</t>
    </r>
    <r>
      <rPr>
        <sz val="10"/>
        <color rgb="FF000000"/>
        <rFont val="Arial"/>
        <family val="0"/>
        <charset val="1"/>
      </rPr>
      <t xml:space="preserve">0.2 </t>
    </r>
    <r>
      <rPr>
        <sz val="10"/>
        <color rgb="FF000000"/>
        <rFont val="Noto Sans CJK SC"/>
        <family val="2"/>
      </rPr>
      <t xml:space="preserve">萬億及 </t>
    </r>
    <r>
      <rPr>
        <sz val="10"/>
        <color rgb="FF000000"/>
        <rFont val="Arial"/>
        <family val="0"/>
        <charset val="1"/>
      </rPr>
      <t xml:space="preserve">4.6 </t>
    </r>
    <r>
      <rPr>
        <sz val="10"/>
        <color rgb="FF000000"/>
        <rFont val="Noto Sans CJK SC"/>
        <family val="2"/>
      </rPr>
      <t xml:space="preserve">萬億」；本值 </t>
    </r>
    <r>
      <rPr>
        <sz val="10"/>
        <color rgb="FF000000"/>
        <rFont val="Arial"/>
        <family val="0"/>
        <charset val="1"/>
      </rPr>
      <t xml:space="preserve">5 </t>
    </r>
    <r>
      <rPr>
        <sz val="10"/>
        <color rgb="FF000000"/>
        <rFont val="Noto Sans CJK SC"/>
        <family val="2"/>
      </rPr>
      <t xml:space="preserve">億；升級為一手來源；期間更正為 </t>
    </r>
    <r>
      <rPr>
        <sz val="10"/>
        <color rgb="FF000000"/>
        <rFont val="Arial"/>
        <family val="0"/>
        <charset val="1"/>
      </rPr>
      <t xml:space="preserve">2022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月（原記 </t>
    </r>
    <r>
      <rPr>
        <sz val="10"/>
        <color rgb="FF000000"/>
        <rFont val="Arial"/>
        <family val="0"/>
        <charset val="1"/>
      </rPr>
      <t xml:space="preserve">FY2022</t>
    </r>
    <r>
      <rPr>
        <sz val="10"/>
        <color rgb="FF000000"/>
        <rFont val="Noto Sans CJK SC"/>
        <family val="2"/>
      </rPr>
      <t xml:space="preserve">）</t>
    </r>
  </si>
  <si>
    <t xml:space="preserve">SRC_ZP_988</t>
  </si>
  <si>
    <t xml:space="preserve">tok_daily_202312</t>
  </si>
  <si>
    <t xml:space="preserve">2023-12</t>
  </si>
  <si>
    <r>
      <rPr>
        <sz val="10"/>
        <color rgb="FF000000"/>
        <rFont val="Noto Sans CJK SC"/>
        <family val="2"/>
      </rPr>
      <t xml:space="preserve">原文（第 </t>
    </r>
    <r>
      <rPr>
        <sz val="10"/>
        <color rgb="FF000000"/>
        <rFont val="Arial"/>
        <family val="0"/>
        <charset val="1"/>
      </rPr>
      <t xml:space="preserve">182 </t>
    </r>
    <r>
      <rPr>
        <sz val="10"/>
        <color rgb="FF000000"/>
        <rFont val="Noto Sans CJK SC"/>
        <family val="2"/>
      </rPr>
      <t xml:space="preserve">頁＝印 </t>
    </r>
    <r>
      <rPr>
        <sz val="10"/>
        <color rgb="FF000000"/>
        <rFont val="Arial"/>
        <family val="0"/>
        <charset val="1"/>
      </rPr>
      <t xml:space="preserve">173</t>
    </r>
    <r>
      <rPr>
        <sz val="10"/>
        <color rgb="FF000000"/>
        <rFont val="Noto Sans CJK SC"/>
        <family val="2"/>
      </rPr>
      <t xml:space="preserve">）「於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月以及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消耗量分別為 </t>
    </r>
    <r>
      <rPr>
        <sz val="10"/>
        <color rgb="FF000000"/>
        <rFont val="Arial"/>
        <family val="0"/>
        <charset val="1"/>
      </rPr>
      <t xml:space="preserve">5 </t>
    </r>
    <r>
      <rPr>
        <sz val="10"/>
        <color rgb="FF000000"/>
        <rFont val="Noto Sans CJK SC"/>
        <family val="2"/>
      </rPr>
      <t xml:space="preserve">億、</t>
    </r>
    <r>
      <rPr>
        <sz val="10"/>
        <color rgb="FF000000"/>
        <rFont val="Arial"/>
        <family val="0"/>
        <charset val="1"/>
      </rPr>
      <t xml:space="preserve">21 </t>
    </r>
    <r>
      <rPr>
        <sz val="10"/>
        <color rgb="FF000000"/>
        <rFont val="Noto Sans CJK SC"/>
        <family val="2"/>
      </rPr>
      <t xml:space="preserve">億、</t>
    </r>
    <r>
      <rPr>
        <sz val="10"/>
        <color rgb="FF000000"/>
        <rFont val="Arial"/>
        <family val="0"/>
        <charset val="1"/>
      </rPr>
      <t xml:space="preserve">0.2 </t>
    </r>
    <r>
      <rPr>
        <sz val="10"/>
        <color rgb="FF000000"/>
        <rFont val="Noto Sans CJK SC"/>
        <family val="2"/>
      </rPr>
      <t xml:space="preserve">萬億及 </t>
    </r>
    <r>
      <rPr>
        <sz val="10"/>
        <color rgb="FF000000"/>
        <rFont val="Arial"/>
        <family val="0"/>
        <charset val="1"/>
      </rPr>
      <t xml:space="preserve">4.6 </t>
    </r>
    <r>
      <rPr>
        <sz val="10"/>
        <color rgb="FF000000"/>
        <rFont val="Noto Sans CJK SC"/>
        <family val="2"/>
      </rPr>
      <t xml:space="preserve">萬億」；本值 </t>
    </r>
    <r>
      <rPr>
        <sz val="10"/>
        <color rgb="FF000000"/>
        <rFont val="Arial"/>
        <family val="0"/>
        <charset val="1"/>
      </rPr>
      <t xml:space="preserve">21 </t>
    </r>
    <r>
      <rPr>
        <sz val="10"/>
        <color rgb="FF000000"/>
        <rFont val="Noto Sans CJK SC"/>
        <family val="2"/>
      </rPr>
      <t xml:space="preserve">億</t>
    </r>
  </si>
  <si>
    <t xml:space="preserve">SRC_ZP_989</t>
  </si>
  <si>
    <t xml:space="preserve">tok_daily_202412</t>
  </si>
  <si>
    <r>
      <rPr>
        <sz val="10"/>
        <color rgb="FF000000"/>
        <rFont val="Noto Sans CJK SC"/>
        <family val="2"/>
      </rPr>
      <t xml:space="preserve">原文（第 </t>
    </r>
    <r>
      <rPr>
        <sz val="10"/>
        <color rgb="FF000000"/>
        <rFont val="Arial"/>
        <family val="0"/>
        <charset val="1"/>
      </rPr>
      <t xml:space="preserve">182 </t>
    </r>
    <r>
      <rPr>
        <sz val="10"/>
        <color rgb="FF000000"/>
        <rFont val="Noto Sans CJK SC"/>
        <family val="2"/>
      </rPr>
      <t xml:space="preserve">頁＝印 </t>
    </r>
    <r>
      <rPr>
        <sz val="10"/>
        <color rgb="FF000000"/>
        <rFont val="Arial"/>
        <family val="0"/>
        <charset val="1"/>
      </rPr>
      <t xml:space="preserve">173</t>
    </r>
    <r>
      <rPr>
        <sz val="10"/>
        <color rgb="FF000000"/>
        <rFont val="Noto Sans CJK SC"/>
        <family val="2"/>
      </rPr>
      <t xml:space="preserve">）「於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月以及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消耗量分別為 </t>
    </r>
    <r>
      <rPr>
        <sz val="10"/>
        <color rgb="FF000000"/>
        <rFont val="Arial"/>
        <family val="0"/>
        <charset val="1"/>
      </rPr>
      <t xml:space="preserve">5 </t>
    </r>
    <r>
      <rPr>
        <sz val="10"/>
        <color rgb="FF000000"/>
        <rFont val="Noto Sans CJK SC"/>
        <family val="2"/>
      </rPr>
      <t xml:space="preserve">億、</t>
    </r>
    <r>
      <rPr>
        <sz val="10"/>
        <color rgb="FF000000"/>
        <rFont val="Arial"/>
        <family val="0"/>
        <charset val="1"/>
      </rPr>
      <t xml:space="preserve">21 </t>
    </r>
    <r>
      <rPr>
        <sz val="10"/>
        <color rgb="FF000000"/>
        <rFont val="Noto Sans CJK SC"/>
        <family val="2"/>
      </rPr>
      <t xml:space="preserve">億、</t>
    </r>
    <r>
      <rPr>
        <sz val="10"/>
        <color rgb="FF000000"/>
        <rFont val="Arial"/>
        <family val="0"/>
        <charset val="1"/>
      </rPr>
      <t xml:space="preserve">0.2 </t>
    </r>
    <r>
      <rPr>
        <sz val="10"/>
        <color rgb="FF000000"/>
        <rFont val="Noto Sans CJK SC"/>
        <family val="2"/>
      </rPr>
      <t xml:space="preserve">萬億及 </t>
    </r>
    <r>
      <rPr>
        <sz val="10"/>
        <color rgb="FF000000"/>
        <rFont val="Arial"/>
        <family val="0"/>
        <charset val="1"/>
      </rPr>
      <t xml:space="preserve">4.6 </t>
    </r>
    <r>
      <rPr>
        <sz val="10"/>
        <color rgb="FF000000"/>
        <rFont val="Noto Sans CJK SC"/>
        <family val="2"/>
      </rPr>
      <t xml:space="preserve">萬億」；本值 </t>
    </r>
    <r>
      <rPr>
        <sz val="10"/>
        <color rgb="FF000000"/>
        <rFont val="Arial"/>
        <family val="0"/>
        <charset val="1"/>
      </rPr>
      <t xml:space="preserve">0.2 </t>
    </r>
    <r>
      <rPr>
        <sz val="10"/>
        <color rgb="FF000000"/>
        <rFont val="Noto Sans CJK SC"/>
        <family val="2"/>
      </rPr>
      <t xml:space="preserve">萬億</t>
    </r>
  </si>
  <si>
    <t xml:space="preserve">SRC_ZP_990</t>
  </si>
  <si>
    <t xml:space="preserve">tok_daily_202506</t>
  </si>
  <si>
    <r>
      <rPr>
        <sz val="10"/>
        <color rgb="FF000000"/>
        <rFont val="Noto Sans CJK SC"/>
        <family val="2"/>
      </rPr>
      <t xml:space="preserve">原文（第 </t>
    </r>
    <r>
      <rPr>
        <sz val="10"/>
        <color rgb="FF000000"/>
        <rFont val="Arial"/>
        <family val="0"/>
        <charset val="1"/>
      </rPr>
      <t xml:space="preserve">182 </t>
    </r>
    <r>
      <rPr>
        <sz val="10"/>
        <color rgb="FF000000"/>
        <rFont val="Noto Sans CJK SC"/>
        <family val="2"/>
      </rPr>
      <t xml:space="preserve">頁＝印 </t>
    </r>
    <r>
      <rPr>
        <sz val="10"/>
        <color rgb="FF000000"/>
        <rFont val="Arial"/>
        <family val="0"/>
        <charset val="1"/>
      </rPr>
      <t xml:space="preserve">173</t>
    </r>
    <r>
      <rPr>
        <sz val="10"/>
        <color rgb="FF000000"/>
        <rFont val="Noto Sans CJK SC"/>
        <family val="2"/>
      </rPr>
      <t xml:space="preserve">）「於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月以及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消耗量分別為 </t>
    </r>
    <r>
      <rPr>
        <sz val="10"/>
        <color rgb="FF000000"/>
        <rFont val="Arial"/>
        <family val="0"/>
        <charset val="1"/>
      </rPr>
      <t xml:space="preserve">5 </t>
    </r>
    <r>
      <rPr>
        <sz val="10"/>
        <color rgb="FF000000"/>
        <rFont val="Noto Sans CJK SC"/>
        <family val="2"/>
      </rPr>
      <t xml:space="preserve">億、</t>
    </r>
    <r>
      <rPr>
        <sz val="10"/>
        <color rgb="FF000000"/>
        <rFont val="Arial"/>
        <family val="0"/>
        <charset val="1"/>
      </rPr>
      <t xml:space="preserve">21 </t>
    </r>
    <r>
      <rPr>
        <sz val="10"/>
        <color rgb="FF000000"/>
        <rFont val="Noto Sans CJK SC"/>
        <family val="2"/>
      </rPr>
      <t xml:space="preserve">億、</t>
    </r>
    <r>
      <rPr>
        <sz val="10"/>
        <color rgb="FF000000"/>
        <rFont val="Arial"/>
        <family val="0"/>
        <charset val="1"/>
      </rPr>
      <t xml:space="preserve">0.2 </t>
    </r>
    <r>
      <rPr>
        <sz val="10"/>
        <color rgb="FF000000"/>
        <rFont val="Noto Sans CJK SC"/>
        <family val="2"/>
      </rPr>
      <t xml:space="preserve">萬億及 </t>
    </r>
    <r>
      <rPr>
        <sz val="10"/>
        <color rgb="FF000000"/>
        <rFont val="Arial"/>
        <family val="0"/>
        <charset val="1"/>
      </rPr>
      <t xml:space="preserve">4.6 </t>
    </r>
    <r>
      <rPr>
        <sz val="10"/>
        <color rgb="FF000000"/>
        <rFont val="Noto Sans CJK SC"/>
        <family val="2"/>
      </rPr>
      <t xml:space="preserve">萬億」；本值 </t>
    </r>
    <r>
      <rPr>
        <sz val="10"/>
        <color rgb="FF000000"/>
        <rFont val="Arial"/>
        <family val="0"/>
        <charset val="1"/>
      </rPr>
      <t xml:space="preserve">4.6 </t>
    </r>
    <r>
      <rPr>
        <sz val="10"/>
        <color rgb="FF000000"/>
        <rFont val="Noto Sans CJK SC"/>
        <family val="2"/>
      </rPr>
      <t xml:space="preserve">萬億；升級為一手來源；期間更正為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月單月（原記 </t>
    </r>
    <r>
      <rPr>
        <sz val="10"/>
        <color rgb="FF000000"/>
        <rFont val="Arial"/>
        <family val="0"/>
        <charset val="1"/>
      </rPr>
      <t xml:space="preserve">1H2025</t>
    </r>
    <r>
      <rPr>
        <sz val="10"/>
        <color rgb="FF000000"/>
        <rFont val="Noto Sans CJK SC"/>
        <family val="2"/>
      </rPr>
      <t xml:space="preserve">）；與 </t>
    </r>
    <r>
      <rPr>
        <sz val="10"/>
        <color rgb="FF000000"/>
        <rFont val="Arial"/>
        <family val="0"/>
        <charset val="1"/>
      </rPr>
      <t xml:space="preserve">2025-11 </t>
    </r>
    <r>
      <rPr>
        <sz val="10"/>
        <color rgb="FF000000"/>
        <rFont val="Noto Sans CJK SC"/>
        <family val="2"/>
      </rPr>
      <t xml:space="preserve">的 </t>
    </r>
    <r>
      <rPr>
        <sz val="10"/>
        <color rgb="FF000000"/>
        <rFont val="Arial"/>
        <family val="0"/>
        <charset val="1"/>
      </rPr>
      <t xml:space="preserve">4.2T</t>
    </r>
    <r>
      <rPr>
        <sz val="10"/>
        <color rgb="FF000000"/>
        <rFont val="Noto Sans CJK SC"/>
        <family val="2"/>
      </rPr>
      <t xml:space="preserve">（</t>
    </r>
    <r>
      <rPr>
        <sz val="10"/>
        <color rgb="FF000000"/>
        <rFont val="Arial"/>
        <family val="0"/>
        <charset val="1"/>
      </rPr>
      <t xml:space="preserve">SRC_ZP_413</t>
    </r>
    <r>
      <rPr>
        <sz val="10"/>
        <color rgb="FF000000"/>
        <rFont val="Noto Sans CJK SC"/>
        <family val="2"/>
      </rPr>
      <t xml:space="preserve">）為不同月份，非矛盾</t>
    </r>
  </si>
  <si>
    <t xml:space="preserve">SRC_ZP_991</t>
  </si>
  <si>
    <t xml:space="preserve">tok_daily_nov25_p</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</si>
  <si>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32 </t>
    </r>
    <r>
      <rPr>
        <sz val="10"/>
        <color rgb="FF000000"/>
        <rFont val="Noto Sans CJK SC"/>
        <family val="2"/>
      </rPr>
      <t xml:space="preserve">頁</t>
    </r>
  </si>
  <si>
    <t xml:space="preserve">智譜（上市招股誘因）</t>
  </si>
  <si>
    <r>
      <rPr>
        <sz val="10"/>
        <color rgb="FF000000"/>
        <rFont val="Noto Sans CJK SC"/>
        <family val="2"/>
      </rPr>
      <t xml:space="preserve">原文（第 </t>
    </r>
    <r>
      <rPr>
        <sz val="10"/>
        <color rgb="FF000000"/>
        <rFont val="Arial"/>
        <family val="0"/>
        <charset val="1"/>
      </rPr>
      <t xml:space="preserve">32 </t>
    </r>
    <r>
      <rPr>
        <sz val="10"/>
        <color rgb="FF000000"/>
        <rFont val="Noto Sans CJK SC"/>
        <family val="2"/>
      </rPr>
      <t xml:space="preserve">頁＝印 </t>
    </r>
    <r>
      <rPr>
        <sz val="10"/>
        <color rgb="FF000000"/>
        <rFont val="Arial"/>
        <family val="0"/>
        <charset val="1"/>
      </rPr>
      <t xml:space="preserve">23</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11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消耗量為 </t>
    </r>
    <r>
      <rPr>
        <sz val="10"/>
        <color rgb="FF000000"/>
        <rFont val="Arial"/>
        <family val="0"/>
        <charset val="1"/>
      </rPr>
      <t xml:space="preserve">4.2 </t>
    </r>
    <r>
      <rPr>
        <sz val="10"/>
        <color rgb="FF000000"/>
        <rFont val="Noto Sans CJK SC"/>
        <family val="2"/>
      </rPr>
      <t xml:space="preserve">萬億」；頁碼補正</t>
    </r>
  </si>
  <si>
    <t xml:space="preserve">SRC_ZP_992</t>
  </si>
  <si>
    <t xml:space="preserve">cust_inst_fy22</t>
  </si>
  <si>
    <t xml:space="preserve">機構客戶數（期內有交易）</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</si>
  <si>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181 </t>
    </r>
    <r>
      <rPr>
        <sz val="10"/>
        <color rgb="FF000000"/>
        <rFont val="Noto Sans CJK SC"/>
        <family val="2"/>
      </rPr>
      <t xml:space="preserve">頁</t>
    </r>
  </si>
  <si>
    <r>
      <rPr>
        <sz val="10"/>
        <color rgb="FF000000"/>
        <rFont val="Noto Sans CJK SC"/>
        <family val="2"/>
      </rPr>
      <t xml:space="preserve">按業務分部劃分機構客戶數目表（第 </t>
    </r>
    <r>
      <rPr>
        <sz val="10"/>
        <color rgb="FF000000"/>
        <rFont val="Arial"/>
        <family val="0"/>
        <charset val="1"/>
      </rPr>
      <t xml:space="preserve">181 </t>
    </r>
    <r>
      <rPr>
        <sz val="10"/>
        <color rgb="FF000000"/>
        <rFont val="Noto Sans CJK SC"/>
        <family val="2"/>
      </rPr>
      <t xml:space="preserve">頁＝印 </t>
    </r>
    <r>
      <rPr>
        <sz val="10"/>
        <color rgb="FF000000"/>
        <rFont val="Arial"/>
        <family val="0"/>
        <charset val="1"/>
      </rPr>
      <t xml:space="preserve">172</t>
    </r>
    <r>
      <rPr>
        <sz val="10"/>
        <color rgb="FF000000"/>
        <rFont val="Noto Sans CJK SC"/>
        <family val="2"/>
      </rPr>
      <t xml:space="preserve">）：雲端部署 </t>
    </r>
    <r>
      <rPr>
        <sz val="10"/>
        <color rgb="FF000000"/>
        <rFont val="Arial"/>
        <family val="0"/>
        <charset val="1"/>
      </rPr>
      <t xml:space="preserve">0</t>
    </r>
    <r>
      <rPr>
        <sz val="10"/>
        <color rgb="FF000000"/>
        <rFont val="Noto Sans CJK SC"/>
        <family val="2"/>
      </rPr>
      <t xml:space="preserve">、本地化部署 </t>
    </r>
    <r>
      <rPr>
        <sz val="10"/>
        <color rgb="FF000000"/>
        <rFont val="Arial"/>
        <family val="0"/>
        <charset val="1"/>
      </rPr>
      <t xml:space="preserve">48</t>
    </r>
    <r>
      <rPr>
        <sz val="10"/>
        <color rgb="FF000000"/>
        <rFont val="Noto Sans CJK SC"/>
        <family val="2"/>
      </rPr>
      <t xml:space="preserve">、合計 </t>
    </r>
    <r>
      <rPr>
        <sz val="10"/>
        <color rgb="FF000000"/>
        <rFont val="Arial"/>
        <family val="0"/>
        <charset val="1"/>
      </rPr>
      <t xml:space="preserve">48</t>
    </r>
  </si>
  <si>
    <t xml:space="preserve">SRC_ZP_993</t>
  </si>
  <si>
    <t xml:space="preserve">cust_cloud_fy22</t>
  </si>
  <si>
    <t xml:space="preserve">雲端部署機構客戶數</t>
  </si>
  <si>
    <t xml:space="preserve">按業務分部劃分機構客戶數目表</t>
  </si>
  <si>
    <t xml:space="preserve">SRC_ZP_994</t>
  </si>
  <si>
    <t xml:space="preserve">cust_onprem_fy22</t>
  </si>
  <si>
    <t xml:space="preserve">本地化部署機構客戶數</t>
  </si>
  <si>
    <t xml:space="preserve">SRC_ZP_995</t>
  </si>
  <si>
    <t xml:space="preserve">cust_inst_fy23</t>
  </si>
  <si>
    <r>
      <rPr>
        <sz val="10"/>
        <color rgb="FF000000"/>
        <rFont val="Noto Sans CJK SC"/>
        <family val="2"/>
      </rPr>
      <t xml:space="preserve">按業務分部劃分機構客戶數目表（第 </t>
    </r>
    <r>
      <rPr>
        <sz val="10"/>
        <color rgb="FF000000"/>
        <rFont val="Arial"/>
        <family val="0"/>
        <charset val="1"/>
      </rPr>
      <t xml:space="preserve">181 </t>
    </r>
    <r>
      <rPr>
        <sz val="10"/>
        <color rgb="FF000000"/>
        <rFont val="Noto Sans CJK SC"/>
        <family val="2"/>
      </rPr>
      <t xml:space="preserve">頁＝印 </t>
    </r>
    <r>
      <rPr>
        <sz val="10"/>
        <color rgb="FF000000"/>
        <rFont val="Arial"/>
        <family val="0"/>
        <charset val="1"/>
      </rPr>
      <t xml:space="preserve">172</t>
    </r>
    <r>
      <rPr>
        <sz val="10"/>
        <color rgb="FF000000"/>
        <rFont val="Noto Sans CJK SC"/>
        <family val="2"/>
      </rPr>
      <t xml:space="preserve">）：雲端部署 </t>
    </r>
    <r>
      <rPr>
        <sz val="10"/>
        <color rgb="FF000000"/>
        <rFont val="Arial"/>
        <family val="0"/>
        <charset val="1"/>
      </rPr>
      <t xml:space="preserve">2812</t>
    </r>
    <r>
      <rPr>
        <sz val="10"/>
        <color rgb="FF000000"/>
        <rFont val="Noto Sans CJK SC"/>
        <family val="2"/>
      </rPr>
      <t xml:space="preserve">、本地化部署 </t>
    </r>
    <r>
      <rPr>
        <sz val="10"/>
        <color rgb="FF000000"/>
        <rFont val="Arial"/>
        <family val="0"/>
        <charset val="1"/>
      </rPr>
      <t xml:space="preserve">61</t>
    </r>
    <r>
      <rPr>
        <sz val="10"/>
        <color rgb="FF000000"/>
        <rFont val="Noto Sans CJK SC"/>
        <family val="2"/>
      </rPr>
      <t xml:space="preserve">、合計 </t>
    </r>
    <r>
      <rPr>
        <sz val="10"/>
        <color rgb="FF000000"/>
        <rFont val="Arial"/>
        <family val="0"/>
        <charset val="1"/>
      </rPr>
      <t xml:space="preserve">2873</t>
    </r>
  </si>
  <si>
    <t xml:space="preserve">SRC_ZP_996</t>
  </si>
  <si>
    <t xml:space="preserve">cust_cloud_fy23</t>
  </si>
  <si>
    <t xml:space="preserve">SRC_ZP_997</t>
  </si>
  <si>
    <t xml:space="preserve">cust_onprem_fy23</t>
  </si>
  <si>
    <t xml:space="preserve">SRC_ZP_998</t>
  </si>
  <si>
    <t xml:space="preserve">cust_inst_fy24</t>
  </si>
  <si>
    <r>
      <rPr>
        <sz val="10"/>
        <color rgb="FF000000"/>
        <rFont val="Noto Sans CJK SC"/>
        <family val="2"/>
      </rPr>
      <t xml:space="preserve">按業務分部劃分機構客戶數目表（第 </t>
    </r>
    <r>
      <rPr>
        <sz val="10"/>
        <color rgb="FF000000"/>
        <rFont val="Arial"/>
        <family val="0"/>
        <charset val="1"/>
      </rPr>
      <t xml:space="preserve">181 </t>
    </r>
    <r>
      <rPr>
        <sz val="10"/>
        <color rgb="FF000000"/>
        <rFont val="Noto Sans CJK SC"/>
        <family val="2"/>
      </rPr>
      <t xml:space="preserve">頁＝印 </t>
    </r>
    <r>
      <rPr>
        <sz val="10"/>
        <color rgb="FF000000"/>
        <rFont val="Arial"/>
        <family val="0"/>
        <charset val="1"/>
      </rPr>
      <t xml:space="preserve">172</t>
    </r>
    <r>
      <rPr>
        <sz val="10"/>
        <color rgb="FF000000"/>
        <rFont val="Noto Sans CJK SC"/>
        <family val="2"/>
      </rPr>
      <t xml:space="preserve">）：雲端部署 </t>
    </r>
    <r>
      <rPr>
        <sz val="10"/>
        <color rgb="FF000000"/>
        <rFont val="Arial"/>
        <family val="0"/>
        <charset val="1"/>
      </rPr>
      <t xml:space="preserve">5457</t>
    </r>
    <r>
      <rPr>
        <sz val="10"/>
        <color rgb="FF000000"/>
        <rFont val="Noto Sans CJK SC"/>
        <family val="2"/>
      </rPr>
      <t xml:space="preserve">、本地化部署 </t>
    </r>
    <r>
      <rPr>
        <sz val="10"/>
        <color rgb="FF000000"/>
        <rFont val="Arial"/>
        <family val="0"/>
        <charset val="1"/>
      </rPr>
      <t xml:space="preserve">123</t>
    </r>
    <r>
      <rPr>
        <sz val="10"/>
        <color rgb="FF000000"/>
        <rFont val="Noto Sans CJK SC"/>
        <family val="2"/>
      </rPr>
      <t xml:space="preserve">、合計 </t>
    </r>
    <r>
      <rPr>
        <sz val="10"/>
        <color rgb="FF000000"/>
        <rFont val="Arial"/>
        <family val="0"/>
        <charset val="1"/>
      </rPr>
      <t xml:space="preserve">5580</t>
    </r>
  </si>
  <si>
    <t xml:space="preserve">SRC_ZP_999</t>
  </si>
  <si>
    <t xml:space="preserve">cust_cloud_fy24</t>
  </si>
  <si>
    <t xml:space="preserve">SRC_ZP_1000</t>
  </si>
  <si>
    <t xml:space="preserve">cust_onprem_fy24</t>
  </si>
  <si>
    <t xml:space="preserve">SRC_ZP_1001</t>
  </si>
  <si>
    <t xml:space="preserve">cust_inst_1h25</t>
  </si>
  <si>
    <r>
      <rPr>
        <sz val="10"/>
        <color rgb="FF000000"/>
        <rFont val="Noto Sans CJK SC"/>
        <family val="2"/>
      </rPr>
      <t xml:space="preserve">按業務分部劃分機構客戶數目表（第 </t>
    </r>
    <r>
      <rPr>
        <sz val="10"/>
        <color rgb="FF000000"/>
        <rFont val="Arial"/>
        <family val="0"/>
        <charset val="1"/>
      </rPr>
      <t xml:space="preserve">181 </t>
    </r>
    <r>
      <rPr>
        <sz val="10"/>
        <color rgb="FF000000"/>
        <rFont val="Noto Sans CJK SC"/>
        <family val="2"/>
      </rPr>
      <t xml:space="preserve">頁＝印 </t>
    </r>
    <r>
      <rPr>
        <sz val="10"/>
        <color rgb="FF000000"/>
        <rFont val="Arial"/>
        <family val="0"/>
        <charset val="1"/>
      </rPr>
      <t xml:space="preserve">172</t>
    </r>
    <r>
      <rPr>
        <sz val="10"/>
        <color rgb="FF000000"/>
        <rFont val="Noto Sans CJK SC"/>
        <family val="2"/>
      </rPr>
      <t xml:space="preserve">）：雲端部署 </t>
    </r>
    <r>
      <rPr>
        <sz val="10"/>
        <color rgb="FF000000"/>
        <rFont val="Arial"/>
        <family val="0"/>
        <charset val="1"/>
      </rPr>
      <t xml:space="preserve">3061</t>
    </r>
    <r>
      <rPr>
        <sz val="10"/>
        <color rgb="FF000000"/>
        <rFont val="Noto Sans CJK SC"/>
        <family val="2"/>
      </rPr>
      <t xml:space="preserve">、本地化部署 </t>
    </r>
    <r>
      <rPr>
        <sz val="10"/>
        <color rgb="FF000000"/>
        <rFont val="Arial"/>
        <family val="0"/>
        <charset val="1"/>
      </rPr>
      <t xml:space="preserve">95</t>
    </r>
    <r>
      <rPr>
        <sz val="10"/>
        <color rgb="FF000000"/>
        <rFont val="Noto Sans CJK SC"/>
        <family val="2"/>
      </rPr>
      <t xml:space="preserve">、合計 </t>
    </r>
    <r>
      <rPr>
        <sz val="10"/>
        <color rgb="FF000000"/>
        <rFont val="Arial"/>
        <family val="0"/>
        <charset val="1"/>
      </rPr>
      <t xml:space="preserve">3156</t>
    </r>
    <r>
      <rPr>
        <sz val="10"/>
        <color rgb="FF000000"/>
        <rFont val="Noto Sans CJK SC"/>
        <family val="2"/>
      </rPr>
      <t xml:space="preserve">；與既有值差異：</t>
    </r>
    <r>
      <rPr>
        <sz val="10"/>
        <color rgb="FF000000"/>
        <rFont val="Arial"/>
        <family val="0"/>
        <charset val="1"/>
      </rPr>
      <t xml:space="preserve">SRC_ZP_404 </t>
    </r>
    <r>
      <rPr>
        <sz val="10"/>
        <color rgb="FF000000"/>
        <rFont val="Noto Sans CJK SC"/>
        <family val="2"/>
      </rPr>
      <t xml:space="preserve">之「逾八千家」為「模型已為…提供支持」口徑（累計／賦能），非期內付費機構客戶；第 </t>
    </r>
    <r>
      <rPr>
        <sz val="10"/>
        <color rgb="FF000000"/>
        <rFont val="Arial"/>
        <family val="0"/>
        <charset val="1"/>
      </rPr>
      <t xml:space="preserve">207 </t>
    </r>
    <r>
      <rPr>
        <sz val="10"/>
        <color rgb="FF000000"/>
        <rFont val="Noto Sans CJK SC"/>
        <family val="2"/>
      </rPr>
      <t xml:space="preserve">頁「機構客戶數目由 </t>
    </r>
    <r>
      <rPr>
        <sz val="10"/>
        <color rgb="FF000000"/>
        <rFont val="Arial"/>
        <family val="0"/>
        <charset val="1"/>
      </rPr>
      <t xml:space="preserve">2022 </t>
    </r>
    <r>
      <rPr>
        <sz val="10"/>
        <color rgb="FF000000"/>
        <rFont val="Noto Sans CJK SC"/>
        <family val="2"/>
      </rPr>
      <t xml:space="preserve">年的 </t>
    </r>
    <r>
      <rPr>
        <sz val="10"/>
        <color rgb="FF000000"/>
        <rFont val="Arial"/>
        <family val="0"/>
        <charset val="1"/>
      </rPr>
      <t xml:space="preserve">48 </t>
    </r>
    <r>
      <rPr>
        <sz val="10"/>
        <color rgb="FF000000"/>
        <rFont val="Noto Sans CJK SC"/>
        <family val="2"/>
      </rPr>
      <t xml:space="preserve">家增至…</t>
    </r>
    <r>
      <rPr>
        <sz val="10"/>
        <color rgb="FF000000"/>
        <rFont val="Arial"/>
        <family val="0"/>
        <charset val="1"/>
      </rPr>
      <t xml:space="preserve">3,156 </t>
    </r>
    <r>
      <rPr>
        <sz val="10"/>
        <color rgb="FF000000"/>
        <rFont val="Noto Sans CJK SC"/>
        <family val="2"/>
      </rPr>
      <t xml:space="preserve">家」</t>
    </r>
  </si>
  <si>
    <t xml:space="preserve">SRC_ZP_1002</t>
  </si>
  <si>
    <t xml:space="preserve">cust_cloud_1h25</t>
  </si>
  <si>
    <t xml:space="preserve">SRC_ZP_1003</t>
  </si>
  <si>
    <t xml:space="preserve">cust_onprem_1h25</t>
  </si>
  <si>
    <t xml:space="preserve">SRC_ZP_1004</t>
  </si>
  <si>
    <t xml:space="preserve">oss_downloads_1h25</t>
  </si>
  <si>
    <t xml:space="preserve">開源模型累計下載量</t>
  </si>
  <si>
    <t xml:space="preserve">百萬次（以上）</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</si>
  <si>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162 </t>
    </r>
    <r>
      <rPr>
        <sz val="10"/>
        <color rgb="FF000000"/>
        <rFont val="Noto Sans CJK SC"/>
        <family val="2"/>
      </rPr>
      <t xml:space="preserve">頁</t>
    </r>
  </si>
  <si>
    <r>
      <rPr>
        <sz val="10"/>
        <color rgb="FF000000"/>
        <rFont val="Noto Sans CJK SC"/>
        <family val="2"/>
      </rPr>
      <t xml:space="preserve">原文「截至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日，我們開源了 </t>
    </r>
    <r>
      <rPr>
        <sz val="10"/>
        <color rgb="FF000000"/>
        <rFont val="Arial"/>
        <family val="0"/>
        <charset val="1"/>
      </rPr>
      <t xml:space="preserve">50 </t>
    </r>
    <r>
      <rPr>
        <sz val="10"/>
        <color rgb="FF000000"/>
        <rFont val="Noto Sans CJK SC"/>
        <family val="2"/>
      </rPr>
      <t xml:space="preserve">多個模型，我們的開源大模型累計下載量已超過 </t>
    </r>
    <r>
      <rPr>
        <sz val="10"/>
        <color rgb="FF000000"/>
        <rFont val="Arial"/>
        <family val="0"/>
        <charset val="1"/>
      </rPr>
      <t xml:space="preserve">4,500 </t>
    </r>
    <r>
      <rPr>
        <sz val="10"/>
        <color rgb="FF000000"/>
        <rFont val="Noto Sans CJK SC"/>
        <family val="2"/>
      </rPr>
      <t xml:space="preserve">萬次」</t>
    </r>
  </si>
  <si>
    <t xml:space="preserve">SRC_ZP_1005</t>
  </si>
  <si>
    <t xml:space="preserve">codegeex_lines_1h25</t>
  </si>
  <si>
    <r>
      <rPr>
        <sz val="10"/>
        <color rgb="FF000000"/>
        <rFont val="Arial"/>
        <family val="0"/>
        <charset val="1"/>
      </rPr>
      <t xml:space="preserve">CodeGeeX </t>
    </r>
    <r>
      <rPr>
        <sz val="10"/>
        <color rgb="FF000000"/>
        <rFont val="Noto Sans CJK SC"/>
        <family val="2"/>
      </rPr>
      <t xml:space="preserve">日均生成代碼行數</t>
    </r>
  </si>
  <si>
    <t xml:space="preserve">百萬行／日（以上）</t>
  </si>
  <si>
    <r>
      <rPr>
        <sz val="10"/>
        <color rgb="FF000000"/>
        <rFont val="Noto Sans CJK SC"/>
        <family val="2"/>
      </rPr>
      <t xml:space="preserve">原文「截至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t>
    </r>
    <r>
      <rPr>
        <sz val="10"/>
        <color rgb="FF000000"/>
        <rFont val="Arial"/>
        <family val="0"/>
        <charset val="1"/>
      </rPr>
      <t xml:space="preserve">CodeGeeX</t>
    </r>
    <r>
      <rPr>
        <sz val="10"/>
        <color rgb="FF000000"/>
        <rFont val="Noto Sans CJK SC"/>
        <family val="2"/>
      </rPr>
      <t xml:space="preserve">日均生成一億行以上代碼」</t>
    </r>
  </si>
  <si>
    <t xml:space="preserve">SRC_ZP_1006</t>
  </si>
  <si>
    <t xml:space="preserve">rev_growth_3q25</t>
  </si>
  <si>
    <r>
      <rPr>
        <sz val="10"/>
        <color rgb="FF000000"/>
        <rFont val="Arial"/>
        <family val="0"/>
        <charset val="1"/>
      </rPr>
      <t xml:space="preserve">2025 </t>
    </r>
    <r>
      <rPr>
        <sz val="10"/>
        <color rgb="FF000000"/>
        <rFont val="Noto Sans CJK SC"/>
        <family val="2"/>
      </rPr>
      <t xml:space="preserve">年第三季收入同比增幅（管理賬目）</t>
    </r>
  </si>
  <si>
    <r>
      <rPr>
        <sz val="10"/>
        <color rgb="FF000000"/>
        <rFont val="Arial"/>
        <family val="0"/>
        <charset val="1"/>
      </rPr>
      <t xml:space="preserve">%</t>
    </r>
    <r>
      <rPr>
        <sz val="10"/>
        <color rgb="FF000000"/>
        <rFont val="Noto Sans CJK SC"/>
        <family val="2"/>
      </rPr>
      <t xml:space="preserve">（以上）</t>
    </r>
  </si>
  <si>
    <t xml:space="preserve">3Q2025</t>
  </si>
  <si>
    <t xml:space="preserve">未經審計（管理賬目）</t>
  </si>
  <si>
    <r>
      <rPr>
        <sz val="10"/>
        <color rgb="FF000000"/>
        <rFont val="Noto Sans CJK SC"/>
        <family val="2"/>
      </rPr>
      <t xml:space="preserve">原文「根據我們未經審計的管理賬目，我們預計截至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9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日止三個月的收入將比 </t>
    </r>
    <r>
      <rPr>
        <sz val="10"/>
        <color rgb="FF000000"/>
        <rFont val="Arial"/>
        <family val="0"/>
        <charset val="1"/>
      </rPr>
      <t xml:space="preserve">2024 </t>
    </r>
    <r>
      <rPr>
        <sz val="10"/>
        <color rgb="FF000000"/>
        <rFont val="Noto Sans CJK SC"/>
        <family val="2"/>
      </rPr>
      <t xml:space="preserve">年同期增長 </t>
    </r>
    <r>
      <rPr>
        <sz val="10"/>
        <color rgb="FF000000"/>
        <rFont val="Arial"/>
        <family val="0"/>
        <charset val="1"/>
      </rPr>
      <t xml:space="preserve">60%</t>
    </r>
    <r>
      <rPr>
        <sz val="10"/>
        <color rgb="FF000000"/>
        <rFont val="Noto Sans CJK SC"/>
        <family val="2"/>
      </rPr>
      <t xml:space="preserve">以上」</t>
    </r>
  </si>
  <si>
    <t xml:space="preserve">SRC_ZP_1007</t>
  </si>
  <si>
    <t xml:space="preserve">cust_top5_rev_1h25</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</si>
  <si>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213–214 </t>
    </r>
    <r>
      <rPr>
        <sz val="10"/>
        <color rgb="FF000000"/>
        <rFont val="Noto Sans CJK SC"/>
        <family val="2"/>
      </rPr>
      <t xml:space="preserve">頁</t>
    </r>
  </si>
  <si>
    <r>
      <rPr>
        <sz val="10"/>
        <color rgb="FF000000"/>
        <rFont val="Noto Sans CJK SC"/>
        <family val="2"/>
      </rPr>
      <t xml:space="preserve">五大客戶表合計 </t>
    </r>
    <r>
      <rPr>
        <sz val="10"/>
        <color rgb="FF000000"/>
        <rFont val="Arial"/>
        <family val="0"/>
        <charset val="1"/>
      </rPr>
      <t xml:space="preserve">76,533 </t>
    </r>
    <r>
      <rPr>
        <sz val="10"/>
        <color rgb="FF000000"/>
        <rFont val="Noto Sans CJK SC"/>
        <family val="2"/>
      </rPr>
      <t xml:space="preserve">千元、</t>
    </r>
    <r>
      <rPr>
        <sz val="10"/>
        <color rgb="FF000000"/>
        <rFont val="Arial"/>
        <family val="0"/>
        <charset val="1"/>
      </rPr>
      <t xml:space="preserve">40.0%</t>
    </r>
    <r>
      <rPr>
        <sz val="10"/>
        <color rgb="FF000000"/>
        <rFont val="Noto Sans CJK SC"/>
        <family val="2"/>
      </rPr>
      <t xml:space="preserve">（本地化部署客戶）</t>
    </r>
  </si>
  <si>
    <t xml:space="preserve">SRC_ZP_1008</t>
  </si>
  <si>
    <t xml:space="preserve">cust_top5_rev_fy24_p</t>
  </si>
  <si>
    <r>
      <rPr>
        <sz val="10"/>
        <color rgb="FF000000"/>
        <rFont val="Noto Sans CJK SC"/>
        <family val="2"/>
      </rPr>
      <t xml:space="preserve">五大客戶表合計 </t>
    </r>
    <r>
      <rPr>
        <sz val="10"/>
        <color rgb="FF000000"/>
        <rFont val="Arial"/>
        <family val="0"/>
        <charset val="1"/>
      </rPr>
      <t xml:space="preserve">142,189 </t>
    </r>
    <r>
      <rPr>
        <sz val="10"/>
        <color rgb="FF000000"/>
        <rFont val="Noto Sans CJK SC"/>
        <family val="2"/>
      </rPr>
      <t xml:space="preserve">千元、</t>
    </r>
    <r>
      <rPr>
        <sz val="10"/>
        <color rgb="FF000000"/>
        <rFont val="Arial"/>
        <family val="0"/>
        <charset val="1"/>
      </rPr>
      <t xml:space="preserve">45.5%</t>
    </r>
    <r>
      <rPr>
        <sz val="10"/>
        <color rgb="FF000000"/>
        <rFont val="Noto Sans CJK SC"/>
        <family val="2"/>
      </rPr>
      <t xml:space="preserve">（本地化部署客戶）；升級為一手來源；</t>
    </r>
    <r>
      <rPr>
        <sz val="10"/>
        <color rgb="FF000000"/>
        <rFont val="Arial"/>
        <family val="0"/>
        <charset val="1"/>
      </rPr>
      <t xml:space="preserve">142,189 </t>
    </r>
    <r>
      <rPr>
        <sz val="10"/>
        <color rgb="FF000000"/>
        <rFont val="Noto Sans CJK SC"/>
        <family val="2"/>
      </rPr>
      <t xml:space="preserve">千元≈</t>
    </r>
    <r>
      <rPr>
        <sz val="10"/>
        <color rgb="FF000000"/>
        <rFont val="Arial"/>
        <family val="0"/>
        <charset val="1"/>
      </rPr>
      <t xml:space="preserve">1.42 </t>
    </r>
    <r>
      <rPr>
        <sz val="10"/>
        <color rgb="FF000000"/>
        <rFont val="Noto Sans CJK SC"/>
        <family val="2"/>
      </rPr>
      <t xml:space="preserve">億</t>
    </r>
  </si>
  <si>
    <t xml:space="preserve">SRC_ZP_1009</t>
  </si>
  <si>
    <t xml:space="preserve">cust_top5_rev_fy23</t>
  </si>
  <si>
    <r>
      <rPr>
        <sz val="10"/>
        <color rgb="FF000000"/>
        <rFont val="Noto Sans CJK SC"/>
        <family val="2"/>
      </rPr>
      <t xml:space="preserve">五大客戶表合計 </t>
    </r>
    <r>
      <rPr>
        <sz val="10"/>
        <color rgb="FF000000"/>
        <rFont val="Arial"/>
        <family val="0"/>
        <charset val="1"/>
      </rPr>
      <t xml:space="preserve">76,627 </t>
    </r>
    <r>
      <rPr>
        <sz val="10"/>
        <color rgb="FF000000"/>
        <rFont val="Noto Sans CJK SC"/>
        <family val="2"/>
      </rPr>
      <t xml:space="preserve">千元、</t>
    </r>
    <r>
      <rPr>
        <sz val="10"/>
        <color rgb="FF000000"/>
        <rFont val="Arial"/>
        <family val="0"/>
        <charset val="1"/>
      </rPr>
      <t xml:space="preserve">61.5%</t>
    </r>
    <r>
      <rPr>
        <sz val="10"/>
        <color rgb="FF000000"/>
        <rFont val="Noto Sans CJK SC"/>
        <family val="2"/>
      </rPr>
      <t xml:space="preserve">（本地化部署客戶）</t>
    </r>
  </si>
  <si>
    <t xml:space="preserve">SRC_ZP_1010</t>
  </si>
  <si>
    <t xml:space="preserve">cust_top5_rev_fy22</t>
  </si>
  <si>
    <r>
      <rPr>
        <sz val="10"/>
        <color rgb="FF000000"/>
        <rFont val="Noto Sans CJK SC"/>
        <family val="2"/>
      </rPr>
      <t xml:space="preserve">五大客戶表合計 </t>
    </r>
    <r>
      <rPr>
        <sz val="10"/>
        <color rgb="FF000000"/>
        <rFont val="Arial"/>
        <family val="0"/>
        <charset val="1"/>
      </rPr>
      <t xml:space="preserve">31,825 </t>
    </r>
    <r>
      <rPr>
        <sz val="10"/>
        <color rgb="FF000000"/>
        <rFont val="Noto Sans CJK SC"/>
        <family val="2"/>
      </rPr>
      <t xml:space="preserve">千元、</t>
    </r>
    <r>
      <rPr>
        <sz val="10"/>
        <color rgb="FF000000"/>
        <rFont val="Arial"/>
        <family val="0"/>
        <charset val="1"/>
      </rPr>
      <t xml:space="preserve">55.4%</t>
    </r>
    <r>
      <rPr>
        <sz val="10"/>
        <color rgb="FF000000"/>
        <rFont val="Noto Sans CJK SC"/>
        <family val="2"/>
      </rPr>
      <t xml:space="preserve">（本地化部署客戶）</t>
    </r>
  </si>
  <si>
    <t xml:space="preserve">SRC_ZP_1011</t>
  </si>
  <si>
    <t xml:space="preserve">cust_top1_1h25_detail</t>
  </si>
  <si>
    <r>
      <rPr>
        <sz val="10"/>
        <color rgb="FF000000"/>
        <rFont val="Arial"/>
        <family val="0"/>
        <charset val="1"/>
      </rPr>
      <t xml:space="preserve">1H2025 </t>
    </r>
    <r>
      <rPr>
        <sz val="10"/>
        <color rgb="FF000000"/>
        <rFont val="Noto Sans CJK SC"/>
        <family val="2"/>
      </rPr>
      <t xml:space="preserve">最大客戶（客戶</t>
    </r>
    <r>
      <rPr>
        <sz val="10"/>
        <color rgb="FF000000"/>
        <rFont val="Arial"/>
        <family val="0"/>
        <charset val="1"/>
      </rPr>
      <t xml:space="preserve">A</t>
    </r>
    <r>
      <rPr>
        <sz val="10"/>
        <color rgb="FF000000"/>
        <rFont val="Noto Sans CJK SC"/>
        <family val="2"/>
      </rPr>
      <t xml:space="preserve">）收入</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</si>
  <si>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213 </t>
    </r>
    <r>
      <rPr>
        <sz val="10"/>
        <color rgb="FF000000"/>
        <rFont val="Noto Sans CJK SC"/>
        <family val="2"/>
      </rPr>
      <t xml:space="preserve">頁</t>
    </r>
  </si>
  <si>
    <r>
      <rPr>
        <sz val="10"/>
        <color rgb="FF000000"/>
        <rFont val="Noto Sans CJK SC"/>
        <family val="2"/>
      </rPr>
      <t xml:space="preserve">五大客戶表：</t>
    </r>
    <r>
      <rPr>
        <sz val="10"/>
        <color rgb="FF000000"/>
        <rFont val="Arial"/>
        <family val="0"/>
        <charset val="1"/>
      </rPr>
      <t xml:space="preserve">A</t>
    </r>
    <r>
      <rPr>
        <sz val="10"/>
        <color rgb="FF000000"/>
        <rFont val="Noto Sans CJK SC"/>
        <family val="2"/>
      </rPr>
      <t xml:space="preserve">「藝術相關的學習服務、直播電商、文化旅遊研學、智慧教育服務及人工智能教育」，信貸期 </t>
    </r>
    <r>
      <rPr>
        <sz val="10"/>
        <color rgb="FF000000"/>
        <rFont val="Arial"/>
        <family val="0"/>
        <charset val="1"/>
      </rPr>
      <t xml:space="preserve">10 </t>
    </r>
    <r>
      <rPr>
        <sz val="10"/>
        <color rgb="FF000000"/>
        <rFont val="Noto Sans CJK SC"/>
        <family val="2"/>
      </rPr>
      <t xml:space="preserve">個工作日，</t>
    </r>
    <r>
      <rPr>
        <sz val="10"/>
        <color rgb="FF000000"/>
        <rFont val="Arial"/>
        <family val="0"/>
        <charset val="1"/>
      </rPr>
      <t xml:space="preserve">20,977 </t>
    </r>
    <r>
      <rPr>
        <sz val="10"/>
        <color rgb="FF000000"/>
        <rFont val="Noto Sans CJK SC"/>
        <family val="2"/>
      </rPr>
      <t xml:space="preserve">千元、</t>
    </r>
    <r>
      <rPr>
        <sz val="10"/>
        <color rgb="FF000000"/>
        <rFont val="Arial"/>
        <family val="0"/>
        <charset val="1"/>
      </rPr>
      <t xml:space="preserve">11.0%</t>
    </r>
    <r>
      <rPr>
        <sz val="10"/>
        <color rgb="FF000000"/>
        <rFont val="Noto Sans CJK SC"/>
        <family val="2"/>
      </rPr>
      <t xml:space="preserve">；附註 </t>
    </r>
    <r>
      <rPr>
        <sz val="10"/>
        <color rgb="FF000000"/>
        <rFont val="Arial"/>
        <family val="0"/>
        <charset val="1"/>
      </rPr>
      <t xml:space="preserve">33(d) </t>
    </r>
    <r>
      <rPr>
        <sz val="10"/>
        <color rgb="FF000000"/>
        <rFont val="Noto Sans CJK SC"/>
        <family val="2"/>
      </rPr>
      <t xml:space="preserve">關聯方銷售同額 </t>
    </r>
    <r>
      <rPr>
        <sz val="10"/>
        <color rgb="FF000000"/>
        <rFont val="Arial"/>
        <family val="0"/>
        <charset val="1"/>
      </rPr>
      <t xml:space="preserve">20,977</t>
    </r>
    <r>
      <rPr>
        <sz val="10"/>
        <color rgb="FF000000"/>
        <rFont val="Noto Sans CJK SC"/>
        <family val="2"/>
      </rPr>
      <t xml:space="preserve">（北京豆神智創為聯營公司）</t>
    </r>
  </si>
  <si>
    <t xml:space="preserve">SRC_ZP_1012</t>
  </si>
  <si>
    <t xml:space="preserve">cust_top1_fy24_detail</t>
  </si>
  <si>
    <r>
      <rPr>
        <sz val="10"/>
        <color rgb="FF000000"/>
        <rFont val="Arial"/>
        <family val="0"/>
        <charset val="1"/>
      </rPr>
      <t xml:space="preserve">FY2024 </t>
    </r>
    <r>
      <rPr>
        <sz val="10"/>
        <color rgb="FF000000"/>
        <rFont val="Noto Sans CJK SC"/>
        <family val="2"/>
      </rPr>
      <t xml:space="preserve">最大客戶（客戶</t>
    </r>
    <r>
      <rPr>
        <sz val="10"/>
        <color rgb="FF000000"/>
        <rFont val="Arial"/>
        <family val="0"/>
        <charset val="1"/>
      </rPr>
      <t xml:space="preserve">F</t>
    </r>
    <r>
      <rPr>
        <sz val="10"/>
        <color rgb="FF000000"/>
        <rFont val="Noto Sans CJK SC"/>
        <family val="2"/>
      </rPr>
      <t xml:space="preserve">）收入</t>
    </r>
  </si>
  <si>
    <r>
      <rPr>
        <sz val="10"/>
        <color rgb="FF000000"/>
        <rFont val="Noto Sans CJK SC"/>
        <family val="2"/>
      </rPr>
      <t xml:space="preserve">五大客戶表：</t>
    </r>
    <r>
      <rPr>
        <sz val="10"/>
        <color rgb="FF000000"/>
        <rFont val="Arial"/>
        <family val="0"/>
        <charset val="1"/>
      </rPr>
      <t xml:space="preserve">F</t>
    </r>
    <r>
      <rPr>
        <sz val="10"/>
        <color rgb="FF000000"/>
        <rFont val="Noto Sans CJK SC"/>
        <family val="2"/>
      </rPr>
      <t xml:space="preserve">「技術開發和諮詢服務；計算機系統和數據處理服務；人工智能應用開發」，</t>
    </r>
    <r>
      <rPr>
        <sz val="10"/>
        <color rgb="FF000000"/>
        <rFont val="Arial"/>
        <family val="0"/>
        <charset val="1"/>
      </rPr>
      <t xml:space="preserve">59,465 </t>
    </r>
    <r>
      <rPr>
        <sz val="10"/>
        <color rgb="FF000000"/>
        <rFont val="Noto Sans CJK SC"/>
        <family val="2"/>
      </rPr>
      <t xml:space="preserve">千元、</t>
    </r>
    <r>
      <rPr>
        <sz val="10"/>
        <color rgb="FF000000"/>
        <rFont val="Arial"/>
        <family val="0"/>
        <charset val="1"/>
      </rPr>
      <t xml:space="preserve">19.0%</t>
    </r>
  </si>
  <si>
    <t xml:space="preserve">SRC_ZP_1013</t>
  </si>
  <si>
    <t xml:space="preserve">debtor_top5_share_fy22</t>
  </si>
  <si>
    <t xml:space="preserve">五大貿易債務人占貿易應收款項總額</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</si>
  <si>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296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</si>
  <si>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296 </t>
    </r>
    <r>
      <rPr>
        <sz val="10"/>
        <color rgb="FF000000"/>
        <rFont val="Noto Sans CJK SC"/>
        <family val="2"/>
      </rPr>
      <t xml:space="preserve">頁＝印 </t>
    </r>
    <r>
      <rPr>
        <sz val="10"/>
        <color rgb="FF000000"/>
        <rFont val="Arial"/>
        <family val="0"/>
        <charset val="1"/>
      </rPr>
      <t xml:space="preserve">287</t>
    </r>
    <r>
      <rPr>
        <sz val="10"/>
        <color rgb="FF000000"/>
        <rFont val="Noto Sans CJK SC"/>
        <family val="2"/>
      </rPr>
      <t xml:space="preserve">）「貿易應收款項總額的 </t>
    </r>
    <r>
      <rPr>
        <sz val="10"/>
        <color rgb="FF000000"/>
        <rFont val="Arial"/>
        <family val="0"/>
        <charset val="1"/>
      </rPr>
      <t xml:space="preserve">74.9%</t>
    </r>
    <r>
      <rPr>
        <sz val="10"/>
        <color rgb="FF000000"/>
        <rFont val="Noto Sans CJK SC"/>
        <family val="2"/>
      </rPr>
      <t xml:space="preserve">、</t>
    </r>
    <r>
      <rPr>
        <sz val="10"/>
        <color rgb="FF000000"/>
        <rFont val="Arial"/>
        <family val="0"/>
        <charset val="1"/>
      </rPr>
      <t xml:space="preserve">75.3%</t>
    </r>
    <r>
      <rPr>
        <sz val="10"/>
        <color rgb="FF000000"/>
        <rFont val="Noto Sans CJK SC"/>
        <family val="2"/>
      </rPr>
      <t xml:space="preserve">、</t>
    </r>
    <r>
      <rPr>
        <sz val="10"/>
        <color rgb="FF000000"/>
        <rFont val="Arial"/>
        <family val="0"/>
        <charset val="1"/>
      </rPr>
      <t xml:space="preserve">50.9%</t>
    </r>
    <r>
      <rPr>
        <sz val="10"/>
        <color rgb="FF000000"/>
        <rFont val="Noto Sans CJK SC"/>
        <family val="2"/>
      </rPr>
      <t xml:space="preserve">及 </t>
    </r>
    <r>
      <rPr>
        <sz val="10"/>
        <color rgb="FF000000"/>
        <rFont val="Arial"/>
        <family val="0"/>
        <charset val="1"/>
      </rPr>
      <t xml:space="preserve">39.0%</t>
    </r>
    <r>
      <rPr>
        <sz val="10"/>
        <color rgb="FF000000"/>
        <rFont val="Noto Sans CJK SC"/>
        <family val="2"/>
      </rPr>
      <t xml:space="preserve">分別來自我們的五大貿易債務人」</t>
    </r>
  </si>
  <si>
    <t xml:space="preserve">SRC_ZP_1014</t>
  </si>
  <si>
    <t xml:space="preserve">debtor_top5_share_fy23</t>
  </si>
  <si>
    <t xml:space="preserve">SRC_ZP_1015</t>
  </si>
  <si>
    <t xml:space="preserve">debtor_top5_share_fy24</t>
  </si>
  <si>
    <t xml:space="preserve">SRC_ZP_1016</t>
  </si>
  <si>
    <t xml:space="preserve">debtor_top5_share_1h25</t>
  </si>
  <si>
    <t xml:space="preserve">SRC_ZP_1017</t>
  </si>
  <si>
    <t xml:space="preserve">cust_payment_terms</t>
  </si>
  <si>
    <t xml:space="preserve">客戶付款條件</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</si>
  <si>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212</t>
    </r>
    <r>
      <rPr>
        <sz val="10"/>
        <color rgb="FF000000"/>
        <rFont val="Noto Sans CJK SC"/>
        <family val="2"/>
      </rPr>
      <t xml:space="preserve">、</t>
    </r>
    <r>
      <rPr>
        <sz val="10"/>
        <color rgb="FF000000"/>
        <rFont val="Arial"/>
        <family val="0"/>
        <charset val="1"/>
      </rPr>
      <t xml:space="preserve">296 </t>
    </r>
    <r>
      <rPr>
        <sz val="10"/>
        <color rgb="FF000000"/>
        <rFont val="Noto Sans CJK SC"/>
        <family val="2"/>
      </rPr>
      <t xml:space="preserve">頁</t>
    </r>
  </si>
  <si>
    <r>
      <rPr>
        <sz val="10"/>
        <color rgb="FF000000"/>
        <rFont val="Noto Sans CJK SC"/>
        <family val="2"/>
      </rPr>
      <t xml:space="preserve">原文「我們按個別基準向若干客戶授出信貸期，一般介乎 </t>
    </r>
    <r>
      <rPr>
        <sz val="10"/>
        <color rgb="FF000000"/>
        <rFont val="Arial"/>
        <family val="0"/>
        <charset val="1"/>
      </rPr>
      <t xml:space="preserve">10 </t>
    </r>
    <r>
      <rPr>
        <sz val="10"/>
        <color rgb="FF000000"/>
        <rFont val="Noto Sans CJK SC"/>
        <family val="2"/>
      </rPr>
      <t xml:space="preserve">至 </t>
    </r>
    <r>
      <rPr>
        <sz val="10"/>
        <color rgb="FF000000"/>
        <rFont val="Arial"/>
        <family val="0"/>
        <charset val="1"/>
      </rPr>
      <t xml:space="preserve">180 </t>
    </r>
    <r>
      <rPr>
        <sz val="10"/>
        <color rgb="FF000000"/>
        <rFont val="Noto Sans CJK SC"/>
        <family val="2"/>
      </rPr>
      <t xml:space="preserve">天」；「本地化部署的客戶結算進度賬單，而雲端部署客戶根據基於使用的合約預付費用，並根據基於訂閱的合約定期支付賬單」</t>
    </r>
  </si>
  <si>
    <t xml:space="preserve">SRC_ZP_1018</t>
  </si>
  <si>
    <t xml:space="preserve">rel_purchase_fy22</t>
  </si>
  <si>
    <t xml:space="preserve">關聯方購買服務</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</si>
  <si>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427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</si>
  <si>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33(d)</t>
    </r>
    <r>
      <rPr>
        <sz val="10"/>
        <color rgb="FF000000"/>
        <rFont val="Noto Sans CJK SC"/>
        <family val="2"/>
      </rPr>
      <t xml:space="preserve">（第 </t>
    </r>
    <r>
      <rPr>
        <sz val="10"/>
        <color rgb="FF000000"/>
        <rFont val="Arial"/>
        <family val="0"/>
        <charset val="1"/>
      </rPr>
      <t xml:space="preserve">427 </t>
    </r>
    <r>
      <rPr>
        <sz val="10"/>
        <color rgb="FF000000"/>
        <rFont val="Noto Sans CJK SC"/>
        <family val="2"/>
      </rPr>
      <t xml:space="preserve">頁＝印 </t>
    </r>
    <r>
      <rPr>
        <sz val="10"/>
        <color rgb="FF000000"/>
        <rFont val="Arial"/>
        <family val="0"/>
        <charset val="1"/>
      </rPr>
      <t xml:space="preserve">I-84</t>
    </r>
    <r>
      <rPr>
        <sz val="10"/>
        <color rgb="FF000000"/>
        <rFont val="Noto Sans CJK SC"/>
        <family val="2"/>
      </rPr>
      <t xml:space="preserve">）；關聯方含美團旗下北京三快在線、聯營公司北京星連、北京豆神智創；未拆對手方；千元值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</si>
  <si>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SRC_ZP_1019</t>
  </si>
  <si>
    <t xml:space="preserve">rel_purchase_fy23</t>
  </si>
  <si>
    <t xml:space="preserve">SRC_ZP_1020</t>
  </si>
  <si>
    <t xml:space="preserve">rel_purchase_fy24</t>
  </si>
  <si>
    <r>
      <rPr>
        <sz val="10"/>
        <color rgb="FF000000"/>
        <rFont val="Noto Sans CJK SC"/>
        <family val="2"/>
      </rPr>
      <t xml:space="preserve">附註 </t>
    </r>
    <r>
      <rPr>
        <sz val="10"/>
        <color rgb="FF000000"/>
        <rFont val="Arial"/>
        <family val="0"/>
        <charset val="1"/>
      </rPr>
      <t xml:space="preserve">33(d)</t>
    </r>
    <r>
      <rPr>
        <sz val="10"/>
        <color rgb="FF000000"/>
        <rFont val="Noto Sans CJK SC"/>
        <family val="2"/>
      </rPr>
      <t xml:space="preserve">（第 </t>
    </r>
    <r>
      <rPr>
        <sz val="10"/>
        <color rgb="FF000000"/>
        <rFont val="Arial"/>
        <family val="0"/>
        <charset val="1"/>
      </rPr>
      <t xml:space="preserve">427 </t>
    </r>
    <r>
      <rPr>
        <sz val="10"/>
        <color rgb="FF000000"/>
        <rFont val="Noto Sans CJK SC"/>
        <family val="2"/>
      </rPr>
      <t xml:space="preserve">頁＝印 </t>
    </r>
    <r>
      <rPr>
        <sz val="10"/>
        <color rgb="FF000000"/>
        <rFont val="Arial"/>
        <family val="0"/>
        <charset val="1"/>
      </rPr>
      <t xml:space="preserve">I-84</t>
    </r>
    <r>
      <rPr>
        <sz val="10"/>
        <color rgb="FF000000"/>
        <rFont val="Noto Sans CJK SC"/>
        <family val="2"/>
      </rPr>
      <t xml:space="preserve">）；關聯方含美團旗下北京三快在線、聯營公司北京星連、北京豆神智創；未拆對手方；千元值 </t>
    </r>
    <r>
      <rPr>
        <sz val="10"/>
        <color rgb="FF000000"/>
        <rFont val="Arial"/>
        <family val="0"/>
        <charset val="1"/>
      </rPr>
      <t xml:space="preserve">37,863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</si>
  <si>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SRC_ZP_1021</t>
  </si>
  <si>
    <t xml:space="preserve">rel_purchase_1h24</t>
  </si>
  <si>
    <t xml:space="preserve">SRC_ZP_1022</t>
  </si>
  <si>
    <t xml:space="preserve">rel_purchase_1h25</t>
  </si>
  <si>
    <r>
      <rPr>
        <sz val="10"/>
        <color rgb="FF000000"/>
        <rFont val="Noto Sans CJK SC"/>
        <family val="2"/>
      </rPr>
      <t xml:space="preserve">附註 </t>
    </r>
    <r>
      <rPr>
        <sz val="10"/>
        <color rgb="FF000000"/>
        <rFont val="Arial"/>
        <family val="0"/>
        <charset val="1"/>
      </rPr>
      <t xml:space="preserve">33(d)</t>
    </r>
    <r>
      <rPr>
        <sz val="10"/>
        <color rgb="FF000000"/>
        <rFont val="Noto Sans CJK SC"/>
        <family val="2"/>
      </rPr>
      <t xml:space="preserve">（第 </t>
    </r>
    <r>
      <rPr>
        <sz val="10"/>
        <color rgb="FF000000"/>
        <rFont val="Arial"/>
        <family val="0"/>
        <charset val="1"/>
      </rPr>
      <t xml:space="preserve">427 </t>
    </r>
    <r>
      <rPr>
        <sz val="10"/>
        <color rgb="FF000000"/>
        <rFont val="Noto Sans CJK SC"/>
        <family val="2"/>
      </rPr>
      <t xml:space="preserve">頁＝印 </t>
    </r>
    <r>
      <rPr>
        <sz val="10"/>
        <color rgb="FF000000"/>
        <rFont val="Arial"/>
        <family val="0"/>
        <charset val="1"/>
      </rPr>
      <t xml:space="preserve">I-84</t>
    </r>
    <r>
      <rPr>
        <sz val="10"/>
        <color rgb="FF000000"/>
        <rFont val="Noto Sans CJK SC"/>
        <family val="2"/>
      </rPr>
      <t xml:space="preserve">）；關聯方含美團旗下北京三快在線、聯營公司北京星連、北京豆神智創；未拆對手方；千元值 </t>
    </r>
    <r>
      <rPr>
        <sz val="10"/>
        <color rgb="FF000000"/>
        <rFont val="Arial"/>
        <family val="0"/>
        <charset val="1"/>
      </rPr>
      <t xml:space="preserve">29,717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</si>
  <si>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SRC_ZP_1023</t>
  </si>
  <si>
    <t xml:space="preserve">ipo_net_proceeds_est</t>
  </si>
  <si>
    <t xml:space="preserve">全球發售估計所得款項淨額（不含超額配股）</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</si>
  <si>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308 </t>
    </r>
    <r>
      <rPr>
        <sz val="10"/>
        <color rgb="FF000000"/>
        <rFont val="Noto Sans CJK SC"/>
        <family val="2"/>
      </rPr>
      <t xml:space="preserve">頁</t>
    </r>
  </si>
  <si>
    <t xml:space="preserve">招股章程估計</t>
  </si>
  <si>
    <r>
      <rPr>
        <sz val="10"/>
        <color rgb="FF000000"/>
        <rFont val="Noto Sans CJK SC"/>
        <family val="2"/>
      </rPr>
      <t xml:space="preserve">原文（第 </t>
    </r>
    <r>
      <rPr>
        <sz val="10"/>
        <color rgb="FF000000"/>
        <rFont val="Arial"/>
        <family val="0"/>
        <charset val="1"/>
      </rPr>
      <t xml:space="preserve">308 </t>
    </r>
    <r>
      <rPr>
        <sz val="10"/>
        <color rgb="FF000000"/>
        <rFont val="Noto Sans CJK SC"/>
        <family val="2"/>
      </rPr>
      <t xml:space="preserve">頁＝印 </t>
    </r>
    <r>
      <rPr>
        <sz val="10"/>
        <color rgb="FF000000"/>
        <rFont val="Arial"/>
        <family val="0"/>
        <charset val="1"/>
      </rPr>
      <t xml:space="preserve">299</t>
    </r>
    <r>
      <rPr>
        <sz val="10"/>
        <color rgb="FF000000"/>
        <rFont val="Noto Sans CJK SC"/>
        <family val="2"/>
      </rPr>
      <t xml:space="preserve">）「按發售價每股股份 </t>
    </r>
    <r>
      <rPr>
        <sz val="10"/>
        <color rgb="FF000000"/>
        <rFont val="Arial"/>
        <family val="0"/>
        <charset val="1"/>
      </rPr>
      <t xml:space="preserve">116.20 </t>
    </r>
    <r>
      <rPr>
        <sz val="10"/>
        <color rgb="FF000000"/>
        <rFont val="Noto Sans CJK SC"/>
        <family val="2"/>
      </rPr>
      <t xml:space="preserve">港元…約 </t>
    </r>
    <r>
      <rPr>
        <sz val="10"/>
        <color rgb="FF000000"/>
        <rFont val="Arial"/>
        <family val="0"/>
        <charset val="1"/>
      </rPr>
      <t xml:space="preserve">4,173.4 </t>
    </r>
    <r>
      <rPr>
        <sz val="10"/>
        <color rgb="FF000000"/>
        <rFont val="Noto Sans CJK SC"/>
        <family val="2"/>
      </rPr>
      <t xml:space="preserve">百萬港元的所得款項淨額」；第 </t>
    </r>
    <r>
      <rPr>
        <sz val="10"/>
        <color rgb="FF000000"/>
        <rFont val="Arial"/>
        <family val="0"/>
        <charset val="1"/>
      </rPr>
      <t xml:space="preserve">288 </t>
    </r>
    <r>
      <rPr>
        <sz val="10"/>
        <color rgb="FF000000"/>
        <rFont val="Noto Sans CJK SC"/>
        <family val="2"/>
      </rPr>
      <t xml:space="preserve">頁折合人民幣 </t>
    </r>
    <r>
      <rPr>
        <sz val="10"/>
        <color rgb="FF000000"/>
        <rFont val="Arial"/>
        <family val="0"/>
        <charset val="1"/>
      </rPr>
      <t xml:space="preserve">3,785.3 </t>
    </r>
    <r>
      <rPr>
        <sz val="10"/>
        <color rgb="FF000000"/>
        <rFont val="Noto Sans CJK SC"/>
        <family val="2"/>
      </rPr>
      <t xml:space="preserve">百萬元；與 </t>
    </r>
    <r>
      <rPr>
        <sz val="10"/>
        <color rgb="FF000000"/>
        <rFont val="Arial"/>
        <family val="0"/>
        <charset val="1"/>
      </rPr>
      <t xml:space="preserve">SRC_ZP_519 </t>
    </r>
    <r>
      <rPr>
        <sz val="10"/>
        <color rgb="FF000000"/>
        <rFont val="Noto Sans CJK SC"/>
        <family val="2"/>
      </rPr>
      <t xml:space="preserve">一致，升級為一手來源</t>
    </r>
  </si>
  <si>
    <t xml:space="preserve">SRC_ZP_1024</t>
  </si>
  <si>
    <t xml:space="preserve">ipo_use_rd</t>
  </si>
  <si>
    <r>
      <rPr>
        <sz val="10"/>
        <color rgb="FF000000"/>
        <rFont val="Arial"/>
        <family val="0"/>
        <charset val="1"/>
      </rPr>
      <t xml:space="preserve">IPO </t>
    </r>
    <r>
      <rPr>
        <sz val="10"/>
        <color rgb="FF000000"/>
        <rFont val="Noto Sans CJK SC"/>
        <family val="2"/>
      </rPr>
      <t xml:space="preserve">所得款項用途：通用 </t>
    </r>
    <r>
      <rPr>
        <sz val="10"/>
        <color rgb="FF000000"/>
        <rFont val="Arial"/>
        <family val="0"/>
        <charset val="1"/>
      </rPr>
      <t xml:space="preserve">AI </t>
    </r>
    <r>
      <rPr>
        <sz val="10"/>
        <color rgb="FF000000"/>
        <rFont val="Noto Sans CJK SC"/>
        <family val="2"/>
      </rPr>
      <t xml:space="preserve">大模型研發</t>
    </r>
  </si>
  <si>
    <t xml:space="preserve">2026–2028</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</si>
  <si>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308–310 </t>
    </r>
    <r>
      <rPr>
        <sz val="10"/>
        <color rgb="FF000000"/>
        <rFont val="Noto Sans CJK SC"/>
        <family val="2"/>
      </rPr>
      <t xml:space="preserve">頁</t>
    </r>
  </si>
  <si>
    <t xml:space="preserve">招股章程計劃（非承諾）</t>
  </si>
  <si>
    <r>
      <rPr>
        <sz val="10"/>
        <color rgb="FF000000"/>
        <rFont val="Noto Sans CJK SC"/>
        <family val="2"/>
      </rPr>
      <t xml:space="preserve">原文金額 </t>
    </r>
    <r>
      <rPr>
        <sz val="10"/>
        <color rgb="FF000000"/>
        <rFont val="Arial"/>
        <family val="0"/>
        <charset val="1"/>
      </rPr>
      <t xml:space="preserve">2,921.4 </t>
    </r>
    <r>
      <rPr>
        <sz val="10"/>
        <color rgb="FF000000"/>
        <rFont val="Noto Sans CJK SC"/>
        <family val="2"/>
      </rPr>
      <t xml:space="preserve">百萬港元；</t>
    </r>
    <r>
      <rPr>
        <sz val="10"/>
        <color rgb="FF000000"/>
        <rFont val="Arial"/>
        <family val="0"/>
        <charset val="1"/>
      </rPr>
      <t xml:space="preserve">2026 1,439.8</t>
    </r>
    <r>
      <rPr>
        <sz val="10"/>
        <color rgb="FF000000"/>
        <rFont val="Noto Sans CJK SC"/>
        <family val="2"/>
      </rPr>
      <t xml:space="preserve">／</t>
    </r>
    <r>
      <rPr>
        <sz val="10"/>
        <color rgb="FF000000"/>
        <rFont val="Arial"/>
        <family val="0"/>
        <charset val="1"/>
      </rPr>
      <t xml:space="preserve">2027 1,085.1</t>
    </r>
    <r>
      <rPr>
        <sz val="10"/>
        <color rgb="FF000000"/>
        <rFont val="Noto Sans CJK SC"/>
        <family val="2"/>
      </rPr>
      <t xml:space="preserve">／</t>
    </r>
    <r>
      <rPr>
        <sz val="10"/>
        <color rgb="FF000000"/>
        <rFont val="Arial"/>
        <family val="0"/>
        <charset val="1"/>
      </rPr>
      <t xml:space="preserve">2028 396.5</t>
    </r>
  </si>
  <si>
    <t xml:space="preserve">SRC_ZP_1025</t>
  </si>
  <si>
    <t xml:space="preserve">ipo_use_rd_model_infra</t>
  </si>
  <si>
    <r>
      <rPr>
        <sz val="10"/>
        <color rgb="FF000000"/>
        <rFont val="Arial"/>
        <family val="0"/>
        <charset val="1"/>
      </rPr>
      <t xml:space="preserve">IPO </t>
    </r>
    <r>
      <rPr>
        <sz val="10"/>
        <color rgb="FF000000"/>
        <rFont val="Noto Sans CJK SC"/>
        <family val="2"/>
      </rPr>
      <t xml:space="preserve">所得款項用途：（研發內）大模型能力及訓練基礎設施</t>
    </r>
  </si>
  <si>
    <r>
      <rPr>
        <sz val="10"/>
        <color rgb="FF000000"/>
        <rFont val="Noto Sans CJK SC"/>
        <family val="2"/>
      </rPr>
      <t xml:space="preserve">原文金額 </t>
    </r>
    <r>
      <rPr>
        <sz val="10"/>
        <color rgb="FF000000"/>
        <rFont val="Arial"/>
        <family val="0"/>
        <charset val="1"/>
      </rPr>
      <t xml:space="preserve">2,504.0 </t>
    </r>
    <r>
      <rPr>
        <sz val="10"/>
        <color rgb="FF000000"/>
        <rFont val="Noto Sans CJK SC"/>
        <family val="2"/>
      </rPr>
      <t xml:space="preserve">百萬港元；預訓練 </t>
    </r>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834.7</t>
    </r>
    <r>
      <rPr>
        <sz val="10"/>
        <color rgb="FF000000"/>
        <rFont val="Noto Sans CJK SC"/>
        <family val="2"/>
      </rPr>
      <t xml:space="preserve">）、深度推理 </t>
    </r>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834.7</t>
    </r>
    <r>
      <rPr>
        <sz val="10"/>
        <color rgb="FF000000"/>
        <rFont val="Noto Sans CJK SC"/>
        <family val="2"/>
      </rPr>
      <t xml:space="preserve">）、</t>
    </r>
    <r>
      <rPr>
        <sz val="10"/>
        <color rgb="FF000000"/>
        <rFont val="Arial"/>
        <family val="0"/>
        <charset val="1"/>
      </rPr>
      <t xml:space="preserve">AI agent 10%</t>
    </r>
    <r>
      <rPr>
        <sz val="10"/>
        <color rgb="FF000000"/>
        <rFont val="Noto Sans CJK SC"/>
        <family val="2"/>
      </rPr>
      <t xml:space="preserve">（</t>
    </r>
    <r>
      <rPr>
        <sz val="10"/>
        <color rgb="FF000000"/>
        <rFont val="Arial"/>
        <family val="0"/>
        <charset val="1"/>
      </rPr>
      <t xml:space="preserve">417.3</t>
    </r>
    <r>
      <rPr>
        <sz val="10"/>
        <color rgb="FF000000"/>
        <rFont val="Noto Sans CJK SC"/>
        <family val="2"/>
      </rPr>
      <t xml:space="preserve">）、前沿技術 </t>
    </r>
    <r>
      <rPr>
        <sz val="10"/>
        <color rgb="FF000000"/>
        <rFont val="Arial"/>
        <family val="0"/>
        <charset val="1"/>
      </rPr>
      <t xml:space="preserve">10%</t>
    </r>
    <r>
      <rPr>
        <sz val="10"/>
        <color rgb="FF000000"/>
        <rFont val="Noto Sans CJK SC"/>
        <family val="2"/>
      </rPr>
      <t xml:space="preserve">（</t>
    </r>
    <r>
      <rPr>
        <sz val="10"/>
        <color rgb="FF000000"/>
        <rFont val="Arial"/>
        <family val="0"/>
        <charset val="1"/>
      </rPr>
      <t xml:space="preserve">417.3</t>
    </r>
    <r>
      <rPr>
        <sz val="10"/>
        <color rgb="FF000000"/>
        <rFont val="Noto Sans CJK SC"/>
        <family val="2"/>
      </rPr>
      <t xml:space="preserve">）</t>
    </r>
  </si>
  <si>
    <t xml:space="preserve">SRC_ZP_1026</t>
  </si>
  <si>
    <t xml:space="preserve">ipo_use_rd_glm_data</t>
  </si>
  <si>
    <r>
      <rPr>
        <sz val="10"/>
        <color rgb="FF000000"/>
        <rFont val="Arial"/>
        <family val="0"/>
        <charset val="1"/>
      </rPr>
      <t xml:space="preserve">IPO </t>
    </r>
    <r>
      <rPr>
        <sz val="10"/>
        <color rgb="FF000000"/>
        <rFont val="Noto Sans CJK SC"/>
        <family val="2"/>
      </rPr>
      <t xml:space="preserve">所得款項用途：（研發內）</t>
    </r>
    <r>
      <rPr>
        <sz val="10"/>
        <color rgb="FF000000"/>
        <rFont val="Arial"/>
        <family val="0"/>
        <charset val="1"/>
      </rPr>
      <t xml:space="preserve">GLM </t>
    </r>
    <r>
      <rPr>
        <sz val="10"/>
        <color rgb="FF000000"/>
        <rFont val="Noto Sans CJK SC"/>
        <family val="2"/>
      </rPr>
      <t xml:space="preserve">框架、數據處理平台與語料</t>
    </r>
  </si>
  <si>
    <r>
      <rPr>
        <sz val="10"/>
        <color rgb="FF000000"/>
        <rFont val="Noto Sans CJK SC"/>
        <family val="2"/>
      </rPr>
      <t xml:space="preserve">原文金額 </t>
    </r>
    <r>
      <rPr>
        <sz val="10"/>
        <color rgb="FF000000"/>
        <rFont val="Arial"/>
        <family val="0"/>
        <charset val="1"/>
      </rPr>
      <t xml:space="preserve">417.3 </t>
    </r>
    <r>
      <rPr>
        <sz val="10"/>
        <color rgb="FF000000"/>
        <rFont val="Noto Sans CJK SC"/>
        <family val="2"/>
      </rPr>
      <t xml:space="preserve">百萬港元；框架 </t>
    </r>
    <r>
      <rPr>
        <sz val="10"/>
        <color rgb="FF000000"/>
        <rFont val="Arial"/>
        <family val="0"/>
        <charset val="1"/>
      </rPr>
      <t xml:space="preserve">5%</t>
    </r>
    <r>
      <rPr>
        <sz val="10"/>
        <color rgb="FF000000"/>
        <rFont val="Noto Sans CJK SC"/>
        <family val="2"/>
      </rPr>
      <t xml:space="preserve">、數據 </t>
    </r>
    <r>
      <rPr>
        <sz val="10"/>
        <color rgb="FF000000"/>
        <rFont val="Arial"/>
        <family val="0"/>
        <charset val="1"/>
      </rPr>
      <t xml:space="preserve">5%</t>
    </r>
  </si>
  <si>
    <t xml:space="preserve">SRC_ZP_1027</t>
  </si>
  <si>
    <t xml:space="preserve">ipo_use_maas</t>
  </si>
  <si>
    <r>
      <rPr>
        <sz val="10"/>
        <color rgb="FF000000"/>
        <rFont val="Arial"/>
        <family val="0"/>
        <charset val="1"/>
      </rPr>
      <t xml:space="preserve">IPO </t>
    </r>
    <r>
      <rPr>
        <sz val="10"/>
        <color rgb="FF000000"/>
        <rFont val="Noto Sans CJK SC"/>
        <family val="2"/>
      </rPr>
      <t xml:space="preserve">所得款項用途：</t>
    </r>
    <r>
      <rPr>
        <sz val="10"/>
        <color rgb="FF000000"/>
        <rFont val="Arial"/>
        <family val="0"/>
        <charset val="1"/>
      </rPr>
      <t xml:space="preserve">MaaS </t>
    </r>
    <r>
      <rPr>
        <sz val="10"/>
        <color rgb="FF000000"/>
        <rFont val="Noto Sans CJK SC"/>
        <family val="2"/>
      </rPr>
      <t xml:space="preserve">平台優化</t>
    </r>
  </si>
  <si>
    <r>
      <rPr>
        <sz val="10"/>
        <color rgb="FF000000"/>
        <rFont val="Noto Sans CJK SC"/>
        <family val="2"/>
      </rPr>
      <t xml:space="preserve">原文金額 </t>
    </r>
    <r>
      <rPr>
        <sz val="10"/>
        <color rgb="FF000000"/>
        <rFont val="Arial"/>
        <family val="0"/>
        <charset val="1"/>
      </rPr>
      <t xml:space="preserve">417.3 </t>
    </r>
    <r>
      <rPr>
        <sz val="10"/>
        <color rgb="FF000000"/>
        <rFont val="Noto Sans CJK SC"/>
        <family val="2"/>
      </rPr>
      <t xml:space="preserve">百萬港元；</t>
    </r>
    <r>
      <rPr>
        <sz val="10"/>
        <color rgb="FF000000"/>
        <rFont val="Arial"/>
        <family val="0"/>
        <charset val="1"/>
      </rPr>
      <t xml:space="preserve">2026 250.4</t>
    </r>
    <r>
      <rPr>
        <sz val="10"/>
        <color rgb="FF000000"/>
        <rFont val="Noto Sans CJK SC"/>
        <family val="2"/>
      </rPr>
      <t xml:space="preserve">／</t>
    </r>
    <r>
      <rPr>
        <sz val="10"/>
        <color rgb="FF000000"/>
        <rFont val="Arial"/>
        <family val="0"/>
        <charset val="1"/>
      </rPr>
      <t xml:space="preserve">2027 125.2</t>
    </r>
    <r>
      <rPr>
        <sz val="10"/>
        <color rgb="FF000000"/>
        <rFont val="Noto Sans CJK SC"/>
        <family val="2"/>
      </rPr>
      <t xml:space="preserve">／</t>
    </r>
    <r>
      <rPr>
        <sz val="10"/>
        <color rgb="FF000000"/>
        <rFont val="Arial"/>
        <family val="0"/>
        <charset val="1"/>
      </rPr>
      <t xml:space="preserve">2028 41.7</t>
    </r>
    <r>
      <rPr>
        <sz val="10"/>
        <color rgb="FF000000"/>
        <rFont val="Noto Sans CJK SC"/>
        <family val="2"/>
      </rPr>
      <t xml:space="preserve">；含部署 </t>
    </r>
    <r>
      <rPr>
        <sz val="10"/>
        <color rgb="FF000000"/>
        <rFont val="Arial"/>
        <family val="0"/>
        <charset val="1"/>
      </rPr>
      <t xml:space="preserve">5%</t>
    </r>
    <r>
      <rPr>
        <sz val="10"/>
        <color rgb="FF000000"/>
        <rFont val="Noto Sans CJK SC"/>
        <family val="2"/>
      </rPr>
      <t xml:space="preserve">、銷售營銷 </t>
    </r>
    <r>
      <rPr>
        <sz val="10"/>
        <color rgb="FF000000"/>
        <rFont val="Arial"/>
        <family val="0"/>
        <charset val="1"/>
      </rPr>
      <t xml:space="preserve">5%</t>
    </r>
  </si>
  <si>
    <t xml:space="preserve">SRC_ZP_1028</t>
  </si>
  <si>
    <t xml:space="preserve">ipo_use_partners</t>
  </si>
  <si>
    <r>
      <rPr>
        <sz val="10"/>
        <color rgb="FF000000"/>
        <rFont val="Arial"/>
        <family val="0"/>
        <charset val="1"/>
      </rPr>
      <t xml:space="preserve">IPO </t>
    </r>
    <r>
      <rPr>
        <sz val="10"/>
        <color rgb="FF000000"/>
        <rFont val="Noto Sans CJK SC"/>
        <family val="2"/>
      </rPr>
      <t xml:space="preserve">所得款項用途：業務合作夥伴網絡及戰略投資</t>
    </r>
  </si>
  <si>
    <r>
      <rPr>
        <sz val="10"/>
        <color rgb="FF000000"/>
        <rFont val="Noto Sans CJK SC"/>
        <family val="2"/>
      </rPr>
      <t xml:space="preserve">原文金額 </t>
    </r>
    <r>
      <rPr>
        <sz val="10"/>
        <color rgb="FF000000"/>
        <rFont val="Arial"/>
        <family val="0"/>
        <charset val="1"/>
      </rPr>
      <t xml:space="preserve">417.3 </t>
    </r>
    <r>
      <rPr>
        <sz val="10"/>
        <color rgb="FF000000"/>
        <rFont val="Noto Sans CJK SC"/>
        <family val="2"/>
      </rPr>
      <t xml:space="preserve">百萬港元；</t>
    </r>
    <r>
      <rPr>
        <sz val="10"/>
        <color rgb="FF000000"/>
        <rFont val="Arial"/>
        <family val="0"/>
        <charset val="1"/>
      </rPr>
      <t xml:space="preserve">2026 166.9</t>
    </r>
    <r>
      <rPr>
        <sz val="10"/>
        <color rgb="FF000000"/>
        <rFont val="Noto Sans CJK SC"/>
        <family val="2"/>
      </rPr>
      <t xml:space="preserve">／</t>
    </r>
    <r>
      <rPr>
        <sz val="10"/>
        <color rgb="FF000000"/>
        <rFont val="Arial"/>
        <family val="0"/>
        <charset val="1"/>
      </rPr>
      <t xml:space="preserve">2027 166.9</t>
    </r>
    <r>
      <rPr>
        <sz val="10"/>
        <color rgb="FF000000"/>
        <rFont val="Noto Sans CJK SC"/>
        <family val="2"/>
      </rPr>
      <t xml:space="preserve">／</t>
    </r>
    <r>
      <rPr>
        <sz val="10"/>
        <color rgb="FF000000"/>
        <rFont val="Arial"/>
        <family val="0"/>
        <charset val="1"/>
      </rPr>
      <t xml:space="preserve">2028 83.5</t>
    </r>
    <r>
      <rPr>
        <sz val="10"/>
        <color rgb="FF000000"/>
        <rFont val="Noto Sans CJK SC"/>
        <family val="2"/>
      </rPr>
      <t xml:space="preserve">；含「邀請更多計算基礎設施合作夥伴」</t>
    </r>
  </si>
  <si>
    <t xml:space="preserve">SRC_ZP_1029</t>
  </si>
  <si>
    <t xml:space="preserve">ipo_use_wc</t>
  </si>
  <si>
    <r>
      <rPr>
        <sz val="10"/>
        <color rgb="FF000000"/>
        <rFont val="Arial"/>
        <family val="0"/>
        <charset val="1"/>
      </rPr>
      <t xml:space="preserve">IPO </t>
    </r>
    <r>
      <rPr>
        <sz val="10"/>
        <color rgb="FF000000"/>
        <rFont val="Noto Sans CJK SC"/>
        <family val="2"/>
      </rPr>
      <t xml:space="preserve">所得款項用途：營運資金及一般企業用途</t>
    </r>
  </si>
  <si>
    <r>
      <rPr>
        <sz val="10"/>
        <color rgb="FF000000"/>
        <rFont val="Noto Sans CJK SC"/>
        <family val="2"/>
      </rPr>
      <t xml:space="preserve">原文金額 </t>
    </r>
    <r>
      <rPr>
        <sz val="10"/>
        <color rgb="FF000000"/>
        <rFont val="Arial"/>
        <family val="0"/>
        <charset val="1"/>
      </rPr>
      <t xml:space="preserve">417.3 </t>
    </r>
    <r>
      <rPr>
        <sz val="10"/>
        <color rgb="FF000000"/>
        <rFont val="Noto Sans CJK SC"/>
        <family val="2"/>
      </rPr>
      <t xml:space="preserve">百萬港元；</t>
    </r>
  </si>
  <si>
    <t xml:space="preserve">SRC_ZP_1030</t>
  </si>
  <si>
    <t xml:space="preserve">ipo_overallot_extra</t>
  </si>
  <si>
    <t xml:space="preserve">超額配股權悉數行使之額外淨額</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</si>
  <si>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310 </t>
    </r>
    <r>
      <rPr>
        <sz val="10"/>
        <color rgb="FF000000"/>
        <rFont val="Noto Sans CJK SC"/>
        <family val="2"/>
      </rPr>
      <t xml:space="preserve">頁</t>
    </r>
  </si>
  <si>
    <r>
      <rPr>
        <sz val="10"/>
        <color rgb="FF000000"/>
        <rFont val="Noto Sans CJK SC"/>
        <family val="2"/>
      </rPr>
      <t xml:space="preserve">原文「倘若超額配股權獲悉數行使，則我們將獲得的額外所得款項淨額將為 </t>
    </r>
    <r>
      <rPr>
        <sz val="10"/>
        <color rgb="FF000000"/>
        <rFont val="Arial"/>
        <family val="0"/>
        <charset val="1"/>
      </rPr>
      <t xml:space="preserve">632.6 </t>
    </r>
    <r>
      <rPr>
        <sz val="10"/>
        <color rgb="FF000000"/>
        <rFont val="Noto Sans CJK SC"/>
        <family val="2"/>
      </rPr>
      <t xml:space="preserve">百萬港元」</t>
    </r>
  </si>
  <si>
    <t xml:space="preserve">SRC_ZP_1031</t>
  </si>
  <si>
    <t xml:space="preserve">ipo_listing_exp_p</t>
  </si>
  <si>
    <t xml:space="preserve">估計上市開支</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</si>
  <si>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297–298 </t>
    </r>
    <r>
      <rPr>
        <sz val="10"/>
        <color rgb="FF000000"/>
        <rFont val="Noto Sans CJK SC"/>
        <family val="2"/>
      </rPr>
      <t xml:space="preserve">頁</t>
    </r>
  </si>
  <si>
    <r>
      <rPr>
        <sz val="10"/>
        <color rgb="FF000000"/>
        <rFont val="Noto Sans CJK SC"/>
        <family val="2"/>
      </rPr>
      <t xml:space="preserve">原文「上市開支估計將約為人民幣 </t>
    </r>
    <r>
      <rPr>
        <sz val="10"/>
        <color rgb="FF000000"/>
        <rFont val="Arial"/>
        <family val="0"/>
        <charset val="1"/>
      </rPr>
      <t xml:space="preserve">158.5 </t>
    </r>
    <r>
      <rPr>
        <sz val="10"/>
        <color rgb="FF000000"/>
        <rFont val="Noto Sans CJK SC"/>
        <family val="2"/>
      </rPr>
      <t xml:space="preserve">百萬元（</t>
    </r>
    <r>
      <rPr>
        <sz val="10"/>
        <color rgb="FF000000"/>
        <rFont val="Arial"/>
        <family val="0"/>
        <charset val="1"/>
      </rPr>
      <t xml:space="preserve">174.7 </t>
    </r>
    <r>
      <rPr>
        <sz val="10"/>
        <color rgb="FF000000"/>
        <rFont val="Noto Sans CJK SC"/>
        <family val="2"/>
      </rPr>
      <t xml:space="preserve">百萬港元）（包括包銷佣金），佔全球發售所得款項總額的 </t>
    </r>
    <r>
      <rPr>
        <sz val="10"/>
        <color rgb="FF000000"/>
        <rFont val="Arial"/>
        <family val="0"/>
        <charset val="1"/>
      </rPr>
      <t xml:space="preserve">4.0%</t>
    </r>
    <r>
      <rPr>
        <sz val="10"/>
        <color rgb="FF000000"/>
        <rFont val="Noto Sans CJK SC"/>
        <family val="2"/>
      </rPr>
      <t xml:space="preserve">」</t>
    </r>
  </si>
  <si>
    <t xml:space="preserve">SRC_ZP_1032</t>
  </si>
  <si>
    <t xml:space="preserve">runway_months_2510</t>
  </si>
  <si>
    <r>
      <rPr>
        <sz val="10"/>
        <color rgb="FF000000"/>
        <rFont val="Noto Sans CJK SC"/>
        <family val="2"/>
      </rPr>
      <t xml:space="preserve">財務可行期（不含／含 </t>
    </r>
    <r>
      <rPr>
        <sz val="10"/>
        <color rgb="FF000000"/>
        <rFont val="Arial"/>
        <family val="0"/>
        <charset val="1"/>
      </rPr>
      <t xml:space="preserve">IPO </t>
    </r>
    <r>
      <rPr>
        <sz val="10"/>
        <color rgb="FF000000"/>
        <rFont val="Noto Sans CJK SC"/>
        <family val="2"/>
      </rPr>
      <t xml:space="preserve">淨額）</t>
    </r>
  </si>
  <si>
    <t xml:space="preserve">月</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</si>
  <si>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288–289 </t>
    </r>
    <r>
      <rPr>
        <sz val="10"/>
        <color rgb="FF000000"/>
        <rFont val="Noto Sans CJK SC"/>
        <family val="2"/>
      </rPr>
      <t xml:space="preserve">頁</t>
    </r>
  </si>
  <si>
    <r>
      <rPr>
        <sz val="10"/>
        <color rgb="FF000000"/>
        <rFont val="Noto Sans CJK SC"/>
        <family val="2"/>
      </rPr>
      <t xml:space="preserve">原文「將能夠維持我們 </t>
    </r>
    <r>
      <rPr>
        <sz val="10"/>
        <color rgb="FF000000"/>
        <rFont val="Arial"/>
        <family val="0"/>
        <charset val="1"/>
      </rPr>
      <t xml:space="preserve">27.3 </t>
    </r>
    <r>
      <rPr>
        <sz val="10"/>
        <color rgb="FF000000"/>
        <rFont val="Noto Sans CJK SC"/>
        <family val="2"/>
      </rPr>
      <t xml:space="preserve">個月的財務可行性…計及估計上市所得款項淨額的 </t>
    </r>
    <r>
      <rPr>
        <sz val="10"/>
        <color rgb="FF000000"/>
        <rFont val="Arial"/>
        <family val="0"/>
        <charset val="1"/>
      </rPr>
      <t xml:space="preserve">10%…</t>
    </r>
    <r>
      <rPr>
        <sz val="10"/>
        <color rgb="FF000000"/>
        <rFont val="Noto Sans CJK SC"/>
        <family val="2"/>
      </rPr>
      <t xml:space="preserve">則為 </t>
    </r>
    <r>
      <rPr>
        <sz val="10"/>
        <color rgb="FF000000"/>
        <rFont val="Arial"/>
        <family val="0"/>
        <charset val="1"/>
      </rPr>
      <t xml:space="preserve">28.5 </t>
    </r>
    <r>
      <rPr>
        <sz val="10"/>
        <color rgb="FF000000"/>
        <rFont val="Noto Sans CJK SC"/>
        <family val="2"/>
      </rPr>
      <t xml:space="preserve">個月…亦計及估計上市所得款項淨額，則為 </t>
    </r>
    <r>
      <rPr>
        <sz val="10"/>
        <color rgb="FF000000"/>
        <rFont val="Arial"/>
        <family val="0"/>
        <charset val="1"/>
      </rPr>
      <t xml:space="preserve">38.9 </t>
    </r>
    <r>
      <rPr>
        <sz val="10"/>
        <color rgb="FF000000"/>
        <rFont val="Noto Sans CJK SC"/>
        <family val="2"/>
      </rPr>
      <t xml:space="preserve">個月」；假設月均消耗 </t>
    </r>
    <r>
      <rPr>
        <sz val="10"/>
        <color rgb="FF000000"/>
        <rFont val="Arial"/>
        <family val="0"/>
        <charset val="1"/>
      </rPr>
      <t xml:space="preserve">327.3 </t>
    </r>
    <r>
      <rPr>
        <sz val="10"/>
        <color rgb="FF000000"/>
        <rFont val="Noto Sans CJK SC"/>
        <family val="2"/>
      </rPr>
      <t xml:space="preserve">百萬元、研發人數不顯著增加、無大量資本投資</t>
    </r>
  </si>
  <si>
    <t xml:space="preserve">SRC_ZP_1033</t>
  </si>
  <si>
    <t xml:space="preserve">grant_released_fy22</t>
  </si>
  <si>
    <t xml:space="preserve">政府補助計入損益（沖減相關開支）</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</si>
  <si>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288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</si>
  <si>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288 </t>
    </r>
    <r>
      <rPr>
        <sz val="10"/>
        <color rgb="FF000000"/>
        <rFont val="Noto Sans CJK SC"/>
        <family val="2"/>
      </rPr>
      <t xml:space="preserve">頁＝印 </t>
    </r>
    <r>
      <rPr>
        <sz val="10"/>
        <color rgb="FF000000"/>
        <rFont val="Arial"/>
        <family val="0"/>
        <charset val="1"/>
      </rPr>
      <t xml:space="preserve">279</t>
    </r>
    <r>
      <rPr>
        <sz val="10"/>
        <color rgb="FF000000"/>
        <rFont val="Noto Sans CJK SC"/>
        <family val="2"/>
      </rPr>
      <t xml:space="preserve">）「於往績記錄期，人民幣 </t>
    </r>
    <r>
      <rPr>
        <sz val="10"/>
        <color rgb="FF000000"/>
        <rFont val="Arial"/>
        <family val="0"/>
        <charset val="1"/>
      </rPr>
      <t xml:space="preserve">2.9 </t>
    </r>
    <r>
      <rPr>
        <sz val="10"/>
        <color rgb="FF000000"/>
        <rFont val="Noto Sans CJK SC"/>
        <family val="2"/>
      </rPr>
      <t xml:space="preserve">百萬元、人民幣 </t>
    </r>
    <r>
      <rPr>
        <sz val="10"/>
        <color rgb="FF000000"/>
        <rFont val="Arial"/>
        <family val="0"/>
        <charset val="1"/>
      </rPr>
      <t xml:space="preserve">11.2 </t>
    </r>
    <r>
      <rPr>
        <sz val="10"/>
        <color rgb="FF000000"/>
        <rFont val="Noto Sans CJK SC"/>
        <family val="2"/>
      </rPr>
      <t xml:space="preserve">百萬元、人民幣 </t>
    </r>
    <r>
      <rPr>
        <sz val="10"/>
        <color rgb="FF000000"/>
        <rFont val="Arial"/>
        <family val="0"/>
        <charset val="1"/>
      </rPr>
      <t xml:space="preserve">36.3 </t>
    </r>
    <r>
      <rPr>
        <sz val="10"/>
        <color rgb="FF000000"/>
        <rFont val="Noto Sans CJK SC"/>
        <family val="2"/>
      </rPr>
      <t xml:space="preserve">百萬元及人民幣 </t>
    </r>
    <r>
      <rPr>
        <sz val="10"/>
        <color rgb="FF000000"/>
        <rFont val="Arial"/>
        <family val="0"/>
        <charset val="1"/>
      </rPr>
      <t xml:space="preserve">5.7 </t>
    </r>
    <r>
      <rPr>
        <sz val="10"/>
        <color rgb="FF000000"/>
        <rFont val="Noto Sans CJK SC"/>
        <family val="2"/>
      </rPr>
      <t xml:space="preserve">百萬元自損益扣除」；會計政策（第 </t>
    </r>
    <r>
      <rPr>
        <sz val="10"/>
        <color rgb="FF000000"/>
        <rFont val="Arial"/>
        <family val="0"/>
        <charset val="1"/>
      </rPr>
      <t xml:space="preserve">258 </t>
    </r>
    <r>
      <rPr>
        <sz val="10"/>
        <color rgb="FF000000"/>
        <rFont val="Noto Sans CJK SC"/>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2.9 </t>
    </r>
    <r>
      <rPr>
        <sz val="10"/>
        <color rgb="FF000000"/>
        <rFont val="Noto Sans CJK SC"/>
        <family val="2"/>
      </rPr>
      <t xml:space="preserve">百萬；補 </t>
    </r>
    <r>
      <rPr>
        <sz val="10"/>
        <color rgb="FF000000"/>
        <rFont val="Arial"/>
        <family val="0"/>
        <charset val="1"/>
      </rPr>
      <t xml:space="preserve">not_found</t>
    </r>
    <r>
      <rPr>
        <sz val="10"/>
        <color rgb="FF000000"/>
        <rFont val="Noto Sans CJK SC"/>
        <family val="2"/>
      </rPr>
      <t xml:space="preserve">「政府補助金額」</t>
    </r>
  </si>
  <si>
    <t xml:space="preserve">SRC_ZP_1034</t>
  </si>
  <si>
    <t xml:space="preserve">grant_released_fy23</t>
  </si>
  <si>
    <r>
      <rPr>
        <sz val="10"/>
        <color rgb="FF000000"/>
        <rFont val="Noto Sans CJK SC"/>
        <family val="2"/>
      </rPr>
      <t xml:space="preserve">原文（第 </t>
    </r>
    <r>
      <rPr>
        <sz val="10"/>
        <color rgb="FF000000"/>
        <rFont val="Arial"/>
        <family val="0"/>
        <charset val="1"/>
      </rPr>
      <t xml:space="preserve">288 </t>
    </r>
    <r>
      <rPr>
        <sz val="10"/>
        <color rgb="FF000000"/>
        <rFont val="Noto Sans CJK SC"/>
        <family val="2"/>
      </rPr>
      <t xml:space="preserve">頁＝印 </t>
    </r>
    <r>
      <rPr>
        <sz val="10"/>
        <color rgb="FF000000"/>
        <rFont val="Arial"/>
        <family val="0"/>
        <charset val="1"/>
      </rPr>
      <t xml:space="preserve">279</t>
    </r>
    <r>
      <rPr>
        <sz val="10"/>
        <color rgb="FF000000"/>
        <rFont val="Noto Sans CJK SC"/>
        <family val="2"/>
      </rPr>
      <t xml:space="preserve">）「於往績記錄期，人民幣 </t>
    </r>
    <r>
      <rPr>
        <sz val="10"/>
        <color rgb="FF000000"/>
        <rFont val="Arial"/>
        <family val="0"/>
        <charset val="1"/>
      </rPr>
      <t xml:space="preserve">2.9 </t>
    </r>
    <r>
      <rPr>
        <sz val="10"/>
        <color rgb="FF000000"/>
        <rFont val="Noto Sans CJK SC"/>
        <family val="2"/>
      </rPr>
      <t xml:space="preserve">百萬元、人民幣 </t>
    </r>
    <r>
      <rPr>
        <sz val="10"/>
        <color rgb="FF000000"/>
        <rFont val="Arial"/>
        <family val="0"/>
        <charset val="1"/>
      </rPr>
      <t xml:space="preserve">11.2 </t>
    </r>
    <r>
      <rPr>
        <sz val="10"/>
        <color rgb="FF000000"/>
        <rFont val="Noto Sans CJK SC"/>
        <family val="2"/>
      </rPr>
      <t xml:space="preserve">百萬元、人民幣 </t>
    </r>
    <r>
      <rPr>
        <sz val="10"/>
        <color rgb="FF000000"/>
        <rFont val="Arial"/>
        <family val="0"/>
        <charset val="1"/>
      </rPr>
      <t xml:space="preserve">36.3 </t>
    </r>
    <r>
      <rPr>
        <sz val="10"/>
        <color rgb="FF000000"/>
        <rFont val="Noto Sans CJK SC"/>
        <family val="2"/>
      </rPr>
      <t xml:space="preserve">百萬元及人民幣 </t>
    </r>
    <r>
      <rPr>
        <sz val="10"/>
        <color rgb="FF000000"/>
        <rFont val="Arial"/>
        <family val="0"/>
        <charset val="1"/>
      </rPr>
      <t xml:space="preserve">5.7 </t>
    </r>
    <r>
      <rPr>
        <sz val="10"/>
        <color rgb="FF000000"/>
        <rFont val="Noto Sans CJK SC"/>
        <family val="2"/>
      </rPr>
      <t xml:space="preserve">百萬元自損益扣除」；會計政策（第 </t>
    </r>
    <r>
      <rPr>
        <sz val="10"/>
        <color rgb="FF000000"/>
        <rFont val="Arial"/>
        <family val="0"/>
        <charset val="1"/>
      </rPr>
      <t xml:space="preserve">258 </t>
    </r>
    <r>
      <rPr>
        <sz val="10"/>
        <color rgb="FF000000"/>
        <rFont val="Noto Sans CJK SC"/>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11.2 </t>
    </r>
    <r>
      <rPr>
        <sz val="10"/>
        <color rgb="FF000000"/>
        <rFont val="Noto Sans CJK SC"/>
        <family val="2"/>
      </rPr>
      <t xml:space="preserve">百萬；補 </t>
    </r>
    <r>
      <rPr>
        <sz val="10"/>
        <color rgb="FF000000"/>
        <rFont val="Arial"/>
        <family val="0"/>
        <charset val="1"/>
      </rPr>
      <t xml:space="preserve">not_found</t>
    </r>
    <r>
      <rPr>
        <sz val="10"/>
        <color rgb="FF000000"/>
        <rFont val="Noto Sans CJK SC"/>
        <family val="2"/>
      </rPr>
      <t xml:space="preserve">「政府補助金額」</t>
    </r>
  </si>
  <si>
    <t xml:space="preserve">SRC_ZP_1035</t>
  </si>
  <si>
    <t xml:space="preserve">grant_released_fy24</t>
  </si>
  <si>
    <r>
      <rPr>
        <sz val="10"/>
        <color rgb="FF000000"/>
        <rFont val="Noto Sans CJK SC"/>
        <family val="2"/>
      </rPr>
      <t xml:space="preserve">原文（第 </t>
    </r>
    <r>
      <rPr>
        <sz val="10"/>
        <color rgb="FF000000"/>
        <rFont val="Arial"/>
        <family val="0"/>
        <charset val="1"/>
      </rPr>
      <t xml:space="preserve">288 </t>
    </r>
    <r>
      <rPr>
        <sz val="10"/>
        <color rgb="FF000000"/>
        <rFont val="Noto Sans CJK SC"/>
        <family val="2"/>
      </rPr>
      <t xml:space="preserve">頁＝印 </t>
    </r>
    <r>
      <rPr>
        <sz val="10"/>
        <color rgb="FF000000"/>
        <rFont val="Arial"/>
        <family val="0"/>
        <charset val="1"/>
      </rPr>
      <t xml:space="preserve">279</t>
    </r>
    <r>
      <rPr>
        <sz val="10"/>
        <color rgb="FF000000"/>
        <rFont val="Noto Sans CJK SC"/>
        <family val="2"/>
      </rPr>
      <t xml:space="preserve">）「於往績記錄期，人民幣 </t>
    </r>
    <r>
      <rPr>
        <sz val="10"/>
        <color rgb="FF000000"/>
        <rFont val="Arial"/>
        <family val="0"/>
        <charset val="1"/>
      </rPr>
      <t xml:space="preserve">2.9 </t>
    </r>
    <r>
      <rPr>
        <sz val="10"/>
        <color rgb="FF000000"/>
        <rFont val="Noto Sans CJK SC"/>
        <family val="2"/>
      </rPr>
      <t xml:space="preserve">百萬元、人民幣 </t>
    </r>
    <r>
      <rPr>
        <sz val="10"/>
        <color rgb="FF000000"/>
        <rFont val="Arial"/>
        <family val="0"/>
        <charset val="1"/>
      </rPr>
      <t xml:space="preserve">11.2 </t>
    </r>
    <r>
      <rPr>
        <sz val="10"/>
        <color rgb="FF000000"/>
        <rFont val="Noto Sans CJK SC"/>
        <family val="2"/>
      </rPr>
      <t xml:space="preserve">百萬元、人民幣 </t>
    </r>
    <r>
      <rPr>
        <sz val="10"/>
        <color rgb="FF000000"/>
        <rFont val="Arial"/>
        <family val="0"/>
        <charset val="1"/>
      </rPr>
      <t xml:space="preserve">36.3 </t>
    </r>
    <r>
      <rPr>
        <sz val="10"/>
        <color rgb="FF000000"/>
        <rFont val="Noto Sans CJK SC"/>
        <family val="2"/>
      </rPr>
      <t xml:space="preserve">百萬元及人民幣 </t>
    </r>
    <r>
      <rPr>
        <sz val="10"/>
        <color rgb="FF000000"/>
        <rFont val="Arial"/>
        <family val="0"/>
        <charset val="1"/>
      </rPr>
      <t xml:space="preserve">5.7 </t>
    </r>
    <r>
      <rPr>
        <sz val="10"/>
        <color rgb="FF000000"/>
        <rFont val="Noto Sans CJK SC"/>
        <family val="2"/>
      </rPr>
      <t xml:space="preserve">百萬元自損益扣除」；會計政策（第 </t>
    </r>
    <r>
      <rPr>
        <sz val="10"/>
        <color rgb="FF000000"/>
        <rFont val="Arial"/>
        <family val="0"/>
        <charset val="1"/>
      </rPr>
      <t xml:space="preserve">258 </t>
    </r>
    <r>
      <rPr>
        <sz val="10"/>
        <color rgb="FF000000"/>
        <rFont val="Noto Sans CJK SC"/>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36.3 </t>
    </r>
    <r>
      <rPr>
        <sz val="10"/>
        <color rgb="FF000000"/>
        <rFont val="Noto Sans CJK SC"/>
        <family val="2"/>
      </rPr>
      <t xml:space="preserve">百萬；補 </t>
    </r>
    <r>
      <rPr>
        <sz val="10"/>
        <color rgb="FF000000"/>
        <rFont val="Arial"/>
        <family val="0"/>
        <charset val="1"/>
      </rPr>
      <t xml:space="preserve">not_found</t>
    </r>
    <r>
      <rPr>
        <sz val="10"/>
        <color rgb="FF000000"/>
        <rFont val="Noto Sans CJK SC"/>
        <family val="2"/>
      </rPr>
      <t xml:space="preserve">「政府補助金額」</t>
    </r>
  </si>
  <si>
    <t xml:space="preserve">SRC_ZP_1036</t>
  </si>
  <si>
    <t xml:space="preserve">grant_released_1h25</t>
  </si>
  <si>
    <r>
      <rPr>
        <sz val="10"/>
        <color rgb="FF000000"/>
        <rFont val="Noto Sans CJK SC"/>
        <family val="2"/>
      </rPr>
      <t xml:space="preserve">原文（第 </t>
    </r>
    <r>
      <rPr>
        <sz val="10"/>
        <color rgb="FF000000"/>
        <rFont val="Arial"/>
        <family val="0"/>
        <charset val="1"/>
      </rPr>
      <t xml:space="preserve">288 </t>
    </r>
    <r>
      <rPr>
        <sz val="10"/>
        <color rgb="FF000000"/>
        <rFont val="Noto Sans CJK SC"/>
        <family val="2"/>
      </rPr>
      <t xml:space="preserve">頁＝印 </t>
    </r>
    <r>
      <rPr>
        <sz val="10"/>
        <color rgb="FF000000"/>
        <rFont val="Arial"/>
        <family val="0"/>
        <charset val="1"/>
      </rPr>
      <t xml:space="preserve">279</t>
    </r>
    <r>
      <rPr>
        <sz val="10"/>
        <color rgb="FF000000"/>
        <rFont val="Noto Sans CJK SC"/>
        <family val="2"/>
      </rPr>
      <t xml:space="preserve">）「於往績記錄期，人民幣 </t>
    </r>
    <r>
      <rPr>
        <sz val="10"/>
        <color rgb="FF000000"/>
        <rFont val="Arial"/>
        <family val="0"/>
        <charset val="1"/>
      </rPr>
      <t xml:space="preserve">2.9 </t>
    </r>
    <r>
      <rPr>
        <sz val="10"/>
        <color rgb="FF000000"/>
        <rFont val="Noto Sans CJK SC"/>
        <family val="2"/>
      </rPr>
      <t xml:space="preserve">百萬元、人民幣 </t>
    </r>
    <r>
      <rPr>
        <sz val="10"/>
        <color rgb="FF000000"/>
        <rFont val="Arial"/>
        <family val="0"/>
        <charset val="1"/>
      </rPr>
      <t xml:space="preserve">11.2 </t>
    </r>
    <r>
      <rPr>
        <sz val="10"/>
        <color rgb="FF000000"/>
        <rFont val="Noto Sans CJK SC"/>
        <family val="2"/>
      </rPr>
      <t xml:space="preserve">百萬元、人民幣 </t>
    </r>
    <r>
      <rPr>
        <sz val="10"/>
        <color rgb="FF000000"/>
        <rFont val="Arial"/>
        <family val="0"/>
        <charset val="1"/>
      </rPr>
      <t xml:space="preserve">36.3 </t>
    </r>
    <r>
      <rPr>
        <sz val="10"/>
        <color rgb="FF000000"/>
        <rFont val="Noto Sans CJK SC"/>
        <family val="2"/>
      </rPr>
      <t xml:space="preserve">百萬元及人民幣 </t>
    </r>
    <r>
      <rPr>
        <sz val="10"/>
        <color rgb="FF000000"/>
        <rFont val="Arial"/>
        <family val="0"/>
        <charset val="1"/>
      </rPr>
      <t xml:space="preserve">5.7 </t>
    </r>
    <r>
      <rPr>
        <sz val="10"/>
        <color rgb="FF000000"/>
        <rFont val="Noto Sans CJK SC"/>
        <family val="2"/>
      </rPr>
      <t xml:space="preserve">百萬元自損益扣除」；會計政策（第 </t>
    </r>
    <r>
      <rPr>
        <sz val="10"/>
        <color rgb="FF000000"/>
        <rFont val="Arial"/>
        <family val="0"/>
        <charset val="1"/>
      </rPr>
      <t xml:space="preserve">258 </t>
    </r>
    <r>
      <rPr>
        <sz val="10"/>
        <color rgb="FF000000"/>
        <rFont val="Noto Sans CJK SC"/>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5.7 </t>
    </r>
    <r>
      <rPr>
        <sz val="10"/>
        <color rgb="FF000000"/>
        <rFont val="Noto Sans CJK SC"/>
        <family val="2"/>
      </rPr>
      <t xml:space="preserve">百萬；補 </t>
    </r>
    <r>
      <rPr>
        <sz val="10"/>
        <color rgb="FF000000"/>
        <rFont val="Arial"/>
        <family val="0"/>
        <charset val="1"/>
      </rPr>
      <t xml:space="preserve">not_found</t>
    </r>
    <r>
      <rPr>
        <sz val="10"/>
        <color rgb="FF000000"/>
        <rFont val="Noto Sans CJK SC"/>
        <family val="2"/>
      </rPr>
      <t xml:space="preserve">「政府補助金額」</t>
    </r>
  </si>
  <si>
    <t xml:space="preserve">SRC_ZP_1037</t>
  </si>
  <si>
    <t xml:space="preserve">deferred_income_grant_fy22</t>
  </si>
  <si>
    <t xml:space="preserve">遞延收入（政府補助）餘額</t>
  </si>
  <si>
    <r>
      <rPr>
        <sz val="10"/>
        <color rgb="FF000000"/>
        <rFont val="Noto Sans CJK SC"/>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10,309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</si>
  <si>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SRC_ZP_1038</t>
  </si>
  <si>
    <t xml:space="preserve">deferred_income_grant_fy23</t>
  </si>
  <si>
    <r>
      <rPr>
        <sz val="10"/>
        <color rgb="FF000000"/>
        <rFont val="Noto Sans CJK SC"/>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29,741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</si>
  <si>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SRC_ZP_1039</t>
  </si>
  <si>
    <t xml:space="preserve">deferred_income_grant_fy24</t>
  </si>
  <si>
    <r>
      <rPr>
        <sz val="10"/>
        <color rgb="FF000000"/>
        <rFont val="Noto Sans CJK SC"/>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34,752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</si>
  <si>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SRC_ZP_1040</t>
  </si>
  <si>
    <t xml:space="preserve">deferred_income_grant_1h25</t>
  </si>
  <si>
    <r>
      <rPr>
        <sz val="10"/>
        <color rgb="FF000000"/>
        <rFont val="Noto Sans CJK SC"/>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36,204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</si>
  <si>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SRC_ZP_1041</t>
  </si>
  <si>
    <t xml:space="preserve">grant_received_fy22</t>
  </si>
  <si>
    <t xml:space="preserve">政府補助收取額（推算）</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</si>
  <si>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288</t>
    </r>
    <r>
      <rPr>
        <sz val="10"/>
        <color rgb="FF000000"/>
        <rFont val="Noto Sans CJK SC"/>
        <family val="2"/>
      </rPr>
      <t xml:space="preserve">、</t>
    </r>
    <r>
      <rPr>
        <sz val="10"/>
        <color rgb="FF000000"/>
        <rFont val="Arial"/>
        <family val="0"/>
        <charset val="1"/>
      </rPr>
      <t xml:space="preserve">357 </t>
    </r>
    <r>
      <rPr>
        <sz val="10"/>
        <color rgb="FF000000"/>
        <rFont val="Noto Sans CJK SC"/>
        <family val="2"/>
      </rPr>
      <t xml:space="preserve">頁</t>
    </r>
  </si>
  <si>
    <r>
      <rPr>
        <sz val="10"/>
        <color rgb="FF000000"/>
        <rFont val="Arial"/>
        <family val="0"/>
        <charset val="1"/>
      </rPr>
      <t xml:space="preserve">Derived</t>
    </r>
    <r>
      <rPr>
        <sz val="10"/>
        <color rgb="FF000000"/>
        <rFont val="Noto Sans CJK SC"/>
        <family val="2"/>
      </rPr>
      <t xml:space="preserve">：遞延收入增加（現金流量表 </t>
    </r>
    <r>
      <rPr>
        <sz val="10"/>
        <color rgb="FF000000"/>
        <rFont val="Arial"/>
        <family val="0"/>
        <charset val="1"/>
      </rPr>
      <t xml:space="preserve">6,888 </t>
    </r>
    <r>
      <rPr>
        <sz val="10"/>
        <color rgb="FF000000"/>
        <rFont val="Noto Sans CJK SC"/>
        <family val="2"/>
      </rPr>
      <t xml:space="preserve">千元）＋撥入損益 </t>
    </r>
    <r>
      <rPr>
        <sz val="10"/>
        <color rgb="FF000000"/>
        <rFont val="Arial"/>
        <family val="0"/>
        <charset val="1"/>
      </rPr>
      <t xml:space="preserve">2.9 </t>
    </r>
    <r>
      <rPr>
        <sz val="10"/>
        <color rgb="FF000000"/>
        <rFont val="Noto Sans CJK SC"/>
        <family val="2"/>
      </rPr>
      <t xml:space="preserve">百萬＝</t>
    </r>
    <r>
      <rPr>
        <sz val="10"/>
        <color rgb="FF000000"/>
        <rFont val="Arial"/>
        <family val="0"/>
        <charset val="1"/>
      </rPr>
      <t xml:space="preserve">9.8 </t>
    </r>
    <r>
      <rPr>
        <sz val="10"/>
        <color rgb="FF000000"/>
        <rFont val="Noto Sans CJK SC"/>
        <family val="2"/>
      </rPr>
      <t xml:space="preserve">百萬元；假設遞延收入變動僅來自補助收取與撥轉</t>
    </r>
  </si>
  <si>
    <t xml:space="preserve">SRC_ZP_1042</t>
  </si>
  <si>
    <t xml:space="preserve">grant_received_fy23</t>
  </si>
  <si>
    <r>
      <rPr>
        <sz val="10"/>
        <color rgb="FF000000"/>
        <rFont val="Arial"/>
        <family val="0"/>
        <charset val="1"/>
      </rPr>
      <t xml:space="preserve">Derived</t>
    </r>
    <r>
      <rPr>
        <sz val="10"/>
        <color rgb="FF000000"/>
        <rFont val="Noto Sans CJK SC"/>
        <family val="2"/>
      </rPr>
      <t xml:space="preserve">：遞延收入增加（現金流量表 </t>
    </r>
    <r>
      <rPr>
        <sz val="10"/>
        <color rgb="FF000000"/>
        <rFont val="Arial"/>
        <family val="0"/>
        <charset val="1"/>
      </rPr>
      <t xml:space="preserve">19,432 </t>
    </r>
    <r>
      <rPr>
        <sz val="10"/>
        <color rgb="FF000000"/>
        <rFont val="Noto Sans CJK SC"/>
        <family val="2"/>
      </rPr>
      <t xml:space="preserve">千元）＋撥入損益 </t>
    </r>
    <r>
      <rPr>
        <sz val="10"/>
        <color rgb="FF000000"/>
        <rFont val="Arial"/>
        <family val="0"/>
        <charset val="1"/>
      </rPr>
      <t xml:space="preserve">11.2 </t>
    </r>
    <r>
      <rPr>
        <sz val="10"/>
        <color rgb="FF000000"/>
        <rFont val="Noto Sans CJK SC"/>
        <family val="2"/>
      </rPr>
      <t xml:space="preserve">百萬＝</t>
    </r>
    <r>
      <rPr>
        <sz val="10"/>
        <color rgb="FF000000"/>
        <rFont val="Arial"/>
        <family val="0"/>
        <charset val="1"/>
      </rPr>
      <t xml:space="preserve">30.6 </t>
    </r>
    <r>
      <rPr>
        <sz val="10"/>
        <color rgb="FF000000"/>
        <rFont val="Noto Sans CJK SC"/>
        <family val="2"/>
      </rPr>
      <t xml:space="preserve">百萬元；假設遞延收入變動僅來自補助收取與撥轉</t>
    </r>
  </si>
  <si>
    <t xml:space="preserve">SRC_ZP_1043</t>
  </si>
  <si>
    <t xml:space="preserve">grant_received_fy24</t>
  </si>
  <si>
    <r>
      <rPr>
        <sz val="10"/>
        <color rgb="FF000000"/>
        <rFont val="Arial"/>
        <family val="0"/>
        <charset val="1"/>
      </rPr>
      <t xml:space="preserve">Derived</t>
    </r>
    <r>
      <rPr>
        <sz val="10"/>
        <color rgb="FF000000"/>
        <rFont val="Noto Sans CJK SC"/>
        <family val="2"/>
      </rPr>
      <t xml:space="preserve">：遞延收入增加（現金流量表 </t>
    </r>
    <r>
      <rPr>
        <sz val="10"/>
        <color rgb="FF000000"/>
        <rFont val="Arial"/>
        <family val="0"/>
        <charset val="1"/>
      </rPr>
      <t xml:space="preserve">5,011 </t>
    </r>
    <r>
      <rPr>
        <sz val="10"/>
        <color rgb="FF000000"/>
        <rFont val="Noto Sans CJK SC"/>
        <family val="2"/>
      </rPr>
      <t xml:space="preserve">千元）＋撥入損益 </t>
    </r>
    <r>
      <rPr>
        <sz val="10"/>
        <color rgb="FF000000"/>
        <rFont val="Arial"/>
        <family val="0"/>
        <charset val="1"/>
      </rPr>
      <t xml:space="preserve">36.3 </t>
    </r>
    <r>
      <rPr>
        <sz val="10"/>
        <color rgb="FF000000"/>
        <rFont val="Noto Sans CJK SC"/>
        <family val="2"/>
      </rPr>
      <t xml:space="preserve">百萬＝</t>
    </r>
    <r>
      <rPr>
        <sz val="10"/>
        <color rgb="FF000000"/>
        <rFont val="Arial"/>
        <family val="0"/>
        <charset val="1"/>
      </rPr>
      <t xml:space="preserve">41.3 </t>
    </r>
    <r>
      <rPr>
        <sz val="10"/>
        <color rgb="FF000000"/>
        <rFont val="Noto Sans CJK SC"/>
        <family val="2"/>
      </rPr>
      <t xml:space="preserve">百萬元；假設遞延收入變動僅來自補助收取與撥轉</t>
    </r>
  </si>
  <si>
    <t xml:space="preserve">SRC_ZP_1044</t>
  </si>
  <si>
    <t xml:space="preserve">grant_received_1h25</t>
  </si>
  <si>
    <r>
      <rPr>
        <sz val="10"/>
        <color rgb="FF000000"/>
        <rFont val="Arial"/>
        <family val="0"/>
        <charset val="1"/>
      </rPr>
      <t xml:space="preserve">Derived</t>
    </r>
    <r>
      <rPr>
        <sz val="10"/>
        <color rgb="FF000000"/>
        <rFont val="Noto Sans CJK SC"/>
        <family val="2"/>
      </rPr>
      <t xml:space="preserve">：遞延收入增加（現金流量表 </t>
    </r>
    <r>
      <rPr>
        <sz val="10"/>
        <color rgb="FF000000"/>
        <rFont val="Arial"/>
        <family val="0"/>
        <charset val="1"/>
      </rPr>
      <t xml:space="preserve">1,452 </t>
    </r>
    <r>
      <rPr>
        <sz val="10"/>
        <color rgb="FF000000"/>
        <rFont val="Noto Sans CJK SC"/>
        <family val="2"/>
      </rPr>
      <t xml:space="preserve">千元）＋撥入損益 </t>
    </r>
    <r>
      <rPr>
        <sz val="10"/>
        <color rgb="FF000000"/>
        <rFont val="Arial"/>
        <family val="0"/>
        <charset val="1"/>
      </rPr>
      <t xml:space="preserve">5.7 </t>
    </r>
    <r>
      <rPr>
        <sz val="10"/>
        <color rgb="FF000000"/>
        <rFont val="Noto Sans CJK SC"/>
        <family val="2"/>
      </rPr>
      <t xml:space="preserve">百萬＝</t>
    </r>
    <r>
      <rPr>
        <sz val="10"/>
        <color rgb="FF000000"/>
        <rFont val="Arial"/>
        <family val="0"/>
        <charset val="1"/>
      </rPr>
      <t xml:space="preserve">7.2 </t>
    </r>
    <r>
      <rPr>
        <sz val="10"/>
        <color rgb="FF000000"/>
        <rFont val="Noto Sans CJK SC"/>
        <family val="2"/>
      </rPr>
      <t xml:space="preserve">百萬元；假設遞延收入變動僅來自補助收取與撥轉</t>
    </r>
  </si>
  <si>
    <t xml:space="preserve">SRC_ZP_1045</t>
  </si>
  <si>
    <t xml:space="preserve">other_income_interest_fy22</t>
  </si>
  <si>
    <t xml:space="preserve">其他收入：利息收入</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</si>
  <si>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266 </t>
    </r>
    <r>
      <rPr>
        <sz val="10"/>
        <color rgb="FF000000"/>
        <rFont val="Noto Sans CJK SC"/>
        <family val="2"/>
      </rPr>
      <t xml:space="preserve">頁</t>
    </r>
  </si>
  <si>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1,426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</si>
  <si>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SRC_ZP_1046</t>
  </si>
  <si>
    <t xml:space="preserve">other_income_interest_fy23</t>
  </si>
  <si>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11,236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</si>
  <si>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SRC_ZP_1047</t>
  </si>
  <si>
    <t xml:space="preserve">other_income_interest_fy24</t>
  </si>
  <si>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13,406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</si>
  <si>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SRC_ZP_1048</t>
  </si>
  <si>
    <t xml:space="preserve">other_income_interest_1h24</t>
  </si>
  <si>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4,163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</si>
  <si>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SRC_ZP_1049</t>
  </si>
  <si>
    <t xml:space="preserve">other_income_interest_1h25</t>
  </si>
  <si>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4,607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</si>
  <si>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SRC_ZP_1050</t>
  </si>
  <si>
    <t xml:space="preserve">chip_us_purchase_stop</t>
  </si>
  <si>
    <r>
      <rPr>
        <sz val="10"/>
        <color rgb="FF000000"/>
        <rFont val="Noto Sans CJK SC"/>
        <family val="2"/>
      </rPr>
      <t xml:space="preserve">最後一次採購受 </t>
    </r>
    <r>
      <rPr>
        <sz val="10"/>
        <color rgb="FF000000"/>
        <rFont val="Arial"/>
        <family val="0"/>
        <charset val="1"/>
      </rPr>
      <t xml:space="preserve">EAR </t>
    </r>
    <r>
      <rPr>
        <sz val="10"/>
        <color rgb="FF000000"/>
        <rFont val="Noto Sans CJK SC"/>
        <family val="2"/>
      </rPr>
      <t xml:space="preserve">管制物項（含美國原產 </t>
    </r>
    <r>
      <rPr>
        <sz val="10"/>
        <color rgb="FF000000"/>
        <rFont val="Arial"/>
        <family val="0"/>
        <charset val="1"/>
      </rPr>
      <t xml:space="preserve">AI </t>
    </r>
    <r>
      <rPr>
        <sz val="10"/>
        <color rgb="FF000000"/>
        <rFont val="Noto Sans CJK SC"/>
        <family val="2"/>
      </rPr>
      <t xml:space="preserve">晶片的算力硬件）</t>
    </r>
  </si>
  <si>
    <t xml:space="preserve">2023-08</t>
  </si>
  <si>
    <r>
      <rPr>
        <sz val="10"/>
        <color rgb="FF000000"/>
        <rFont val="Noto Sans CJK SC"/>
        <family val="2"/>
      </rPr>
      <t xml:space="preserve">原文（第 </t>
    </r>
    <r>
      <rPr>
        <sz val="10"/>
        <color rgb="FF000000"/>
        <rFont val="Arial"/>
        <family val="0"/>
        <charset val="1"/>
      </rPr>
      <t xml:space="preserve">223 </t>
    </r>
    <r>
      <rPr>
        <sz val="10"/>
        <color rgb="FF000000"/>
        <rFont val="Noto Sans CJK SC"/>
        <family val="2"/>
      </rPr>
      <t xml:space="preserve">頁＝印 </t>
    </r>
    <r>
      <rPr>
        <sz val="10"/>
        <color rgb="FF000000"/>
        <rFont val="Arial"/>
        <family val="0"/>
        <charset val="1"/>
      </rPr>
      <t xml:space="preserve">214</t>
    </r>
    <r>
      <rPr>
        <sz val="10"/>
        <color rgb="FF000000"/>
        <rFont val="Noto Sans CJK SC"/>
        <family val="2"/>
      </rPr>
      <t xml:space="preserve">）「於往績記錄期及列入實體清單前…購買了受出口管制條例規限的若干含有美國原產</t>
    </r>
    <r>
      <rPr>
        <sz val="10"/>
        <color rgb="FF000000"/>
        <rFont val="Arial"/>
        <family val="0"/>
        <charset val="1"/>
      </rPr>
      <t xml:space="preserve">AI</t>
    </r>
    <r>
      <rPr>
        <sz val="10"/>
        <color rgb="FF000000"/>
        <rFont val="Noto Sans CJK SC"/>
        <family val="2"/>
      </rPr>
      <t xml:space="preserve">芯片的計算硬件，自 </t>
    </r>
    <r>
      <rPr>
        <sz val="10"/>
        <color rgb="FF000000"/>
        <rFont val="Arial"/>
        <family val="0"/>
        <charset val="1"/>
      </rPr>
      <t xml:space="preserve">2023 </t>
    </r>
    <r>
      <rPr>
        <sz val="10"/>
        <color rgb="FF000000"/>
        <rFont val="Noto Sans CJK SC"/>
        <family val="2"/>
      </rPr>
      <t xml:space="preserve">年 </t>
    </r>
    <r>
      <rPr>
        <sz val="10"/>
        <color rgb="FF000000"/>
        <rFont val="Arial"/>
        <family val="0"/>
        <charset val="1"/>
      </rPr>
      <t xml:space="preserve">8 </t>
    </r>
    <r>
      <rPr>
        <sz val="10"/>
        <color rgb="FF000000"/>
        <rFont val="Noto Sans CJK SC"/>
        <family val="2"/>
      </rPr>
      <t xml:space="preserve">月起，我們並無採購任何受出口管制條例規限的物項」；未揭露 </t>
    </r>
    <r>
      <rPr>
        <sz val="10"/>
        <color rgb="FF000000"/>
        <rFont val="Arial"/>
        <family val="0"/>
        <charset val="1"/>
      </rPr>
      <t xml:space="preserve">GPU </t>
    </r>
    <r>
      <rPr>
        <sz val="10"/>
        <color rgb="FF000000"/>
        <rFont val="Noto Sans CJK SC"/>
        <family val="2"/>
      </rPr>
      <t xml:space="preserve">型號與數量</t>
    </r>
  </si>
  <si>
    <t xml:space="preserve">SRC_ZP_1051</t>
  </si>
  <si>
    <t xml:space="preserve">chip_no_purchase_since_el</t>
  </si>
  <si>
    <r>
      <rPr>
        <sz val="10"/>
        <color rgb="FF000000"/>
        <rFont val="Noto Sans CJK SC"/>
        <family val="2"/>
      </rPr>
      <t xml:space="preserve">列入實體清單後 </t>
    </r>
    <r>
      <rPr>
        <sz val="10"/>
        <color rgb="FF000000"/>
        <rFont val="Arial"/>
        <family val="0"/>
        <charset val="1"/>
      </rPr>
      <t xml:space="preserve">AI </t>
    </r>
    <r>
      <rPr>
        <sz val="10"/>
        <color rgb="FF000000"/>
        <rFont val="Noto Sans CJK SC"/>
        <family val="2"/>
      </rPr>
      <t xml:space="preserve">晶片採購</t>
    </r>
  </si>
  <si>
    <t xml:space="preserve">顆</t>
  </si>
  <si>
    <r>
      <rPr>
        <sz val="10"/>
        <color rgb="FF000000"/>
        <rFont val="Arial"/>
        <family val="0"/>
        <charset val="1"/>
      </rPr>
      <t xml:space="preserve">2025-01-16</t>
    </r>
    <r>
      <rPr>
        <sz val="10"/>
        <color rgb="FF000000"/>
        <rFont val="Noto Sans CJK SC"/>
        <family val="2"/>
      </rPr>
      <t xml:space="preserve">～最後實際可行日期</t>
    </r>
  </si>
  <si>
    <r>
      <rPr>
        <sz val="10"/>
        <color rgb="FF000000"/>
        <rFont val="Noto Sans CJK SC"/>
        <family val="2"/>
      </rPr>
      <t xml:space="preserve">原文「自列入實體清單以來，我們並未採購任何</t>
    </r>
    <r>
      <rPr>
        <sz val="10"/>
        <color rgb="FF000000"/>
        <rFont val="Arial"/>
        <family val="0"/>
        <charset val="1"/>
      </rPr>
      <t xml:space="preserve">AI</t>
    </r>
    <r>
      <rPr>
        <sz val="10"/>
        <color rgb="FF000000"/>
        <rFont val="Noto Sans CJK SC"/>
        <family val="2"/>
      </rPr>
      <t xml:space="preserve">芯片，無論其是否受出口管制條例規限。相反，我們從中國聲譽良好的雲計算服務提供商採購算力資源」；未提及國產晶片品牌或自有國產算力</t>
    </r>
  </si>
  <si>
    <t xml:space="preserve">SRC_ZP_1052</t>
  </si>
  <si>
    <t xml:space="preserve">chip_platforms_compat</t>
  </si>
  <si>
    <t xml:space="preserve">模型相容晶片平台數</t>
  </si>
  <si>
    <t xml:space="preserve">款（以上）</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</si>
  <si>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157 </t>
    </r>
    <r>
      <rPr>
        <sz val="10"/>
        <color rgb="FF000000"/>
        <rFont val="Noto Sans CJK SC"/>
        <family val="2"/>
      </rPr>
      <t xml:space="preserve">頁</t>
    </r>
  </si>
  <si>
    <r>
      <rPr>
        <sz val="10"/>
        <color rgb="FF000000"/>
        <rFont val="Noto Sans CJK SC"/>
        <family val="2"/>
      </rPr>
      <t xml:space="preserve">原文「截至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日，我們的模型與全球 </t>
    </r>
    <r>
      <rPr>
        <sz val="10"/>
        <color rgb="FF000000"/>
        <rFont val="Arial"/>
        <family val="0"/>
        <charset val="1"/>
      </rPr>
      <t xml:space="preserve">40 </t>
    </r>
    <r>
      <rPr>
        <sz val="10"/>
        <color rgb="FF000000"/>
        <rFont val="Noto Sans CJK SC"/>
        <family val="2"/>
      </rPr>
      <t xml:space="preserve">多個主要芯片平台兼容」（第 </t>
    </r>
    <r>
      <rPr>
        <sz val="10"/>
        <color rgb="FF000000"/>
        <rFont val="Arial"/>
        <family val="0"/>
        <charset val="1"/>
      </rPr>
      <t xml:space="preserve">54</t>
    </r>
    <r>
      <rPr>
        <sz val="10"/>
        <color rgb="FF000000"/>
        <rFont val="Noto Sans CJK SC"/>
        <family val="2"/>
      </rPr>
      <t xml:space="preserve">、</t>
    </r>
    <r>
      <rPr>
        <sz val="10"/>
        <color rgb="FF000000"/>
        <rFont val="Arial"/>
        <family val="0"/>
        <charset val="1"/>
      </rPr>
      <t xml:space="preserve">157</t>
    </r>
    <r>
      <rPr>
        <sz val="10"/>
        <color rgb="FF000000"/>
        <rFont val="Noto Sans CJK SC"/>
        <family val="2"/>
      </rPr>
      <t xml:space="preserve">、</t>
    </r>
    <r>
      <rPr>
        <sz val="10"/>
        <color rgb="FF000000"/>
        <rFont val="Arial"/>
        <family val="0"/>
        <charset val="1"/>
      </rPr>
      <t xml:space="preserve">162 </t>
    </r>
    <r>
      <rPr>
        <sz val="10"/>
        <color rgb="FF000000"/>
        <rFont val="Noto Sans CJK SC"/>
        <family val="2"/>
      </rPr>
      <t xml:space="preserve">頁）；未列名</t>
    </r>
  </si>
  <si>
    <t xml:space="preserve">SRC_ZP_1053</t>
  </si>
  <si>
    <t xml:space="preserve">chip_owned_hw_desc</t>
  </si>
  <si>
    <t xml:space="preserve">自有算力硬件描述</t>
  </si>
  <si>
    <r>
      <rPr>
        <sz val="10"/>
        <color rgb="FF000000"/>
        <rFont val="Noto Sans CJK SC"/>
        <family val="2"/>
      </rPr>
      <t xml:space="preserve">電子設備及其他賬面值 </t>
    </r>
    <r>
      <rPr>
        <sz val="10"/>
        <color rgb="FF000000"/>
        <rFont val="Arial"/>
        <family val="0"/>
        <charset val="1"/>
      </rPr>
      <t xml:space="preserve">202,690 </t>
    </r>
    <r>
      <rPr>
        <sz val="10"/>
        <color rgb="FF000000"/>
        <rFont val="Noto Sans CJK SC"/>
        <family val="2"/>
      </rPr>
      <t xml:space="preserve">千元；第 </t>
    </r>
    <r>
      <rPr>
        <sz val="10"/>
        <color rgb="FF000000"/>
        <rFont val="Arial"/>
        <family val="0"/>
        <charset val="1"/>
      </rPr>
      <t xml:space="preserve">279 </t>
    </r>
    <r>
      <rPr>
        <sz val="10"/>
        <color rgb="FF000000"/>
        <rFont val="Noto Sans CJK SC"/>
        <family val="2"/>
      </rPr>
      <t xml:space="preserve">頁稱 </t>
    </r>
    <r>
      <rPr>
        <sz val="10"/>
        <color rgb="FF000000"/>
        <rFont val="Arial"/>
        <family val="0"/>
        <charset val="1"/>
      </rPr>
      <t xml:space="preserve">FY23 </t>
    </r>
    <r>
      <rPr>
        <sz val="10"/>
        <color rgb="FF000000"/>
        <rFont val="Noto Sans CJK SC"/>
        <family val="2"/>
      </rPr>
      <t xml:space="preserve">電子設備增加「主要由可為我們提供額外算力的算力硬件組成」，</t>
    </r>
    <r>
      <rPr>
        <sz val="10"/>
        <color rgb="FF000000"/>
        <rFont val="Arial"/>
        <family val="0"/>
        <charset val="1"/>
      </rPr>
      <t xml:space="preserve">FY24</t>
    </r>
    <r>
      <rPr>
        <sz val="10"/>
        <color rgb="FF000000"/>
        <rFont val="Noto Sans CJK SC"/>
        <family val="2"/>
      </rPr>
      <t xml:space="preserve">「處置算力硬件等部分電子設備…從自有轉向租賃」；</t>
    </r>
    <r>
      <rPr>
        <sz val="10"/>
        <color rgb="FF000000"/>
        <rFont val="Arial"/>
        <family val="0"/>
        <charset val="1"/>
      </rPr>
      <t xml:space="preserve">GPU </t>
    </r>
    <r>
      <rPr>
        <sz val="10"/>
        <color rgb="FF000000"/>
        <rFont val="Noto Sans CJK SC"/>
        <family val="2"/>
      </rPr>
      <t xml:space="preserve">型號、數量未揭露</t>
    </r>
  </si>
  <si>
    <t xml:space="preserve">SRC_ZP_1054</t>
  </si>
  <si>
    <t xml:space="preserve">h100_cost_industry</t>
  </si>
  <si>
    <r>
      <rPr>
        <sz val="10"/>
        <color rgb="FF000000"/>
        <rFont val="Noto Sans CJK SC"/>
        <family val="2"/>
      </rPr>
      <t xml:space="preserve">單張 </t>
    </r>
    <r>
      <rPr>
        <sz val="10"/>
        <color rgb="FF000000"/>
        <rFont val="Arial"/>
        <family val="0"/>
        <charset val="1"/>
      </rPr>
      <t xml:space="preserve">H100 GPU </t>
    </r>
    <r>
      <rPr>
        <sz val="10"/>
        <color rgb="FF000000"/>
        <rFont val="Noto Sans CJK SC"/>
        <family val="2"/>
      </rPr>
      <t xml:space="preserve">成本（行業概覽舉例）</t>
    </r>
  </si>
  <si>
    <t xml:space="preserve">USD</t>
  </si>
  <si>
    <t xml:space="preserve">2025</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</si>
  <si>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98 </t>
    </r>
    <r>
      <rPr>
        <sz val="10"/>
        <color rgb="FF000000"/>
        <rFont val="Noto Sans CJK SC"/>
        <family val="2"/>
      </rPr>
      <t xml:space="preserve">頁</t>
    </r>
  </si>
  <si>
    <t xml:space="preserve">弗若斯特沙利文（受公司委託之行業顧問）</t>
  </si>
  <si>
    <t xml:space="preserve">第三方行業顧問口徑</t>
  </si>
  <si>
    <r>
      <rPr>
        <sz val="10"/>
        <color rgb="FF000000"/>
        <rFont val="Noto Sans CJK SC"/>
        <family val="2"/>
      </rPr>
      <t xml:space="preserve">原文（第 </t>
    </r>
    <r>
      <rPr>
        <sz val="10"/>
        <color rgb="FF000000"/>
        <rFont val="Arial"/>
        <family val="0"/>
        <charset val="1"/>
      </rPr>
      <t xml:space="preserve">98 </t>
    </r>
    <r>
      <rPr>
        <sz val="10"/>
        <color rgb="FF000000"/>
        <rFont val="Noto Sans CJK SC"/>
        <family val="2"/>
      </rPr>
      <t xml:space="preserve">頁，弗若斯特沙利文行業概覽）「單個</t>
    </r>
    <r>
      <rPr>
        <sz val="10"/>
        <color rgb="FF000000"/>
        <rFont val="Arial"/>
        <family val="0"/>
        <charset val="1"/>
      </rPr>
      <t xml:space="preserve">H100 GPU</t>
    </r>
    <r>
      <rPr>
        <sz val="10"/>
        <color rgb="FF000000"/>
        <rFont val="Noto Sans CJK SC"/>
        <family val="2"/>
      </rPr>
      <t xml:space="preserve">的成本約為</t>
    </r>
    <r>
      <rPr>
        <sz val="10"/>
        <color rgb="FF000000"/>
        <rFont val="Arial"/>
        <family val="0"/>
        <charset val="1"/>
      </rPr>
      <t xml:space="preserve">25,000</t>
    </r>
    <r>
      <rPr>
        <sz val="10"/>
        <color rgb="FF000000"/>
        <rFont val="Noto Sans CJK SC"/>
        <family val="2"/>
      </rPr>
      <t xml:space="preserve">美元」；非智譜採購價</t>
    </r>
  </si>
  <si>
    <r>
      <rPr>
        <b val="true"/>
        <sz val="13"/>
        <rFont val="Arial"/>
        <family val="0"/>
        <charset val="1"/>
      </rPr>
      <t xml:space="preserve">TK_Link — Tokenomics </t>
    </r>
    <r>
      <rPr>
        <b val="true"/>
        <sz val="13"/>
        <rFont val="Noto Sans CJK SC"/>
        <family val="2"/>
      </rPr>
      <t xml:space="preserve">快照（第 </t>
    </r>
    <r>
      <rPr>
        <b val="true"/>
        <sz val="13"/>
        <rFont val="Arial"/>
        <family val="0"/>
        <charset val="1"/>
      </rPr>
      <t xml:space="preserve">0 </t>
    </r>
    <r>
      <rPr>
        <b val="true"/>
        <sz val="13"/>
        <rFont val="Noto Sans CJK SC"/>
        <family val="2"/>
      </rPr>
      <t xml:space="preserve">層連結；不用 </t>
    </r>
    <r>
      <rPr>
        <b val="true"/>
        <sz val="13"/>
        <rFont val="Arial"/>
        <family val="0"/>
        <charset val="1"/>
      </rPr>
      <t xml:space="preserve">Excel </t>
    </r>
    <r>
      <rPr>
        <b val="true"/>
        <sz val="13"/>
        <rFont val="Noto Sans CJK SC"/>
        <family val="2"/>
      </rPr>
      <t xml:space="preserve">外部連結）</t>
    </r>
  </si>
  <si>
    <r>
      <rPr>
        <sz val="9"/>
        <color rgb="FF595959"/>
        <rFont val="Noto Sans CJK SC"/>
        <family val="2"/>
      </rPr>
      <t xml:space="preserve">具名區（</t>
    </r>
    <r>
      <rPr>
        <sz val="9"/>
        <color rgb="FF595959"/>
        <rFont val="Arial"/>
        <family val="0"/>
        <charset val="1"/>
      </rPr>
      <t xml:space="preserve">OpenAI v0.6 </t>
    </r>
    <r>
      <rPr>
        <sz val="9"/>
        <color rgb="FF595959"/>
        <rFont val="Noto Sans CJK SC"/>
        <family val="2"/>
      </rPr>
      <t xml:space="preserve">的 </t>
    </r>
    <r>
      <rPr>
        <sz val="9"/>
        <color rgb="FF595959"/>
        <rFont val="Arial"/>
        <family val="0"/>
        <charset val="1"/>
      </rPr>
      <t xml:space="preserve">63 </t>
    </r>
    <r>
      <rPr>
        <sz val="9"/>
        <color rgb="FF595959"/>
        <rFont val="Noto Sans CJK SC"/>
        <family val="2"/>
      </rPr>
      <t xml:space="preserve">名：</t>
    </r>
    <r>
      <rPr>
        <sz val="9"/>
        <color rgb="FF595959"/>
        <rFont val="Arial"/>
        <family val="0"/>
        <charset val="1"/>
      </rPr>
      <t xml:space="preserve">IF_</t>
    </r>
    <r>
      <rPr>
        <sz val="9"/>
        <color rgb="FF595959"/>
        <rFont val="Noto Sans CJK SC"/>
        <family val="2"/>
      </rPr>
      <t xml:space="preserve">／</t>
    </r>
    <r>
      <rPr>
        <sz val="9"/>
        <color rgb="FF595959"/>
        <rFont val="Arial"/>
        <family val="0"/>
        <charset val="1"/>
      </rPr>
      <t xml:space="preserve">SRC_DEM_</t>
    </r>
    <r>
      <rPr>
        <sz val="9"/>
        <color rgb="FF595959"/>
        <rFont val="Noto Sans CJK SC"/>
        <family val="2"/>
      </rPr>
      <t xml:space="preserve">／</t>
    </r>
    <r>
      <rPr>
        <sz val="9"/>
        <color rgb="FF595959"/>
        <rFont val="Arial"/>
        <family val="0"/>
        <charset val="1"/>
      </rPr>
      <t xml:space="preserve">L1_</t>
    </r>
    <r>
      <rPr>
        <sz val="9"/>
        <color rgb="FF595959"/>
        <rFont val="Noto Sans CJK SC"/>
        <family val="2"/>
      </rPr>
      <t xml:space="preserve">；</t>
    </r>
    <r>
      <rPr>
        <sz val="9"/>
        <color rgb="FF595959"/>
        <rFont val="Arial"/>
        <family val="0"/>
        <charset val="1"/>
      </rPr>
      <t xml:space="preserve">Z3b </t>
    </r>
    <r>
      <rPr>
        <sz val="9"/>
        <color rgb="FF595959"/>
        <rFont val="Noto Sans CJK SC"/>
        <family val="2"/>
      </rPr>
      <t xml:space="preserve">加 </t>
    </r>
    <r>
      <rPr>
        <sz val="9"/>
        <color rgb="FF595959"/>
        <rFont val="Arial"/>
        <family val="0"/>
        <charset val="1"/>
      </rPr>
      <t xml:space="preserve">IF_CostPre</t>
    </r>
    <r>
      <rPr>
        <sz val="9"/>
        <color rgb="FF595959"/>
        <rFont val="Noto Sans CJK SC"/>
        <family val="2"/>
      </rPr>
      <t xml:space="preserve">／</t>
    </r>
    <r>
      <rPr>
        <sz val="9"/>
        <color rgb="FF595959"/>
        <rFont val="Arial"/>
        <family val="0"/>
        <charset val="1"/>
      </rPr>
      <t xml:space="preserve">Cache</t>
    </r>
    <r>
      <rPr>
        <sz val="9"/>
        <color rgb="FF595959"/>
        <rFont val="Noto Sans CJK SC"/>
        <family val="2"/>
      </rPr>
      <t xml:space="preserve">／</t>
    </r>
    <r>
      <rPr>
        <sz val="9"/>
        <color rgb="FF595959"/>
        <rFont val="Arial"/>
        <family val="0"/>
        <charset val="1"/>
      </rPr>
      <t xml:space="preserve">Dec_* 9 </t>
    </r>
    <r>
      <rPr>
        <sz val="9"/>
        <color rgb="FF595959"/>
        <rFont val="Noto Sans CJK SC"/>
        <family val="2"/>
      </rPr>
      <t xml:space="preserve">名）：值（藍字）由 </t>
    </r>
    <r>
      <rPr>
        <sz val="9"/>
        <color rgb="FF595959"/>
        <rFont val="Arial"/>
        <family val="0"/>
        <charset val="1"/>
      </rPr>
      <t xml:space="preserve">builder </t>
    </r>
    <r>
      <rPr>
        <sz val="9"/>
        <color rgb="FF595959"/>
        <rFont val="Noto Sans CJK SC"/>
        <family val="2"/>
      </rPr>
      <t xml:space="preserve">從 </t>
    </r>
    <r>
      <rPr>
        <sz val="9"/>
        <color rgb="FF595959"/>
        <rFont val="Arial"/>
        <family val="0"/>
        <charset val="1"/>
      </rPr>
      <t xml:space="preserve">Tokenomics master </t>
    </r>
    <r>
      <rPr>
        <sz val="9"/>
        <color rgb="FF595959"/>
        <rFont val="Noto Sans CJK SC"/>
        <family val="2"/>
      </rPr>
      <t xml:space="preserve">的 </t>
    </r>
    <r>
      <rPr>
        <sz val="9"/>
        <color rgb="FF595959"/>
        <rFont val="Arial"/>
        <family val="0"/>
        <charset val="1"/>
      </rPr>
      <t xml:space="preserve">model/CURRENT </t>
    </r>
    <r>
      <rPr>
        <sz val="9"/>
        <color rgb="FF595959"/>
        <rFont val="Noto Sans CJK SC"/>
        <family val="2"/>
      </rPr>
      <t xml:space="preserve">讀出寫入。本模型公式只引用 </t>
    </r>
    <r>
      <rPr>
        <sz val="9"/>
        <color rgb="FF595959"/>
        <rFont val="Arial"/>
        <family val="0"/>
        <charset val="1"/>
      </rPr>
      <t xml:space="preserve">TK_ </t>
    </r>
    <r>
      <rPr>
        <sz val="9"/>
        <color rgb="FF595959"/>
        <rFont val="Noto Sans CJK SC"/>
        <family val="2"/>
      </rPr>
      <t xml:space="preserve">名稱或本頁儲存格。</t>
    </r>
  </si>
  <si>
    <r>
      <rPr>
        <b val="true"/>
        <sz val="10"/>
        <rFont val="Arial"/>
        <family val="0"/>
        <charset val="1"/>
      </rPr>
      <t xml:space="preserve">Tokenomics </t>
    </r>
    <r>
      <rPr>
        <b val="true"/>
        <sz val="10"/>
        <rFont val="Noto Sans CJK SC"/>
        <family val="2"/>
      </rPr>
      <t xml:space="preserve">檔案</t>
    </r>
  </si>
  <si>
    <t xml:space="preserve">20261007_Tokenomics_v5.26.xlsx</t>
  </si>
  <si>
    <r>
      <rPr>
        <b val="true"/>
        <sz val="10"/>
        <rFont val="Arial"/>
        <family val="0"/>
        <charset val="1"/>
      </rPr>
      <t xml:space="preserve">Tokenomics </t>
    </r>
    <r>
      <rPr>
        <b val="true"/>
        <sz val="10"/>
        <rFont val="Noto Sans CJK SC"/>
        <family val="2"/>
      </rPr>
      <t xml:space="preserve">版本</t>
    </r>
  </si>
  <si>
    <t xml:space="preserve">v5.26</t>
  </si>
  <si>
    <r>
      <rPr>
        <b val="true"/>
        <sz val="10"/>
        <rFont val="Arial"/>
        <family val="0"/>
        <charset val="1"/>
      </rPr>
      <t xml:space="preserve">Tokenomics </t>
    </r>
    <r>
      <rPr>
        <b val="true"/>
        <sz val="10"/>
        <rFont val="Noto Sans CJK SC"/>
        <family val="2"/>
      </rPr>
      <t xml:space="preserve">提交 </t>
    </r>
    <r>
      <rPr>
        <b val="true"/>
        <sz val="10"/>
        <rFont val="Arial"/>
        <family val="0"/>
        <charset val="1"/>
      </rPr>
      <t xml:space="preserve">SHA</t>
    </r>
    <r>
      <rPr>
        <b val="true"/>
        <sz val="10"/>
        <rFont val="Noto Sans CJK SC"/>
        <family val="2"/>
      </rPr>
      <t xml:space="preserve">（</t>
    </r>
    <r>
      <rPr>
        <b val="true"/>
        <sz val="10"/>
        <rFont val="Arial"/>
        <family val="0"/>
        <charset val="1"/>
      </rPr>
      <t xml:space="preserve">master</t>
    </r>
    <r>
      <rPr>
        <b val="true"/>
        <sz val="10"/>
        <rFont val="Noto Sans CJK SC"/>
        <family val="2"/>
      </rPr>
      <t xml:space="preserve">）</t>
    </r>
  </si>
  <si>
    <t xml:space="preserve">70d859e38441b40d80f60d7fd6b811e44f320d7c</t>
  </si>
  <si>
    <t xml:space="preserve">讀取日期</t>
  </si>
  <si>
    <t xml:space="preserve">世代</t>
  </si>
  <si>
    <t xml:space="preserve">Hopper H100</t>
  </si>
  <si>
    <t xml:space="preserve">GB200 NVL72</t>
  </si>
  <si>
    <t xml:space="preserve">GB300 NVL72</t>
  </si>
  <si>
    <t xml:space="preserve">VR200 NVL72</t>
  </si>
  <si>
    <r>
      <rPr>
        <sz val="10"/>
        <color rgb="FF000000"/>
        <rFont val="Arial"/>
        <family val="0"/>
        <charset val="1"/>
      </rPr>
      <t xml:space="preserve">Rubin Ultra</t>
    </r>
    <r>
      <rPr>
        <sz val="10"/>
        <color rgb="FF000000"/>
        <rFont val="Noto Sans CJK SC"/>
        <family val="2"/>
      </rPr>
      <t xml:space="preserve">（</t>
    </r>
    <r>
      <rPr>
        <sz val="10"/>
        <color rgb="FF000000"/>
        <rFont val="Arial"/>
        <family val="0"/>
        <charset val="1"/>
      </rPr>
      <t xml:space="preserve">MGX NVL </t>
    </r>
    <r>
      <rPr>
        <sz val="10"/>
        <color rgb="FF000000"/>
        <rFont val="Noto Sans CJK SC"/>
        <family val="2"/>
      </rPr>
      <t xml:space="preserve">單架，</t>
    </r>
    <r>
      <rPr>
        <sz val="10"/>
        <color rgb="FF000000"/>
        <rFont val="Arial"/>
        <family val="0"/>
        <charset val="1"/>
      </rPr>
      <t xml:space="preserve">72 GPU</t>
    </r>
    <r>
      <rPr>
        <sz val="10"/>
        <color rgb="FF000000"/>
        <rFont val="Noto Sans CJK SC"/>
        <family val="2"/>
      </rPr>
      <t xml:space="preserve">）</t>
    </r>
  </si>
  <si>
    <t xml:space="preserve">成本情境</t>
  </si>
  <si>
    <t xml:space="preserve">低成本</t>
  </si>
  <si>
    <t xml:space="preserve">基準</t>
  </si>
  <si>
    <t xml:space="preserve">高成本</t>
  </si>
  <si>
    <r>
      <rPr>
        <b val="true"/>
        <sz val="10"/>
        <rFont val="Arial"/>
        <family val="0"/>
        <charset val="1"/>
      </rPr>
      <t xml:space="preserve">Tokenomics </t>
    </r>
    <r>
      <rPr>
        <b val="true"/>
        <sz val="10"/>
        <rFont val="Noto Sans CJK SC"/>
        <family val="2"/>
      </rPr>
      <t xml:space="preserve">名稱</t>
    </r>
  </si>
  <si>
    <t xml:space="preserve">本模型名稱</t>
  </si>
  <si>
    <t xml:space="preserve">說明</t>
  </si>
  <si>
    <t xml:space="preserve">欄數</t>
  </si>
  <si>
    <t xml:space="preserve">狀態</t>
  </si>
  <si>
    <r>
      <rPr>
        <b val="true"/>
        <sz val="10"/>
        <rFont val="Noto Sans CJK SC"/>
        <family val="2"/>
      </rPr>
      <t xml:space="preserve">提交 </t>
    </r>
    <r>
      <rPr>
        <b val="true"/>
        <sz val="10"/>
        <rFont val="Arial"/>
        <family val="0"/>
        <charset val="1"/>
      </rPr>
      <t xml:space="preserve">SHA</t>
    </r>
  </si>
  <si>
    <r>
      <rPr>
        <b val="true"/>
        <sz val="10"/>
        <rFont val="Noto Sans CJK SC"/>
        <family val="2"/>
      </rPr>
      <t xml:space="preserve">值</t>
    </r>
    <r>
      <rPr>
        <b val="true"/>
        <sz val="10"/>
        <rFont val="Arial"/>
        <family val="0"/>
        <charset val="1"/>
      </rPr>
      <t xml:space="preserve">1</t>
    </r>
  </si>
  <si>
    <r>
      <rPr>
        <b val="true"/>
        <sz val="10"/>
        <rFont val="Noto Sans CJK SC"/>
        <family val="2"/>
      </rPr>
      <t xml:space="preserve">值</t>
    </r>
    <r>
      <rPr>
        <b val="true"/>
        <sz val="10"/>
        <rFont val="Arial"/>
        <family val="0"/>
        <charset val="1"/>
      </rPr>
      <t xml:space="preserve">2</t>
    </r>
  </si>
  <si>
    <r>
      <rPr>
        <b val="true"/>
        <sz val="10"/>
        <rFont val="Noto Sans CJK SC"/>
        <family val="2"/>
      </rPr>
      <t xml:space="preserve">值</t>
    </r>
    <r>
      <rPr>
        <b val="true"/>
        <sz val="10"/>
        <rFont val="Arial"/>
        <family val="0"/>
        <charset val="1"/>
      </rPr>
      <t xml:space="preserve">3</t>
    </r>
  </si>
  <si>
    <r>
      <rPr>
        <b val="true"/>
        <sz val="10"/>
        <rFont val="Noto Sans CJK SC"/>
        <family val="2"/>
      </rPr>
      <t xml:space="preserve">值</t>
    </r>
    <r>
      <rPr>
        <b val="true"/>
        <sz val="10"/>
        <rFont val="Arial"/>
        <family val="0"/>
        <charset val="1"/>
      </rPr>
      <t xml:space="preserve">4</t>
    </r>
  </si>
  <si>
    <r>
      <rPr>
        <b val="true"/>
        <sz val="10"/>
        <rFont val="Noto Sans CJK SC"/>
        <family val="2"/>
      </rPr>
      <t xml:space="preserve">值</t>
    </r>
    <r>
      <rPr>
        <b val="true"/>
        <sz val="10"/>
        <rFont val="Arial"/>
        <family val="0"/>
        <charset val="1"/>
      </rPr>
      <t xml:space="preserve">5</t>
    </r>
  </si>
  <si>
    <r>
      <rPr>
        <b val="true"/>
        <sz val="10"/>
        <rFont val="Noto Sans CJK SC"/>
        <family val="2"/>
      </rPr>
      <t xml:space="preserve">值</t>
    </r>
    <r>
      <rPr>
        <b val="true"/>
        <sz val="10"/>
        <rFont val="Arial"/>
        <family val="0"/>
        <charset val="1"/>
      </rPr>
      <t xml:space="preserve">6</t>
    </r>
  </si>
  <si>
    <r>
      <rPr>
        <b val="true"/>
        <sz val="10"/>
        <rFont val="Noto Sans CJK SC"/>
        <family val="2"/>
      </rPr>
      <t xml:space="preserve">值</t>
    </r>
    <r>
      <rPr>
        <b val="true"/>
        <sz val="10"/>
        <rFont val="Arial"/>
        <family val="0"/>
        <charset val="1"/>
      </rPr>
      <t xml:space="preserve">7</t>
    </r>
  </si>
  <si>
    <r>
      <rPr>
        <b val="true"/>
        <sz val="10"/>
        <rFont val="Noto Sans CJK SC"/>
        <family val="2"/>
      </rPr>
      <t xml:space="preserve">值</t>
    </r>
    <r>
      <rPr>
        <b val="true"/>
        <sz val="10"/>
        <rFont val="Arial"/>
        <family val="0"/>
        <charset val="1"/>
      </rPr>
      <t xml:space="preserve">8</t>
    </r>
  </si>
  <si>
    <r>
      <rPr>
        <b val="true"/>
        <sz val="10"/>
        <rFont val="Noto Sans CJK SC"/>
        <family val="2"/>
      </rPr>
      <t xml:space="preserve">值</t>
    </r>
    <r>
      <rPr>
        <b val="true"/>
        <sz val="10"/>
        <rFont val="Arial"/>
        <family val="0"/>
        <charset val="1"/>
      </rPr>
      <t xml:space="preserve">9</t>
    </r>
  </si>
  <si>
    <r>
      <rPr>
        <b val="true"/>
        <sz val="10"/>
        <rFont val="Noto Sans CJK SC"/>
        <family val="2"/>
      </rPr>
      <t xml:space="preserve">值</t>
    </r>
    <r>
      <rPr>
        <b val="true"/>
        <sz val="10"/>
        <rFont val="Arial"/>
        <family val="0"/>
        <charset val="1"/>
      </rPr>
      <t xml:space="preserve">10</t>
    </r>
  </si>
  <si>
    <r>
      <rPr>
        <b val="true"/>
        <sz val="10"/>
        <rFont val="Noto Sans CJK SC"/>
        <family val="2"/>
      </rPr>
      <t xml:space="preserve">值</t>
    </r>
    <r>
      <rPr>
        <b val="true"/>
        <sz val="10"/>
        <rFont val="Arial"/>
        <family val="0"/>
        <charset val="1"/>
      </rPr>
      <t xml:space="preserve">11</t>
    </r>
  </si>
  <si>
    <r>
      <rPr>
        <b val="true"/>
        <sz val="10"/>
        <rFont val="Noto Sans CJK SC"/>
        <family val="2"/>
      </rPr>
      <t xml:space="preserve">值</t>
    </r>
    <r>
      <rPr>
        <b val="true"/>
        <sz val="10"/>
        <rFont val="Arial"/>
        <family val="0"/>
        <charset val="1"/>
      </rPr>
      <t xml:space="preserve">12</t>
    </r>
  </si>
  <si>
    <r>
      <rPr>
        <b val="true"/>
        <sz val="10"/>
        <rFont val="Noto Sans CJK SC"/>
        <family val="2"/>
      </rPr>
      <t xml:space="preserve">值</t>
    </r>
    <r>
      <rPr>
        <b val="true"/>
        <sz val="10"/>
        <rFont val="Arial"/>
        <family val="0"/>
        <charset val="1"/>
      </rPr>
      <t xml:space="preserve">13</t>
    </r>
  </si>
  <si>
    <r>
      <rPr>
        <b val="true"/>
        <sz val="10"/>
        <rFont val="Noto Sans CJK SC"/>
        <family val="2"/>
      </rPr>
      <t xml:space="preserve">值</t>
    </r>
    <r>
      <rPr>
        <b val="true"/>
        <sz val="10"/>
        <rFont val="Arial"/>
        <family val="0"/>
        <charset val="1"/>
      </rPr>
      <t xml:space="preserve">14</t>
    </r>
  </si>
  <si>
    <r>
      <rPr>
        <b val="true"/>
        <sz val="10"/>
        <rFont val="Noto Sans CJK SC"/>
        <family val="2"/>
      </rPr>
      <t xml:space="preserve">值</t>
    </r>
    <r>
      <rPr>
        <b val="true"/>
        <sz val="10"/>
        <rFont val="Arial"/>
        <family val="0"/>
        <charset val="1"/>
      </rPr>
      <t xml:space="preserve">15</t>
    </r>
  </si>
  <si>
    <t xml:space="preserve">IF_TokGW_Astra</t>
  </si>
  <si>
    <t xml:space="preserve">TK_IF_TokGW_Astra</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</si>
  <si>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100%</t>
    </r>
    <r>
      <rPr>
        <sz val="10"/>
        <color rgb="FF000000"/>
        <rFont val="Noto Sans CJK SC"/>
        <family val="2"/>
      </rPr>
      <t xml:space="preserve">）</t>
    </r>
  </si>
  <si>
    <r>
      <rPr>
        <sz val="10"/>
        <color rgb="FF000000"/>
        <rFont val="Arial"/>
        <family val="0"/>
        <charset val="1"/>
      </rPr>
      <t xml:space="preserve">M tok/</t>
    </r>
    <r>
      <rPr>
        <sz val="10"/>
        <color rgb="FF000000"/>
        <rFont val="Noto Sans CJK SC"/>
        <family val="2"/>
      </rPr>
      <t xml:space="preserve">年</t>
    </r>
  </si>
  <si>
    <t xml:space="preserve">OK</t>
  </si>
  <si>
    <t xml:space="preserve">70d859e</t>
  </si>
  <si>
    <t xml:space="preserve">IF_TokGW_Luna</t>
  </si>
  <si>
    <t xml:space="preserve">TK_IF_TokGW_Luna</t>
  </si>
  <si>
    <t xml:space="preserve">IF_TokGW_Sol</t>
  </si>
  <si>
    <t xml:space="preserve">TK_IF_TokGW_Sol</t>
  </si>
  <si>
    <t xml:space="preserve">IF_Util</t>
  </si>
  <si>
    <t xml:space="preserve">TK_IF_Util</t>
  </si>
  <si>
    <r>
      <rPr>
        <sz val="10"/>
        <color rgb="FF000000"/>
        <rFont val="Noto Sans CJK SC"/>
        <family val="2"/>
      </rPr>
      <t xml:space="preserve">基準利用率（第 </t>
    </r>
    <r>
      <rPr>
        <sz val="10"/>
        <color rgb="FF000000"/>
        <rFont val="Arial"/>
        <family val="0"/>
        <charset val="1"/>
      </rPr>
      <t xml:space="preserve">0 </t>
    </r>
    <r>
      <rPr>
        <sz val="10"/>
        <color rgb="FF000000"/>
        <rFont val="Noto Sans CJK SC"/>
        <family val="2"/>
      </rPr>
      <t xml:space="preserve">層；下游可覆寫）</t>
    </r>
  </si>
  <si>
    <t xml:space="preserve">IF_HoldEcon</t>
  </si>
  <si>
    <t xml:space="preserve">TK_IF_HoldEcon</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</si>
  <si>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 — 經濟口徑</t>
    </r>
  </si>
  <si>
    <r>
      <rPr>
        <sz val="10"/>
        <color rgb="FF000000"/>
        <rFont val="Arial"/>
        <family val="0"/>
        <charset val="1"/>
      </rPr>
      <t xml:space="preserve">$B/</t>
    </r>
    <r>
      <rPr>
        <sz val="10"/>
        <color rgb="FF000000"/>
        <rFont val="Noto Sans CJK SC"/>
        <family val="2"/>
      </rPr>
      <t xml:space="preserve">年</t>
    </r>
  </si>
  <si>
    <t xml:space="preserve">IF_FullCost_Astra</t>
  </si>
  <si>
    <t xml:space="preserve">TK_IF_FullCost_Astra</t>
  </si>
  <si>
    <r>
      <rPr>
        <sz val="10"/>
        <color rgb="FF000000"/>
        <rFont val="Noto Sans CJK SC"/>
        <family val="2"/>
      </rPr>
      <t xml:space="preserve">全成本 </t>
    </r>
    <r>
      <rPr>
        <sz val="10"/>
        <color rgb="FF000000"/>
        <rFont val="Arial"/>
        <family val="0"/>
        <charset val="1"/>
      </rPr>
      <t xml:space="preserve">$/M</t>
    </r>
    <r>
      <rPr>
        <sz val="10"/>
        <color rgb="FF000000"/>
        <rFont val="Noto Sans CJK SC"/>
        <family val="2"/>
      </rPr>
      <t xml:space="preserve">（服務＋快取儲存＋自下而上攤提；基準利用率）</t>
    </r>
  </si>
  <si>
    <t xml:space="preserve">$/M</t>
  </si>
  <si>
    <t xml:space="preserve">IF_FullCost_Luna</t>
  </si>
  <si>
    <t xml:space="preserve">TK_IF_FullCost_Luna</t>
  </si>
  <si>
    <t xml:space="preserve">IF_FullCost_Sol</t>
  </si>
  <si>
    <t xml:space="preserve">TK_IF_FullCost_Sol</t>
  </si>
  <si>
    <t xml:space="preserve">IF_PriceCached_Astra</t>
  </si>
  <si>
    <t xml:space="preserve">TK_IF_PriceCached_Astra</t>
  </si>
  <si>
    <r>
      <rPr>
        <sz val="10"/>
        <color rgb="FF000000"/>
        <rFont val="Noto Sans CJK SC"/>
        <family val="2"/>
      </rPr>
      <t xml:space="preserve">快取輸入 </t>
    </r>
    <r>
      <rPr>
        <sz val="10"/>
        <color rgb="FF000000"/>
        <rFont val="Arial"/>
        <family val="0"/>
        <charset val="1"/>
      </rPr>
      <t xml:space="preserve">$/M — OpenAI </t>
    </r>
    <r>
      <rPr>
        <sz val="10"/>
        <color rgb="FF000000"/>
        <rFont val="Noto Sans CJK SC"/>
        <family val="2"/>
      </rPr>
      <t xml:space="preserve">有效</t>
    </r>
  </si>
  <si>
    <t xml:space="preserve">IF_PriceCached_Luna</t>
  </si>
  <si>
    <t xml:space="preserve">TK_IF_PriceCached_Luna</t>
  </si>
  <si>
    <t xml:space="preserve">IF_PriceCached_Sol</t>
  </si>
  <si>
    <t xml:space="preserve">TK_IF_PriceCached_Sol</t>
  </si>
  <si>
    <t xml:space="preserve">IF_PriceFresh_Astra</t>
  </si>
  <si>
    <t xml:space="preserve">TK_IF_PriceFresh_Astra</t>
  </si>
  <si>
    <r>
      <rPr>
        <sz val="10"/>
        <color rgb="FF000000"/>
        <rFont val="Noto Sans CJK SC"/>
        <family val="2"/>
      </rPr>
      <t xml:space="preserve">新鮮輸入 </t>
    </r>
    <r>
      <rPr>
        <sz val="10"/>
        <color rgb="FF000000"/>
        <rFont val="Arial"/>
        <family val="0"/>
        <charset val="1"/>
      </rPr>
      <t xml:space="preserve">$/M — OpenAI </t>
    </r>
    <r>
      <rPr>
        <sz val="10"/>
        <color rgb="FF000000"/>
        <rFont val="Noto Sans CJK SC"/>
        <family val="2"/>
      </rPr>
      <t xml:space="preserve">有效</t>
    </r>
  </si>
  <si>
    <t xml:space="preserve">IF_PriceFresh_Luna</t>
  </si>
  <si>
    <t xml:space="preserve">TK_IF_PriceFresh_Luna</t>
  </si>
  <si>
    <t xml:space="preserve">IF_PriceFresh_Sol</t>
  </si>
  <si>
    <t xml:space="preserve">TK_IF_PriceFresh_Sol</t>
  </si>
  <si>
    <t xml:space="preserve">IF_PriceOut_Astra</t>
  </si>
  <si>
    <t xml:space="preserve">TK_IF_PriceOut_Astra</t>
  </si>
  <si>
    <r>
      <rPr>
        <sz val="10"/>
        <color rgb="FF000000"/>
        <rFont val="Noto Sans CJK SC"/>
        <family val="2"/>
      </rPr>
      <t xml:space="preserve">可見輸出 </t>
    </r>
    <r>
      <rPr>
        <sz val="10"/>
        <color rgb="FF000000"/>
        <rFont val="Arial"/>
        <family val="0"/>
        <charset val="1"/>
      </rPr>
      <t xml:space="preserve">$/M — OpenAI </t>
    </r>
    <r>
      <rPr>
        <sz val="10"/>
        <color rgb="FF000000"/>
        <rFont val="Noto Sans CJK SC"/>
        <family val="2"/>
      </rPr>
      <t xml:space="preserve">有效</t>
    </r>
  </si>
  <si>
    <t xml:space="preserve">IF_PriceOut_Luna</t>
  </si>
  <si>
    <t xml:space="preserve">TK_IF_PriceOut_Luna</t>
  </si>
  <si>
    <t xml:space="preserve">IF_PriceOut_Sol</t>
  </si>
  <si>
    <t xml:space="preserve">TK_IF_PriceOut_Sol</t>
  </si>
  <si>
    <t xml:space="preserve">IF_PriceRef_Astra</t>
  </si>
  <si>
    <t xml:space="preserve">TK_IF_PriceRef_Astra</t>
  </si>
  <si>
    <r>
      <rPr>
        <sz val="10"/>
        <color rgb="FF000000"/>
        <rFont val="Noto Sans CJK SC"/>
        <family val="2"/>
      </rPr>
      <t xml:space="preserve">參考請求混合 </t>
    </r>
    <r>
      <rPr>
        <sz val="10"/>
        <color rgb="FF000000"/>
        <rFont val="Arial"/>
        <family val="0"/>
        <charset val="1"/>
      </rPr>
      <t xml:space="preserve">$/M — OpenAI </t>
    </r>
    <r>
      <rPr>
        <sz val="10"/>
        <color rgb="FF000000"/>
        <rFont val="Noto Sans CJK SC"/>
        <family val="2"/>
      </rPr>
      <t xml:space="preserve">有效</t>
    </r>
  </si>
  <si>
    <t xml:space="preserve">IF_PriceRef_Luna</t>
  </si>
  <si>
    <t xml:space="preserve">TK_IF_PriceRef_Luna</t>
  </si>
  <si>
    <t xml:space="preserve">IF_PriceRef_Sol</t>
  </si>
  <si>
    <t xml:space="preserve">TK_IF_PriceRef_Sol</t>
  </si>
  <si>
    <t xml:space="preserve">IF_PriceThink_Astra</t>
  </si>
  <si>
    <t xml:space="preserve">TK_IF_PriceThink_Astra</t>
  </si>
  <si>
    <r>
      <rPr>
        <sz val="10"/>
        <color rgb="FF000000"/>
        <rFont val="Noto Sans CJK SC"/>
        <family val="2"/>
      </rPr>
      <t xml:space="preserve">思考 </t>
    </r>
    <r>
      <rPr>
        <sz val="10"/>
        <color rgb="FF000000"/>
        <rFont val="Arial"/>
        <family val="0"/>
        <charset val="1"/>
      </rPr>
      <t xml:space="preserve">$/M — OpenAI </t>
    </r>
    <r>
      <rPr>
        <sz val="10"/>
        <color rgb="FF000000"/>
        <rFont val="Noto Sans CJK SC"/>
        <family val="2"/>
      </rPr>
      <t xml:space="preserve">有效（依輸出計費）</t>
    </r>
  </si>
  <si>
    <t xml:space="preserve">IF_PriceThink_Luna</t>
  </si>
  <si>
    <t xml:space="preserve">TK_IF_PriceThink_Luna</t>
  </si>
  <si>
    <t xml:space="preserve">IF_PriceThink_Sol</t>
  </si>
  <si>
    <t xml:space="preserve">TK_IF_PriceThink_Sol</t>
  </si>
  <si>
    <t xml:space="preserve">IF_FrontRef_Astra</t>
  </si>
  <si>
    <t xml:space="preserve">TK_IF_FrontRef_Astra</t>
  </si>
  <si>
    <r>
      <rPr>
        <sz val="10"/>
        <color rgb="FF000000"/>
        <rFont val="Noto Sans CJK SC"/>
        <family val="2"/>
      </rPr>
      <t xml:space="preserve">參考請求混合 </t>
    </r>
    <r>
      <rPr>
        <sz val="10"/>
        <color rgb="FF000000"/>
        <rFont val="Arial"/>
        <family val="0"/>
        <charset val="1"/>
      </rPr>
      <t xml:space="preserve">$/M — </t>
    </r>
    <r>
      <rPr>
        <sz val="10"/>
        <color rgb="FF000000"/>
        <rFont val="Noto Sans CJK SC"/>
        <family val="2"/>
      </rPr>
      <t xml:space="preserve">前緣有效</t>
    </r>
  </si>
  <si>
    <t xml:space="preserve">IF_FrontRef_Luna</t>
  </si>
  <si>
    <t xml:space="preserve">TK_IF_FrontRef_Luna</t>
  </si>
  <si>
    <t xml:space="preserve">IF_FrontRef_Sol</t>
  </si>
  <si>
    <t xml:space="preserve">TK_IF_FrontRef_Sol</t>
  </si>
  <si>
    <t xml:space="preserve">IF_ProgGWyr_Astra</t>
  </si>
  <si>
    <t xml:space="preserve">TK_IF_ProgGWyr_Astra</t>
  </si>
  <si>
    <r>
      <rPr>
        <sz val="10"/>
        <color rgb="FF000000"/>
        <rFont val="Noto Sans CJK SC"/>
        <family val="2"/>
      </rPr>
      <t xml:space="preserve">研發計畫占 </t>
    </r>
    <r>
      <rPr>
        <sz val="10"/>
        <color rgb="FF000000"/>
        <rFont val="Arial"/>
        <family val="0"/>
        <charset val="1"/>
      </rPr>
      <t xml:space="preserve">1 GW </t>
    </r>
    <r>
      <rPr>
        <sz val="10"/>
        <color rgb="FF000000"/>
        <rFont val="Noto Sans CJK SC"/>
        <family val="2"/>
      </rPr>
      <t xml:space="preserve">一年</t>
    </r>
  </si>
  <si>
    <t xml:space="preserve">IF_ProgGWyr_Luna</t>
  </si>
  <si>
    <t xml:space="preserve">TK_IF_ProgGWyr_Luna</t>
  </si>
  <si>
    <t xml:space="preserve">IF_ProgGWyr_Sol</t>
  </si>
  <si>
    <t xml:space="preserve">TK_IF_ProgGWyr_Sol</t>
  </si>
  <si>
    <t xml:space="preserve">IF_RDMult</t>
  </si>
  <si>
    <t xml:space="preserve">TK_IF_RDMult</t>
  </si>
  <si>
    <r>
      <rPr>
        <sz val="10"/>
        <color rgb="FF000000"/>
        <rFont val="Noto Sans CJK SC"/>
        <family val="2"/>
      </rPr>
      <t xml:space="preserve">研發倍數（第 </t>
    </r>
    <r>
      <rPr>
        <sz val="10"/>
        <color rgb="FF000000"/>
        <rFont val="Arial"/>
        <family val="0"/>
        <charset val="1"/>
      </rPr>
      <t xml:space="preserve">0 </t>
    </r>
    <r>
      <rPr>
        <sz val="10"/>
        <color rgb="FF000000"/>
        <rFont val="Noto Sans CJK SC"/>
        <family val="2"/>
      </rPr>
      <t xml:space="preserve">層基準；下游可覆寫）</t>
    </r>
  </si>
  <si>
    <t xml:space="preserve">x</t>
  </si>
  <si>
    <t xml:space="preserve">IF_TrainGenDefault</t>
  </si>
  <si>
    <t xml:space="preserve">TK_IF_TrainGenDefault</t>
  </si>
  <si>
    <r>
      <rPr>
        <sz val="10"/>
        <color rgb="FF000000"/>
        <rFont val="Noto Sans CJK SC"/>
        <family val="2"/>
      </rPr>
      <t xml:space="preserve">下游預設訓練世代（索引；</t>
    </r>
    <r>
      <rPr>
        <sz val="10"/>
        <color rgb="FF000000"/>
        <rFont val="Arial"/>
        <family val="0"/>
        <charset val="1"/>
      </rPr>
      <t xml:space="preserve">J13</t>
    </r>
    <r>
      <rPr>
        <sz val="10"/>
        <color rgb="FF000000"/>
        <rFont val="Noto Sans CJK SC"/>
        <family val="2"/>
      </rPr>
      <t xml:space="preserve">）</t>
    </r>
  </si>
  <si>
    <t xml:space="preserve">索引</t>
  </si>
  <si>
    <t xml:space="preserve">SRC_DEM_004</t>
  </si>
  <si>
    <t xml:space="preserve">TK_SRC_DEM_004</t>
  </si>
  <si>
    <r>
      <rPr>
        <sz val="10"/>
        <color rgb="FF000000"/>
        <rFont val="Arial"/>
        <family val="0"/>
        <charset val="1"/>
      </rPr>
      <t xml:space="preserve">OpenAI 2025 </t>
    </r>
    <r>
      <rPr>
        <sz val="10"/>
        <color rgb="FF000000"/>
        <rFont val="Noto Sans CJK SC"/>
        <family val="2"/>
      </rPr>
      <t xml:space="preserve">推論支出（年度）</t>
    </r>
  </si>
  <si>
    <t xml:space="preserve">$B</t>
  </si>
  <si>
    <t xml:space="preserve">SRC_DEM_005</t>
  </si>
  <si>
    <t xml:space="preserve">TK_SRC_DEM_005</t>
  </si>
  <si>
    <r>
      <rPr>
        <sz val="10"/>
        <color rgb="FF000000"/>
        <rFont val="Arial"/>
        <family val="0"/>
        <charset val="1"/>
      </rPr>
      <t xml:space="preserve">OpenAI 2025 </t>
    </r>
    <r>
      <rPr>
        <sz val="10"/>
        <color rgb="FF000000"/>
        <rFont val="Noto Sans CJK SC"/>
        <family val="2"/>
      </rPr>
      <t xml:space="preserve">非付費用戶推論支出（年度）</t>
    </r>
  </si>
  <si>
    <t xml:space="preserve">SRC_DEM_006</t>
  </si>
  <si>
    <t xml:space="preserve">TK_SRC_DEM_006</t>
  </si>
  <si>
    <r>
      <rPr>
        <sz val="10"/>
        <color rgb="FF000000"/>
        <rFont val="Arial"/>
        <family val="0"/>
        <charset val="1"/>
      </rPr>
      <t xml:space="preserve">OpenAI 2025 </t>
    </r>
    <r>
      <rPr>
        <sz val="10"/>
        <color rgb="FF000000"/>
        <rFont val="Noto Sans CJK SC"/>
        <family val="2"/>
      </rPr>
      <t xml:space="preserve">訓練支出（年度；約值）</t>
    </r>
  </si>
  <si>
    <t xml:space="preserve">SRC_DEM_007</t>
  </si>
  <si>
    <t xml:space="preserve">TK_SRC_DEM_007</t>
  </si>
  <si>
    <r>
      <rPr>
        <sz val="10"/>
        <color rgb="FF000000"/>
        <rFont val="Arial"/>
        <family val="0"/>
        <charset val="1"/>
      </rPr>
      <t xml:space="preserve">OpenAI 2025 </t>
    </r>
    <r>
      <rPr>
        <sz val="10"/>
        <color rgb="FF000000"/>
        <rFont val="Noto Sans CJK SC"/>
        <family val="2"/>
      </rPr>
      <t xml:space="preserve">營收（年度）</t>
    </r>
  </si>
  <si>
    <t xml:space="preserve">SRC_DEM_008</t>
  </si>
  <si>
    <t xml:space="preserve">TK_SRC_DEM_008</t>
  </si>
  <si>
    <r>
      <rPr>
        <sz val="10"/>
        <color rgb="FF000000"/>
        <rFont val="Arial"/>
        <family val="0"/>
        <charset val="1"/>
      </rPr>
      <t xml:space="preserve">OpenAI </t>
    </r>
    <r>
      <rPr>
        <sz val="10"/>
        <color rgb="FF000000"/>
        <rFont val="Noto Sans CJK SC"/>
        <family val="2"/>
      </rPr>
      <t xml:space="preserve">算力規模 </t>
    </r>
    <r>
      <rPr>
        <sz val="10"/>
        <color rgb="FF000000"/>
        <rFont val="Arial"/>
        <family val="0"/>
        <charset val="1"/>
      </rPr>
      <t xml:space="preserve">2024 </t>
    </r>
    <r>
      <rPr>
        <sz val="10"/>
        <color rgb="FF000000"/>
        <rFont val="Noto Sans CJK SC"/>
        <family val="2"/>
      </rPr>
      <t xml:space="preserve">年底（</t>
    </r>
    <r>
      <rPr>
        <sz val="10"/>
        <color rgb="FF000000"/>
        <rFont val="Arial"/>
        <family val="0"/>
        <charset val="1"/>
      </rPr>
      <t xml:space="preserve">GW </t>
    </r>
    <r>
      <rPr>
        <sz val="10"/>
        <color rgb="FF000000"/>
        <rFont val="Noto Sans CJK SC"/>
        <family val="2"/>
      </rPr>
      <t xml:space="preserve">口徑未明（</t>
    </r>
    <r>
      <rPr>
        <sz val="10"/>
        <color rgb="FF000000"/>
        <rFont val="Arial"/>
        <family val="0"/>
        <charset val="1"/>
      </rPr>
      <t xml:space="preserve">D1</t>
    </r>
    <r>
      <rPr>
        <sz val="10"/>
        <color rgb="FF000000"/>
        <rFont val="Noto Sans CJK SC"/>
        <family val="2"/>
      </rPr>
      <t xml:space="preserve">））</t>
    </r>
  </si>
  <si>
    <t xml:space="preserve">GW</t>
  </si>
  <si>
    <t xml:space="preserve">SRC_DEM_009</t>
  </si>
  <si>
    <t xml:space="preserve">TK_SRC_DEM_009</t>
  </si>
  <si>
    <r>
      <rPr>
        <sz val="10"/>
        <color rgb="FF000000"/>
        <rFont val="Arial"/>
        <family val="0"/>
        <charset val="1"/>
      </rPr>
      <t xml:space="preserve">OpenAI </t>
    </r>
    <r>
      <rPr>
        <sz val="10"/>
        <color rgb="FF000000"/>
        <rFont val="Noto Sans CJK SC"/>
        <family val="2"/>
      </rPr>
      <t xml:space="preserve">算力規模 </t>
    </r>
    <r>
      <rPr>
        <sz val="10"/>
        <color rgb="FF000000"/>
        <rFont val="Arial"/>
        <family val="0"/>
        <charset val="1"/>
      </rPr>
      <t xml:space="preserve">2025 </t>
    </r>
    <r>
      <rPr>
        <sz val="10"/>
        <color rgb="FF000000"/>
        <rFont val="Noto Sans CJK SC"/>
        <family val="2"/>
      </rPr>
      <t xml:space="preserve">年底（約值；口徑未明）</t>
    </r>
  </si>
  <si>
    <t xml:space="preserve">SRC_DEM_010</t>
  </si>
  <si>
    <t xml:space="preserve">TK_SRC_DEM_010</t>
  </si>
  <si>
    <r>
      <rPr>
        <sz val="10"/>
        <color rgb="FF000000"/>
        <rFont val="Arial"/>
        <family val="0"/>
        <charset val="1"/>
      </rPr>
      <t xml:space="preserve">OpenAI API </t>
    </r>
    <r>
      <rPr>
        <sz val="10"/>
        <color rgb="FF000000"/>
        <rFont val="Noto Sans CJK SC"/>
        <family val="2"/>
      </rPr>
      <t xml:space="preserve">處理量（時點值；</t>
    </r>
    <r>
      <rPr>
        <sz val="10"/>
        <color rgb="FF000000"/>
        <rFont val="Arial"/>
        <family val="0"/>
        <charset val="1"/>
      </rPr>
      <t xml:space="preserve">API </t>
    </r>
    <r>
      <rPr>
        <sz val="10"/>
        <color rgb="FF000000"/>
        <rFont val="Noto Sans CJK SC"/>
        <family val="2"/>
      </rPr>
      <t xml:space="preserve">全部）</t>
    </r>
  </si>
  <si>
    <t xml:space="preserve">B tok/min</t>
  </si>
  <si>
    <t xml:space="preserve">SRC_DEM_011</t>
  </si>
  <si>
    <t xml:space="preserve">TK_SRC_DEM_011</t>
  </si>
  <si>
    <r>
      <rPr>
        <sz val="10"/>
        <color rgb="FF000000"/>
        <rFont val="Arial"/>
        <family val="0"/>
        <charset val="1"/>
      </rPr>
      <t xml:space="preserve">OpenAI API </t>
    </r>
    <r>
      <rPr>
        <sz val="10"/>
        <color rgb="FF000000"/>
        <rFont val="Noto Sans CJK SC"/>
        <family val="2"/>
      </rPr>
      <t xml:space="preserve">處理量（時點值；「超過」；</t>
    </r>
    <r>
      <rPr>
        <sz val="10"/>
        <color rgb="FF000000"/>
        <rFont val="Arial"/>
        <family val="0"/>
        <charset val="1"/>
      </rPr>
      <t xml:space="preserve">API </t>
    </r>
    <r>
      <rPr>
        <sz val="10"/>
        <color rgb="FF000000"/>
        <rFont val="Noto Sans CJK SC"/>
        <family val="2"/>
      </rPr>
      <t xml:space="preserve">全部）</t>
    </r>
  </si>
  <si>
    <t xml:space="preserve">SRC_DEM_012</t>
  </si>
  <si>
    <t xml:space="preserve">TK_SRC_DEM_012</t>
  </si>
  <si>
    <r>
      <rPr>
        <sz val="10"/>
        <color rgb="FF000000"/>
        <rFont val="Arial"/>
        <family val="0"/>
        <charset val="1"/>
      </rPr>
      <t xml:space="preserve">ChatGPT </t>
    </r>
    <r>
      <rPr>
        <sz val="10"/>
        <color rgb="FF000000"/>
        <rFont val="Noto Sans CJK SC"/>
        <family val="2"/>
      </rPr>
      <t xml:space="preserve">每日提示數（全球；其中美國約 </t>
    </r>
    <r>
      <rPr>
        <sz val="10"/>
        <color rgb="FF000000"/>
        <rFont val="Arial"/>
        <family val="0"/>
        <charset val="1"/>
      </rPr>
      <t xml:space="preserve">0.33B</t>
    </r>
    <r>
      <rPr>
        <sz val="10"/>
        <color rgb="FF000000"/>
        <rFont val="Noto Sans CJK SC"/>
        <family val="2"/>
      </rPr>
      <t xml:space="preserve">）</t>
    </r>
  </si>
  <si>
    <r>
      <rPr>
        <sz val="10"/>
        <color rgb="FF000000"/>
        <rFont val="Arial"/>
        <family val="0"/>
        <charset val="1"/>
      </rPr>
      <t xml:space="preserve">B </t>
    </r>
    <r>
      <rPr>
        <sz val="10"/>
        <color rgb="FF000000"/>
        <rFont val="Noto Sans CJK SC"/>
        <family val="2"/>
      </rPr>
      <t xml:space="preserve">則</t>
    </r>
    <r>
      <rPr>
        <sz val="10"/>
        <color rgb="FF000000"/>
        <rFont val="Arial"/>
        <family val="0"/>
        <charset val="1"/>
      </rPr>
      <t xml:space="preserve">/</t>
    </r>
    <r>
      <rPr>
        <sz val="10"/>
        <color rgb="FF000000"/>
        <rFont val="Noto Sans CJK SC"/>
        <family val="2"/>
      </rPr>
      <t xml:space="preserve">日</t>
    </r>
  </si>
  <si>
    <t xml:space="preserve">SRC_DEM_013</t>
  </si>
  <si>
    <t xml:space="preserve">TK_SRC_DEM_013</t>
  </si>
  <si>
    <r>
      <rPr>
        <sz val="10"/>
        <color rgb="FF000000"/>
        <rFont val="Noto Sans CJK SC"/>
        <family val="2"/>
      </rPr>
      <t xml:space="preserve">前沿實驗室（</t>
    </r>
    <r>
      <rPr>
        <sz val="10"/>
        <color rgb="FF000000"/>
        <rFont val="Arial"/>
        <family val="0"/>
        <charset val="1"/>
      </rPr>
      <t xml:space="preserve">OpenAI</t>
    </r>
    <r>
      <rPr>
        <sz val="10"/>
        <color rgb="FF000000"/>
        <rFont val="Noto Sans CJK SC"/>
        <family val="2"/>
      </rPr>
      <t xml:space="preserve">）每日 </t>
    </r>
    <r>
      <rPr>
        <sz val="10"/>
        <color rgb="FF000000"/>
        <rFont val="Arial"/>
        <family val="0"/>
        <charset val="1"/>
      </rPr>
      <t xml:space="preserve">token</t>
    </r>
    <r>
      <rPr>
        <sz val="10"/>
        <color rgb="FF000000"/>
        <rFont val="Noto Sans CJK SC"/>
        <family val="2"/>
      </rPr>
      <t xml:space="preserve">（由算力推估）</t>
    </r>
  </si>
  <si>
    <r>
      <rPr>
        <sz val="10"/>
        <color rgb="FF000000"/>
        <rFont val="Arial"/>
        <family val="0"/>
        <charset val="1"/>
      </rPr>
      <t xml:space="preserve">T tok/</t>
    </r>
    <r>
      <rPr>
        <sz val="10"/>
        <color rgb="FF000000"/>
        <rFont val="Noto Sans CJK SC"/>
        <family val="2"/>
      </rPr>
      <t xml:space="preserve">日</t>
    </r>
  </si>
  <si>
    <t xml:space="preserve">SRC_DEM_013_Lo</t>
  </si>
  <si>
    <t xml:space="preserve">TK_SRC_DEM_013_Lo</t>
  </si>
  <si>
    <t xml:space="preserve">SRC_DEM_013_Hi</t>
  </si>
  <si>
    <t xml:space="preserve">TK_SRC_DEM_013_Hi</t>
  </si>
  <si>
    <t xml:space="preserve">IF_AllocQ1</t>
  </si>
  <si>
    <t xml:space="preserve">TK_IF_AllocQ1</t>
  </si>
  <si>
    <r>
      <rPr>
        <sz val="10"/>
        <color rgb="FF000000"/>
        <rFont val="Noto Sans CJK SC"/>
        <family val="2"/>
      </rPr>
      <t xml:space="preserve">研發算力占比 </t>
    </r>
    <r>
      <rPr>
        <sz val="10"/>
        <color rgb="FF000000"/>
        <rFont val="Arial"/>
        <family val="0"/>
        <charset val="1"/>
      </rPr>
      <t xml:space="preserve">Q1</t>
    </r>
    <r>
      <rPr>
        <sz val="10"/>
        <color rgb="FF000000"/>
        <rFont val="Noto Sans CJK SC"/>
        <family val="2"/>
      </rPr>
      <t xml:space="preserve">（</t>
    </r>
    <r>
      <rPr>
        <sz val="10"/>
        <color rgb="FF000000"/>
        <rFont val="Arial"/>
        <family val="0"/>
        <charset val="1"/>
      </rPr>
      <t xml:space="preserve">R1</t>
    </r>
    <r>
      <rPr>
        <sz val="10"/>
        <color rgb="FF000000"/>
        <rFont val="Noto Sans CJK SC"/>
        <family val="2"/>
      </rPr>
      <t xml:space="preserve">：研發 </t>
    </r>
    <r>
      <rPr>
        <sz val="10"/>
        <color rgb="FF000000"/>
        <rFont val="Arial"/>
        <family val="0"/>
        <charset val="1"/>
      </rPr>
      <t xml:space="preserve">GW ÷ </t>
    </r>
    <r>
      <rPr>
        <sz val="10"/>
        <color rgb="FF000000"/>
        <rFont val="Noto Sans CJK SC"/>
        <family val="2"/>
      </rPr>
      <t xml:space="preserve">研發＋服務 </t>
    </r>
    <r>
      <rPr>
        <sz val="10"/>
        <color rgb="FF000000"/>
        <rFont val="Arial"/>
        <family val="0"/>
        <charset val="1"/>
      </rPr>
      <t xml:space="preserve">GW</t>
    </r>
    <r>
      <rPr>
        <sz val="10"/>
        <color rgb="FF000000"/>
        <rFont val="Noto Sans CJK SC"/>
        <family val="2"/>
      </rPr>
      <t xml:space="preserve">）</t>
    </r>
  </si>
  <si>
    <t xml:space="preserve">IF_AllocQ1_R2</t>
  </si>
  <si>
    <t xml:space="preserve">TK_IF_AllocQ1_R2</t>
  </si>
  <si>
    <r>
      <rPr>
        <sz val="10"/>
        <color rgb="FF000000"/>
        <rFont val="Noto Sans CJK SC"/>
        <family val="2"/>
      </rPr>
      <t xml:space="preserve">研發算力占比 </t>
    </r>
    <r>
      <rPr>
        <sz val="10"/>
        <color rgb="FF000000"/>
        <rFont val="Arial"/>
        <family val="0"/>
        <charset val="1"/>
      </rPr>
      <t xml:space="preserve">Q1</t>
    </r>
    <r>
      <rPr>
        <sz val="10"/>
        <color rgb="FF000000"/>
        <rFont val="Noto Sans CJK SC"/>
        <family val="2"/>
      </rPr>
      <t xml:space="preserve">（</t>
    </r>
    <r>
      <rPr>
        <sz val="10"/>
        <color rgb="FF000000"/>
        <rFont val="Arial"/>
        <family val="0"/>
        <charset val="1"/>
      </rPr>
      <t xml:space="preserve">R2</t>
    </r>
    <r>
      <rPr>
        <sz val="10"/>
        <color rgb="FF000000"/>
        <rFont val="Noto Sans CJK SC"/>
        <family val="2"/>
      </rPr>
      <t xml:space="preserve">：免費服務算作產品改良）</t>
    </r>
  </si>
  <si>
    <t xml:space="preserve">IF_AllocQ2</t>
  </si>
  <si>
    <t xml:space="preserve">TK_IF_AllocQ2</t>
  </si>
  <si>
    <r>
      <rPr>
        <sz val="10"/>
        <color rgb="FF000000"/>
        <rFont val="Noto Sans CJK SC"/>
        <family val="2"/>
      </rPr>
      <t xml:space="preserve">研發算力成本占比 </t>
    </r>
    <r>
      <rPr>
        <sz val="10"/>
        <color rgb="FF000000"/>
        <rFont val="Arial"/>
        <family val="0"/>
        <charset val="1"/>
      </rPr>
      <t xml:space="preserve">Q2</t>
    </r>
    <r>
      <rPr>
        <sz val="10"/>
        <color rgb="FF000000"/>
        <rFont val="Noto Sans CJK SC"/>
        <family val="2"/>
      </rPr>
      <t xml:space="preserve">（已裝 </t>
    </r>
    <r>
      <rPr>
        <sz val="10"/>
        <color rgb="FF000000"/>
        <rFont val="Arial"/>
        <family val="0"/>
        <charset val="1"/>
      </rPr>
      <t xml:space="preserve">GW × </t>
    </r>
    <r>
      <rPr>
        <sz val="10"/>
        <color rgb="FF000000"/>
        <rFont val="Noto Sans CJK SC"/>
        <family val="2"/>
      </rPr>
      <t xml:space="preserve">各世代每 </t>
    </r>
    <r>
      <rPr>
        <sz val="10"/>
        <color rgb="FF000000"/>
        <rFont val="Arial"/>
        <family val="0"/>
        <charset val="1"/>
      </rPr>
      <t xml:space="preserve">GW </t>
    </r>
    <r>
      <rPr>
        <sz val="10"/>
        <color rgb="FF000000"/>
        <rFont val="Noto Sans CJK SC"/>
        <family val="2"/>
      </rPr>
      <t xml:space="preserve">年持有成本；利用率不進入）</t>
    </r>
  </si>
  <si>
    <t xml:space="preserve">IF_AllocServeGW</t>
  </si>
  <si>
    <t xml:space="preserve">TK_IF_AllocServeGW</t>
  </si>
  <si>
    <r>
      <rPr>
        <sz val="10"/>
        <color rgb="FF000000"/>
        <rFont val="Noto Sans CJK SC"/>
        <family val="2"/>
      </rPr>
      <t xml:space="preserve">服務 </t>
    </r>
    <r>
      <rPr>
        <sz val="10"/>
        <color rgb="FF000000"/>
        <rFont val="Arial"/>
        <family val="0"/>
        <charset val="1"/>
      </rPr>
      <t xml:space="preserve">GW </t>
    </r>
    <r>
      <rPr>
        <sz val="10"/>
        <color rgb="FF000000"/>
        <rFont val="Noto Sans CJK SC"/>
        <family val="2"/>
      </rPr>
      <t xml:space="preserve">合計（</t>
    </r>
    <r>
      <rPr>
        <sz val="10"/>
        <color rgb="FF000000"/>
        <rFont val="Arial"/>
        <family val="0"/>
        <charset val="1"/>
      </rPr>
      <t xml:space="preserve">token </t>
    </r>
    <r>
      <rPr>
        <sz val="10"/>
        <color rgb="FF000000"/>
        <rFont val="Noto Sans CJK SC"/>
        <family val="2"/>
      </rPr>
      <t xml:space="preserve">路線；付費＋免費；</t>
    </r>
    <r>
      <rPr>
        <sz val="10"/>
        <color rgb="FF000000"/>
        <rFont val="Arial"/>
        <family val="0"/>
        <charset val="1"/>
      </rPr>
      <t xml:space="preserve">IT </t>
    </r>
    <r>
      <rPr>
        <sz val="10"/>
        <color rgb="FF000000"/>
        <rFont val="Noto Sans CJK SC"/>
        <family val="2"/>
      </rPr>
      <t xml:space="preserve">關鍵電力）</t>
    </r>
  </si>
  <si>
    <t xml:space="preserve">IF_AllocRDGW</t>
  </si>
  <si>
    <t xml:space="preserve">TK_IF_AllocRDGW</t>
  </si>
  <si>
    <r>
      <rPr>
        <sz val="10"/>
        <color rgb="FF000000"/>
        <rFont val="Noto Sans CJK SC"/>
        <family val="2"/>
      </rPr>
      <t xml:space="preserve">研發 </t>
    </r>
    <r>
      <rPr>
        <sz val="10"/>
        <color rgb="FF000000"/>
        <rFont val="Arial"/>
        <family val="0"/>
        <charset val="1"/>
      </rPr>
      <t xml:space="preserve">GW </t>
    </r>
    <r>
      <rPr>
        <sz val="10"/>
        <color rgb="FF000000"/>
        <rFont val="Noto Sans CJK SC"/>
        <family val="2"/>
      </rPr>
      <t xml:space="preserve">年（</t>
    </r>
    <r>
      <rPr>
        <sz val="10"/>
        <color rgb="FF000000"/>
        <rFont val="Arial"/>
        <family val="0"/>
        <charset val="1"/>
      </rPr>
      <t xml:space="preserve">k ×</t>
    </r>
    <r>
      <rPr>
        <sz val="10"/>
        <color rgb="FF000000"/>
        <rFont val="Noto Sans CJK SC"/>
        <family val="2"/>
      </rPr>
      <t xml:space="preserve">（</t>
    </r>
    <r>
      <rPr>
        <sz val="10"/>
        <color rgb="FF000000"/>
        <rFont val="Arial"/>
        <family val="0"/>
        <charset val="1"/>
      </rPr>
      <t xml:space="preserve">N_major × </t>
    </r>
    <r>
      <rPr>
        <sz val="10"/>
        <color rgb="FF000000"/>
        <rFont val="Noto Sans CJK SC"/>
        <family val="2"/>
      </rPr>
      <t xml:space="preserve">家族＋</t>
    </r>
    <r>
      <rPr>
        <sz val="10"/>
        <color rgb="FF000000"/>
        <rFont val="Arial"/>
        <family val="0"/>
        <charset val="1"/>
      </rPr>
      <t xml:space="preserve">N_refresh × </t>
    </r>
    <r>
      <rPr>
        <sz val="10"/>
        <color rgb="FF000000"/>
        <rFont val="Noto Sans CJK SC"/>
        <family val="2"/>
      </rPr>
      <t xml:space="preserve">改版）；訓練世代＝</t>
    </r>
    <r>
      <rPr>
        <sz val="10"/>
        <color rgb="FF000000"/>
        <rFont val="Arial"/>
        <family val="0"/>
        <charset val="1"/>
      </rPr>
      <t xml:space="preserve">IF_TrainGenDefault</t>
    </r>
    <r>
      <rPr>
        <sz val="10"/>
        <color rgb="FF000000"/>
        <rFont val="Noto Sans CJK SC"/>
        <family val="2"/>
      </rPr>
      <t xml:space="preserve">）</t>
    </r>
  </si>
  <si>
    <r>
      <rPr>
        <sz val="10"/>
        <color rgb="FF000000"/>
        <rFont val="Arial"/>
        <family val="0"/>
        <charset val="1"/>
      </rPr>
      <t xml:space="preserve">GW·</t>
    </r>
    <r>
      <rPr>
        <sz val="10"/>
        <color rgb="FF000000"/>
        <rFont val="Noto Sans CJK SC"/>
        <family val="2"/>
      </rPr>
      <t xml:space="preserve">年</t>
    </r>
  </si>
  <si>
    <t xml:space="preserve">IF_AllocDemand</t>
  </si>
  <si>
    <t xml:space="preserve">TK_IF_AllocDemand</t>
  </si>
  <si>
    <r>
      <rPr>
        <sz val="10"/>
        <color rgb="FF000000"/>
        <rFont val="Noto Sans CJK SC"/>
        <family val="2"/>
      </rPr>
      <t xml:space="preserve">需求 </t>
    </r>
    <r>
      <rPr>
        <sz val="10"/>
        <color rgb="FF000000"/>
        <rFont val="Arial"/>
        <family val="0"/>
        <charset val="1"/>
      </rPr>
      <t xml:space="preserve">D </t>
    </r>
    <r>
      <rPr>
        <sz val="10"/>
        <color rgb="FF000000"/>
        <rFont val="Noto Sans CJK SC"/>
        <family val="2"/>
      </rPr>
      <t xml:space="preserve">合計（</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ChatGPT</t>
    </r>
    <r>
      <rPr>
        <sz val="10"/>
        <color rgb="FF000000"/>
        <rFont val="Noto Sans CJK SC"/>
        <family val="2"/>
      </rPr>
      <t xml:space="preserve">；付費＋免費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</si>
  <si>
    <t xml:space="preserve">IF_AllocImpliedNk</t>
  </si>
  <si>
    <t xml:space="preserve">TK_IF_AllocImpliedNk</t>
  </si>
  <si>
    <r>
      <rPr>
        <sz val="10"/>
        <color rgb="FF000000"/>
        <rFont val="Noto Sans CJK SC"/>
        <family val="2"/>
      </rPr>
      <t xml:space="preserve">隱含 </t>
    </r>
    <r>
      <rPr>
        <sz val="10"/>
        <color rgb="FF000000"/>
        <rFont val="Arial"/>
        <family val="0"/>
        <charset val="1"/>
      </rPr>
      <t xml:space="preserve">N × k</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支出比反推；以家族計畫當量；</t>
    </r>
    <r>
      <rPr>
        <sz val="10"/>
        <color rgb="FF000000"/>
        <rFont val="Arial"/>
        <family val="0"/>
        <charset val="1"/>
      </rPr>
      <t xml:space="preserve">A3</t>
    </r>
    <r>
      <rPr>
        <sz val="10"/>
        <color rgb="FF000000"/>
        <rFont val="Noto Sans CJK SC"/>
        <family val="2"/>
      </rPr>
      <t xml:space="preserve">）</t>
    </r>
  </si>
  <si>
    <t xml:space="preserve">IF_TrainCost_Astra</t>
  </si>
  <si>
    <t xml:space="preserve">TK_IF_TrainCost_Astra</t>
  </si>
  <si>
    <t xml:space="preserve">最終訓練成本 — 經濟（依成本情境）</t>
  </si>
  <si>
    <t xml:space="preserve">$M</t>
  </si>
  <si>
    <t xml:space="preserve">IF_TrainCost_Luna</t>
  </si>
  <si>
    <t xml:space="preserve">TK_IF_TrainCost_Luna</t>
  </si>
  <si>
    <t xml:space="preserve">IF_TrainCost_Sol</t>
  </si>
  <si>
    <t xml:space="preserve">TK_IF_TrainCost_Sol</t>
  </si>
  <si>
    <t xml:space="preserve">IF_RevGW_Astra</t>
  </si>
  <si>
    <t xml:space="preserve">TK_IF_RevGW_Astra</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</si>
  <si>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理論營收 — </t>
    </r>
    <r>
      <rPr>
        <sz val="10"/>
        <color rgb="FF000000"/>
        <rFont val="Arial"/>
        <family val="0"/>
        <charset val="1"/>
      </rPr>
      <t xml:space="preserve">OpenAI </t>
    </r>
    <r>
      <rPr>
        <sz val="10"/>
        <color rgb="FF000000"/>
        <rFont val="Noto Sans CJK SC"/>
        <family val="2"/>
      </rPr>
      <t xml:space="preserve">有效單價（理想上限）</t>
    </r>
  </si>
  <si>
    <t xml:space="preserve">IF_RevGW_Luna</t>
  </si>
  <si>
    <t xml:space="preserve">TK_IF_RevGW_Luna</t>
  </si>
  <si>
    <t xml:space="preserve">IF_RevGW_Sol</t>
  </si>
  <si>
    <t xml:space="preserve">TK_IF_RevGW_Sol</t>
  </si>
  <si>
    <t xml:space="preserve">IF_FullCostDefault_Astra</t>
  </si>
  <si>
    <t xml:space="preserve">TK_IF_FullCostDefault_Astra</t>
  </si>
  <si>
    <r>
      <rPr>
        <sz val="10"/>
        <color rgb="FF000000"/>
        <rFont val="Noto Sans CJK SC"/>
        <family val="2"/>
      </rPr>
      <t xml:space="preserve">全成本 </t>
    </r>
    <r>
      <rPr>
        <sz val="10"/>
        <color rgb="FF000000"/>
        <rFont val="Arial"/>
        <family val="0"/>
        <charset val="1"/>
      </rPr>
      <t xml:space="preserve">$/M</t>
    </r>
    <r>
      <rPr>
        <sz val="10"/>
        <color rgb="FF000000"/>
        <rFont val="Noto Sans CJK SC"/>
        <family val="2"/>
      </rPr>
      <t xml:space="preserve">（服務＋快取儲存＋</t>
    </r>
    <r>
      <rPr>
        <sz val="10"/>
        <color rgb="FF000000"/>
        <rFont val="Arial"/>
        <family val="0"/>
        <charset val="1"/>
      </rPr>
      <t xml:space="preserve">K6 </t>
    </r>
    <r>
      <rPr>
        <sz val="10"/>
        <color rgb="FF000000"/>
        <rFont val="Noto Sans CJK SC"/>
        <family val="2"/>
      </rPr>
      <t xml:space="preserve">預設攤提；基準利用率；下游預設）</t>
    </r>
  </si>
  <si>
    <t xml:space="preserve">IF_FullCostDefault_Luna</t>
  </si>
  <si>
    <t xml:space="preserve">TK_IF_FullCostDefault_Luna</t>
  </si>
  <si>
    <t xml:space="preserve">IF_FullCostDefault_Sol</t>
  </si>
  <si>
    <t xml:space="preserve">TK_IF_FullCostDefault_Sol</t>
  </si>
  <si>
    <t xml:space="preserve">L1_Ans3</t>
  </si>
  <si>
    <t xml:space="preserve">TK_L1_Ans3</t>
  </si>
  <si>
    <r>
      <rPr>
        <sz val="10"/>
        <color rgb="FF000000"/>
        <rFont val="Noto Sans CJK SC"/>
        <family val="2"/>
      </rPr>
      <t xml:space="preserve">問 </t>
    </r>
    <r>
      <rPr>
        <sz val="10"/>
        <color rgb="FF000000"/>
        <rFont val="Arial"/>
        <family val="0"/>
        <charset val="1"/>
      </rPr>
      <t xml:space="preserve">3</t>
    </r>
    <r>
      <rPr>
        <sz val="10"/>
        <color rgb="FF000000"/>
        <rFont val="Noto Sans CJK SC"/>
        <family val="2"/>
      </rPr>
      <t xml:space="preserve">：研發占整體成本 </t>
    </r>
    <r>
      <rPr>
        <sz val="10"/>
        <color rgb="FF000000"/>
        <rFont val="Arial"/>
        <family val="0"/>
        <charset val="1"/>
      </rPr>
      <t xml:space="preserve">Q3</t>
    </r>
    <r>
      <rPr>
        <sz val="10"/>
        <color rgb="FF000000"/>
        <rFont val="Noto Sans CJK SC"/>
        <family val="2"/>
      </rPr>
      <t xml:space="preserve">（算力部分）（基準）</t>
    </r>
  </si>
  <si>
    <t xml:space="preserve">L1_Ans3_Lo</t>
  </si>
  <si>
    <t xml:space="preserve">TK_L1_Ans3_Lo</t>
  </si>
  <si>
    <r>
      <rPr>
        <sz val="10"/>
        <color rgb="FF000000"/>
        <rFont val="Noto Sans CJK SC"/>
        <family val="2"/>
      </rPr>
      <t xml:space="preserve">問 </t>
    </r>
    <r>
      <rPr>
        <sz val="10"/>
        <color rgb="FF000000"/>
        <rFont val="Arial"/>
        <family val="0"/>
        <charset val="1"/>
      </rPr>
      <t xml:space="preserve">3</t>
    </r>
    <r>
      <rPr>
        <sz val="10"/>
        <color rgb="FF000000"/>
        <rFont val="Noto Sans CJK SC"/>
        <family val="2"/>
      </rPr>
      <t xml:space="preserve">：研發占整體成本 </t>
    </r>
    <r>
      <rPr>
        <sz val="10"/>
        <color rgb="FF000000"/>
        <rFont val="Arial"/>
        <family val="0"/>
        <charset val="1"/>
      </rPr>
      <t xml:space="preserve">Q3</t>
    </r>
    <r>
      <rPr>
        <sz val="10"/>
        <color rgb="FF000000"/>
        <rFont val="Noto Sans CJK SC"/>
        <family val="2"/>
      </rPr>
      <t xml:space="preserve">（算力部分）（低）</t>
    </r>
  </si>
  <si>
    <t xml:space="preserve">L1_Ans3_Hi</t>
  </si>
  <si>
    <t xml:space="preserve">TK_L1_Ans3_Hi</t>
  </si>
  <si>
    <r>
      <rPr>
        <sz val="10"/>
        <color rgb="FF000000"/>
        <rFont val="Noto Sans CJK SC"/>
        <family val="2"/>
      </rPr>
      <t xml:space="preserve">問 </t>
    </r>
    <r>
      <rPr>
        <sz val="10"/>
        <color rgb="FF000000"/>
        <rFont val="Arial"/>
        <family val="0"/>
        <charset val="1"/>
      </rPr>
      <t xml:space="preserve">3</t>
    </r>
    <r>
      <rPr>
        <sz val="10"/>
        <color rgb="FF000000"/>
        <rFont val="Noto Sans CJK SC"/>
        <family val="2"/>
      </rPr>
      <t xml:space="preserve">：研發占整體成本 </t>
    </r>
    <r>
      <rPr>
        <sz val="10"/>
        <color rgb="FF000000"/>
        <rFont val="Arial"/>
        <family val="0"/>
        <charset val="1"/>
      </rPr>
      <t xml:space="preserve">Q3</t>
    </r>
    <r>
      <rPr>
        <sz val="10"/>
        <color rgb="FF000000"/>
        <rFont val="Noto Sans CJK SC"/>
        <family val="2"/>
      </rPr>
      <t xml:space="preserve">（算力部分）（高）</t>
    </r>
  </si>
  <si>
    <t xml:space="preserve">IF_CapexTotal</t>
  </si>
  <si>
    <t xml:space="preserve">TK_IF_CapexTotal</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</si>
  <si>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資本支出 — 合計</t>
    </r>
  </si>
  <si>
    <t xml:space="preserve">IF_CostCache_Astra</t>
  </si>
  <si>
    <t xml:space="preserve">TK_IF_CostCache_Astra</t>
  </si>
  <si>
    <r>
      <rPr>
        <sz val="10"/>
        <color rgb="FF000000"/>
        <rFont val="Noto Sans CJK SC"/>
        <family val="2"/>
      </rPr>
      <t xml:space="preserve">快取命中 </t>
    </r>
    <r>
      <rPr>
        <sz val="10"/>
        <color rgb="FF000000"/>
        <rFont val="Arial"/>
        <family val="0"/>
        <charset val="1"/>
      </rPr>
      <t xml:space="preserve">prefill $/M</t>
    </r>
    <r>
      <rPr>
        <sz val="10"/>
        <color rgb="FF000000"/>
        <rFont val="Noto Sans CJK SC"/>
        <family val="2"/>
      </rPr>
      <t xml:space="preserve">（經濟、</t>
    </r>
    <r>
      <rPr>
        <sz val="10"/>
        <color rgb="FF000000"/>
        <rFont val="Arial"/>
        <family val="0"/>
        <charset val="1"/>
      </rPr>
      <t xml:space="preserve">100%</t>
    </r>
    <r>
      <rPr>
        <sz val="10"/>
        <color rgb="FF000000"/>
        <rFont val="Noto Sans CJK SC"/>
        <family val="2"/>
      </rPr>
      <t xml:space="preserve">）</t>
    </r>
  </si>
  <si>
    <t xml:space="preserve">IF_CostCache_Luna</t>
  </si>
  <si>
    <t xml:space="preserve">TK_IF_CostCache_Luna</t>
  </si>
  <si>
    <t xml:space="preserve">IF_CostCache_Sol</t>
  </si>
  <si>
    <t xml:space="preserve">TK_IF_CostCache_Sol</t>
  </si>
  <si>
    <t xml:space="preserve">IF_CostDec_Astra</t>
  </si>
  <si>
    <t xml:space="preserve">TK_IF_CostDec_Astra</t>
  </si>
  <si>
    <r>
      <rPr>
        <sz val="10"/>
        <color rgb="FF000000"/>
        <rFont val="Arial"/>
        <family val="0"/>
        <charset val="1"/>
      </rPr>
      <t xml:space="preserve">decode</t>
    </r>
    <r>
      <rPr>
        <sz val="10"/>
        <color rgb="FF000000"/>
        <rFont val="Noto Sans CJK SC"/>
        <family val="2"/>
      </rPr>
      <t xml:space="preserve">（含思考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$/M</t>
    </r>
    <r>
      <rPr>
        <sz val="10"/>
        <color rgb="FF000000"/>
        <rFont val="Noto Sans CJK SC"/>
        <family val="2"/>
      </rPr>
      <t xml:space="preserve">（經濟、</t>
    </r>
    <r>
      <rPr>
        <sz val="10"/>
        <color rgb="FF000000"/>
        <rFont val="Arial"/>
        <family val="0"/>
        <charset val="1"/>
      </rPr>
      <t xml:space="preserve">100%</t>
    </r>
    <r>
      <rPr>
        <sz val="10"/>
        <color rgb="FF000000"/>
        <rFont val="Noto Sans CJK SC"/>
        <family val="2"/>
      </rPr>
      <t xml:space="preserve">）</t>
    </r>
  </si>
  <si>
    <t xml:space="preserve">IF_CostDec_Luna</t>
  </si>
  <si>
    <t xml:space="preserve">TK_IF_CostDec_Luna</t>
  </si>
  <si>
    <t xml:space="preserve">IF_CostDec_Sol</t>
  </si>
  <si>
    <t xml:space="preserve">TK_IF_CostDec_Sol</t>
  </si>
  <si>
    <t xml:space="preserve">IF_CostPre_Astra</t>
  </si>
  <si>
    <t xml:space="preserve">TK_IF_CostPre_Astra</t>
  </si>
  <si>
    <r>
      <rPr>
        <sz val="10"/>
        <color rgb="FF000000"/>
        <rFont val="Noto Sans CJK SC"/>
        <family val="2"/>
      </rPr>
      <t xml:space="preserve">新鮮 </t>
    </r>
    <r>
      <rPr>
        <sz val="10"/>
        <color rgb="FF000000"/>
        <rFont val="Arial"/>
        <family val="0"/>
        <charset val="1"/>
      </rPr>
      <t xml:space="preserve">prefill $/M</t>
    </r>
    <r>
      <rPr>
        <sz val="10"/>
        <color rgb="FF000000"/>
        <rFont val="Noto Sans CJK SC"/>
        <family val="2"/>
      </rPr>
      <t xml:space="preserve">（經濟、</t>
    </r>
    <r>
      <rPr>
        <sz val="10"/>
        <color rgb="FF000000"/>
        <rFont val="Arial"/>
        <family val="0"/>
        <charset val="1"/>
      </rPr>
      <t xml:space="preserve">100%</t>
    </r>
    <r>
      <rPr>
        <sz val="10"/>
        <color rgb="FF000000"/>
        <rFont val="Noto Sans CJK SC"/>
        <family val="2"/>
      </rPr>
      <t xml:space="preserve">）</t>
    </r>
  </si>
  <si>
    <t xml:space="preserve">IF_CostPre_Luna</t>
  </si>
  <si>
    <t xml:space="preserve">TK_IF_CostPre_Luna</t>
  </si>
  <si>
    <t xml:space="preserve">IF_CostPre_Sol</t>
  </si>
  <si>
    <t xml:space="preserve">TK_IF_CostPre_Sol</t>
  </si>
  <si>
    <t xml:space="preserve">IF_OpexGW</t>
  </si>
  <si>
    <t xml:space="preserve">TK_IF_OpexGW</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</si>
  <si>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營運費用小計（不含折舊；含電費）</t>
    </r>
  </si>
  <si>
    <t xml:space="preserve">IF_DeprLifeIT</t>
  </si>
  <si>
    <t xml:space="preserve">TK_IF_DeprLifeIT</t>
  </si>
  <si>
    <r>
      <rPr>
        <sz val="10"/>
        <color rgb="FF000000"/>
        <rFont val="Arial"/>
        <family val="0"/>
        <charset val="1"/>
      </rPr>
      <t xml:space="preserve">IT </t>
    </r>
    <r>
      <rPr>
        <sz val="10"/>
        <color rgb="FF000000"/>
        <rFont val="Noto Sans CJK SC"/>
        <family val="2"/>
      </rPr>
      <t xml:space="preserve">折舊年限</t>
    </r>
  </si>
  <si>
    <r>
      <rPr>
        <sz val="10"/>
        <color rgb="FF000000"/>
        <rFont val="Noto Sans CJK SC"/>
        <family val="2"/>
      </rPr>
      <t xml:space="preserve">（讀表）</t>
    </r>
    <r>
      <rPr>
        <sz val="10"/>
        <color rgb="FF000000"/>
        <rFont val="Arial"/>
        <family val="0"/>
        <charset val="1"/>
      </rPr>
      <t xml:space="preserve">Cap_In!54</t>
    </r>
  </si>
  <si>
    <t xml:space="preserve">TK_RD_CapIn_GLM53</t>
  </si>
  <si>
    <r>
      <rPr>
        <sz val="10"/>
        <color rgb="FF000000"/>
        <rFont val="Arial"/>
        <family val="0"/>
        <charset val="1"/>
      </rPr>
      <t xml:space="preserve">Cap_In F </t>
    </r>
    <r>
      <rPr>
        <sz val="10"/>
        <color rgb="FF000000"/>
        <rFont val="Noto Sans CJK SC"/>
        <family val="2"/>
      </rPr>
      <t xml:space="preserve">表 </t>
    </r>
    <r>
      <rPr>
        <sz val="10"/>
        <color rgb="FF000000"/>
        <rFont val="Arial"/>
        <family val="0"/>
        <charset val="1"/>
      </rPr>
      <t xml:space="preserve">GLM-5.3</t>
    </r>
    <r>
      <rPr>
        <sz val="10"/>
        <color rgb="FF000000"/>
        <rFont val="Noto Sans CJK SC"/>
        <family val="2"/>
      </rPr>
      <t xml:space="preserve">：新鮮輸入、快取輸入、輸出（國際站 </t>
    </r>
    <r>
      <rPr>
        <sz val="10"/>
        <color rgb="FF000000"/>
        <rFont val="Arial"/>
        <family val="0"/>
        <charset val="1"/>
      </rPr>
      <t xml:space="preserve">$/M</t>
    </r>
    <r>
      <rPr>
        <sz val="10"/>
        <color rgb="FF000000"/>
        <rFont val="Noto Sans CJK SC"/>
        <family val="2"/>
      </rPr>
      <t xml:space="preserve">）、尖峰離峰、能力指數（</t>
    </r>
    <r>
      <rPr>
        <sz val="10"/>
        <color rgb="FF000000"/>
        <rFont val="Arial"/>
        <family val="0"/>
        <charset val="1"/>
      </rPr>
      <t xml:space="preserve">Cap_In!E54</t>
    </r>
    <r>
      <rPr>
        <sz val="10"/>
        <color rgb="FF000000"/>
        <rFont val="Noto Sans CJK SC"/>
        <family val="2"/>
      </rPr>
      <t xml:space="preserve">，標籤『</t>
    </r>
    <r>
      <rPr>
        <sz val="10"/>
        <color rgb="FF000000"/>
        <rFont val="Arial"/>
        <family val="0"/>
        <charset val="1"/>
      </rPr>
      <t xml:space="preserve">GLM-5.3</t>
    </r>
    <r>
      <rPr>
        <sz val="10"/>
        <color rgb="FF000000"/>
        <rFont val="Noto Sans CJK SC"/>
        <family val="2"/>
      </rPr>
      <t xml:space="preserve">』）</t>
    </r>
  </si>
  <si>
    <r>
      <rPr>
        <sz val="10"/>
        <color rgb="FF000000"/>
        <rFont val="Arial"/>
        <family val="0"/>
        <charset val="1"/>
      </rPr>
      <t xml:space="preserve">$/M</t>
    </r>
    <r>
      <rPr>
        <sz val="10"/>
        <color rgb="FF000000"/>
        <rFont val="Noto Sans CJK SC"/>
        <family val="2"/>
      </rPr>
      <t xml:space="preserve">；指數</t>
    </r>
  </si>
  <si>
    <t xml:space="preserve">讀表（非具名）</t>
  </si>
  <si>
    <r>
      <rPr>
        <sz val="10"/>
        <color rgb="FF000000"/>
        <rFont val="Noto Sans CJK SC"/>
        <family val="2"/>
      </rPr>
      <t xml:space="preserve">（讀表）</t>
    </r>
    <r>
      <rPr>
        <sz val="10"/>
        <color rgb="FF000000"/>
        <rFont val="Arial"/>
        <family val="0"/>
        <charset val="1"/>
      </rPr>
      <t xml:space="preserve">Cap_In!55</t>
    </r>
  </si>
  <si>
    <t xml:space="preserve">TK_RD_CapIn_GLM53Flash</t>
  </si>
  <si>
    <r>
      <rPr>
        <sz val="10"/>
        <color rgb="FF000000"/>
        <rFont val="Arial"/>
        <family val="0"/>
        <charset val="1"/>
      </rPr>
      <t xml:space="preserve">Cap_In F </t>
    </r>
    <r>
      <rPr>
        <sz val="10"/>
        <color rgb="FF000000"/>
        <rFont val="Noto Sans CJK SC"/>
        <family val="2"/>
      </rPr>
      <t xml:space="preserve">表 </t>
    </r>
    <r>
      <rPr>
        <sz val="10"/>
        <color rgb="FF000000"/>
        <rFont val="Arial"/>
        <family val="0"/>
        <charset val="1"/>
      </rPr>
      <t xml:space="preserve">GLM-5.3-Flash</t>
    </r>
    <r>
      <rPr>
        <sz val="10"/>
        <color rgb="FF000000"/>
        <rFont val="Noto Sans CJK SC"/>
        <family val="2"/>
      </rPr>
      <t xml:space="preserve">：同上（</t>
    </r>
    <r>
      <rPr>
        <sz val="10"/>
        <color rgb="FF000000"/>
        <rFont val="Arial"/>
        <family val="0"/>
        <charset val="1"/>
      </rPr>
      <t xml:space="preserve">Cap_In!E55</t>
    </r>
    <r>
      <rPr>
        <sz val="10"/>
        <color rgb="FF000000"/>
        <rFont val="Noto Sans CJK SC"/>
        <family val="2"/>
      </rPr>
      <t xml:space="preserve">，標籤『</t>
    </r>
    <r>
      <rPr>
        <sz val="10"/>
        <color rgb="FF000000"/>
        <rFont val="Arial"/>
        <family val="0"/>
        <charset val="1"/>
      </rPr>
      <t xml:space="preserve">GLM-5.3-Flash</t>
    </r>
    <r>
      <rPr>
        <sz val="10"/>
        <color rgb="FF000000"/>
        <rFont val="Noto Sans CJK SC"/>
        <family val="2"/>
      </rPr>
      <t xml:space="preserve">』）</t>
    </r>
  </si>
  <si>
    <r>
      <rPr>
        <sz val="10"/>
        <color rgb="FF000000"/>
        <rFont val="Noto Sans CJK SC"/>
        <family val="2"/>
      </rPr>
      <t xml:space="preserve">（讀表）</t>
    </r>
    <r>
      <rPr>
        <sz val="10"/>
        <color rgb="FF000000"/>
        <rFont val="Arial"/>
        <family val="0"/>
        <charset val="1"/>
      </rPr>
      <t xml:space="preserve">Price_Frontier!14</t>
    </r>
  </si>
  <si>
    <t xml:space="preserve">TK_RD_PF_GLM53_Mix</t>
  </si>
  <si>
    <r>
      <rPr>
        <sz val="10"/>
        <color rgb="FF000000"/>
        <rFont val="Arial"/>
        <family val="0"/>
        <charset val="1"/>
      </rPr>
      <t xml:space="preserve">Price_Frontier A </t>
    </r>
    <r>
      <rPr>
        <sz val="10"/>
        <color rgb="FF000000"/>
        <rFont val="Noto Sans CJK SC"/>
        <family val="2"/>
      </rPr>
      <t xml:space="preserve">表 </t>
    </r>
    <r>
      <rPr>
        <sz val="10"/>
        <color rgb="FF000000"/>
        <rFont val="Arial"/>
        <family val="0"/>
        <charset val="1"/>
      </rPr>
      <t xml:space="preserve">GLM-5.3</t>
    </r>
    <r>
      <rPr>
        <sz val="10"/>
        <color rgb="FF000000"/>
        <rFont val="Noto Sans CJK SC"/>
        <family val="2"/>
      </rPr>
      <t xml:space="preserve">：參考請求混合單價（</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Astra </t>
    </r>
    <r>
      <rPr>
        <sz val="10"/>
        <color rgb="FF000000"/>
        <rFont val="Noto Sans CJK SC"/>
        <family val="2"/>
      </rPr>
      <t xml:space="preserve">參考請求）（</t>
    </r>
    <r>
      <rPr>
        <sz val="10"/>
        <color rgb="FF000000"/>
        <rFont val="Arial"/>
        <family val="0"/>
        <charset val="1"/>
      </rPr>
      <t xml:space="preserve">Price_Frontier!H14</t>
    </r>
    <r>
      <rPr>
        <sz val="10"/>
        <color rgb="FF000000"/>
        <rFont val="Noto Sans CJK SC"/>
        <family val="2"/>
      </rPr>
      <t xml:space="preserve">，標籤『</t>
    </r>
    <r>
      <rPr>
        <sz val="10"/>
        <color rgb="FF000000"/>
        <rFont val="Arial"/>
        <family val="0"/>
        <charset val="1"/>
      </rPr>
      <t xml:space="preserve">GLM-5.3</t>
    </r>
    <r>
      <rPr>
        <sz val="10"/>
        <color rgb="FF000000"/>
        <rFont val="Noto Sans CJK SC"/>
        <family val="2"/>
      </rPr>
      <t xml:space="preserve">』）</t>
    </r>
  </si>
  <si>
    <r>
      <rPr>
        <sz val="10"/>
        <color rgb="FF000000"/>
        <rFont val="Noto Sans CJK SC"/>
        <family val="2"/>
      </rPr>
      <t xml:space="preserve">（讀表）</t>
    </r>
    <r>
      <rPr>
        <sz val="10"/>
        <color rgb="FF000000"/>
        <rFont val="Arial"/>
        <family val="0"/>
        <charset val="1"/>
      </rPr>
      <t xml:space="preserve">Price_Frontier!15</t>
    </r>
  </si>
  <si>
    <t xml:space="preserve">TK_RD_PF_GLM53Flash_Mix</t>
  </si>
  <si>
    <r>
      <rPr>
        <sz val="10"/>
        <color rgb="FF000000"/>
        <rFont val="Arial"/>
        <family val="0"/>
        <charset val="1"/>
      </rPr>
      <t xml:space="preserve">Price_Frontier A </t>
    </r>
    <r>
      <rPr>
        <sz val="10"/>
        <color rgb="FF000000"/>
        <rFont val="Noto Sans CJK SC"/>
        <family val="2"/>
      </rPr>
      <t xml:space="preserve">表 </t>
    </r>
    <r>
      <rPr>
        <sz val="10"/>
        <color rgb="FF000000"/>
        <rFont val="Arial"/>
        <family val="0"/>
        <charset val="1"/>
      </rPr>
      <t xml:space="preserve">GLM-5.3-Flash</t>
    </r>
    <r>
      <rPr>
        <sz val="10"/>
        <color rgb="FF000000"/>
        <rFont val="Noto Sans CJK SC"/>
        <family val="2"/>
      </rPr>
      <t xml:space="preserve">：同上（</t>
    </r>
    <r>
      <rPr>
        <sz val="10"/>
        <color rgb="FF000000"/>
        <rFont val="Arial"/>
        <family val="0"/>
        <charset val="1"/>
      </rPr>
      <t xml:space="preserve">Price_Frontier!H15</t>
    </r>
    <r>
      <rPr>
        <sz val="10"/>
        <color rgb="FF000000"/>
        <rFont val="Noto Sans CJK SC"/>
        <family val="2"/>
      </rPr>
      <t xml:space="preserve">，標籤『</t>
    </r>
    <r>
      <rPr>
        <sz val="10"/>
        <color rgb="FF000000"/>
        <rFont val="Arial"/>
        <family val="0"/>
        <charset val="1"/>
      </rPr>
      <t xml:space="preserve">GLM-5.3-Flash</t>
    </r>
    <r>
      <rPr>
        <sz val="10"/>
        <color rgb="FF000000"/>
        <rFont val="Noto Sans CJK SC"/>
        <family val="2"/>
      </rPr>
      <t xml:space="preserve">』）</t>
    </r>
  </si>
  <si>
    <r>
      <rPr>
        <sz val="10"/>
        <color rgb="FF000000"/>
        <rFont val="Noto Sans CJK SC"/>
        <family val="2"/>
      </rPr>
      <t xml:space="preserve">（讀表）</t>
    </r>
    <r>
      <rPr>
        <sz val="10"/>
        <color rgb="FF000000"/>
        <rFont val="Arial"/>
        <family val="0"/>
        <charset val="1"/>
      </rPr>
      <t xml:space="preserve">Price_Frontier!31</t>
    </r>
  </si>
  <si>
    <t xml:space="preserve">TK_RD_PF_ChinaFront</t>
  </si>
  <si>
    <r>
      <rPr>
        <sz val="10"/>
        <color rgb="FF000000"/>
        <rFont val="Arial"/>
        <family val="0"/>
        <charset val="1"/>
      </rPr>
      <t xml:space="preserve">Price_Frontier B </t>
    </r>
    <r>
      <rPr>
        <sz val="10"/>
        <color rgb="FF000000"/>
        <rFont val="Noto Sans CJK SC"/>
        <family val="2"/>
      </rPr>
      <t xml:space="preserve">表：中國合格前緣混合單價（</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Astra</t>
    </r>
    <r>
      <rPr>
        <sz val="10"/>
        <color rgb="FF000000"/>
        <rFont val="Noto Sans CJK SC"/>
        <family val="2"/>
      </rPr>
      <t xml:space="preserve">；無合格者為文字）（</t>
    </r>
    <r>
      <rPr>
        <sz val="10"/>
        <color rgb="FF000000"/>
        <rFont val="Arial"/>
        <family val="0"/>
        <charset val="1"/>
      </rPr>
      <t xml:space="preserve">Price_Frontier!C31</t>
    </r>
    <r>
      <rPr>
        <sz val="10"/>
        <color rgb="FF000000"/>
        <rFont val="Noto Sans CJK SC"/>
        <family val="2"/>
      </rPr>
      <t xml:space="preserve">，標籤『中國廠商 合格者最低 混合單價』）</t>
    </r>
  </si>
  <si>
    <t xml:space="preserve">無合格</t>
  </si>
  <si>
    <r>
      <rPr>
        <sz val="10"/>
        <color rgb="FF000000"/>
        <rFont val="Noto Sans CJK SC"/>
        <family val="2"/>
      </rPr>
      <t xml:space="preserve">（讀表）</t>
    </r>
    <r>
      <rPr>
        <sz val="10"/>
        <color rgb="FF000000"/>
        <rFont val="Arial"/>
        <family val="0"/>
        <charset val="1"/>
      </rPr>
      <t xml:space="preserve">Price_Frontier!32</t>
    </r>
  </si>
  <si>
    <t xml:space="preserve">TK_RD_PF_ChinaFrontModel</t>
  </si>
  <si>
    <r>
      <rPr>
        <sz val="10"/>
        <color rgb="FF000000"/>
        <rFont val="Arial"/>
        <family val="0"/>
        <charset val="1"/>
      </rPr>
      <t xml:space="preserve">Price_Frontier B </t>
    </r>
    <r>
      <rPr>
        <sz val="10"/>
        <color rgb="FF000000"/>
        <rFont val="Noto Sans CJK SC"/>
        <family val="2"/>
      </rPr>
      <t xml:space="preserve">表：中國合格前緣模型名（</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Astra</t>
    </r>
    <r>
      <rPr>
        <sz val="10"/>
        <color rgb="FF000000"/>
        <rFont val="Noto Sans CJK SC"/>
        <family val="2"/>
      </rPr>
      <t xml:space="preserve">）（</t>
    </r>
    <r>
      <rPr>
        <sz val="10"/>
        <color rgb="FF000000"/>
        <rFont val="Arial"/>
        <family val="0"/>
        <charset val="1"/>
      </rPr>
      <t xml:space="preserve">Price_Frontier!C32</t>
    </r>
    <r>
      <rPr>
        <sz val="10"/>
        <color rgb="FF000000"/>
        <rFont val="Noto Sans CJK SC"/>
        <family val="2"/>
      </rPr>
      <t xml:space="preserve">，標籤『中國廠商 合格者最低 模型』）</t>
    </r>
  </si>
  <si>
    <t xml:space="preserve">GLM-5.3-Flash</t>
  </si>
  <si>
    <r>
      <rPr>
        <sz val="10"/>
        <color rgb="FF000000"/>
        <rFont val="Noto Sans CJK SC"/>
        <family val="2"/>
      </rPr>
      <t xml:space="preserve">（讀表）</t>
    </r>
    <r>
      <rPr>
        <sz val="10"/>
        <color rgb="FF000000"/>
        <rFont val="Arial"/>
        <family val="0"/>
        <charset val="1"/>
      </rPr>
      <t xml:space="preserve">Price_Frontier!33</t>
    </r>
  </si>
  <si>
    <t xml:space="preserve">TK_RD_PF_ChinaVsOAI</t>
  </si>
  <si>
    <r>
      <rPr>
        <sz val="10"/>
        <color rgb="FF000000"/>
        <rFont val="Arial"/>
        <family val="0"/>
        <charset val="1"/>
      </rPr>
      <t xml:space="preserve">Price_Frontier B </t>
    </r>
    <r>
      <rPr>
        <sz val="10"/>
        <color rgb="FF000000"/>
        <rFont val="Noto Sans CJK SC"/>
        <family val="2"/>
      </rPr>
      <t xml:space="preserve">表：中國合格前緣 </t>
    </r>
    <r>
      <rPr>
        <sz val="10"/>
        <color rgb="FF000000"/>
        <rFont val="Arial"/>
        <family val="0"/>
        <charset val="1"/>
      </rPr>
      <t xml:space="preserve">÷ OpenAI </t>
    </r>
    <r>
      <rPr>
        <sz val="10"/>
        <color rgb="FF000000"/>
        <rFont val="Noto Sans CJK SC"/>
        <family val="2"/>
      </rPr>
      <t xml:space="preserve">層級模型（</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Astra</t>
    </r>
    <r>
      <rPr>
        <sz val="10"/>
        <color rgb="FF000000"/>
        <rFont val="Noto Sans CJK SC"/>
        <family val="2"/>
      </rPr>
      <t xml:space="preserve">）（</t>
    </r>
    <r>
      <rPr>
        <sz val="10"/>
        <color rgb="FF000000"/>
        <rFont val="Arial"/>
        <family val="0"/>
        <charset val="1"/>
      </rPr>
      <t xml:space="preserve">Price_Frontier!C33</t>
    </r>
    <r>
      <rPr>
        <sz val="10"/>
        <color rgb="FF000000"/>
        <rFont val="Noto Sans CJK SC"/>
        <family val="2"/>
      </rPr>
      <t xml:space="preserve">，標籤『中國合格者最低 </t>
    </r>
    <r>
      <rPr>
        <sz val="10"/>
        <color rgb="FF000000"/>
        <rFont val="Arial"/>
        <family val="0"/>
        <charset val="1"/>
      </rPr>
      <t xml:space="preserve">÷ OpenAI </t>
    </r>
    <r>
      <rPr>
        <sz val="10"/>
        <color rgb="FF000000"/>
        <rFont val="Noto Sans CJK SC"/>
        <family val="2"/>
      </rPr>
      <t xml:space="preserve">層級模型』）</t>
    </r>
  </si>
  <si>
    <r>
      <rPr>
        <b val="true"/>
        <sz val="13"/>
        <rFont val="Arial"/>
        <family val="0"/>
        <charset val="1"/>
      </rPr>
      <t xml:space="preserve">OAI_Link — OpenAI v0.6 </t>
    </r>
    <r>
      <rPr>
        <b val="true"/>
        <sz val="13"/>
        <rFont val="Noto Sans CJK SC"/>
        <family val="2"/>
      </rPr>
      <t xml:space="preserve">命題輸出快照（美元；只被 </t>
    </r>
    <r>
      <rPr>
        <b val="true"/>
        <sz val="13"/>
        <rFont val="Arial"/>
        <family val="0"/>
        <charset val="1"/>
      </rPr>
      <t xml:space="preserve">Checks </t>
    </r>
    <r>
      <rPr>
        <b val="true"/>
        <sz val="13"/>
        <rFont val="Noto Sans CJK SC"/>
        <family val="2"/>
      </rPr>
      <t xml:space="preserve">與 </t>
    </r>
    <r>
      <rPr>
        <b val="true"/>
        <sz val="13"/>
        <rFont val="Arial"/>
        <family val="0"/>
        <charset val="1"/>
      </rPr>
      <t xml:space="preserve">HTML </t>
    </r>
    <r>
      <rPr>
        <b val="true"/>
        <sz val="13"/>
        <rFont val="Noto Sans CJK SC"/>
        <family val="2"/>
      </rPr>
      <t xml:space="preserve">引用，規格 </t>
    </r>
    <r>
      <rPr>
        <b val="true"/>
        <sz val="13"/>
        <rFont val="Arial"/>
        <family val="0"/>
        <charset val="1"/>
      </rPr>
      <t xml:space="preserve">D26</t>
    </r>
    <r>
      <rPr>
        <b val="true"/>
        <sz val="13"/>
        <rFont val="Noto Sans CJK SC"/>
        <family val="2"/>
      </rPr>
      <t xml:space="preserve">）</t>
    </r>
  </si>
  <si>
    <r>
      <rPr>
        <sz val="9"/>
        <color rgb="FF595959"/>
        <rFont val="Noto Sans CJK SC"/>
        <family val="2"/>
      </rPr>
      <t xml:space="preserve">值（藍字）由 </t>
    </r>
    <r>
      <rPr>
        <sz val="9"/>
        <color rgb="FF595959"/>
        <rFont val="Arial"/>
        <family val="0"/>
        <charset val="1"/>
      </rPr>
      <t xml:space="preserve">builder </t>
    </r>
    <r>
      <rPr>
        <sz val="9"/>
        <color rgb="FF595959"/>
        <rFont val="Noto Sans CJK SC"/>
        <family val="2"/>
      </rPr>
      <t xml:space="preserve">從 </t>
    </r>
    <r>
      <rPr>
        <sz val="9"/>
        <color rgb="FF595959"/>
        <rFont val="Arial"/>
        <family val="0"/>
        <charset val="1"/>
      </rPr>
      <t xml:space="preserve">OpenAI v0.6 Excel </t>
    </r>
    <r>
      <rPr>
        <sz val="9"/>
        <color rgb="FF595959"/>
        <rFont val="Noto Sans CJK SC"/>
        <family val="2"/>
      </rPr>
      <t xml:space="preserve">的具名範圍讀出（</t>
    </r>
    <r>
      <rPr>
        <sz val="9"/>
        <color rgb="FF595959"/>
        <rFont val="Arial"/>
        <family val="0"/>
        <charset val="1"/>
      </rPr>
      <t xml:space="preserve">LibreOffice </t>
    </r>
    <r>
      <rPr>
        <sz val="9"/>
        <color rgb="FF595959"/>
        <rFont val="Noto Sans CJK SC"/>
        <family val="2"/>
      </rPr>
      <t xml:space="preserve">重算後快取值）。本頁不參與任何計算；</t>
    </r>
    <r>
      <rPr>
        <sz val="9"/>
        <color rgb="FF595959"/>
        <rFont val="Arial"/>
        <family val="0"/>
        <charset val="1"/>
      </rPr>
      <t xml:space="preserve">test_builder </t>
    </r>
    <r>
      <rPr>
        <sz val="9"/>
        <color rgb="FF595959"/>
        <rFont val="Noto Sans CJK SC"/>
        <family val="2"/>
      </rPr>
      <t xml:space="preserve">掃描其他頁公式不得含 </t>
    </r>
    <r>
      <rPr>
        <sz val="9"/>
        <color rgb="FF595959"/>
        <rFont val="Arial"/>
        <family val="0"/>
        <charset val="1"/>
      </rPr>
      <t xml:space="preserve">OAI_</t>
    </r>
    <r>
      <rPr>
        <sz val="9"/>
        <color rgb="FF595959"/>
        <rFont val="Noto Sans CJK SC"/>
        <family val="2"/>
      </rPr>
      <t xml:space="preserve">。</t>
    </r>
  </si>
  <si>
    <r>
      <rPr>
        <b val="true"/>
        <sz val="10"/>
        <rFont val="Arial"/>
        <family val="0"/>
        <charset val="1"/>
      </rPr>
      <t xml:space="preserve">OpenAI Excel </t>
    </r>
    <r>
      <rPr>
        <b val="true"/>
        <sz val="10"/>
        <rFont val="Noto Sans CJK SC"/>
        <family val="2"/>
      </rPr>
      <t xml:space="preserve">檔案</t>
    </r>
  </si>
  <si>
    <t xml:space="preserve">oai.xlsx</t>
  </si>
  <si>
    <t xml:space="preserve">SHA-256</t>
  </si>
  <si>
    <t xml:space="preserve">34fc34a7ea2c18e8f608356ca462d8bd208496ca61780589b559fd2efc6597fe</t>
  </si>
  <si>
    <t xml:space="preserve">來源分支與提交</t>
  </si>
  <si>
    <t xml:space="preserve">claude/openai-s6-release@e91df57</t>
  </si>
  <si>
    <r>
      <rPr>
        <b val="true"/>
        <sz val="10"/>
        <rFont val="Arial"/>
        <family val="0"/>
        <charset val="1"/>
      </rPr>
      <t xml:space="preserve">OpenAI </t>
    </r>
    <r>
      <rPr>
        <b val="true"/>
        <sz val="10"/>
        <rFont val="Noto Sans CJK SC"/>
        <family val="2"/>
      </rPr>
      <t xml:space="preserve">名稱</t>
    </r>
  </si>
  <si>
    <t xml:space="preserve">2027</t>
  </si>
  <si>
    <t xml:space="preserve">2028</t>
  </si>
  <si>
    <t xml:space="preserve">2029</t>
  </si>
  <si>
    <t xml:space="preserve">2030</t>
  </si>
  <si>
    <t xml:space="preserve">REV_Gross</t>
  </si>
  <si>
    <t xml:space="preserve">OAI_REV_Gross</t>
  </si>
  <si>
    <t xml:space="preserve">營收總額（未截頂）</t>
  </si>
  <si>
    <t xml:space="preserve">REV_NetCapped</t>
  </si>
  <si>
    <t xml:space="preserve">OAI_REV_NetCapped</t>
  </si>
  <si>
    <t xml:space="preserve">營收淨額（容量截頂後）</t>
  </si>
  <si>
    <t xml:space="preserve">DEM_Tok_Total</t>
  </si>
  <si>
    <t xml:space="preserve">OAI_DEM_Tok_Total</t>
  </si>
  <si>
    <r>
      <rPr>
        <sz val="10"/>
        <color rgb="FF000000"/>
        <rFont val="Arial"/>
        <family val="0"/>
        <charset val="1"/>
      </rPr>
      <t xml:space="preserve">token </t>
    </r>
    <r>
      <rPr>
        <sz val="10"/>
        <color rgb="FF000000"/>
        <rFont val="Noto Sans CJK SC"/>
        <family val="2"/>
      </rPr>
      <t xml:space="preserve">合計（付費＋免費）</t>
    </r>
  </si>
  <si>
    <t xml:space="preserve">T</t>
  </si>
  <si>
    <t xml:space="preserve">CMP_InfGW_Eff</t>
  </si>
  <si>
    <t xml:space="preserve">OAI_CMP_InfGW_Eff</t>
  </si>
  <si>
    <r>
      <rPr>
        <sz val="10"/>
        <color rgb="FF000000"/>
        <rFont val="Noto Sans CJK SC"/>
        <family val="2"/>
      </rPr>
      <t xml:space="preserve">有效推論 </t>
    </r>
    <r>
      <rPr>
        <sz val="10"/>
        <color rgb="FF000000"/>
        <rFont val="Arial"/>
        <family val="0"/>
        <charset val="1"/>
      </rPr>
      <t xml:space="preserve">GW</t>
    </r>
  </si>
  <si>
    <t xml:space="preserve">CMP_Supply_VReq</t>
  </si>
  <si>
    <t xml:space="preserve">OAI_CMP_Supply_VReq</t>
  </si>
  <si>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</si>
  <si>
    <t xml:space="preserve">COST_Compute</t>
  </si>
  <si>
    <t xml:space="preserve">OAI_COST_Compute</t>
  </si>
  <si>
    <t xml:space="preserve">算力成本（現金）</t>
  </si>
  <si>
    <t xml:space="preserve">COST_FullCash</t>
  </si>
  <si>
    <t xml:space="preserve">OAI_COST_FullCash</t>
  </si>
  <si>
    <t xml:space="preserve">全成本（現金，含股權報酬）</t>
  </si>
  <si>
    <t xml:space="preserve">COST_PropRev_VR</t>
  </si>
  <si>
    <t xml:space="preserve">OAI_COST_PropRev_VR</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</si>
  <si>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營收淨額</t>
    </r>
  </si>
  <si>
    <t xml:space="preserve">$B/GW</t>
  </si>
  <si>
    <t xml:space="preserve">COST_PropFull_VR</t>
  </si>
  <si>
    <t xml:space="preserve">OAI_COST_PropFull_VR</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</si>
  <si>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全成本</t>
    </r>
  </si>
  <si>
    <t xml:space="preserve">COST_PropGap_VR</t>
  </si>
  <si>
    <t xml:space="preserve">OAI_COST_PropGap_VR</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</si>
  <si>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差額（命題 </t>
    </r>
    <r>
      <rPr>
        <sz val="10"/>
        <color rgb="FF000000"/>
        <rFont val="Arial"/>
        <family val="0"/>
        <charset val="1"/>
      </rPr>
      <t xml:space="preserve">1</t>
    </r>
    <r>
      <rPr>
        <sz val="10"/>
        <color rgb="FF000000"/>
        <rFont val="Noto Sans CJK SC"/>
        <family val="2"/>
      </rPr>
      <t xml:space="preserve">）</t>
    </r>
  </si>
  <si>
    <t xml:space="preserve">COST_Coverage</t>
  </si>
  <si>
    <t xml:space="preserve">OAI_COST_Coverage</t>
  </si>
  <si>
    <r>
      <rPr>
        <sz val="10"/>
        <color rgb="FF000000"/>
        <rFont val="Noto Sans CJK SC"/>
        <family val="2"/>
      </rPr>
      <t xml:space="preserve">覆蓋率（營收 </t>
    </r>
    <r>
      <rPr>
        <sz val="10"/>
        <color rgb="FF000000"/>
        <rFont val="Arial"/>
        <family val="0"/>
        <charset val="1"/>
      </rPr>
      <t xml:space="preserve">÷ </t>
    </r>
    <r>
      <rPr>
        <sz val="10"/>
        <color rgb="FF000000"/>
        <rFont val="Noto Sans CJK SC"/>
        <family val="2"/>
      </rPr>
      <t xml:space="preserve">全成本）</t>
    </r>
  </si>
  <si>
    <t xml:space="preserve">比例</t>
  </si>
  <si>
    <t xml:space="preserve">FND_FCF</t>
  </si>
  <si>
    <t xml:space="preserve">OAI_FND_FCF</t>
  </si>
  <si>
    <t xml:space="preserve">自由現金流</t>
  </si>
  <si>
    <t xml:space="preserve">FND_ExtNeed</t>
  </si>
  <si>
    <t xml:space="preserve">OAI_FND_ExtNeed</t>
  </si>
  <si>
    <t xml:space="preserve">外部資金需求（單年）</t>
  </si>
  <si>
    <t xml:space="preserve">FND_ExtNeedCum</t>
  </si>
  <si>
    <t xml:space="preserve">OAI_FND_ExtNeedCum</t>
  </si>
  <si>
    <r>
      <rPr>
        <sz val="10"/>
        <color rgb="FF000000"/>
        <rFont val="Noto Sans CJK SC"/>
        <family val="2"/>
      </rPr>
      <t xml:space="preserve">累計外部資金需求（命題 </t>
    </r>
    <r>
      <rPr>
        <sz val="10"/>
        <color rgb="FF000000"/>
        <rFont val="Arial"/>
        <family val="0"/>
        <charset val="1"/>
      </rPr>
      <t xml:space="preserve">2</t>
    </r>
    <r>
      <rPr>
        <sz val="10"/>
        <color rgb="FF000000"/>
        <rFont val="Noto Sans CJK SC"/>
        <family val="2"/>
      </rPr>
      <t xml:space="preserve">）</t>
    </r>
  </si>
  <si>
    <t xml:space="preserve">FND_CashEnd</t>
  </si>
  <si>
    <t xml:space="preserve">OAI_FND_CashEnd</t>
  </si>
  <si>
    <t xml:space="preserve">年底現金</t>
  </si>
  <si>
    <t xml:space="preserve">FND_Committed</t>
  </si>
  <si>
    <t xml:space="preserve">OAI_FND_Committed</t>
  </si>
  <si>
    <t xml:space="preserve">已到位融資</t>
  </si>
  <si>
    <t xml:space="preserve">RVS_ExtNeedCum</t>
  </si>
  <si>
    <t xml:space="preserve">OAI_RVS_ExtNeedCum</t>
  </si>
  <si>
    <t xml:space="preserve">反向累計外部資金需求（管理層目標）</t>
  </si>
  <si>
    <r>
      <rPr>
        <b val="true"/>
        <sz val="13"/>
        <rFont val="Arial"/>
        <family val="0"/>
        <charset val="1"/>
      </rPr>
      <t xml:space="preserve">Inputs — </t>
    </r>
    <r>
      <rPr>
        <b val="true"/>
        <sz val="13"/>
        <rFont val="Noto Sans CJK SC"/>
        <family val="2"/>
      </rPr>
      <t xml:space="preserve">假設輸入（藍字）：值、低、高、標記、依據、區間理由；匯率與單位換算定義常數（</t>
    </r>
    <r>
      <rPr>
        <b val="true"/>
        <sz val="13"/>
        <rFont val="Arial"/>
        <family val="0"/>
        <charset val="1"/>
      </rPr>
      <t xml:space="preserve">D23</t>
    </r>
    <r>
      <rPr>
        <b val="true"/>
        <sz val="13"/>
        <rFont val="Noto Sans CJK SC"/>
        <family val="2"/>
      </rPr>
      <t xml:space="preserve">、</t>
    </r>
    <r>
      <rPr>
        <b val="true"/>
        <sz val="13"/>
        <rFont val="Arial"/>
        <family val="0"/>
        <charset val="1"/>
      </rPr>
      <t xml:space="preserve">E6</t>
    </r>
    <r>
      <rPr>
        <b val="true"/>
        <sz val="13"/>
        <rFont val="Noto Sans CJK SC"/>
        <family val="2"/>
      </rPr>
      <t xml:space="preserve">）</t>
    </r>
  </si>
  <si>
    <r>
      <rPr>
        <sz val="9"/>
        <color rgb="FF595959"/>
        <rFont val="Noto Sans CJK SC"/>
        <family val="2"/>
      </rPr>
      <t xml:space="preserve">長表格式：一列一個參數（</t>
    </r>
    <r>
      <rPr>
        <sz val="9"/>
        <color rgb="FF595959"/>
        <rFont val="Arial"/>
        <family val="0"/>
        <charset val="1"/>
      </rPr>
      <t xml:space="preserve">× </t>
    </r>
    <r>
      <rPr>
        <sz val="9"/>
        <color rgb="FF595959"/>
        <rFont val="Noto Sans CJK SC"/>
        <family val="2"/>
      </rPr>
      <t xml:space="preserve">索引）。來源 </t>
    </r>
    <r>
      <rPr>
        <sz val="9"/>
        <color rgb="FF595959"/>
        <rFont val="Arial"/>
        <family val="0"/>
        <charset val="1"/>
      </rPr>
      <t xml:space="preserve">data/zhipu_inputs.yaml</t>
    </r>
    <r>
      <rPr>
        <sz val="9"/>
        <color rgb="FF595959"/>
        <rFont val="Noto Sans CJK SC"/>
        <family val="2"/>
      </rPr>
      <t xml:space="preserve">；</t>
    </r>
    <r>
      <rPr>
        <sz val="9"/>
        <color rgb="FF595959"/>
        <rFont val="Arial"/>
        <family val="0"/>
        <charset val="1"/>
      </rPr>
      <t xml:space="preserve">INP_nnn </t>
    </r>
    <r>
      <rPr>
        <sz val="9"/>
        <color rgb="FF595959"/>
        <rFont val="Noto Sans CJK SC"/>
        <family val="2"/>
      </rPr>
      <t xml:space="preserve">由 </t>
    </r>
    <r>
      <rPr>
        <sz val="9"/>
        <color rgb="FF595959"/>
        <rFont val="Arial"/>
        <family val="0"/>
        <charset val="1"/>
      </rPr>
      <t xml:space="preserve">builder/id_registry.json </t>
    </r>
    <r>
      <rPr>
        <sz val="9"/>
        <color rgb="FF595959"/>
        <rFont val="Noto Sans CJK SC"/>
        <family val="2"/>
      </rPr>
      <t xml:space="preserve">依鍵發出，穩定不重用。</t>
    </r>
  </si>
  <si>
    <r>
      <rPr>
        <sz val="9"/>
        <color rgb="FF595959"/>
        <rFont val="Arial"/>
        <family val="0"/>
        <charset val="1"/>
      </rPr>
      <t xml:space="preserve">Analogy </t>
    </r>
    <r>
      <rPr>
        <sz val="9"/>
        <color rgb="FF595959"/>
        <rFont val="Noto Sans CJK SC"/>
        <family val="2"/>
      </rPr>
      <t xml:space="preserve">寫明參照（如『</t>
    </r>
    <r>
      <rPr>
        <sz val="9"/>
        <color rgb="FF595959"/>
        <rFont val="Arial"/>
        <family val="0"/>
        <charset val="1"/>
      </rPr>
      <t xml:space="preserve">OpenAI v0.6 INP_nnn</t>
    </r>
    <r>
      <rPr>
        <sz val="9"/>
        <color rgb="FF595959"/>
        <rFont val="Noto Sans CJK SC"/>
        <family val="2"/>
      </rPr>
      <t xml:space="preserve">』）與差異；</t>
    </r>
    <r>
      <rPr>
        <sz val="9"/>
        <color rgb="FF595959"/>
        <rFont val="Arial"/>
        <family val="0"/>
        <charset val="1"/>
      </rPr>
      <t xml:space="preserve">Assumed </t>
    </r>
    <r>
      <rPr>
        <sz val="9"/>
        <color rgb="FF595959"/>
        <rFont val="Noto Sans CJK SC"/>
        <family val="2"/>
      </rPr>
      <t xml:space="preserve">寫明依據；兩者一律給區間。</t>
    </r>
    <r>
      <rPr>
        <sz val="9"/>
        <color rgb="FF595959"/>
        <rFont val="Arial"/>
        <family val="0"/>
        <charset val="1"/>
      </rPr>
      <t xml:space="preserve">Decision</t>
    </r>
    <r>
      <rPr>
        <sz val="9"/>
        <color rgb="FF595959"/>
        <rFont val="Noto Sans CJK SC"/>
        <family val="2"/>
      </rPr>
      <t xml:space="preserve">＝定義常數或規格決策（低＝值＝高）。</t>
    </r>
  </si>
  <si>
    <t xml:space="preserve">INP_ID</t>
  </si>
  <si>
    <t xml:space="preserve">參數</t>
  </si>
  <si>
    <t xml:space="preserve">依據</t>
  </si>
  <si>
    <t xml:space="preserve">區間理由</t>
  </si>
  <si>
    <r>
      <rPr>
        <b val="true"/>
        <sz val="10"/>
        <rFont val="Arial"/>
        <family val="0"/>
        <charset val="1"/>
      </rPr>
      <t xml:space="preserve">Analogy</t>
    </r>
    <r>
      <rPr>
        <b val="true"/>
        <sz val="10"/>
        <rFont val="Noto Sans CJK SC"/>
        <family val="2"/>
      </rPr>
      <t xml:space="preserve">／</t>
    </r>
    <r>
      <rPr>
        <b val="true"/>
        <sz val="10"/>
        <rFont val="Arial"/>
        <family val="0"/>
        <charset val="1"/>
      </rPr>
      <t xml:space="preserve">Assumed </t>
    </r>
    <r>
      <rPr>
        <b val="true"/>
        <sz val="10"/>
        <rFont val="Noto Sans CJK SC"/>
        <family val="2"/>
      </rPr>
      <t xml:space="preserve">缺區間（公式）</t>
    </r>
  </si>
  <si>
    <t xml:space="preserve">INP_001</t>
  </si>
  <si>
    <t xml:space="preserve">year_2025</t>
  </si>
  <si>
    <t xml:space="preserve">模型年度</t>
  </si>
  <si>
    <r>
      <rPr>
        <sz val="10"/>
        <color rgb="FF000000"/>
        <rFont val="Noto Sans CJK SC"/>
        <family val="2"/>
      </rPr>
      <t xml:space="preserve">第 </t>
    </r>
    <r>
      <rPr>
        <sz val="10"/>
        <color rgb="FF000000"/>
        <rFont val="Arial"/>
        <family val="0"/>
        <charset val="1"/>
      </rPr>
      <t xml:space="preserve">1 </t>
    </r>
    <r>
      <rPr>
        <sz val="10"/>
        <color rgb="FF000000"/>
        <rFont val="Noto Sans CJK SC"/>
        <family val="2"/>
      </rPr>
      <t xml:space="preserve">年</t>
    </r>
  </si>
  <si>
    <t xml:space="preserve">Decision</t>
  </si>
  <si>
    <r>
      <rPr>
        <sz val="10"/>
        <color rgb="FF000000"/>
        <rFont val="Noto Sans CJK SC"/>
        <family val="2"/>
      </rPr>
      <t xml:space="preserve">曆年制，</t>
    </r>
    <r>
      <rPr>
        <sz val="10"/>
        <color rgb="FF000000"/>
        <rFont val="Arial"/>
        <family val="0"/>
        <charset val="1"/>
      </rPr>
      <t xml:space="preserve">2025 </t>
    </r>
    <r>
      <rPr>
        <sz val="10"/>
        <color rgb="FF000000"/>
        <rFont val="Noto Sans CJK SC"/>
        <family val="2"/>
      </rPr>
      <t xml:space="preserve">為實際校準年（規格 </t>
    </r>
    <r>
      <rPr>
        <sz val="10"/>
        <color rgb="FF000000"/>
        <rFont val="Arial"/>
        <family val="0"/>
        <charset val="1"/>
      </rPr>
      <t xml:space="preserve">D1</t>
    </r>
    <r>
      <rPr>
        <sz val="10"/>
        <color rgb="FF000000"/>
        <rFont val="Noto Sans CJK SC"/>
        <family val="2"/>
      </rPr>
      <t xml:space="preserve">、</t>
    </r>
    <r>
      <rPr>
        <sz val="10"/>
        <color rgb="FF000000"/>
        <rFont val="Arial"/>
        <family val="0"/>
        <charset val="1"/>
      </rPr>
      <t xml:space="preserve">D14</t>
    </r>
    <r>
      <rPr>
        <sz val="10"/>
        <color rgb="FF000000"/>
        <rFont val="Noto Sans CJK SC"/>
        <family val="2"/>
      </rPr>
      <t xml:space="preserve">）</t>
    </r>
  </si>
  <si>
    <t xml:space="preserve">定義</t>
  </si>
  <si>
    <t xml:space="preserve">INP_002</t>
  </si>
  <si>
    <t xml:space="preserve">year_2026</t>
  </si>
  <si>
    <r>
      <rPr>
        <sz val="10"/>
        <color rgb="FF000000"/>
        <rFont val="Noto Sans CJK SC"/>
        <family val="2"/>
      </rPr>
      <t xml:space="preserve">第 </t>
    </r>
    <r>
      <rPr>
        <sz val="10"/>
        <color rgb="FF000000"/>
        <rFont val="Arial"/>
        <family val="0"/>
        <charset val="1"/>
      </rPr>
      <t xml:space="preserve">2 </t>
    </r>
    <r>
      <rPr>
        <sz val="10"/>
        <color rgb="FF000000"/>
        <rFont val="Noto Sans CJK SC"/>
        <family val="2"/>
      </rPr>
      <t xml:space="preserve">年</t>
    </r>
  </si>
  <si>
    <r>
      <rPr>
        <sz val="10"/>
        <color rgb="FF000000"/>
        <rFont val="Arial"/>
        <family val="0"/>
        <charset val="1"/>
      </rPr>
      <t xml:space="preserve">2026</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實際＋</t>
    </r>
    <r>
      <rPr>
        <sz val="10"/>
        <color rgb="FF000000"/>
        <rFont val="Arial"/>
        <family val="0"/>
        <charset val="1"/>
      </rPr>
      <t xml:space="preserve">2H26 </t>
    </r>
    <r>
      <rPr>
        <sz val="10"/>
        <color rgb="FF000000"/>
        <rFont val="Noto Sans CJK SC"/>
        <family val="2"/>
      </rPr>
      <t xml:space="preserve">驅動（</t>
    </r>
    <r>
      <rPr>
        <sz val="10"/>
        <color rgb="FF000000"/>
        <rFont val="Arial"/>
        <family val="0"/>
        <charset val="1"/>
      </rPr>
      <t xml:space="preserve">D14</t>
    </r>
    <r>
      <rPr>
        <sz val="10"/>
        <color rgb="FF000000"/>
        <rFont val="Noto Sans CJK SC"/>
        <family val="2"/>
      </rPr>
      <t xml:space="preserve">）</t>
    </r>
  </si>
  <si>
    <t xml:space="preserve">INP_003</t>
  </si>
  <si>
    <t xml:space="preserve">year_2027</t>
  </si>
  <si>
    <r>
      <rPr>
        <sz val="10"/>
        <color rgb="FF000000"/>
        <rFont val="Noto Sans CJK SC"/>
        <family val="2"/>
      </rPr>
      <t xml:space="preserve">第 </t>
    </r>
    <r>
      <rPr>
        <sz val="10"/>
        <color rgb="FF000000"/>
        <rFont val="Arial"/>
        <family val="0"/>
        <charset val="1"/>
      </rPr>
      <t xml:space="preserve">3 </t>
    </r>
    <r>
      <rPr>
        <sz val="10"/>
        <color rgb="FF000000"/>
        <rFont val="Noto Sans CJK SC"/>
        <family val="2"/>
      </rPr>
      <t xml:space="preserve">年</t>
    </r>
  </si>
  <si>
    <t xml:space="preserve">INP_004</t>
  </si>
  <si>
    <t xml:space="preserve">year_2028</t>
  </si>
  <si>
    <r>
      <rPr>
        <sz val="10"/>
        <color rgb="FF000000"/>
        <rFont val="Noto Sans CJK SC"/>
        <family val="2"/>
      </rPr>
      <t xml:space="preserve">第 </t>
    </r>
    <r>
      <rPr>
        <sz val="10"/>
        <color rgb="FF000000"/>
        <rFont val="Arial"/>
        <family val="0"/>
        <charset val="1"/>
      </rPr>
      <t xml:space="preserve">4 </t>
    </r>
    <r>
      <rPr>
        <sz val="10"/>
        <color rgb="FF000000"/>
        <rFont val="Noto Sans CJK SC"/>
        <family val="2"/>
      </rPr>
      <t xml:space="preserve">年</t>
    </r>
  </si>
  <si>
    <t xml:space="preserve">INP_005</t>
  </si>
  <si>
    <t xml:space="preserve">year_2029</t>
  </si>
  <si>
    <r>
      <rPr>
        <sz val="10"/>
        <color rgb="FF000000"/>
        <rFont val="Noto Sans CJK SC"/>
        <family val="2"/>
      </rPr>
      <t xml:space="preserve">第 </t>
    </r>
    <r>
      <rPr>
        <sz val="10"/>
        <color rgb="FF000000"/>
        <rFont val="Arial"/>
        <family val="0"/>
        <charset val="1"/>
      </rPr>
      <t xml:space="preserve">5 </t>
    </r>
    <r>
      <rPr>
        <sz val="10"/>
        <color rgb="FF000000"/>
        <rFont val="Noto Sans CJK SC"/>
        <family val="2"/>
      </rPr>
      <t xml:space="preserve">年</t>
    </r>
  </si>
  <si>
    <t xml:space="preserve">INP_006</t>
  </si>
  <si>
    <t xml:space="preserve">year_2030</t>
  </si>
  <si>
    <r>
      <rPr>
        <sz val="10"/>
        <color rgb="FF000000"/>
        <rFont val="Noto Sans CJK SC"/>
        <family val="2"/>
      </rPr>
      <t xml:space="preserve">第 </t>
    </r>
    <r>
      <rPr>
        <sz val="10"/>
        <color rgb="FF000000"/>
        <rFont val="Arial"/>
        <family val="0"/>
        <charset val="1"/>
      </rPr>
      <t xml:space="preserve">6 </t>
    </r>
    <r>
      <rPr>
        <sz val="10"/>
        <color rgb="FF000000"/>
        <rFont val="Noto Sans CJK SC"/>
        <family val="2"/>
      </rPr>
      <t xml:space="preserve">年</t>
    </r>
  </si>
  <si>
    <t xml:space="preserve">INP_007</t>
  </si>
  <si>
    <t xml:space="preserve">days_year</t>
  </si>
  <si>
    <t xml:space="preserve">每年天數（定義常數）</t>
  </si>
  <si>
    <t xml:space="preserve">天</t>
  </si>
  <si>
    <r>
      <rPr>
        <sz val="10"/>
        <color rgb="FF000000"/>
        <rFont val="Noto Sans CJK SC"/>
        <family val="2"/>
      </rPr>
      <t xml:space="preserve">同 </t>
    </r>
    <r>
      <rPr>
        <sz val="10"/>
        <color rgb="FF000000"/>
        <rFont val="Arial"/>
        <family val="0"/>
        <charset val="1"/>
      </rPr>
      <t xml:space="preserve">OpenAI v0.6 INP_251</t>
    </r>
  </si>
  <si>
    <t xml:space="preserve">INP_008</t>
  </si>
  <si>
    <t xml:space="preserve">days_1h26</t>
  </si>
  <si>
    <r>
      <rPr>
        <sz val="10"/>
        <color rgb="FF000000"/>
        <rFont val="Arial"/>
        <family val="0"/>
        <charset val="1"/>
      </rPr>
      <t xml:space="preserve">2026 </t>
    </r>
    <r>
      <rPr>
        <sz val="10"/>
        <color rgb="FF000000"/>
        <rFont val="Noto Sans CJK SC"/>
        <family val="2"/>
      </rPr>
      <t xml:space="preserve">上半年天數（定義常數）</t>
    </r>
  </si>
  <si>
    <r>
      <rPr>
        <sz val="10"/>
        <color rgb="FF000000"/>
        <rFont val="Arial"/>
        <family val="0"/>
        <charset val="1"/>
      </rPr>
      <t xml:space="preserve">2026-01-01</t>
    </r>
    <r>
      <rPr>
        <sz val="10"/>
        <color rgb="FF000000"/>
        <rFont val="Noto Sans CJK SC"/>
        <family val="2"/>
      </rPr>
      <t xml:space="preserve">～</t>
    </r>
    <r>
      <rPr>
        <sz val="10"/>
        <color rgb="FF000000"/>
        <rFont val="Arial"/>
        <family val="0"/>
        <charset val="1"/>
      </rPr>
      <t xml:space="preserve">06-30</t>
    </r>
  </si>
  <si>
    <t xml:space="preserve">INP_009</t>
  </si>
  <si>
    <t xml:space="preserve">days_2h26</t>
  </si>
  <si>
    <r>
      <rPr>
        <sz val="10"/>
        <color rgb="FF000000"/>
        <rFont val="Arial"/>
        <family val="0"/>
        <charset val="1"/>
      </rPr>
      <t xml:space="preserve">2026 </t>
    </r>
    <r>
      <rPr>
        <sz val="10"/>
        <color rgb="FF000000"/>
        <rFont val="Noto Sans CJK SC"/>
        <family val="2"/>
      </rPr>
      <t xml:space="preserve">下半年天數（定義常數）</t>
    </r>
  </si>
  <si>
    <t xml:space="preserve">2H2026</t>
  </si>
  <si>
    <r>
      <rPr>
        <sz val="10"/>
        <color rgb="FF000000"/>
        <rFont val="Arial"/>
        <family val="0"/>
        <charset val="1"/>
      </rPr>
      <t xml:space="preserve">2026-07-01</t>
    </r>
    <r>
      <rPr>
        <sz val="10"/>
        <color rgb="FF000000"/>
        <rFont val="Noto Sans CJK SC"/>
        <family val="2"/>
      </rPr>
      <t xml:space="preserve">～</t>
    </r>
    <r>
      <rPr>
        <sz val="10"/>
        <color rgb="FF000000"/>
        <rFont val="Arial"/>
        <family val="0"/>
        <charset val="1"/>
      </rPr>
      <t xml:space="preserve">12-31</t>
    </r>
  </si>
  <si>
    <t xml:space="preserve">INP_010</t>
  </si>
  <si>
    <t xml:space="preserve">months_year</t>
  </si>
  <si>
    <t xml:space="preserve">每年月數（定義常數）</t>
  </si>
  <si>
    <r>
      <rPr>
        <sz val="10"/>
        <color rgb="FF000000"/>
        <rFont val="Noto Sans CJK SC"/>
        <family val="2"/>
      </rPr>
      <t xml:space="preserve">同 </t>
    </r>
    <r>
      <rPr>
        <sz val="10"/>
        <color rgb="FF000000"/>
        <rFont val="Arial"/>
        <family val="0"/>
        <charset val="1"/>
      </rPr>
      <t xml:space="preserve">OpenAI v0.6 INP_252</t>
    </r>
  </si>
  <si>
    <t xml:space="preserve">INP_011</t>
  </si>
  <si>
    <t xml:space="preserve">months_half</t>
  </si>
  <si>
    <t xml:space="preserve">每半年月數（定義常數）</t>
  </si>
  <si>
    <t xml:space="preserve">INP_012</t>
  </si>
  <si>
    <t xml:space="preserve">months_qtr</t>
  </si>
  <si>
    <t xml:space="preserve">每季月數（定義常數）</t>
  </si>
  <si>
    <r>
      <rPr>
        <sz val="10"/>
        <color rgb="FF000000"/>
        <rFont val="Noto Sans CJK SC"/>
        <family val="2"/>
      </rPr>
      <t xml:space="preserve">國際站 </t>
    </r>
    <r>
      <rPr>
        <sz val="10"/>
        <color rgb="FF000000"/>
        <rFont val="Arial"/>
        <family val="0"/>
        <charset val="1"/>
      </rPr>
      <t xml:space="preserve">Coding Plan </t>
    </r>
    <r>
      <rPr>
        <sz val="10"/>
        <color rgb="FF000000"/>
        <rFont val="Noto Sans CJK SC"/>
        <family val="2"/>
      </rPr>
      <t xml:space="preserve">季付價換算每月</t>
    </r>
  </si>
  <si>
    <t xml:space="preserve">INP_013</t>
  </si>
  <si>
    <t xml:space="preserve">halves_year</t>
  </si>
  <si>
    <t xml:space="preserve">每年半年數（定義常數）</t>
  </si>
  <si>
    <t xml:space="preserve">半年值年化、半年平均</t>
  </si>
  <si>
    <t xml:space="preserve">INP_014</t>
  </si>
  <si>
    <t xml:space="preserve">pct</t>
  </si>
  <si>
    <t xml:space="preserve">百分比換算除數（定義常數）</t>
  </si>
  <si>
    <r>
      <rPr>
        <sz val="10"/>
        <color rgb="FF000000"/>
        <rFont val="Arial"/>
        <family val="0"/>
        <charset val="1"/>
      </rPr>
      <t xml:space="preserve">%</t>
    </r>
    <r>
      <rPr>
        <sz val="10"/>
        <color rgb="FF000000"/>
        <rFont val="Noto Sans CJK SC"/>
        <family val="2"/>
      </rPr>
      <t xml:space="preserve">／比例</t>
    </r>
  </si>
  <si>
    <r>
      <rPr>
        <sz val="10"/>
        <color rgb="FF000000"/>
        <rFont val="Arial"/>
        <family val="0"/>
        <charset val="1"/>
      </rPr>
      <t xml:space="preserve">SRC </t>
    </r>
    <r>
      <rPr>
        <sz val="10"/>
        <color rgb="FF000000"/>
        <rFont val="Noto Sans CJK SC"/>
        <family val="2"/>
      </rPr>
      <t xml:space="preserve">以 </t>
    </r>
    <r>
      <rPr>
        <sz val="10"/>
        <color rgb="FF000000"/>
        <rFont val="Arial"/>
        <family val="0"/>
        <charset val="1"/>
      </rPr>
      <t xml:space="preserve">% </t>
    </r>
    <r>
      <rPr>
        <sz val="10"/>
        <color rgb="FF000000"/>
        <rFont val="Noto Sans CJK SC"/>
        <family val="2"/>
      </rPr>
      <t xml:space="preserve">登錄者換成比例</t>
    </r>
  </si>
  <si>
    <t xml:space="preserve">INP_015</t>
  </si>
  <si>
    <t xml:space="preserve">div_rev</t>
  </si>
  <si>
    <r>
      <rPr>
        <sz val="10"/>
        <color rgb="FF000000"/>
        <rFont val="Noto Sans CJK SC"/>
        <family val="2"/>
      </rPr>
      <t xml:space="preserve">單位換算：兆 </t>
    </r>
    <r>
      <rPr>
        <sz val="10"/>
        <color rgb="FF000000"/>
        <rFont val="Arial"/>
        <family val="0"/>
        <charset val="1"/>
      </rPr>
      <t xml:space="preserve">token × </t>
    </r>
    <r>
      <rPr>
        <sz val="10"/>
        <color rgb="FF000000"/>
        <rFont val="Noto Sans CJK SC"/>
        <family val="2"/>
      </rPr>
      <t xml:space="preserve">元／百萬 </t>
    </r>
    <r>
      <rPr>
        <sz val="10"/>
        <color rgb="FF000000"/>
        <rFont val="Arial"/>
        <family val="0"/>
        <charset val="1"/>
      </rPr>
      <t xml:space="preserve">token → </t>
    </r>
    <r>
      <rPr>
        <sz val="10"/>
        <color rgb="FF000000"/>
        <rFont val="Noto Sans CJK SC"/>
        <family val="2"/>
      </rPr>
      <t xml:space="preserve">億元 的除數（定義常數）</t>
    </r>
  </si>
  <si>
    <r>
      <rPr>
        <sz val="10"/>
        <color rgb="FF000000"/>
        <rFont val="Arial"/>
        <family val="0"/>
        <charset val="1"/>
      </rPr>
      <t xml:space="preserve">1T × 1 </t>
    </r>
    <r>
      <rPr>
        <sz val="10"/>
        <color rgb="FF000000"/>
        <rFont val="Noto Sans CJK SC"/>
        <family val="2"/>
      </rPr>
      <t xml:space="preserve">元</t>
    </r>
    <r>
      <rPr>
        <sz val="10"/>
        <color rgb="FF000000"/>
        <rFont val="Arial"/>
        <family val="0"/>
        <charset val="1"/>
      </rPr>
      <t xml:space="preserve">/M</t>
    </r>
    <r>
      <rPr>
        <sz val="10"/>
        <color rgb="FF000000"/>
        <rFont val="Noto Sans CJK SC"/>
        <family val="2"/>
      </rPr>
      <t xml:space="preserve">＝</t>
    </r>
    <r>
      <rPr>
        <sz val="10"/>
        <color rgb="FF000000"/>
        <rFont val="Arial"/>
        <family val="0"/>
        <charset val="1"/>
      </rPr>
      <t xml:space="preserve">10^6 </t>
    </r>
    <r>
      <rPr>
        <sz val="10"/>
        <color rgb="FF000000"/>
        <rFont val="Noto Sans CJK SC"/>
        <family val="2"/>
      </rPr>
      <t xml:space="preserve">元＝</t>
    </r>
    <r>
      <rPr>
        <sz val="10"/>
        <color rgb="FF000000"/>
        <rFont val="Arial"/>
        <family val="0"/>
        <charset val="1"/>
      </rPr>
      <t xml:space="preserve">0.01 </t>
    </r>
    <r>
      <rPr>
        <sz val="10"/>
        <color rgb="FF000000"/>
        <rFont val="Noto Sans CJK SC"/>
        <family val="2"/>
      </rPr>
      <t xml:space="preserve">億元</t>
    </r>
  </si>
  <si>
    <t xml:space="preserve">INP_016</t>
  </si>
  <si>
    <t xml:space="preserve">div_wan_m_t</t>
  </si>
  <si>
    <r>
      <rPr>
        <sz val="10"/>
        <color rgb="FF000000"/>
        <rFont val="Noto Sans CJK SC"/>
        <family val="2"/>
      </rPr>
      <t xml:space="preserve">單位換算：萬人 </t>
    </r>
    <r>
      <rPr>
        <sz val="10"/>
        <color rgb="FF000000"/>
        <rFont val="Arial"/>
        <family val="0"/>
        <charset val="1"/>
      </rPr>
      <t xml:space="preserve">× </t>
    </r>
    <r>
      <rPr>
        <sz val="10"/>
        <color rgb="FF000000"/>
        <rFont val="Noto Sans CJK SC"/>
        <family val="2"/>
      </rPr>
      <t xml:space="preserve">百萬 </t>
    </r>
    <r>
      <rPr>
        <sz val="10"/>
        <color rgb="FF000000"/>
        <rFont val="Arial"/>
        <family val="0"/>
        <charset val="1"/>
      </rPr>
      <t xml:space="preserve">token → </t>
    </r>
    <r>
      <rPr>
        <sz val="10"/>
        <color rgb="FF000000"/>
        <rFont val="Noto Sans CJK SC"/>
        <family val="2"/>
      </rPr>
      <t xml:space="preserve">兆 </t>
    </r>
    <r>
      <rPr>
        <sz val="10"/>
        <color rgb="FF000000"/>
        <rFont val="Arial"/>
        <family val="0"/>
        <charset val="1"/>
      </rPr>
      <t xml:space="preserve">token </t>
    </r>
    <r>
      <rPr>
        <sz val="10"/>
        <color rgb="FF000000"/>
        <rFont val="Noto Sans CJK SC"/>
        <family val="2"/>
      </rPr>
      <t xml:space="preserve">的除數（定義常數）</t>
    </r>
  </si>
  <si>
    <t xml:space="preserve">10^4 × 10^6 ÷ 10^12</t>
  </si>
  <si>
    <t xml:space="preserve">INP_017</t>
  </si>
  <si>
    <t xml:space="preserve">div_wan_yuan_yi</t>
  </si>
  <si>
    <r>
      <rPr>
        <sz val="10"/>
        <color rgb="FF000000"/>
        <rFont val="Noto Sans CJK SC"/>
        <family val="2"/>
      </rPr>
      <t xml:space="preserve">單位換算：萬人 </t>
    </r>
    <r>
      <rPr>
        <sz val="10"/>
        <color rgb="FF000000"/>
        <rFont val="Arial"/>
        <family val="0"/>
        <charset val="1"/>
      </rPr>
      <t xml:space="preserve">× </t>
    </r>
    <r>
      <rPr>
        <sz val="10"/>
        <color rgb="FF000000"/>
        <rFont val="Noto Sans CJK SC"/>
        <family val="2"/>
      </rPr>
      <t xml:space="preserve">元 → 億元 的除數（定義常數）</t>
    </r>
  </si>
  <si>
    <t xml:space="preserve">10^4 × 1 ÷ 10^8</t>
  </si>
  <si>
    <t xml:space="preserve">INP_018</t>
  </si>
  <si>
    <t xml:space="preserve">div_m_k_t</t>
  </si>
  <si>
    <r>
      <rPr>
        <sz val="10"/>
        <color rgb="FF000000"/>
        <rFont val="Noto Sans CJK SC"/>
        <family val="2"/>
      </rPr>
      <t xml:space="preserve">單位換算：百萬人 </t>
    </r>
    <r>
      <rPr>
        <sz val="10"/>
        <color rgb="FF000000"/>
        <rFont val="Arial"/>
        <family val="0"/>
        <charset val="1"/>
      </rPr>
      <t xml:space="preserve">× </t>
    </r>
    <r>
      <rPr>
        <sz val="10"/>
        <color rgb="FF000000"/>
        <rFont val="Noto Sans CJK SC"/>
        <family val="2"/>
      </rPr>
      <t xml:space="preserve">千 </t>
    </r>
    <r>
      <rPr>
        <sz val="10"/>
        <color rgb="FF000000"/>
        <rFont val="Arial"/>
        <family val="0"/>
        <charset val="1"/>
      </rPr>
      <t xml:space="preserve">token → </t>
    </r>
    <r>
      <rPr>
        <sz val="10"/>
        <color rgb="FF000000"/>
        <rFont val="Noto Sans CJK SC"/>
        <family val="2"/>
      </rPr>
      <t xml:space="preserve">兆 </t>
    </r>
    <r>
      <rPr>
        <sz val="10"/>
        <color rgb="FF000000"/>
        <rFont val="Arial"/>
        <family val="0"/>
        <charset val="1"/>
      </rPr>
      <t xml:space="preserve">token </t>
    </r>
    <r>
      <rPr>
        <sz val="10"/>
        <color rgb="FF000000"/>
        <rFont val="Noto Sans CJK SC"/>
        <family val="2"/>
      </rPr>
      <t xml:space="preserve">的除數（定義常數）</t>
    </r>
  </si>
  <si>
    <r>
      <rPr>
        <sz val="10"/>
        <color rgb="FF000000"/>
        <rFont val="Arial"/>
        <family val="0"/>
        <charset val="1"/>
      </rPr>
      <t xml:space="preserve">10^6 × 10^3 ÷ 10^12</t>
    </r>
    <r>
      <rPr>
        <sz val="10"/>
        <color rgb="FF000000"/>
        <rFont val="Noto Sans CJK SC"/>
        <family val="2"/>
      </rPr>
      <t xml:space="preserve">（同 </t>
    </r>
    <r>
      <rPr>
        <sz val="10"/>
        <color rgb="FF000000"/>
        <rFont val="Arial"/>
        <family val="0"/>
        <charset val="1"/>
      </rPr>
      <t xml:space="preserve">OpenAI v0.6 INP_239 B→T</t>
    </r>
    <r>
      <rPr>
        <sz val="10"/>
        <color rgb="FF000000"/>
        <rFont val="Noto Sans CJK SC"/>
        <family val="2"/>
      </rPr>
      <t xml:space="preserve">）</t>
    </r>
  </si>
  <si>
    <t xml:space="preserve">INP_019</t>
  </si>
  <si>
    <t xml:space="preserve">div_k_m</t>
  </si>
  <si>
    <r>
      <rPr>
        <sz val="10"/>
        <color rgb="FF000000"/>
        <rFont val="Noto Sans CJK SC"/>
        <family val="2"/>
      </rPr>
      <t xml:space="preserve">單位換算：千 </t>
    </r>
    <r>
      <rPr>
        <sz val="10"/>
        <color rgb="FF000000"/>
        <rFont val="Arial"/>
        <family val="0"/>
        <charset val="1"/>
      </rPr>
      <t xml:space="preserve">token → </t>
    </r>
    <r>
      <rPr>
        <sz val="10"/>
        <color rgb="FF000000"/>
        <rFont val="Noto Sans CJK SC"/>
        <family val="2"/>
      </rPr>
      <t xml:space="preserve">百萬 </t>
    </r>
    <r>
      <rPr>
        <sz val="10"/>
        <color rgb="FF000000"/>
        <rFont val="Arial"/>
        <family val="0"/>
        <charset val="1"/>
      </rPr>
      <t xml:space="preserve">token </t>
    </r>
    <r>
      <rPr>
        <sz val="10"/>
        <color rgb="FF000000"/>
        <rFont val="Noto Sans CJK SC"/>
        <family val="2"/>
      </rPr>
      <t xml:space="preserve">的除數（定義常數）</t>
    </r>
  </si>
  <si>
    <t xml:space="preserve">INP_020</t>
  </si>
  <si>
    <t xml:space="preserve">div_mn_yi</t>
  </si>
  <si>
    <t xml:space="preserve">單位換算：百萬元 → 億元 的除數（定義常數）</t>
  </si>
  <si>
    <t xml:space="preserve">券商與公告以百萬元登錄者</t>
  </si>
  <si>
    <t xml:space="preserve">INP_021</t>
  </si>
  <si>
    <t xml:space="preserve">mul_bn_yi</t>
  </si>
  <si>
    <t xml:space="preserve">單位換算：十億 → 億 的乘數（定義常數）</t>
  </si>
  <si>
    <r>
      <rPr>
        <sz val="10"/>
        <color rgb="FF000000"/>
        <rFont val="Noto Sans CJK SC"/>
        <family val="2"/>
      </rPr>
      <t xml:space="preserve">美元十億登錄者（管理層 </t>
    </r>
    <r>
      <rPr>
        <sz val="10"/>
        <color rgb="FF000000"/>
        <rFont val="Arial"/>
        <family val="0"/>
        <charset val="1"/>
      </rPr>
      <t xml:space="preserve">ARR</t>
    </r>
    <r>
      <rPr>
        <sz val="10"/>
        <color rgb="FF000000"/>
        <rFont val="Noto Sans CJK SC"/>
        <family val="2"/>
      </rPr>
      <t xml:space="preserve">）</t>
    </r>
  </si>
  <si>
    <t xml:space="preserve">INP_022</t>
  </si>
  <si>
    <t xml:space="preserve">windows_day</t>
  </si>
  <si>
    <r>
      <rPr>
        <sz val="10"/>
        <color rgb="FF000000"/>
        <rFont val="Noto Sans CJK SC"/>
        <family val="2"/>
      </rPr>
      <t xml:space="preserve">每日 </t>
    </r>
    <r>
      <rPr>
        <sz val="10"/>
        <color rgb="FF000000"/>
        <rFont val="Arial"/>
        <family val="0"/>
        <charset val="1"/>
      </rPr>
      <t xml:space="preserve">5 </t>
    </r>
    <r>
      <rPr>
        <sz val="10"/>
        <color rgb="FF000000"/>
        <rFont val="Noto Sans CJK SC"/>
        <family val="2"/>
      </rPr>
      <t xml:space="preserve">小時額度窗口數（定義常數）</t>
    </r>
  </si>
  <si>
    <t xml:space="preserve">個／日</t>
  </si>
  <si>
    <r>
      <rPr>
        <sz val="10"/>
        <color rgb="FF000000"/>
        <rFont val="Arial"/>
        <family val="0"/>
        <charset val="1"/>
      </rPr>
      <t xml:space="preserve">24 </t>
    </r>
    <r>
      <rPr>
        <sz val="10"/>
        <color rgb="FF000000"/>
        <rFont val="Noto Sans CJK SC"/>
        <family val="2"/>
      </rPr>
      <t xml:space="preserve">小時 </t>
    </r>
    <r>
      <rPr>
        <sz val="10"/>
        <color rgb="FF000000"/>
        <rFont val="Arial"/>
        <family val="0"/>
        <charset val="1"/>
      </rPr>
      <t xml:space="preserve">÷ 5 </t>
    </r>
    <r>
      <rPr>
        <sz val="10"/>
        <color rgb="FF000000"/>
        <rFont val="Noto Sans CJK SC"/>
        <family val="2"/>
      </rPr>
      <t xml:space="preserve">小時（</t>
    </r>
    <r>
      <rPr>
        <sz val="10"/>
        <color rgb="FF000000"/>
        <rFont val="Arial"/>
        <family val="0"/>
        <charset val="1"/>
      </rPr>
      <t xml:space="preserve">Coding Plan </t>
    </r>
    <r>
      <rPr>
        <sz val="10"/>
        <color rgb="FF000000"/>
        <rFont val="Noto Sans CJK SC"/>
        <family val="2"/>
      </rPr>
      <t xml:space="preserve">額度以每 </t>
    </r>
    <r>
      <rPr>
        <sz val="10"/>
        <color rgb="FF000000"/>
        <rFont val="Arial"/>
        <family val="0"/>
        <charset val="1"/>
      </rPr>
      <t xml:space="preserve">5 </t>
    </r>
    <r>
      <rPr>
        <sz val="10"/>
        <color rgb="FF000000"/>
        <rFont val="Noto Sans CJK SC"/>
        <family val="2"/>
      </rPr>
      <t xml:space="preserve">小時計，</t>
    </r>
    <r>
      <rPr>
        <sz val="10"/>
        <color rgb="FF000000"/>
        <rFont val="Arial"/>
        <family val="0"/>
        <charset val="1"/>
      </rPr>
      <t xml:space="preserve">SRC_ZP_376–378</t>
    </r>
    <r>
      <rPr>
        <sz val="10"/>
        <color rgb="FF000000"/>
        <rFont val="Noto Sans CJK SC"/>
        <family val="2"/>
      </rPr>
      <t xml:space="preserve">）</t>
    </r>
  </si>
  <si>
    <t xml:space="preserve">INP_023</t>
  </si>
  <si>
    <t xml:space="preserve">fx_usdcny</t>
  </si>
  <si>
    <r>
      <rPr>
        <sz val="10"/>
        <color rgb="FF000000"/>
        <rFont val="Noto Sans CJK SC"/>
        <family val="2"/>
      </rPr>
      <t xml:space="preserve">匯率：</t>
    </r>
    <r>
      <rPr>
        <sz val="10"/>
        <color rgb="FF000000"/>
        <rFont val="Arial"/>
        <family val="0"/>
        <charset val="1"/>
      </rPr>
      <t xml:space="preserve">USD/CNY</t>
    </r>
    <r>
      <rPr>
        <sz val="10"/>
        <color rgb="FF000000"/>
        <rFont val="Noto Sans CJK SC"/>
        <family val="2"/>
      </rPr>
      <t xml:space="preserve">（人民幣中間價）</t>
    </r>
  </si>
  <si>
    <t xml:space="preserve">元／美元</t>
  </si>
  <si>
    <r>
      <rPr>
        <sz val="10"/>
        <color rgb="FF000000"/>
        <rFont val="Noto Sans CJK SC"/>
        <family val="2"/>
      </rPr>
      <t xml:space="preserve">中國外匯交易中心 </t>
    </r>
    <r>
      <rPr>
        <sz val="10"/>
        <color rgb="FF000000"/>
        <rFont val="Arial"/>
        <family val="0"/>
        <charset val="1"/>
      </rPr>
      <t xml:space="preserve">2026-09-28 </t>
    </r>
    <r>
      <rPr>
        <sz val="10"/>
        <color rgb="FF000000"/>
        <rFont val="Noto Sans CJK SC"/>
        <family val="2"/>
      </rPr>
      <t xml:space="preserve">中間價 </t>
    </r>
    <r>
      <rPr>
        <sz val="10"/>
        <color rgb="FF000000"/>
        <rFont val="Arial"/>
        <family val="0"/>
        <charset val="1"/>
      </rPr>
      <t xml:space="preserve">6.7399</t>
    </r>
    <r>
      <rPr>
        <sz val="10"/>
        <color rgb="FF000000"/>
        <rFont val="Noto Sans CJK SC"/>
        <family val="2"/>
      </rPr>
      <t xml:space="preserve">（</t>
    </r>
    <r>
      <rPr>
        <sz val="10"/>
        <color rgb="FF000000"/>
        <rFont val="Arial"/>
        <family val="0"/>
        <charset val="1"/>
      </rPr>
      <t xml:space="preserve">FX168</t>
    </r>
    <r>
      <rPr>
        <sz val="10"/>
        <color rgb="FF000000"/>
        <rFont val="Noto Sans CJK SC"/>
        <family val="2"/>
      </rPr>
      <t xml:space="preserve">〈</t>
    </r>
    <r>
      <rPr>
        <sz val="10"/>
        <color rgb="FF000000"/>
        <rFont val="Arial"/>
        <family val="0"/>
        <charset val="1"/>
      </rPr>
      <t xml:space="preserve">2026</t>
    </r>
    <r>
      <rPr>
        <sz val="10"/>
        <color rgb="FF000000"/>
        <rFont val="Noto Sans CJK SC"/>
        <family val="2"/>
      </rPr>
      <t xml:space="preserve">年</t>
    </r>
    <r>
      <rPr>
        <sz val="10"/>
        <color rgb="FF000000"/>
        <rFont val="Arial"/>
        <family val="0"/>
        <charset val="1"/>
      </rPr>
      <t xml:space="preserve">09</t>
    </r>
    <r>
      <rPr>
        <sz val="10"/>
        <color rgb="FF000000"/>
        <rFont val="Noto Sans CJK SC"/>
        <family val="2"/>
      </rPr>
      <t xml:space="preserve">月</t>
    </r>
    <r>
      <rPr>
        <sz val="10"/>
        <color rgb="FF000000"/>
        <rFont val="Arial"/>
        <family val="0"/>
        <charset val="1"/>
      </rPr>
      <t xml:space="preserve">28</t>
    </r>
    <r>
      <rPr>
        <sz val="10"/>
        <color rgb="FF000000"/>
        <rFont val="Noto Sans CJK SC"/>
        <family val="2"/>
      </rPr>
      <t xml:space="preserve">日人民幣中間價列表〉，</t>
    </r>
    <r>
      <rPr>
        <sz val="10"/>
        <color rgb="FF000000"/>
        <rFont val="Arial"/>
        <family val="0"/>
        <charset val="1"/>
      </rPr>
      <t xml:space="preserve">hk.investing.com/news/forex-news/article-1676979</t>
    </r>
    <r>
      <rPr>
        <sz val="10"/>
        <color rgb="FF000000"/>
        <rFont val="Noto Sans CJK SC"/>
        <family val="2"/>
      </rPr>
      <t xml:space="preserve">；擷取 </t>
    </r>
    <r>
      <rPr>
        <sz val="10"/>
        <color rgb="FF000000"/>
        <rFont val="Arial"/>
        <family val="0"/>
        <charset val="1"/>
      </rPr>
      <t xml:space="preserve">2026-10-08</t>
    </r>
    <r>
      <rPr>
        <sz val="10"/>
        <color rgb="FF000000"/>
        <rFont val="Noto Sans CJK SC"/>
        <family val="2"/>
      </rPr>
      <t xml:space="preserve">；</t>
    </r>
    <r>
      <rPr>
        <sz val="10"/>
        <color rgb="FF000000"/>
        <rFont val="Arial"/>
        <family val="0"/>
        <charset val="1"/>
      </rPr>
      <t xml:space="preserve">10-01</t>
    </r>
    <r>
      <rPr>
        <sz val="10"/>
        <color rgb="FF000000"/>
        <rFont val="Noto Sans CJK SC"/>
        <family val="2"/>
      </rPr>
      <t xml:space="preserve">～</t>
    </r>
    <r>
      <rPr>
        <sz val="10"/>
        <color rgb="FF000000"/>
        <rFont val="Arial"/>
        <family val="0"/>
        <charset val="1"/>
      </rPr>
      <t xml:space="preserve">07 </t>
    </r>
    <r>
      <rPr>
        <sz val="10"/>
        <color rgb="FF000000"/>
        <rFont val="Noto Sans CJK SC"/>
        <family val="2"/>
      </rPr>
      <t xml:space="preserve">國慶休市）；基準固定不外推</t>
    </r>
  </si>
  <si>
    <r>
      <rPr>
        <sz val="10"/>
        <color rgb="FF000000"/>
        <rFont val="Arial"/>
        <family val="0"/>
        <charset val="1"/>
      </rPr>
      <t xml:space="preserve">±5%</t>
    </r>
    <r>
      <rPr>
        <sz val="10"/>
        <color rgb="FF000000"/>
        <rFont val="Noto Sans CJK SC"/>
        <family val="2"/>
      </rPr>
      <t xml:space="preserve">（規格 </t>
    </r>
    <r>
      <rPr>
        <sz val="10"/>
        <color rgb="FF000000"/>
        <rFont val="Arial"/>
        <family val="0"/>
        <charset val="1"/>
      </rPr>
      <t xml:space="preserve">D23</t>
    </r>
    <r>
      <rPr>
        <sz val="10"/>
        <color rgb="FF000000"/>
        <rFont val="Noto Sans CJK SC"/>
        <family val="2"/>
      </rPr>
      <t xml:space="preserve">）</t>
    </r>
  </si>
  <si>
    <t xml:space="preserve">INP_024</t>
  </si>
  <si>
    <t xml:space="preserve">fx_hkdcny</t>
  </si>
  <si>
    <r>
      <rPr>
        <sz val="10"/>
        <color rgb="FF000000"/>
        <rFont val="Noto Sans CJK SC"/>
        <family val="2"/>
      </rPr>
      <t xml:space="preserve">匯率：</t>
    </r>
    <r>
      <rPr>
        <sz val="10"/>
        <color rgb="FF000000"/>
        <rFont val="Arial"/>
        <family val="0"/>
        <charset val="1"/>
      </rPr>
      <t xml:space="preserve">HKD/CNY</t>
    </r>
    <r>
      <rPr>
        <sz val="10"/>
        <color rgb="FF000000"/>
        <rFont val="Noto Sans CJK SC"/>
        <family val="2"/>
      </rPr>
      <t xml:space="preserve">（人民幣中間價）</t>
    </r>
  </si>
  <si>
    <t xml:space="preserve">元／港元</t>
  </si>
  <si>
    <r>
      <rPr>
        <sz val="10"/>
        <color rgb="FF000000"/>
        <rFont val="Noto Sans CJK SC"/>
        <family val="2"/>
      </rPr>
      <t xml:space="preserve">同上，港元中間價 </t>
    </r>
    <r>
      <rPr>
        <sz val="10"/>
        <color rgb="FF000000"/>
        <rFont val="Arial"/>
        <family val="0"/>
        <charset val="1"/>
      </rPr>
      <t xml:space="preserve">0.85923</t>
    </r>
  </si>
  <si>
    <t xml:space="preserve">INP_025</t>
  </si>
  <si>
    <t xml:space="preserve">long_ctx_share</t>
  </si>
  <si>
    <r>
      <rPr>
        <sz val="10"/>
        <color rgb="FF000000"/>
        <rFont val="Arial"/>
        <family val="0"/>
        <charset val="1"/>
      </rPr>
      <t xml:space="preserve">API </t>
    </r>
    <r>
      <rPr>
        <sz val="10"/>
        <color rgb="FF000000"/>
        <rFont val="Noto Sans CJK SC"/>
        <family val="2"/>
      </rPr>
      <t xml:space="preserve">長上下文（輸入 ≥</t>
    </r>
    <r>
      <rPr>
        <sz val="10"/>
        <color rgb="FF000000"/>
        <rFont val="Arial"/>
        <family val="0"/>
        <charset val="1"/>
      </rPr>
      <t xml:space="preserve">32K</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占比</t>
    </r>
  </si>
  <si>
    <t xml:space="preserve">Assumed</t>
  </si>
  <si>
    <r>
      <rPr>
        <sz val="10"/>
        <color rgb="FF000000"/>
        <rFont val="Noto Sans CJK SC"/>
        <family val="2"/>
      </rPr>
      <t xml:space="preserve">牌價依輸入長度分檔（</t>
    </r>
    <r>
      <rPr>
        <sz val="10"/>
        <color rgb="FF000000"/>
        <rFont val="Arial"/>
        <family val="0"/>
        <charset val="1"/>
      </rPr>
      <t xml:space="preserve">SRC_ZP_290–316</t>
    </r>
    <r>
      <rPr>
        <sz val="10"/>
        <color rgb="FF000000"/>
        <rFont val="Noto Sans CJK SC"/>
        <family val="2"/>
      </rPr>
      <t xml:space="preserve">、</t>
    </r>
    <r>
      <rPr>
        <sz val="10"/>
        <color rgb="FF000000"/>
        <rFont val="Arial"/>
        <family val="0"/>
        <charset val="1"/>
      </rPr>
      <t xml:space="preserve">317–325</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以外的開發者流量以代理與程式碼為大宗、上下文長；公司未揭露</t>
    </r>
  </si>
  <si>
    <r>
      <rPr>
        <sz val="10"/>
        <color rgb="FF000000"/>
        <rFont val="Arial"/>
        <family val="0"/>
        <charset val="1"/>
      </rPr>
      <t xml:space="preserve">0.3</t>
    </r>
    <r>
      <rPr>
        <sz val="10"/>
        <color rgb="FF000000"/>
        <rFont val="Noto Sans CJK SC"/>
        <family val="2"/>
      </rPr>
      <t xml:space="preserve">（以對話為主）～</t>
    </r>
    <r>
      <rPr>
        <sz val="10"/>
        <color rgb="FF000000"/>
        <rFont val="Arial"/>
        <family val="0"/>
        <charset val="1"/>
      </rPr>
      <t xml:space="preserve">0.9</t>
    </r>
    <r>
      <rPr>
        <sz val="10"/>
        <color rgb="FF000000"/>
        <rFont val="Noto Sans CJK SC"/>
        <family val="2"/>
      </rPr>
      <t xml:space="preserve">（幾乎全為代理）</t>
    </r>
  </si>
  <si>
    <t xml:space="preserve">INP_026</t>
  </si>
  <si>
    <t xml:space="preserve">days_era47_1h26</t>
  </si>
  <si>
    <r>
      <rPr>
        <sz val="10"/>
        <color rgb="FF000000"/>
        <rFont val="Arial"/>
        <family val="0"/>
        <charset val="1"/>
      </rPr>
      <t xml:space="preserve">1H26 GLM-4.7 </t>
    </r>
    <r>
      <rPr>
        <sz val="10"/>
        <color rgb="FF000000"/>
        <rFont val="Noto Sans CJK SC"/>
        <family val="2"/>
      </rPr>
      <t xml:space="preserve">期間天數（</t>
    </r>
    <r>
      <rPr>
        <sz val="10"/>
        <color rgb="FF000000"/>
        <rFont val="Arial"/>
        <family val="0"/>
        <charset val="1"/>
      </rPr>
      <t xml:space="preserve">2026-01-01</t>
    </r>
    <r>
      <rPr>
        <sz val="10"/>
        <color rgb="FF000000"/>
        <rFont val="Noto Sans CJK SC"/>
        <family val="2"/>
      </rPr>
      <t xml:space="preserve">～</t>
    </r>
    <r>
      <rPr>
        <sz val="10"/>
        <color rgb="FF000000"/>
        <rFont val="Arial"/>
        <family val="0"/>
        <charset val="1"/>
      </rPr>
      <t xml:space="preserve">02-11</t>
    </r>
    <r>
      <rPr>
        <sz val="10"/>
        <color rgb="FF000000"/>
        <rFont val="Noto Sans CJK SC"/>
        <family val="2"/>
      </rPr>
      <t xml:space="preserve">）</t>
    </r>
  </si>
  <si>
    <r>
      <rPr>
        <sz val="10"/>
        <color rgb="FF000000"/>
        <rFont val="Arial"/>
        <family val="0"/>
        <charset val="1"/>
      </rPr>
      <t xml:space="preserve">GLM-5 </t>
    </r>
    <r>
      <rPr>
        <sz val="10"/>
        <color rgb="FF000000"/>
        <rFont val="Noto Sans CJK SC"/>
        <family val="2"/>
      </rPr>
      <t xml:space="preserve">發布日 </t>
    </r>
    <r>
      <rPr>
        <sz val="10"/>
        <color rgb="FF000000"/>
        <rFont val="Arial"/>
        <family val="0"/>
        <charset val="1"/>
      </rPr>
      <t xml:space="preserve">2026-02-12</t>
    </r>
    <r>
      <rPr>
        <sz val="10"/>
        <color rgb="FF000000"/>
        <rFont val="Noto Sans CJK SC"/>
        <family val="2"/>
      </rPr>
      <t xml:space="preserve">（</t>
    </r>
    <r>
      <rPr>
        <sz val="10"/>
        <color rgb="FF000000"/>
        <rFont val="Arial"/>
        <family val="0"/>
        <charset val="1"/>
      </rPr>
      <t xml:space="preserve">SRC_ZP_390</t>
    </r>
    <r>
      <rPr>
        <sz val="10"/>
        <color rgb="FF000000"/>
        <rFont val="Noto Sans CJK SC"/>
        <family val="2"/>
      </rPr>
      <t xml:space="preserve">）前的 </t>
    </r>
    <r>
      <rPr>
        <sz val="10"/>
        <color rgb="FF000000"/>
        <rFont val="Arial"/>
        <family val="0"/>
        <charset val="1"/>
      </rPr>
      <t xml:space="preserve">1H26 </t>
    </r>
    <r>
      <rPr>
        <sz val="10"/>
        <color rgb="FF000000"/>
        <rFont val="Noto Sans CJK SC"/>
        <family val="2"/>
      </rPr>
      <t xml:space="preserve">天數</t>
    </r>
  </si>
  <si>
    <t xml:space="preserve">由發布日推得</t>
  </si>
  <si>
    <t xml:space="preserve">INP_027</t>
  </si>
  <si>
    <t xml:space="preserve">days_era5_1h26</t>
  </si>
  <si>
    <r>
      <rPr>
        <sz val="10"/>
        <color rgb="FF000000"/>
        <rFont val="Arial"/>
        <family val="0"/>
        <charset val="1"/>
      </rPr>
      <t xml:space="preserve">1H26 GLM-5 </t>
    </r>
    <r>
      <rPr>
        <sz val="10"/>
        <color rgb="FF000000"/>
        <rFont val="Noto Sans CJK SC"/>
        <family val="2"/>
      </rPr>
      <t xml:space="preserve">期間天數（</t>
    </r>
    <r>
      <rPr>
        <sz val="10"/>
        <color rgb="FF000000"/>
        <rFont val="Arial"/>
        <family val="0"/>
        <charset val="1"/>
      </rPr>
      <t xml:space="preserve">2026-02-12</t>
    </r>
    <r>
      <rPr>
        <sz val="10"/>
        <color rgb="FF000000"/>
        <rFont val="Noto Sans CJK SC"/>
        <family val="2"/>
      </rPr>
      <t xml:space="preserve">～</t>
    </r>
    <r>
      <rPr>
        <sz val="10"/>
        <color rgb="FF000000"/>
        <rFont val="Arial"/>
        <family val="0"/>
        <charset val="1"/>
      </rPr>
      <t xml:space="preserve">04-06</t>
    </r>
    <r>
      <rPr>
        <sz val="10"/>
        <color rgb="FF000000"/>
        <rFont val="Noto Sans CJK SC"/>
        <family val="2"/>
      </rPr>
      <t xml:space="preserve">）</t>
    </r>
  </si>
  <si>
    <r>
      <rPr>
        <sz val="10"/>
        <color rgb="FF000000"/>
        <rFont val="Arial"/>
        <family val="0"/>
        <charset val="1"/>
      </rPr>
      <t xml:space="preserve">GLM-5 </t>
    </r>
    <r>
      <rPr>
        <sz val="10"/>
        <color rgb="FF000000"/>
        <rFont val="Noto Sans CJK SC"/>
        <family val="2"/>
      </rPr>
      <t xml:space="preserve">發布日 </t>
    </r>
    <r>
      <rPr>
        <sz val="10"/>
        <color rgb="FF000000"/>
        <rFont val="Arial"/>
        <family val="0"/>
        <charset val="1"/>
      </rPr>
      <t xml:space="preserve">2026-02-12</t>
    </r>
    <r>
      <rPr>
        <sz val="10"/>
        <color rgb="FF000000"/>
        <rFont val="Noto Sans CJK SC"/>
        <family val="2"/>
      </rPr>
      <t xml:space="preserve">（</t>
    </r>
    <r>
      <rPr>
        <sz val="10"/>
        <color rgb="FF000000"/>
        <rFont val="Arial"/>
        <family val="0"/>
        <charset val="1"/>
      </rPr>
      <t xml:space="preserve">SRC_ZP_390</t>
    </r>
    <r>
      <rPr>
        <sz val="10"/>
        <color rgb="FF000000"/>
        <rFont val="Noto Sans CJK SC"/>
        <family val="2"/>
      </rPr>
      <t xml:space="preserve">）至 </t>
    </r>
    <r>
      <rPr>
        <sz val="10"/>
        <color rgb="FF000000"/>
        <rFont val="Arial"/>
        <family val="0"/>
        <charset val="1"/>
      </rPr>
      <t xml:space="preserve">GLM-5.1 </t>
    </r>
    <r>
      <rPr>
        <sz val="10"/>
        <color rgb="FF000000"/>
        <rFont val="Noto Sans CJK SC"/>
        <family val="2"/>
      </rPr>
      <t xml:space="preserve">發布日 </t>
    </r>
    <r>
      <rPr>
        <sz val="10"/>
        <color rgb="FF000000"/>
        <rFont val="Arial"/>
        <family val="0"/>
        <charset val="1"/>
      </rPr>
      <t xml:space="preserve">2026-04-07</t>
    </r>
    <r>
      <rPr>
        <sz val="10"/>
        <color rgb="FF000000"/>
        <rFont val="Noto Sans CJK SC"/>
        <family val="2"/>
      </rPr>
      <t xml:space="preserve">（</t>
    </r>
    <r>
      <rPr>
        <sz val="10"/>
        <color rgb="FF000000"/>
        <rFont val="Arial"/>
        <family val="0"/>
        <charset val="1"/>
      </rPr>
      <t xml:space="preserve">SRC_ZP_392</t>
    </r>
    <r>
      <rPr>
        <sz val="10"/>
        <color rgb="FF000000"/>
        <rFont val="Noto Sans CJK SC"/>
        <family val="2"/>
      </rPr>
      <t xml:space="preserve">）</t>
    </r>
  </si>
  <si>
    <t xml:space="preserve">INP_028</t>
  </si>
  <si>
    <t xml:space="preserve">days_flash_2h26</t>
  </si>
  <si>
    <r>
      <rPr>
        <sz val="10"/>
        <color rgb="FF000000"/>
        <rFont val="Arial"/>
        <family val="0"/>
        <charset val="1"/>
      </rPr>
      <t xml:space="preserve">2H26 GLM-5.3-Flash </t>
    </r>
    <r>
      <rPr>
        <sz val="10"/>
        <color rgb="FF000000"/>
        <rFont val="Noto Sans CJK SC"/>
        <family val="2"/>
      </rPr>
      <t xml:space="preserve">期間天數（</t>
    </r>
    <r>
      <rPr>
        <sz val="10"/>
        <color rgb="FF000000"/>
        <rFont val="Arial"/>
        <family val="0"/>
        <charset val="1"/>
      </rPr>
      <t xml:space="preserve">2026-08-26</t>
    </r>
    <r>
      <rPr>
        <sz val="10"/>
        <color rgb="FF000000"/>
        <rFont val="Noto Sans CJK SC"/>
        <family val="2"/>
      </rPr>
      <t xml:space="preserve">～</t>
    </r>
    <r>
      <rPr>
        <sz val="10"/>
        <color rgb="FF000000"/>
        <rFont val="Arial"/>
        <family val="0"/>
        <charset val="1"/>
      </rPr>
      <t xml:space="preserve">12-31</t>
    </r>
    <r>
      <rPr>
        <sz val="10"/>
        <color rgb="FF000000"/>
        <rFont val="Noto Sans CJK SC"/>
        <family val="2"/>
      </rPr>
      <t xml:space="preserve">）</t>
    </r>
  </si>
  <si>
    <r>
      <rPr>
        <sz val="10"/>
        <color rgb="FF000000"/>
        <rFont val="Arial"/>
        <family val="0"/>
        <charset val="1"/>
      </rPr>
      <t xml:space="preserve">GLM-5.3-Flash </t>
    </r>
    <r>
      <rPr>
        <sz val="10"/>
        <color rgb="FF000000"/>
        <rFont val="Noto Sans CJK SC"/>
        <family val="2"/>
      </rPr>
      <t xml:space="preserve">發布日 </t>
    </r>
    <r>
      <rPr>
        <sz val="10"/>
        <color rgb="FF000000"/>
        <rFont val="Arial"/>
        <family val="0"/>
        <charset val="1"/>
      </rPr>
      <t xml:space="preserve">2026-08-26</t>
    </r>
    <r>
      <rPr>
        <sz val="10"/>
        <color rgb="FF000000"/>
        <rFont val="Noto Sans CJK SC"/>
        <family val="2"/>
      </rPr>
      <t xml:space="preserve">（</t>
    </r>
    <r>
      <rPr>
        <sz val="10"/>
        <color rgb="FF000000"/>
        <rFont val="Arial"/>
        <family val="0"/>
        <charset val="1"/>
      </rPr>
      <t xml:space="preserve">SRC_ZP_396</t>
    </r>
    <r>
      <rPr>
        <sz val="10"/>
        <color rgb="FF000000"/>
        <rFont val="Noto Sans CJK SC"/>
        <family val="2"/>
      </rPr>
      <t xml:space="preserve">）起；之前 </t>
    </r>
    <r>
      <rPr>
        <sz val="10"/>
        <color rgb="FF000000"/>
        <rFont val="Arial"/>
        <family val="0"/>
        <charset val="1"/>
      </rPr>
      <t xml:space="preserve">Luna </t>
    </r>
    <r>
      <rPr>
        <sz val="10"/>
        <color rgb="FF000000"/>
        <rFont val="Noto Sans CJK SC"/>
        <family val="2"/>
      </rPr>
      <t xml:space="preserve">以 </t>
    </r>
    <r>
      <rPr>
        <sz val="10"/>
        <color rgb="FF000000"/>
        <rFont val="Arial"/>
        <family val="0"/>
        <charset val="1"/>
      </rPr>
      <t xml:space="preserve">GLM-4.5-Air </t>
    </r>
    <r>
      <rPr>
        <sz val="10"/>
        <color rgb="FF000000"/>
        <rFont val="Noto Sans CJK SC"/>
        <family val="2"/>
      </rPr>
      <t xml:space="preserve">牌價計</t>
    </r>
  </si>
  <si>
    <t xml:space="preserve">INP_029</t>
  </si>
  <si>
    <t xml:space="preserve">out_share</t>
  </si>
  <si>
    <r>
      <rPr>
        <sz val="10"/>
        <color rgb="FF000000"/>
        <rFont val="Arial"/>
        <family val="0"/>
        <charset val="1"/>
      </rPr>
      <t xml:space="preserve">API </t>
    </r>
    <r>
      <rPr>
        <sz val="10"/>
        <color rgb="FF000000"/>
        <rFont val="Noto Sans CJK SC"/>
        <family val="2"/>
      </rPr>
      <t xml:space="preserve">輸出 </t>
    </r>
    <r>
      <rPr>
        <sz val="10"/>
        <color rgb="FF000000"/>
        <rFont val="Arial"/>
        <family val="0"/>
        <charset val="1"/>
      </rPr>
      <t xml:space="preserve">token </t>
    </r>
    <r>
      <rPr>
        <sz val="10"/>
        <color rgb="FF000000"/>
        <rFont val="Noto Sans CJK SC"/>
        <family val="2"/>
      </rPr>
      <t xml:space="preserve">占比</t>
    </r>
  </si>
  <si>
    <r>
      <rPr>
        <sz val="10"/>
        <color rgb="FF000000"/>
        <rFont val="Arial"/>
        <family val="0"/>
        <charset val="1"/>
      </rPr>
      <t xml:space="preserve">OpenAI v0.6 INP_028</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0.1–0.35</t>
    </r>
    <r>
      <rPr>
        <sz val="10"/>
        <color rgb="FF000000"/>
        <rFont val="Noto Sans CJK SC"/>
        <family val="2"/>
      </rPr>
      <t xml:space="preserve">）；差異：智譜 </t>
    </r>
    <r>
      <rPr>
        <sz val="10"/>
        <color rgb="FF000000"/>
        <rFont val="Arial"/>
        <family val="0"/>
        <charset val="1"/>
      </rPr>
      <t xml:space="preserve">API </t>
    </r>
    <r>
      <rPr>
        <sz val="10"/>
        <color rgb="FF000000"/>
        <rFont val="Noto Sans CJK SC"/>
        <family val="2"/>
      </rPr>
      <t xml:space="preserve">以程式碼代理為主，輸入（含快取）占比較高，取較低值</t>
    </r>
  </si>
  <si>
    <r>
      <rPr>
        <sz val="10"/>
        <color rgb="FF000000"/>
        <rFont val="Arial"/>
        <family val="0"/>
        <charset val="1"/>
      </rPr>
      <t xml:space="preserve">0.05</t>
    </r>
    <r>
      <rPr>
        <sz val="10"/>
        <color rgb="FF000000"/>
        <rFont val="Noto Sans CJK SC"/>
        <family val="2"/>
      </rPr>
      <t xml:space="preserve">（長上下文代理）～</t>
    </r>
    <r>
      <rPr>
        <sz val="10"/>
        <color rgb="FF000000"/>
        <rFont val="Arial"/>
        <family val="0"/>
        <charset val="1"/>
      </rPr>
      <t xml:space="preserve">0.3</t>
    </r>
    <r>
      <rPr>
        <sz val="10"/>
        <color rgb="FF000000"/>
        <rFont val="Noto Sans CJK SC"/>
        <family val="2"/>
      </rPr>
      <t xml:space="preserve">（對話與生成）</t>
    </r>
  </si>
  <si>
    <t xml:space="preserve">INP_030</t>
  </si>
  <si>
    <t xml:space="preserve">cache_hit</t>
  </si>
  <si>
    <r>
      <rPr>
        <sz val="10"/>
        <color rgb="FF000000"/>
        <rFont val="Arial"/>
        <family val="0"/>
        <charset val="1"/>
      </rPr>
      <t xml:space="preserve">API </t>
    </r>
    <r>
      <rPr>
        <sz val="10"/>
        <color rgb="FF000000"/>
        <rFont val="Noto Sans CJK SC"/>
        <family val="2"/>
      </rPr>
      <t xml:space="preserve">快取命中率（輸入 </t>
    </r>
    <r>
      <rPr>
        <sz val="10"/>
        <color rgb="FF000000"/>
        <rFont val="Arial"/>
        <family val="0"/>
        <charset val="1"/>
      </rPr>
      <t xml:space="preserve">token</t>
    </r>
    <r>
      <rPr>
        <sz val="10"/>
        <color rgb="FF000000"/>
        <rFont val="Noto Sans CJK SC"/>
        <family val="2"/>
      </rPr>
      <t xml:space="preserve">）</t>
    </r>
  </si>
  <si>
    <r>
      <rPr>
        <sz val="10"/>
        <color rgb="FF000000"/>
        <rFont val="Arial"/>
        <family val="0"/>
        <charset val="1"/>
      </rPr>
      <t xml:space="preserve">OpenAI v0.6 INP_029</t>
    </r>
    <r>
      <rPr>
        <sz val="10"/>
        <color rgb="FF000000"/>
        <rFont val="Noto Sans CJK SC"/>
        <family val="2"/>
      </rPr>
      <t xml:space="preserve">（</t>
    </r>
    <r>
      <rPr>
        <sz val="10"/>
        <color rgb="FF000000"/>
        <rFont val="Arial"/>
        <family val="0"/>
        <charset val="1"/>
      </rPr>
      <t xml:space="preserve">0.55</t>
    </r>
    <r>
      <rPr>
        <sz val="10"/>
        <color rgb="FF000000"/>
        <rFont val="Noto Sans CJK SC"/>
        <family val="2"/>
      </rPr>
      <t xml:space="preserve">，</t>
    </r>
    <r>
      <rPr>
        <sz val="10"/>
        <color rgb="FF000000"/>
        <rFont val="Arial"/>
        <family val="0"/>
        <charset val="1"/>
      </rPr>
      <t xml:space="preserve">0.3–0.75</t>
    </r>
    <r>
      <rPr>
        <sz val="10"/>
        <color rgb="FF000000"/>
        <rFont val="Noto Sans CJK SC"/>
        <family val="2"/>
      </rPr>
      <t xml:space="preserve">）；智譜快取價約輸入價 </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SRC_ZP_284–331</t>
    </r>
    <r>
      <rPr>
        <sz val="10"/>
        <color rgb="FF000000"/>
        <rFont val="Noto Sans CJK SC"/>
        <family val="2"/>
      </rPr>
      <t xml:space="preserve">）</t>
    </r>
  </si>
  <si>
    <r>
      <rPr>
        <sz val="10"/>
        <color rgb="FF000000"/>
        <rFont val="Noto Sans CJK SC"/>
        <family val="2"/>
      </rPr>
      <t xml:space="preserve">同 </t>
    </r>
    <r>
      <rPr>
        <sz val="10"/>
        <color rgb="FF000000"/>
        <rFont val="Arial"/>
        <family val="0"/>
        <charset val="1"/>
      </rPr>
      <t xml:space="preserve">OpenAI</t>
    </r>
  </si>
  <si>
    <t xml:space="preserve">INP_031</t>
  </si>
  <si>
    <t xml:space="preserve">discount_free</t>
  </si>
  <si>
    <r>
      <rPr>
        <sz val="10"/>
        <color rgb="FF000000"/>
        <rFont val="Arial"/>
        <family val="0"/>
        <charset val="1"/>
      </rPr>
      <t xml:space="preserve">API </t>
    </r>
    <r>
      <rPr>
        <sz val="10"/>
        <color rgb="FF000000"/>
        <rFont val="Noto Sans CJK SC"/>
        <family val="2"/>
      </rPr>
      <t xml:space="preserve">折扣與免費額度比例（牌價→實收）</t>
    </r>
  </si>
  <si>
    <r>
      <rPr>
        <sz val="10"/>
        <color rgb="FF000000"/>
        <rFont val="Arial"/>
        <family val="0"/>
        <charset val="1"/>
      </rPr>
      <t xml:space="preserve">OpenAI v0.6 INP_030</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0.1–0.3</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；智譜另有 </t>
    </r>
    <r>
      <rPr>
        <sz val="10"/>
        <color rgb="FF000000"/>
        <rFont val="Arial"/>
        <family val="0"/>
        <charset val="1"/>
      </rPr>
      <t xml:space="preserve">Batch </t>
    </r>
    <r>
      <rPr>
        <sz val="10"/>
        <color rgb="FF000000"/>
        <rFont val="Noto Sans CJK SC"/>
        <family val="2"/>
      </rPr>
      <t xml:space="preserve">五折（</t>
    </r>
    <r>
      <rPr>
        <sz val="10"/>
        <color rgb="FF000000"/>
        <rFont val="Arial"/>
        <family val="0"/>
        <charset val="1"/>
      </rPr>
      <t xml:space="preserve">SRC_ZP_332</t>
    </r>
    <r>
      <rPr>
        <sz val="10"/>
        <color rgb="FF000000"/>
        <rFont val="Noto Sans CJK SC"/>
        <family val="2"/>
      </rPr>
      <t xml:space="preserve">）、新用戶贈送額度、</t>
    </r>
    <r>
      <rPr>
        <sz val="10"/>
        <color rgb="FF000000"/>
        <rFont val="Arial"/>
        <family val="0"/>
        <charset val="1"/>
      </rPr>
      <t xml:space="preserve">GLM-5.3-Flash </t>
    </r>
    <r>
      <rPr>
        <sz val="10"/>
        <color rgb="FF000000"/>
        <rFont val="Noto Sans CJK SC"/>
        <family val="2"/>
      </rPr>
      <t xml:space="preserve">限時五折、企業協議價，取較高值</t>
    </r>
  </si>
  <si>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0.4</t>
    </r>
  </si>
  <si>
    <t xml:space="preserve">INP_032</t>
  </si>
  <si>
    <t xml:space="preserve">sol_share_2025</t>
  </si>
  <si>
    <r>
      <rPr>
        <sz val="10"/>
        <color rgb="FF000000"/>
        <rFont val="Noto Sans CJK SC"/>
        <family val="2"/>
      </rPr>
      <t xml:space="preserve">付費 </t>
    </r>
    <r>
      <rPr>
        <sz val="10"/>
        <color rgb="FF000000"/>
        <rFont val="Arial"/>
        <family val="0"/>
        <charset val="1"/>
      </rPr>
      <t xml:space="preserve">API token </t>
    </r>
    <r>
      <rPr>
        <sz val="10"/>
        <color rgb="FF000000"/>
        <rFont val="Noto Sans CJK SC"/>
        <family val="2"/>
      </rPr>
      <t xml:space="preserve">層級組合：</t>
    </r>
    <r>
      <rPr>
        <sz val="10"/>
        <color rgb="FF000000"/>
        <rFont val="Arial"/>
        <family val="0"/>
        <charset val="1"/>
      </rPr>
      <t xml:space="preserve">Sol </t>
    </r>
    <r>
      <rPr>
        <sz val="10"/>
        <color rgb="FF000000"/>
        <rFont val="Noto Sans CJK SC"/>
        <family val="2"/>
      </rPr>
      <t xml:space="preserve">占比</t>
    </r>
  </si>
  <si>
    <r>
      <rPr>
        <sz val="10"/>
        <color rgb="FF000000"/>
        <rFont val="Arial"/>
        <family val="0"/>
        <charset val="1"/>
      </rPr>
      <t xml:space="preserve">2025 </t>
    </r>
    <r>
      <rPr>
        <sz val="10"/>
        <color rgb="FF000000"/>
        <rFont val="Noto Sans CJK SC"/>
        <family val="2"/>
      </rPr>
      <t xml:space="preserve">主力旗艦 </t>
    </r>
    <r>
      <rPr>
        <sz val="10"/>
        <color rgb="FF000000"/>
        <rFont val="Arial"/>
        <family val="0"/>
        <charset val="1"/>
      </rPr>
      <t xml:space="preserve">GLM-4.5</t>
    </r>
    <r>
      <rPr>
        <sz val="10"/>
        <color rgb="FF000000"/>
        <rFont val="Noto Sans CJK SC"/>
        <family val="2"/>
      </rPr>
      <t xml:space="preserve">／</t>
    </r>
    <r>
      <rPr>
        <sz val="10"/>
        <color rgb="FF000000"/>
        <rFont val="Arial"/>
        <family val="0"/>
        <charset val="1"/>
      </rPr>
      <t xml:space="preserve">4.6</t>
    </r>
    <r>
      <rPr>
        <sz val="10"/>
        <color rgb="FF000000"/>
        <rFont val="Noto Sans CJK SC"/>
        <family val="2"/>
      </rPr>
      <t xml:space="preserve">／</t>
    </r>
    <r>
      <rPr>
        <sz val="10"/>
        <color rgb="FF000000"/>
        <rFont val="Arial"/>
        <family val="0"/>
        <charset val="1"/>
      </rPr>
      <t xml:space="preserve">4.7</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D24r</t>
    </r>
    <r>
      <rPr>
        <sz val="10"/>
        <color rgb="FF000000"/>
        <rFont val="Noto Sans CJK SC"/>
        <family val="2"/>
      </rPr>
      <t xml:space="preserve">），</t>
    </r>
    <r>
      <rPr>
        <sz val="10"/>
        <color rgb="FF000000"/>
        <rFont val="Arial"/>
        <family val="0"/>
        <charset val="1"/>
      </rPr>
      <t xml:space="preserve">Air </t>
    </r>
    <r>
      <rPr>
        <sz val="10"/>
        <color rgb="FF000000"/>
        <rFont val="Noto Sans CJK SC"/>
        <family val="2"/>
      </rPr>
      <t xml:space="preserve">系列（</t>
    </r>
    <r>
      <rPr>
        <sz val="10"/>
        <color rgb="FF000000"/>
        <rFont val="Arial"/>
        <family val="0"/>
        <charset val="1"/>
      </rPr>
      <t xml:space="preserve">Luna</t>
    </r>
    <r>
      <rPr>
        <sz val="10"/>
        <color rgb="FF000000"/>
        <rFont val="Noto Sans CJK SC"/>
        <family val="2"/>
      </rPr>
      <t xml:space="preserve">）價格低一個數量級；</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OpenRouter GLM-5.2 </t>
    </r>
    <r>
      <rPr>
        <sz val="10"/>
        <color rgb="FF000000"/>
        <rFont val="Noto Sans CJK SC"/>
        <family val="2"/>
      </rPr>
      <t xml:space="preserve">單一型號占全平台 </t>
    </r>
    <r>
      <rPr>
        <sz val="10"/>
        <color rgb="FF000000"/>
        <rFont val="Arial"/>
        <family val="0"/>
        <charset val="1"/>
      </rPr>
      <t xml:space="preserve">5.5%</t>
    </r>
    <r>
      <rPr>
        <sz val="10"/>
        <color rgb="FF000000"/>
        <rFont val="Noto Sans CJK SC"/>
        <family val="2"/>
      </rPr>
      <t xml:space="preserve">（</t>
    </r>
    <r>
      <rPr>
        <sz val="10"/>
        <color rgb="FF000000"/>
        <rFont val="Arial"/>
        <family val="0"/>
        <charset val="1"/>
      </rPr>
      <t xml:space="preserve">SRC_ZP_437</t>
    </r>
    <r>
      <rPr>
        <sz val="10"/>
        <color rgb="FF000000"/>
        <rFont val="Noto Sans CJK SC"/>
        <family val="2"/>
      </rPr>
      <t xml:space="preserve">），</t>
    </r>
    <r>
      <rPr>
        <sz val="10"/>
        <color rgb="FF000000"/>
        <rFont val="Arial"/>
        <family val="0"/>
        <charset val="1"/>
      </rPr>
      <t xml:space="preserve">Luna </t>
    </r>
    <r>
      <rPr>
        <sz val="10"/>
        <color rgb="FF000000"/>
        <rFont val="Noto Sans CJK SC"/>
        <family val="2"/>
      </rPr>
      <t xml:space="preserve">份額找不到</t>
    </r>
  </si>
  <si>
    <r>
      <rPr>
        <sz val="10"/>
        <color rgb="FF000000"/>
        <rFont val="Arial"/>
        <family val="0"/>
        <charset val="1"/>
      </rPr>
      <t xml:space="preserve">0.4</t>
    </r>
    <r>
      <rPr>
        <sz val="10"/>
        <color rgb="FF000000"/>
        <rFont val="Noto Sans CJK SC"/>
        <family val="2"/>
      </rPr>
      <t xml:space="preserve">～</t>
    </r>
    <r>
      <rPr>
        <sz val="10"/>
        <color rgb="FF000000"/>
        <rFont val="Arial"/>
        <family val="0"/>
        <charset val="1"/>
      </rPr>
      <t xml:space="preserve">0.8</t>
    </r>
  </si>
  <si>
    <t xml:space="preserve">INP_033</t>
  </si>
  <si>
    <t xml:space="preserve">sol_share_2026</t>
  </si>
  <si>
    <r>
      <rPr>
        <sz val="10"/>
        <color rgb="FF000000"/>
        <rFont val="Arial"/>
        <family val="0"/>
        <charset val="1"/>
      </rPr>
      <t xml:space="preserve">GLM-5.x </t>
    </r>
    <r>
      <rPr>
        <sz val="10"/>
        <color rgb="FF000000"/>
        <rFont val="Noto Sans CJK SC"/>
        <family val="2"/>
      </rPr>
      <t xml:space="preserve">推出後旗艦占比上升（呼叫需求 </t>
    </r>
    <r>
      <rPr>
        <sz val="10"/>
        <color rgb="FF000000"/>
        <rFont val="Arial"/>
        <family val="0"/>
        <charset val="1"/>
      </rPr>
      <t xml:space="preserve">10 </t>
    </r>
    <r>
      <rPr>
        <sz val="10"/>
        <color rgb="FF000000"/>
        <rFont val="Noto Sans CJK SC"/>
        <family val="2"/>
      </rPr>
      <t xml:space="preserve">倍，</t>
    </r>
    <r>
      <rPr>
        <sz val="10"/>
        <color rgb="FF000000"/>
        <rFont val="Arial"/>
        <family val="0"/>
        <charset val="1"/>
      </rPr>
      <t xml:space="preserve">SRC_ZP_421 </t>
    </r>
    <r>
      <rPr>
        <sz val="10"/>
        <color rgb="FF000000"/>
        <rFont val="Noto Sans CJK SC"/>
        <family val="2"/>
      </rPr>
      <t xml:space="preserve">只作方向）</t>
    </r>
  </si>
  <si>
    <r>
      <rPr>
        <sz val="10"/>
        <color rgb="FF000000"/>
        <rFont val="Arial"/>
        <family val="0"/>
        <charset val="1"/>
      </rPr>
      <t xml:space="preserve">0.5</t>
    </r>
    <r>
      <rPr>
        <sz val="10"/>
        <color rgb="FF000000"/>
        <rFont val="Noto Sans CJK SC"/>
        <family val="2"/>
      </rPr>
      <t xml:space="preserve">～</t>
    </r>
    <r>
      <rPr>
        <sz val="10"/>
        <color rgb="FF000000"/>
        <rFont val="Arial"/>
        <family val="0"/>
        <charset val="1"/>
      </rPr>
      <t xml:space="preserve">0.85</t>
    </r>
  </si>
  <si>
    <t xml:space="preserve">INP_034</t>
  </si>
  <si>
    <t xml:space="preserve">sol_share_2027</t>
  </si>
  <si>
    <r>
      <rPr>
        <sz val="10"/>
        <color rgb="FF000000"/>
        <rFont val="Arial"/>
        <family val="0"/>
        <charset val="1"/>
      </rPr>
      <t xml:space="preserve">2027 </t>
    </r>
    <r>
      <rPr>
        <sz val="10"/>
        <color rgb="FF000000"/>
        <rFont val="Noto Sans CJK SC"/>
        <family val="2"/>
      </rPr>
      <t xml:space="preserve">起</t>
    </r>
  </si>
  <si>
    <r>
      <rPr>
        <sz val="10"/>
        <color rgb="FF000000"/>
        <rFont val="Noto Sans CJK SC"/>
        <family val="2"/>
      </rPr>
      <t xml:space="preserve">沿用 </t>
    </r>
    <r>
      <rPr>
        <sz val="10"/>
        <color rgb="FF000000"/>
        <rFont val="Arial"/>
        <family val="0"/>
        <charset val="1"/>
      </rPr>
      <t xml:space="preserve">2026</t>
    </r>
    <r>
      <rPr>
        <sz val="10"/>
        <color rgb="FF000000"/>
        <rFont val="Noto Sans CJK SC"/>
        <family val="2"/>
      </rPr>
      <t xml:space="preserve">（</t>
    </r>
    <r>
      <rPr>
        <sz val="10"/>
        <color rgb="FF000000"/>
        <rFont val="Arial"/>
        <family val="0"/>
        <charset val="1"/>
      </rPr>
      <t xml:space="preserve">OpenAI v0.6 </t>
    </r>
    <r>
      <rPr>
        <sz val="10"/>
        <color rgb="FF000000"/>
        <rFont val="Noto Sans CJK SC"/>
        <family val="2"/>
      </rPr>
      <t xml:space="preserve">亦以最後一值延伸）</t>
    </r>
  </si>
  <si>
    <t xml:space="preserve">INP_035</t>
  </si>
  <si>
    <t xml:space="preserve">px_chg_sol</t>
  </si>
  <si>
    <r>
      <rPr>
        <sz val="10"/>
        <color rgb="FF000000"/>
        <rFont val="Arial"/>
        <family val="0"/>
        <charset val="1"/>
      </rPr>
      <t xml:space="preserve">API </t>
    </r>
    <r>
      <rPr>
        <sz val="10"/>
        <color rgb="FF000000"/>
        <rFont val="Noto Sans CJK SC"/>
        <family val="2"/>
      </rPr>
      <t xml:space="preserve">牌價年變動率：</t>
    </r>
    <r>
      <rPr>
        <sz val="10"/>
        <color rgb="FF000000"/>
        <rFont val="Arial"/>
        <family val="0"/>
        <charset val="1"/>
      </rPr>
      <t xml:space="preserve">Sol</t>
    </r>
  </si>
  <si>
    <t xml:space="preserve">比例／年</t>
  </si>
  <si>
    <r>
      <rPr>
        <sz val="10"/>
        <color rgb="FF000000"/>
        <rFont val="Noto Sans CJK SC"/>
        <family val="2"/>
      </rPr>
      <t xml:space="preserve">工作單 </t>
    </r>
    <r>
      <rPr>
        <sz val="10"/>
        <color rgb="FF000000"/>
        <rFont val="Arial"/>
        <family val="0"/>
        <charset val="1"/>
      </rPr>
      <t xml:space="preserve">Z2 </t>
    </r>
    <r>
      <rPr>
        <sz val="10"/>
        <color rgb="FF000000"/>
        <rFont val="Noto Sans CJK SC"/>
        <family val="2"/>
      </rPr>
      <t xml:space="preserve">預設（−</t>
    </r>
    <r>
      <rPr>
        <sz val="10"/>
        <color rgb="FF000000"/>
        <rFont val="Arial"/>
        <family val="0"/>
        <charset val="1"/>
      </rPr>
      <t xml:space="preserve">20%</t>
    </r>
    <r>
      <rPr>
        <sz val="10"/>
        <color rgb="FF000000"/>
        <rFont val="Noto Sans CJK SC"/>
        <family val="2"/>
      </rPr>
      <t xml:space="preserve">／年）；</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OpenAI v0.6 INP_022 mid </t>
    </r>
    <r>
      <rPr>
        <sz val="10"/>
        <color rgb="FF000000"/>
        <rFont val="Noto Sans CJK SC"/>
        <family val="2"/>
      </rPr>
      <t xml:space="preserve">層 −</t>
    </r>
    <r>
      <rPr>
        <sz val="10"/>
        <color rgb="FF000000"/>
        <rFont val="Arial"/>
        <family val="0"/>
        <charset val="1"/>
      </rPr>
      <t xml:space="preserve">40%</t>
    </r>
    <r>
      <rPr>
        <sz val="10"/>
        <color rgb="FF000000"/>
        <rFont val="Noto Sans CJK SC"/>
        <family val="2"/>
      </rPr>
      <t xml:space="preserve">（−</t>
    </r>
    <r>
      <rPr>
        <sz val="10"/>
        <color rgb="FF000000"/>
        <rFont val="Arial"/>
        <family val="0"/>
        <charset val="1"/>
      </rPr>
      <t xml:space="preserve">60%</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實際漲價（</t>
    </r>
    <r>
      <rPr>
        <sz val="10"/>
        <color rgb="FF000000"/>
        <rFont val="Arial"/>
        <family val="0"/>
        <charset val="1"/>
      </rPr>
      <t xml:space="preserve">+83%</t>
    </r>
    <r>
      <rPr>
        <sz val="10"/>
        <color rgb="FF000000"/>
        <rFont val="Noto Sans CJK SC"/>
        <family val="2"/>
      </rPr>
      <t xml:space="preserve">、</t>
    </r>
    <r>
      <rPr>
        <sz val="10"/>
        <color rgb="FF000000"/>
        <rFont val="Arial"/>
        <family val="0"/>
        <charset val="1"/>
      </rPr>
      <t xml:space="preserve">+101%</t>
    </r>
    <r>
      <rPr>
        <sz val="10"/>
        <color rgb="FF000000"/>
        <rFont val="Noto Sans CJK SC"/>
        <family val="2"/>
      </rPr>
      <t xml:space="preserve">，</t>
    </r>
    <r>
      <rPr>
        <sz val="10"/>
        <color rgb="FF000000"/>
        <rFont val="Arial"/>
        <family val="0"/>
        <charset val="1"/>
      </rPr>
      <t xml:space="preserve">SRC_ZP_346</t>
    </r>
    <r>
      <rPr>
        <sz val="10"/>
        <color rgb="FF000000"/>
        <rFont val="Noto Sans CJK SC"/>
        <family val="2"/>
      </rPr>
      <t xml:space="preserve">、</t>
    </r>
    <r>
      <rPr>
        <sz val="10"/>
        <color rgb="FF000000"/>
        <rFont val="Arial"/>
        <family val="0"/>
        <charset val="1"/>
      </rPr>
      <t xml:space="preserve">347</t>
    </r>
    <r>
      <rPr>
        <sz val="10"/>
        <color rgb="FF000000"/>
        <rFont val="Noto Sans CJK SC"/>
        <family val="2"/>
      </rPr>
      <t xml:space="preserve">）故上緣放寬到 </t>
    </r>
    <r>
      <rPr>
        <sz val="10"/>
        <color rgb="FF000000"/>
        <rFont val="Arial"/>
        <family val="0"/>
        <charset val="1"/>
      </rPr>
      <t xml:space="preserve">+20%</t>
    </r>
  </si>
  <si>
    <r>
      <rPr>
        <sz val="10"/>
        <color rgb="FF000000"/>
        <rFont val="Arial"/>
        <family val="0"/>
        <charset val="1"/>
      </rPr>
      <t xml:space="preserve">−40%</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（工作單）</t>
    </r>
  </si>
  <si>
    <t xml:space="preserve">INP_036</t>
  </si>
  <si>
    <t xml:space="preserve">px_chg_luna</t>
  </si>
  <si>
    <r>
      <rPr>
        <sz val="10"/>
        <color rgb="FF000000"/>
        <rFont val="Arial"/>
        <family val="0"/>
        <charset val="1"/>
      </rPr>
      <t xml:space="preserve">API </t>
    </r>
    <r>
      <rPr>
        <sz val="10"/>
        <color rgb="FF000000"/>
        <rFont val="Noto Sans CJK SC"/>
        <family val="2"/>
      </rPr>
      <t xml:space="preserve">牌價年變動率：</t>
    </r>
    <r>
      <rPr>
        <sz val="10"/>
        <color rgb="FF000000"/>
        <rFont val="Arial"/>
        <family val="0"/>
        <charset val="1"/>
      </rPr>
      <t xml:space="preserve">Luna</t>
    </r>
  </si>
  <si>
    <r>
      <rPr>
        <sz val="10"/>
        <color rgb="FF000000"/>
        <rFont val="Noto Sans CJK SC"/>
        <family val="2"/>
      </rPr>
      <t xml:space="preserve">同上；</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OpenAI v0.6 INP_023 low </t>
    </r>
    <r>
      <rPr>
        <sz val="10"/>
        <color rgb="FF000000"/>
        <rFont val="Noto Sans CJK SC"/>
        <family val="2"/>
      </rPr>
      <t xml:space="preserve">層 −</t>
    </r>
    <r>
      <rPr>
        <sz val="10"/>
        <color rgb="FF000000"/>
        <rFont val="Arial"/>
        <family val="0"/>
        <charset val="1"/>
      </rPr>
      <t xml:space="preserve">40%</t>
    </r>
  </si>
  <si>
    <t xml:space="preserve">INP_037</t>
  </si>
  <si>
    <t xml:space="preserve">tpt_base</t>
  </si>
  <si>
    <r>
      <rPr>
        <sz val="10"/>
        <color rgb="FF000000"/>
        <rFont val="Arial"/>
        <family val="0"/>
        <charset val="1"/>
      </rPr>
      <t xml:space="preserve">API </t>
    </r>
    <r>
      <rPr>
        <sz val="10"/>
        <color rgb="FF000000"/>
        <rFont val="Noto Sans CJK SC"/>
        <family val="2"/>
      </rPr>
      <t xml:space="preserve">基準每任務 </t>
    </r>
    <r>
      <rPr>
        <sz val="10"/>
        <color rgb="FF000000"/>
        <rFont val="Arial"/>
        <family val="0"/>
        <charset val="1"/>
      </rPr>
      <t xml:space="preserve">token</t>
    </r>
    <r>
      <rPr>
        <sz val="10"/>
        <color rgb="FF000000"/>
        <rFont val="Noto Sans CJK SC"/>
        <family val="2"/>
      </rPr>
      <t xml:space="preserve">（層級正規化）</t>
    </r>
  </si>
  <si>
    <r>
      <rPr>
        <sz val="10"/>
        <color rgb="FF000000"/>
        <rFont val="Arial"/>
        <family val="0"/>
        <charset val="1"/>
      </rPr>
      <t xml:space="preserve">K tok</t>
    </r>
    <r>
      <rPr>
        <sz val="10"/>
        <color rgb="FF000000"/>
        <rFont val="Noto Sans CJK SC"/>
        <family val="2"/>
      </rPr>
      <t xml:space="preserve">／任務</t>
    </r>
  </si>
  <si>
    <r>
      <rPr>
        <sz val="10"/>
        <color rgb="FF000000"/>
        <rFont val="Arial"/>
        <family val="0"/>
        <charset val="1"/>
      </rPr>
      <t xml:space="preserve">OpenAI v0.6 INP_031</t>
    </r>
    <r>
      <rPr>
        <sz val="10"/>
        <color rgb="FF000000"/>
        <rFont val="Noto Sans CJK SC"/>
        <family val="2"/>
      </rPr>
      <t xml:space="preserve">（</t>
    </r>
    <r>
      <rPr>
        <sz val="10"/>
        <color rgb="FF000000"/>
        <rFont val="Arial"/>
        <family val="0"/>
        <charset val="1"/>
      </rPr>
      <t xml:space="preserve">10</t>
    </r>
    <r>
      <rPr>
        <sz val="10"/>
        <color rgb="FF000000"/>
        <rFont val="Noto Sans CJK SC"/>
        <family val="2"/>
      </rPr>
      <t xml:space="preserve">，</t>
    </r>
    <r>
      <rPr>
        <sz val="10"/>
        <color rgb="FF000000"/>
        <rFont val="Arial"/>
        <family val="0"/>
        <charset val="1"/>
      </rPr>
      <t xml:space="preserve">5–30</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；智譜 </t>
    </r>
    <r>
      <rPr>
        <sz val="10"/>
        <color rgb="FF000000"/>
        <rFont val="Arial"/>
        <family val="0"/>
        <charset val="1"/>
      </rPr>
      <t xml:space="preserve">API </t>
    </r>
    <r>
      <rPr>
        <sz val="10"/>
        <color rgb="FF000000"/>
        <rFont val="Noto Sans CJK SC"/>
        <family val="2"/>
      </rPr>
      <t xml:space="preserve">以程式碼代理為主，每任務上下文較長；只影響任務數與每任務 </t>
    </r>
    <r>
      <rPr>
        <sz val="10"/>
        <color rgb="FF000000"/>
        <rFont val="Arial"/>
        <family val="0"/>
        <charset val="1"/>
      </rPr>
      <t xml:space="preserve">token </t>
    </r>
    <r>
      <rPr>
        <sz val="10"/>
        <color rgb="FF000000"/>
        <rFont val="Noto Sans CJK SC"/>
        <family val="2"/>
      </rPr>
      <t xml:space="preserve">的水準拆分，不影響營收與 </t>
    </r>
    <r>
      <rPr>
        <sz val="10"/>
        <color rgb="FF000000"/>
        <rFont val="Arial"/>
        <family val="0"/>
        <charset val="1"/>
      </rPr>
      <t xml:space="preserve">token </t>
    </r>
    <r>
      <rPr>
        <sz val="10"/>
        <color rgb="FF000000"/>
        <rFont val="Noto Sans CJK SC"/>
        <family val="2"/>
      </rPr>
      <t xml:space="preserve">總量</t>
    </r>
  </si>
  <si>
    <r>
      <rPr>
        <sz val="10"/>
        <color rgb="FF000000"/>
        <rFont val="Arial"/>
        <family val="0"/>
        <charset val="1"/>
      </rPr>
      <t xml:space="preserve">5</t>
    </r>
    <r>
      <rPr>
        <sz val="10"/>
        <color rgb="FF000000"/>
        <rFont val="Noto Sans CJK SC"/>
        <family val="2"/>
      </rPr>
      <t xml:space="preserve">～</t>
    </r>
    <r>
      <rPr>
        <sz val="10"/>
        <color rgb="FF000000"/>
        <rFont val="Arial"/>
        <family val="0"/>
        <charset val="1"/>
      </rPr>
      <t xml:space="preserve">50</t>
    </r>
  </si>
  <si>
    <t xml:space="preserve">INP_038</t>
  </si>
  <si>
    <t xml:space="preserve">g_task_2h26</t>
  </si>
  <si>
    <r>
      <rPr>
        <sz val="10"/>
        <color rgb="FF000000"/>
        <rFont val="Arial"/>
        <family val="0"/>
        <charset val="1"/>
      </rPr>
      <t xml:space="preserve">API </t>
    </r>
    <r>
      <rPr>
        <sz val="10"/>
        <color rgb="FF000000"/>
        <rFont val="Noto Sans CJK SC"/>
        <family val="2"/>
      </rPr>
      <t xml:space="preserve">任務數成長率（不含價格）：</t>
    </r>
    <r>
      <rPr>
        <sz val="10"/>
        <color rgb="FF000000"/>
        <rFont val="Arial"/>
        <family val="0"/>
        <charset val="1"/>
      </rPr>
      <t xml:space="preserve">2H26 </t>
    </r>
    <r>
      <rPr>
        <sz val="10"/>
        <color rgb="FF000000"/>
        <rFont val="Noto Sans CJK SC"/>
        <family val="2"/>
      </rPr>
      <t xml:space="preserve">對 </t>
    </r>
    <r>
      <rPr>
        <sz val="10"/>
        <color rgb="FF000000"/>
        <rFont val="Arial"/>
        <family val="0"/>
        <charset val="1"/>
      </rPr>
      <t xml:space="preserve">1H26</t>
    </r>
  </si>
  <si>
    <t xml:space="preserve">比例／半年</t>
  </si>
  <si>
    <r>
      <rPr>
        <sz val="10"/>
        <color rgb="FF000000"/>
        <rFont val="Noto Sans CJK SC"/>
        <family val="2"/>
      </rPr>
      <t xml:space="preserve">經審計／審閱的實際動能延續（</t>
    </r>
    <r>
      <rPr>
        <sz val="10"/>
        <color rgb="FF000000"/>
        <rFont val="Arial"/>
        <family val="0"/>
        <charset val="1"/>
      </rPr>
      <t xml:space="preserve">chat </t>
    </r>
    <r>
      <rPr>
        <sz val="10"/>
        <color rgb="FF000000"/>
        <rFont val="Noto Sans CJK SC"/>
        <family val="2"/>
      </rPr>
      <t xml:space="preserve">端審查改動 </t>
    </r>
    <r>
      <rPr>
        <sz val="10"/>
        <color rgb="FF000000"/>
        <rFont val="Arial"/>
        <family val="0"/>
        <charset val="1"/>
      </rPr>
      <t xml:space="preserve">R1</t>
    </r>
    <r>
      <rPr>
        <sz val="10"/>
        <color rgb="FF000000"/>
        <rFont val="Noto Sans CJK SC"/>
        <family val="2"/>
      </rPr>
      <t xml:space="preserve">，</t>
    </r>
    <r>
      <rPr>
        <sz val="10"/>
        <color rgb="FF000000"/>
        <rFont val="Arial"/>
        <family val="0"/>
        <charset val="1"/>
      </rPr>
      <t xml:space="preserve">2026-10-08</t>
    </r>
    <r>
      <rPr>
        <sz val="10"/>
        <color rgb="FF000000"/>
        <rFont val="Noto Sans CJK SC"/>
        <family val="2"/>
      </rPr>
      <t xml:space="preserve">）：</t>
    </r>
    <r>
      <rPr>
        <sz val="10"/>
        <color rgb="FF000000"/>
        <rFont val="Arial"/>
        <family val="0"/>
        <charset val="1"/>
      </rPr>
      <t xml:space="preserve">Demand </t>
    </r>
    <r>
      <rPr>
        <sz val="10"/>
        <color rgb="FF000000"/>
        <rFont val="Noto Sans CJK SC"/>
        <family val="2"/>
      </rPr>
      <t xml:space="preserve">對照列 </t>
    </r>
    <r>
      <rPr>
        <sz val="10"/>
        <color rgb="FF000000"/>
        <rFont val="Arial"/>
        <family val="0"/>
        <charset val="1"/>
      </rPr>
      <t xml:space="preserve">D33</t>
    </r>
    <r>
      <rPr>
        <sz val="10"/>
        <color rgb="FF000000"/>
        <rFont val="Noto Sans CJK SC"/>
        <family val="2"/>
      </rPr>
      <t xml:space="preserve">＝</t>
    </r>
    <r>
      <rPr>
        <sz val="10"/>
        <color rgb="FF000000"/>
        <rFont val="Arial"/>
        <family val="0"/>
        <charset val="1"/>
      </rPr>
      <t xml:space="preserve">1H26 ÷ 2H25 </t>
    </r>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實際營收 </t>
    </r>
    <r>
      <rPr>
        <sz val="10"/>
        <color rgb="FF000000"/>
        <rFont val="Arial"/>
        <family val="0"/>
        <charset val="1"/>
      </rPr>
      <t xml:space="preserve">5.1 </t>
    </r>
    <r>
      <rPr>
        <sz val="10"/>
        <color rgb="FF000000"/>
        <rFont val="Noto Sans CJK SC"/>
        <family val="2"/>
      </rPr>
      <t xml:space="preserve">倍，除以模型組合有效單價 </t>
    </r>
    <r>
      <rPr>
        <sz val="10"/>
        <color rgb="FF000000"/>
        <rFont val="Arial"/>
        <family val="0"/>
        <charset val="1"/>
      </rPr>
      <t xml:space="preserve">1.58 </t>
    </r>
    <r>
      <rPr>
        <sz val="10"/>
        <color rgb="FF000000"/>
        <rFont val="Noto Sans CJK SC"/>
        <family val="2"/>
      </rPr>
      <t xml:space="preserve">倍，實際量約 </t>
    </r>
    <r>
      <rPr>
        <sz val="10"/>
        <color rgb="FF000000"/>
        <rFont val="Arial"/>
        <family val="0"/>
        <charset val="1"/>
      </rPr>
      <t xml:space="preserve">3.2 </t>
    </r>
    <r>
      <rPr>
        <sz val="10"/>
        <color rgb="FF000000"/>
        <rFont val="Noto Sans CJK SC"/>
        <family val="2"/>
      </rPr>
      <t xml:space="preserve">倍（＋</t>
    </r>
    <r>
      <rPr>
        <sz val="10"/>
        <color rgb="FF000000"/>
        <rFont val="Arial"/>
        <family val="0"/>
        <charset val="1"/>
      </rPr>
      <t xml:space="preserve">224%</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延續此實際動能。</t>
    </r>
    <r>
      <rPr>
        <sz val="10"/>
        <color rgb="FF000000"/>
        <rFont val="Arial"/>
        <family val="0"/>
        <charset val="1"/>
      </rPr>
      <t xml:space="preserve">1H26 </t>
    </r>
    <r>
      <rPr>
        <sz val="10"/>
        <color rgb="FF000000"/>
        <rFont val="Noto Sans CJK SC"/>
        <family val="2"/>
      </rPr>
      <t xml:space="preserve">為實際值，延續實際動能是正向推導；</t>
    </r>
    <r>
      <rPr>
        <sz val="10"/>
        <color rgb="FF000000"/>
        <rFont val="Arial"/>
        <family val="0"/>
        <charset val="1"/>
      </rPr>
      <t xml:space="preserve">ARR</t>
    </r>
    <r>
      <rPr>
        <sz val="10"/>
        <color rgb="FF000000"/>
        <rFont val="Noto Sans CJK SC"/>
        <family val="2"/>
      </rPr>
      <t xml:space="preserve">、『較年初 </t>
    </r>
    <r>
      <rPr>
        <sz val="10"/>
        <color rgb="FF000000"/>
        <rFont val="Arial"/>
        <family val="0"/>
        <charset val="1"/>
      </rPr>
      <t xml:space="preserve">40 </t>
    </r>
    <r>
      <rPr>
        <sz val="10"/>
        <color rgb="FF000000"/>
        <rFont val="Noto Sans CJK SC"/>
        <family val="2"/>
      </rPr>
      <t xml:space="preserve">倍』等公司說法仍只作對照（</t>
    </r>
    <r>
      <rPr>
        <sz val="10"/>
        <color rgb="FF000000"/>
        <rFont val="Arial"/>
        <family val="0"/>
        <charset val="1"/>
      </rPr>
      <t xml:space="preserve">D14r</t>
    </r>
    <r>
      <rPr>
        <sz val="10"/>
        <color rgb="FF000000"/>
        <rFont val="Noto Sans CJK SC"/>
        <family val="2"/>
      </rPr>
      <t xml:space="preserve">）</t>
    </r>
  </si>
  <si>
    <r>
      <rPr>
        <sz val="10"/>
        <color rgb="FF000000"/>
        <rFont val="Arial"/>
        <family val="0"/>
        <charset val="1"/>
      </rPr>
      <t xml:space="preserve">1.3</t>
    </r>
    <r>
      <rPr>
        <sz val="10"/>
        <color rgb="FF000000"/>
        <rFont val="Noto Sans CJK SC"/>
        <family val="2"/>
      </rPr>
      <t xml:space="preserve">（放緩至原 </t>
    </r>
    <r>
      <rPr>
        <sz val="10"/>
        <color rgb="FF000000"/>
        <rFont val="Arial"/>
        <family val="0"/>
        <charset val="1"/>
      </rPr>
      <t xml:space="preserve">Z2 </t>
    </r>
    <r>
      <rPr>
        <sz val="10"/>
        <color rgb="FF000000"/>
        <rFont val="Noto Sans CJK SC"/>
        <family val="2"/>
      </rPr>
      <t xml:space="preserve">預設）～</t>
    </r>
    <r>
      <rPr>
        <sz val="10"/>
        <color rgb="FF000000"/>
        <rFont val="Arial"/>
        <family val="0"/>
        <charset val="1"/>
      </rPr>
      <t xml:space="preserve">3.0</t>
    </r>
    <r>
      <rPr>
        <sz val="10"/>
        <color rgb="FF000000"/>
        <rFont val="Noto Sans CJK SC"/>
        <family val="2"/>
      </rPr>
      <t xml:space="preserve">（略高於實際動能）</t>
    </r>
  </si>
  <si>
    <t xml:space="preserve">INP_039</t>
  </si>
  <si>
    <t xml:space="preserve">g_tpt_2h26</t>
  </si>
  <si>
    <r>
      <rPr>
        <sz val="10"/>
        <color rgb="FF000000"/>
        <rFont val="Arial"/>
        <family val="0"/>
        <charset val="1"/>
      </rPr>
      <t xml:space="preserve">API </t>
    </r>
    <r>
      <rPr>
        <sz val="10"/>
        <color rgb="FF000000"/>
        <rFont val="Noto Sans CJK SC"/>
        <family val="2"/>
      </rPr>
      <t xml:space="preserve">每任務 </t>
    </r>
    <r>
      <rPr>
        <sz val="10"/>
        <color rgb="FF000000"/>
        <rFont val="Arial"/>
        <family val="0"/>
        <charset val="1"/>
      </rPr>
      <t xml:space="preserve">token </t>
    </r>
    <r>
      <rPr>
        <sz val="10"/>
        <color rgb="FF000000"/>
        <rFont val="Noto Sans CJK SC"/>
        <family val="2"/>
      </rPr>
      <t xml:space="preserve">成長率（不含價格）：</t>
    </r>
    <r>
      <rPr>
        <sz val="10"/>
        <color rgb="FF000000"/>
        <rFont val="Arial"/>
        <family val="0"/>
        <charset val="1"/>
      </rPr>
      <t xml:space="preserve">2H26 </t>
    </r>
    <r>
      <rPr>
        <sz val="10"/>
        <color rgb="FF000000"/>
        <rFont val="Noto Sans CJK SC"/>
        <family val="2"/>
      </rPr>
      <t xml:space="preserve">對 </t>
    </r>
    <r>
      <rPr>
        <sz val="10"/>
        <color rgb="FF000000"/>
        <rFont val="Arial"/>
        <family val="0"/>
        <charset val="1"/>
      </rPr>
      <t xml:space="preserve">1H26</t>
    </r>
  </si>
  <si>
    <r>
      <rPr>
        <sz val="10"/>
        <color rgb="FF000000"/>
        <rFont val="Arial"/>
        <family val="0"/>
        <charset val="1"/>
      </rPr>
      <t xml:space="preserve">OpenAI v0.6 INP_041</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年 </t>
    </r>
    <r>
      <rPr>
        <sz val="10"/>
        <color rgb="FF000000"/>
        <rFont val="Arial"/>
        <family val="0"/>
        <charset val="1"/>
      </rPr>
      <t xml:space="preserve">+20%</t>
    </r>
    <r>
      <rPr>
        <sz val="10"/>
        <color rgb="FF000000"/>
        <rFont val="Noto Sans CJK SC"/>
        <family val="2"/>
      </rPr>
      <t xml:space="preserve">）的半年約當</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</si>
  <si>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0.3</t>
    </r>
  </si>
  <si>
    <t xml:space="preserve">INP_040</t>
  </si>
  <si>
    <t xml:space="preserve">g_task_2027</t>
  </si>
  <si>
    <r>
      <rPr>
        <sz val="10"/>
        <color rgb="FF000000"/>
        <rFont val="Arial"/>
        <family val="0"/>
        <charset val="1"/>
      </rPr>
      <t xml:space="preserve">API </t>
    </r>
    <r>
      <rPr>
        <sz val="10"/>
        <color rgb="FF000000"/>
        <rFont val="Noto Sans CJK SC"/>
        <family val="2"/>
      </rPr>
      <t xml:space="preserve">任務數成長率（不含價格）</t>
    </r>
  </si>
  <si>
    <r>
      <rPr>
        <sz val="10"/>
        <color rgb="FF000000"/>
        <rFont val="Arial"/>
        <family val="0"/>
        <charset val="1"/>
      </rPr>
      <t xml:space="preserve">OpenAI v0.6 INP_034</t>
    </r>
    <r>
      <rPr>
        <sz val="10"/>
        <color rgb="FF000000"/>
        <rFont val="Noto Sans CJK SC"/>
        <family val="2"/>
      </rPr>
      <t xml:space="preserve">（</t>
    </r>
    <r>
      <rPr>
        <sz val="10"/>
        <color rgb="FF000000"/>
        <rFont val="Arial"/>
        <family val="0"/>
        <charset val="1"/>
      </rPr>
      <t xml:space="preserve">2027 +45%</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；智譜基期小、</t>
    </r>
    <r>
      <rPr>
        <sz val="10"/>
        <color rgb="FF000000"/>
        <rFont val="Arial"/>
        <family val="0"/>
        <charset val="1"/>
      </rPr>
      <t xml:space="preserve">2026 </t>
    </r>
    <r>
      <rPr>
        <sz val="10"/>
        <color rgb="FF000000"/>
        <rFont val="Noto Sans CJK SC"/>
        <family val="2"/>
      </rPr>
      <t xml:space="preserve">成長極快，取較高值；年對年（</t>
    </r>
    <r>
      <rPr>
        <sz val="10"/>
        <color rgb="FF000000"/>
        <rFont val="Arial"/>
        <family val="0"/>
        <charset val="1"/>
      </rPr>
      <t xml:space="preserve">2026 </t>
    </r>
    <r>
      <rPr>
        <sz val="10"/>
        <color rgb="FF000000"/>
        <rFont val="Noto Sans CJK SC"/>
        <family val="2"/>
      </rPr>
      <t xml:space="preserve">全年基數）</t>
    </r>
  </si>
  <si>
    <r>
      <rPr>
        <sz val="10"/>
        <color rgb="FF000000"/>
        <rFont val="Noto Sans CJK SC"/>
        <family val="2"/>
      </rPr>
      <t xml:space="preserve">基準 </t>
    </r>
    <r>
      <rPr>
        <sz val="10"/>
        <color rgb="FF000000"/>
        <rFont val="Arial"/>
        <family val="0"/>
        <charset val="1"/>
      </rPr>
      <t xml:space="preserve">×0.5</t>
    </r>
    <r>
      <rPr>
        <sz val="10"/>
        <color rgb="FF000000"/>
        <rFont val="Noto Sans CJK SC"/>
        <family val="2"/>
      </rPr>
      <t xml:space="preserve">～</t>
    </r>
    <r>
      <rPr>
        <sz val="10"/>
        <color rgb="FF000000"/>
        <rFont val="Arial"/>
        <family val="0"/>
        <charset val="1"/>
      </rPr>
      <t xml:space="preserve">×2</t>
    </r>
  </si>
  <si>
    <t xml:space="preserve">INP_041</t>
  </si>
  <si>
    <t xml:space="preserve">g_task_2028</t>
  </si>
  <si>
    <r>
      <rPr>
        <sz val="10"/>
        <color rgb="FF000000"/>
        <rFont val="Arial"/>
        <family val="0"/>
        <charset val="1"/>
      </rPr>
      <t xml:space="preserve">OpenAI v0.6 INP_035</t>
    </r>
    <r>
      <rPr>
        <sz val="10"/>
        <color rgb="FF000000"/>
        <rFont val="Noto Sans CJK SC"/>
        <family val="2"/>
      </rPr>
      <t xml:space="preserve">（</t>
    </r>
    <r>
      <rPr>
        <sz val="10"/>
        <color rgb="FF000000"/>
        <rFont val="Arial"/>
        <family val="0"/>
        <charset val="1"/>
      </rPr>
      <t xml:space="preserve">+35%</t>
    </r>
    <r>
      <rPr>
        <sz val="10"/>
        <color rgb="FF000000"/>
        <rFont val="Noto Sans CJK SC"/>
        <family val="2"/>
      </rPr>
      <t xml:space="preserve">）；同上</t>
    </r>
  </si>
  <si>
    <t xml:space="preserve">INP_042</t>
  </si>
  <si>
    <t xml:space="preserve">g_task_2029</t>
  </si>
  <si>
    <r>
      <rPr>
        <sz val="10"/>
        <color rgb="FF000000"/>
        <rFont val="Arial"/>
        <family val="0"/>
        <charset val="1"/>
      </rPr>
      <t xml:space="preserve">OpenAI v0.6 INP_036</t>
    </r>
    <r>
      <rPr>
        <sz val="10"/>
        <color rgb="FF000000"/>
        <rFont val="Noto Sans CJK SC"/>
        <family val="2"/>
      </rPr>
      <t xml:space="preserve">（</t>
    </r>
    <r>
      <rPr>
        <sz val="10"/>
        <color rgb="FF000000"/>
        <rFont val="Arial"/>
        <family val="0"/>
        <charset val="1"/>
      </rPr>
      <t xml:space="preserve">+25%</t>
    </r>
    <r>
      <rPr>
        <sz val="10"/>
        <color rgb="FF000000"/>
        <rFont val="Noto Sans CJK SC"/>
        <family val="2"/>
      </rPr>
      <t xml:space="preserve">）；同上</t>
    </r>
  </si>
  <si>
    <t xml:space="preserve">INP_043</t>
  </si>
  <si>
    <t xml:space="preserve">g_task_2030</t>
  </si>
  <si>
    <r>
      <rPr>
        <sz val="10"/>
        <color rgb="FF000000"/>
        <rFont val="Arial"/>
        <family val="0"/>
        <charset val="1"/>
      </rPr>
      <t xml:space="preserve">OpenAI v0.6 INP_037</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）；同上</t>
    </r>
  </si>
  <si>
    <t xml:space="preserve">INP_044</t>
  </si>
  <si>
    <t xml:space="preserve">g_tpt</t>
  </si>
  <si>
    <r>
      <rPr>
        <sz val="10"/>
        <color rgb="FF000000"/>
        <rFont val="Arial"/>
        <family val="0"/>
        <charset val="1"/>
      </rPr>
      <t xml:space="preserve">API </t>
    </r>
    <r>
      <rPr>
        <sz val="10"/>
        <color rgb="FF000000"/>
        <rFont val="Noto Sans CJK SC"/>
        <family val="2"/>
      </rPr>
      <t xml:space="preserve">每任務 </t>
    </r>
    <r>
      <rPr>
        <sz val="10"/>
        <color rgb="FF000000"/>
        <rFont val="Arial"/>
        <family val="0"/>
        <charset val="1"/>
      </rPr>
      <t xml:space="preserve">token </t>
    </r>
    <r>
      <rPr>
        <sz val="10"/>
        <color rgb="FF000000"/>
        <rFont val="Noto Sans CJK SC"/>
        <family val="2"/>
      </rPr>
      <t xml:space="preserve">年增率（不含價格）</t>
    </r>
  </si>
  <si>
    <r>
      <rPr>
        <sz val="10"/>
        <color rgb="FF000000"/>
        <rFont val="Arial"/>
        <family val="0"/>
        <charset val="1"/>
      </rPr>
      <t xml:space="preserve">OpenAI v0.6 INP_123</t>
    </r>
    <r>
      <rPr>
        <sz val="10"/>
        <color rgb="FF000000"/>
        <rFont val="Noto Sans CJK SC"/>
        <family val="2"/>
      </rPr>
      <t xml:space="preserve">（</t>
    </r>
    <r>
      <rPr>
        <sz val="10"/>
        <color rgb="FF000000"/>
        <rFont val="Arial"/>
        <family val="0"/>
        <charset val="1"/>
      </rPr>
      <t xml:space="preserve">0.15</t>
    </r>
    <r>
      <rPr>
        <sz val="10"/>
        <color rgb="FF000000"/>
        <rFont val="Noto Sans CJK SC"/>
        <family val="2"/>
      </rPr>
      <t xml:space="preserve">，</t>
    </r>
    <r>
      <rPr>
        <sz val="10"/>
        <color rgb="FF000000"/>
        <rFont val="Arial"/>
        <family val="0"/>
        <charset val="1"/>
      </rPr>
      <t xml:space="preserve">0.1–0.25</t>
    </r>
    <r>
      <rPr>
        <sz val="10"/>
        <color rgb="FF000000"/>
        <rFont val="Noto Sans CJK SC"/>
        <family val="2"/>
      </rPr>
      <t xml:space="preserve">）；下緣放寬到 </t>
    </r>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額度已限制每任務用量）</t>
    </r>
  </si>
  <si>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0.25</t>
    </r>
  </si>
  <si>
    <t xml:space="preserve">INP_045</t>
  </si>
  <si>
    <t xml:space="preserve">el_task</t>
  </si>
  <si>
    <t xml:space="preserve">價格彈性：任務數</t>
  </si>
  <si>
    <r>
      <rPr>
        <sz val="10"/>
        <color rgb="FF000000"/>
        <rFont val="Arial"/>
        <family val="0"/>
        <charset val="1"/>
      </rPr>
      <t xml:space="preserve">2H26 </t>
    </r>
    <r>
      <rPr>
        <sz val="10"/>
        <color rgb="FF000000"/>
        <rFont val="Noto Sans CJK SC"/>
        <family val="2"/>
      </rPr>
      <t xml:space="preserve">起</t>
    </r>
  </si>
  <si>
    <t xml:space="preserve">彈性</t>
  </si>
  <si>
    <r>
      <rPr>
        <sz val="10"/>
        <color rgb="FF000000"/>
        <rFont val="Arial"/>
        <family val="0"/>
        <charset val="1"/>
      </rPr>
      <t xml:space="preserve">OpenAI v0.6 INP_048</t>
    </r>
    <r>
      <rPr>
        <sz val="10"/>
        <color rgb="FF000000"/>
        <rFont val="Noto Sans CJK SC"/>
        <family val="2"/>
      </rPr>
      <t xml:space="preserve">（−</t>
    </r>
    <r>
      <rPr>
        <sz val="10"/>
        <color rgb="FF000000"/>
        <rFont val="Arial"/>
        <family val="0"/>
        <charset val="1"/>
      </rPr>
      <t xml:space="preserve">0.7</t>
    </r>
    <r>
      <rPr>
        <sz val="10"/>
        <color rgb="FF000000"/>
        <rFont val="Noto Sans CJK SC"/>
        <family val="2"/>
      </rPr>
      <t xml:space="preserve">，−</t>
    </r>
    <r>
      <rPr>
        <sz val="10"/>
        <color rgb="FF000000"/>
        <rFont val="Arial"/>
        <family val="0"/>
        <charset val="1"/>
      </rPr>
      <t xml:space="preserve">1.05</t>
    </r>
    <r>
      <rPr>
        <sz val="10"/>
        <color rgb="FF000000"/>
        <rFont val="Noto Sans CJK SC"/>
        <family val="2"/>
      </rPr>
      <t xml:space="preserve">～−</t>
    </r>
    <r>
      <rPr>
        <sz val="10"/>
        <color rgb="FF000000"/>
        <rFont val="Arial"/>
        <family val="0"/>
        <charset val="1"/>
      </rPr>
      <t xml:space="preserve">0.35</t>
    </r>
    <r>
      <rPr>
        <sz val="10"/>
        <color rgb="FF000000"/>
        <rFont val="Noto Sans CJK SC"/>
        <family val="2"/>
      </rPr>
      <t xml:space="preserve">）；智譜自 </t>
    </r>
    <r>
      <rPr>
        <sz val="10"/>
        <color rgb="FF000000"/>
        <rFont val="Arial"/>
        <family val="0"/>
        <charset val="1"/>
      </rPr>
      <t xml:space="preserve">2H26 </t>
    </r>
    <r>
      <rPr>
        <sz val="10"/>
        <color rgb="FF000000"/>
        <rFont val="Noto Sans CJK SC"/>
        <family val="2"/>
      </rPr>
      <t xml:space="preserve">起套用（</t>
    </r>
    <r>
      <rPr>
        <sz val="10"/>
        <color rgb="FF000000"/>
        <rFont val="Arial"/>
        <family val="0"/>
        <charset val="1"/>
      </rPr>
      <t xml:space="preserve">D15</t>
    </r>
    <r>
      <rPr>
        <sz val="10"/>
        <color rgb="FF000000"/>
        <rFont val="Noto Sans CJK SC"/>
        <family val="2"/>
      </rPr>
      <t xml:space="preserve">；</t>
    </r>
    <r>
      <rPr>
        <sz val="10"/>
        <color rgb="FF000000"/>
        <rFont val="Arial"/>
        <family val="0"/>
        <charset val="1"/>
      </rPr>
      <t xml:space="preserve">OpenAI </t>
    </r>
    <r>
      <rPr>
        <sz val="10"/>
        <color rgb="FF000000"/>
        <rFont val="Noto Sans CJK SC"/>
        <family val="2"/>
      </rPr>
      <t xml:space="preserve">自 </t>
    </r>
    <r>
      <rPr>
        <sz val="10"/>
        <color rgb="FF000000"/>
        <rFont val="Arial"/>
        <family val="0"/>
        <charset val="1"/>
      </rPr>
      <t xml:space="preserve">2027</t>
    </r>
    <r>
      <rPr>
        <sz val="10"/>
        <color rgb="FF000000"/>
        <rFont val="Noto Sans CJK SC"/>
        <family val="2"/>
      </rPr>
      <t xml:space="preserve">）</t>
    </r>
  </si>
  <si>
    <t xml:space="preserve">INP_046</t>
  </si>
  <si>
    <t xml:space="preserve">el_tpt</t>
  </si>
  <si>
    <r>
      <rPr>
        <sz val="10"/>
        <color rgb="FF000000"/>
        <rFont val="Noto Sans CJK SC"/>
        <family val="2"/>
      </rPr>
      <t xml:space="preserve">價格彈性：每任務 </t>
    </r>
    <r>
      <rPr>
        <sz val="10"/>
        <color rgb="FF000000"/>
        <rFont val="Arial"/>
        <family val="0"/>
        <charset val="1"/>
      </rPr>
      <t xml:space="preserve">token</t>
    </r>
  </si>
  <si>
    <t xml:space="preserve">OpenAI v0.6 INP_049</t>
  </si>
  <si>
    <t xml:space="preserve">INP_047</t>
  </si>
  <si>
    <t xml:space="preserve">free_api_ratio</t>
  </si>
  <si>
    <r>
      <rPr>
        <sz val="10"/>
        <color rgb="FF000000"/>
        <rFont val="Noto Sans CJK SC"/>
        <family val="2"/>
      </rPr>
      <t xml:space="preserve">免費 </t>
    </r>
    <r>
      <rPr>
        <sz val="10"/>
        <color rgb="FF000000"/>
        <rFont val="Arial"/>
        <family val="0"/>
        <charset val="1"/>
      </rPr>
      <t xml:space="preserve">API </t>
    </r>
    <r>
      <rPr>
        <sz val="10"/>
        <color rgb="FF000000"/>
        <rFont val="Noto Sans CJK SC"/>
        <family val="2"/>
      </rPr>
      <t xml:space="preserve">型號 </t>
    </r>
    <r>
      <rPr>
        <sz val="10"/>
        <color rgb="FF000000"/>
        <rFont val="Arial"/>
        <family val="0"/>
        <charset val="1"/>
      </rPr>
      <t xml:space="preserve">token ÷ </t>
    </r>
    <r>
      <rPr>
        <sz val="10"/>
        <color rgb="FF000000"/>
        <rFont val="Noto Sans CJK SC"/>
        <family val="2"/>
      </rPr>
      <t xml:space="preserve">付費 </t>
    </r>
    <r>
      <rPr>
        <sz val="10"/>
        <color rgb="FF000000"/>
        <rFont val="Arial"/>
        <family val="0"/>
        <charset val="1"/>
      </rPr>
      <t xml:space="preserve">API token</t>
    </r>
  </si>
  <si>
    <r>
      <rPr>
        <sz val="10"/>
        <color rgb="FF000000"/>
        <rFont val="Arial"/>
        <family val="0"/>
        <charset val="1"/>
      </rPr>
      <t xml:space="preserve">GLM-4.7-Flash </t>
    </r>
    <r>
      <rPr>
        <sz val="10"/>
        <color rgb="FF000000"/>
        <rFont val="Noto Sans CJK SC"/>
        <family val="2"/>
      </rPr>
      <t xml:space="preserve">長期免費（</t>
    </r>
    <r>
      <rPr>
        <sz val="10"/>
        <color rgb="FF000000"/>
        <rFont val="Arial"/>
        <family val="0"/>
        <charset val="1"/>
      </rPr>
      <t xml:space="preserve">SRC_ZP_333</t>
    </r>
    <r>
      <rPr>
        <sz val="10"/>
        <color rgb="FF000000"/>
        <rFont val="Noto Sans CJK SC"/>
        <family val="2"/>
      </rPr>
      <t xml:space="preserve">）；免費型號耗算力不產生營收（</t>
    </r>
    <r>
      <rPr>
        <sz val="10"/>
        <color rgb="FF000000"/>
        <rFont val="Arial"/>
        <family val="0"/>
        <charset val="1"/>
      </rPr>
      <t xml:space="preserve">D24r</t>
    </r>
    <r>
      <rPr>
        <sz val="10"/>
        <color rgb="FF000000"/>
        <rFont val="Noto Sans CJK SC"/>
        <family val="2"/>
      </rPr>
      <t xml:space="preserve">）；占比找不到</t>
    </r>
  </si>
  <si>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1.0</t>
    </r>
  </si>
  <si>
    <t xml:space="preserve">INP_048</t>
  </si>
  <si>
    <t xml:space="preserve">cp_subs_r1h26</t>
  </si>
  <si>
    <r>
      <rPr>
        <sz val="10"/>
        <color rgb="FF000000"/>
        <rFont val="Arial"/>
        <family val="0"/>
        <charset val="1"/>
      </rPr>
      <t xml:space="preserve">Coding Plan 1H26 </t>
    </r>
    <r>
      <rPr>
        <sz val="10"/>
        <color rgb="FF000000"/>
        <rFont val="Noto Sans CJK SC"/>
        <family val="2"/>
      </rPr>
      <t xml:space="preserve">平均付費訂閱者 </t>
    </r>
    <r>
      <rPr>
        <sz val="10"/>
        <color rgb="FF000000"/>
        <rFont val="Arial"/>
        <family val="0"/>
        <charset val="1"/>
      </rPr>
      <t xml:space="preserve">÷ 2026-03 </t>
    </r>
    <r>
      <rPr>
        <sz val="10"/>
        <color rgb="FF000000"/>
        <rFont val="Noto Sans CJK SC"/>
        <family val="2"/>
      </rPr>
      <t xml:space="preserve">付費開發者數（</t>
    </r>
    <r>
      <rPr>
        <sz val="10"/>
        <color rgb="FF000000"/>
        <rFont val="Arial"/>
        <family val="0"/>
        <charset val="1"/>
      </rPr>
      <t xml:space="preserve">24.2 </t>
    </r>
    <r>
      <rPr>
        <sz val="10"/>
        <color rgb="FF000000"/>
        <rFont val="Noto Sans CJK SC"/>
        <family val="2"/>
      </rPr>
      <t xml:space="preserve">萬）</t>
    </r>
  </si>
  <si>
    <r>
      <rPr>
        <sz val="10"/>
        <color rgb="FF000000"/>
        <rFont val="Arial"/>
        <family val="0"/>
        <charset val="1"/>
      </rPr>
      <t xml:space="preserve">24.2 </t>
    </r>
    <r>
      <rPr>
        <sz val="10"/>
        <color rgb="FF000000"/>
        <rFont val="Noto Sans CJK SC"/>
        <family val="2"/>
      </rPr>
      <t xml:space="preserve">萬為 </t>
    </r>
    <r>
      <rPr>
        <sz val="10"/>
        <color rgb="FF000000"/>
        <rFont val="Arial"/>
        <family val="0"/>
        <charset val="1"/>
      </rPr>
      <t xml:space="preserve">2026-03 </t>
    </r>
    <r>
      <rPr>
        <sz val="10"/>
        <color rgb="FF000000"/>
        <rFont val="Noto Sans CJK SC"/>
        <family val="2"/>
      </rPr>
      <t xml:space="preserve">時點（</t>
    </r>
    <r>
      <rPr>
        <sz val="10"/>
        <color rgb="FF000000"/>
        <rFont val="Arial"/>
        <family val="0"/>
        <charset val="1"/>
      </rPr>
      <t xml:space="preserve">SRC_ZP_402</t>
    </r>
    <r>
      <rPr>
        <sz val="10"/>
        <color rgb="FF000000"/>
        <rFont val="Noto Sans CJK SC"/>
        <family val="2"/>
      </rPr>
      <t xml:space="preserve">，</t>
    </r>
    <r>
      <rPr>
        <sz val="10"/>
        <color rgb="FF000000"/>
        <rFont val="Arial"/>
        <family val="0"/>
        <charset val="1"/>
      </rPr>
      <t xml:space="preserve">Interested-party </t>
    </r>
    <r>
      <rPr>
        <sz val="10"/>
        <color rgb="FF000000"/>
        <rFont val="Noto Sans CJK SC"/>
        <family val="2"/>
      </rPr>
      <t xml:space="preserve">實際值，非目標），位於上半年中點；</t>
    </r>
    <r>
      <rPr>
        <sz val="10"/>
        <color rgb="FF000000"/>
        <rFont val="Arial"/>
        <family val="0"/>
        <charset val="1"/>
      </rPr>
      <t xml:space="preserve">Coding Plan </t>
    </r>
    <r>
      <rPr>
        <sz val="10"/>
        <color rgb="FF000000"/>
        <rFont val="Noto Sans CJK SC"/>
        <family val="2"/>
      </rPr>
      <t xml:space="preserve">收入未單列、無法由營收倒推（工作單：查無則給區間）</t>
    </r>
  </si>
  <si>
    <r>
      <rPr>
        <sz val="10"/>
        <color rgb="FF000000"/>
        <rFont val="Arial"/>
        <family val="0"/>
        <charset val="1"/>
      </rPr>
      <t xml:space="preserve">0.7</t>
    </r>
    <r>
      <rPr>
        <sz val="10"/>
        <color rgb="FF000000"/>
        <rFont val="Noto Sans CJK SC"/>
        <family val="2"/>
      </rPr>
      <t xml:space="preserve">（年初基數低）～</t>
    </r>
    <r>
      <rPr>
        <sz val="10"/>
        <color rgb="FF000000"/>
        <rFont val="Arial"/>
        <family val="0"/>
        <charset val="1"/>
      </rPr>
      <t xml:space="preserve">1.5</t>
    </r>
    <r>
      <rPr>
        <sz val="10"/>
        <color rgb="FF000000"/>
        <rFont val="Noto Sans CJK SC"/>
        <family val="2"/>
      </rPr>
      <t xml:space="preserve">（上半年後段快速成長；呼叫量 </t>
    </r>
    <r>
      <rPr>
        <sz val="10"/>
        <color rgb="FF000000"/>
        <rFont val="Arial"/>
        <family val="0"/>
        <charset val="1"/>
      </rPr>
      <t xml:space="preserve">23 </t>
    </r>
    <r>
      <rPr>
        <sz val="10"/>
        <color rgb="FF000000"/>
        <rFont val="Noto Sans CJK SC"/>
        <family val="2"/>
      </rPr>
      <t xml:space="preserve">倍說法只作方向）</t>
    </r>
  </si>
  <si>
    <t xml:space="preserve">INP_049</t>
  </si>
  <si>
    <t xml:space="preserve">cp_subs_r2025</t>
  </si>
  <si>
    <r>
      <rPr>
        <sz val="10"/>
        <color rgb="FF000000"/>
        <rFont val="Arial"/>
        <family val="0"/>
        <charset val="1"/>
      </rPr>
      <t xml:space="preserve">Coding Plan 2025 </t>
    </r>
    <r>
      <rPr>
        <sz val="10"/>
        <color rgb="FF000000"/>
        <rFont val="Noto Sans CJK SC"/>
        <family val="2"/>
      </rPr>
      <t xml:space="preserve">全年平均付費訂閱者 </t>
    </r>
    <r>
      <rPr>
        <sz val="10"/>
        <color rgb="FF000000"/>
        <rFont val="Arial"/>
        <family val="0"/>
        <charset val="1"/>
      </rPr>
      <t xml:space="preserve">÷ 2026-03 </t>
    </r>
    <r>
      <rPr>
        <sz val="10"/>
        <color rgb="FF000000"/>
        <rFont val="Noto Sans CJK SC"/>
        <family val="2"/>
      </rPr>
      <t xml:space="preserve">付費開發者數</t>
    </r>
  </si>
  <si>
    <r>
      <rPr>
        <sz val="10"/>
        <color rgb="FF000000"/>
        <rFont val="Arial"/>
        <family val="0"/>
        <charset val="1"/>
      </rPr>
      <t xml:space="preserve">2025-09-01 </t>
    </r>
    <r>
      <rPr>
        <sz val="10"/>
        <color rgb="FF000000"/>
        <rFont val="Noto Sans CJK SC"/>
        <family val="2"/>
      </rPr>
      <t xml:space="preserve">上市（</t>
    </r>
    <r>
      <rPr>
        <sz val="10"/>
        <color rgb="FF000000"/>
        <rFont val="Arial"/>
        <family val="0"/>
        <charset val="1"/>
      </rPr>
      <t xml:space="preserve">SRC_ZP_354</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只有四個月；全年平均＝四個月平均 </t>
    </r>
    <r>
      <rPr>
        <sz val="10"/>
        <color rgb="FF000000"/>
        <rFont val="Arial"/>
        <family val="0"/>
        <charset val="1"/>
      </rPr>
      <t xml:space="preserve">× 4</t>
    </r>
    <r>
      <rPr>
        <sz val="10"/>
        <color rgb="FF000000"/>
        <rFont val="Noto Sans CJK SC"/>
        <family val="2"/>
      </rPr>
      <t xml:space="preserve">／</t>
    </r>
    <r>
      <rPr>
        <sz val="10"/>
        <color rgb="FF000000"/>
        <rFont val="Arial"/>
        <family val="0"/>
        <charset val="1"/>
      </rPr>
      <t xml:space="preserve">12</t>
    </r>
  </si>
  <si>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0.3</t>
    </r>
  </si>
  <si>
    <t xml:space="preserve">INP_050</t>
  </si>
  <si>
    <t xml:space="preserve">cp_g_2h26</t>
  </si>
  <si>
    <r>
      <rPr>
        <sz val="10"/>
        <color rgb="FF000000"/>
        <rFont val="Arial"/>
        <family val="0"/>
        <charset val="1"/>
      </rPr>
      <t xml:space="preserve">Coding Plan </t>
    </r>
    <r>
      <rPr>
        <sz val="10"/>
        <color rgb="FF000000"/>
        <rFont val="Noto Sans CJK SC"/>
        <family val="2"/>
      </rPr>
      <t xml:space="preserve">訂閱者成長率：</t>
    </r>
    <r>
      <rPr>
        <sz val="10"/>
        <color rgb="FF000000"/>
        <rFont val="Arial"/>
        <family val="0"/>
        <charset val="1"/>
      </rPr>
      <t xml:space="preserve">2H26 </t>
    </r>
    <r>
      <rPr>
        <sz val="10"/>
        <color rgb="FF000000"/>
        <rFont val="Noto Sans CJK SC"/>
        <family val="2"/>
      </rPr>
      <t xml:space="preserve">平均對 </t>
    </r>
    <r>
      <rPr>
        <sz val="10"/>
        <color rgb="FF000000"/>
        <rFont val="Arial"/>
        <family val="0"/>
        <charset val="1"/>
      </rPr>
      <t xml:space="preserve">1H26 </t>
    </r>
    <r>
      <rPr>
        <sz val="10"/>
        <color rgb="FF000000"/>
        <rFont val="Noto Sans CJK SC"/>
        <family val="2"/>
      </rPr>
      <t xml:space="preserve">平均</t>
    </r>
  </si>
  <si>
    <r>
      <rPr>
        <sz val="10"/>
        <color rgb="FF000000"/>
        <rFont val="Arial"/>
        <family val="0"/>
        <charset val="1"/>
      </rPr>
      <t xml:space="preserve">2026-04 </t>
    </r>
    <r>
      <rPr>
        <sz val="10"/>
        <color rgb="FF000000"/>
        <rFont val="Noto Sans CJK SC"/>
        <family val="2"/>
      </rPr>
      <t xml:space="preserve">起限額與舊套餐停續（</t>
    </r>
    <r>
      <rPr>
        <sz val="10"/>
        <color rgb="FF000000"/>
        <rFont val="Arial"/>
        <family val="0"/>
        <charset val="1"/>
      </rPr>
      <t xml:space="preserve">SRC_ZP_353</t>
    </r>
    <r>
      <rPr>
        <sz val="10"/>
        <color rgb="FF000000"/>
        <rFont val="Noto Sans CJK SC"/>
        <family val="2"/>
      </rPr>
      <t xml:space="preserve">、</t>
    </r>
    <r>
      <rPr>
        <sz val="10"/>
        <color rgb="FF000000"/>
        <rFont val="Arial"/>
        <family val="0"/>
        <charset val="1"/>
      </rPr>
      <t xml:space="preserve">376</t>
    </r>
    <r>
      <rPr>
        <sz val="10"/>
        <color rgb="FF000000"/>
        <rFont val="Noto Sans CJK SC"/>
        <family val="2"/>
      </rPr>
      <t xml:space="preserve">）抑制成長；</t>
    </r>
    <r>
      <rPr>
        <sz val="10"/>
        <color rgb="FF000000"/>
        <rFont val="Arial"/>
        <family val="0"/>
        <charset val="1"/>
      </rPr>
      <t xml:space="preserve">2026-07 </t>
    </r>
    <r>
      <rPr>
        <sz val="10"/>
        <color rgb="FF000000"/>
        <rFont val="Noto Sans CJK SC"/>
        <family val="2"/>
      </rPr>
      <t xml:space="preserve">國際站漲價</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</si>
  <si>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1.5</t>
    </r>
  </si>
  <si>
    <t xml:space="preserve">INP_051</t>
  </si>
  <si>
    <t xml:space="preserve">cp_g_2027</t>
  </si>
  <si>
    <r>
      <rPr>
        <sz val="10"/>
        <color rgb="FF000000"/>
        <rFont val="Arial"/>
        <family val="0"/>
        <charset val="1"/>
      </rPr>
      <t xml:space="preserve">Coding Plan </t>
    </r>
    <r>
      <rPr>
        <sz val="10"/>
        <color rgb="FF000000"/>
        <rFont val="Noto Sans CJK SC"/>
        <family val="2"/>
      </rPr>
      <t xml:space="preserve">訂閱者年增率</t>
    </r>
  </si>
  <si>
    <t xml:space="preserve">程式碼代理訂閱市場擴張；無可觀察資料</t>
  </si>
  <si>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1.0</t>
    </r>
  </si>
  <si>
    <t xml:space="preserve">INP_052</t>
  </si>
  <si>
    <t xml:space="preserve">cp_g_2028</t>
  </si>
  <si>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0.6</t>
    </r>
  </si>
  <si>
    <t xml:space="preserve">INP_053</t>
  </si>
  <si>
    <t xml:space="preserve">cp_g_2029</t>
  </si>
  <si>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0.4</t>
    </r>
  </si>
  <si>
    <t xml:space="preserve">INP_054</t>
  </si>
  <si>
    <t xml:space="preserve">cp_g_2030</t>
  </si>
  <si>
    <t xml:space="preserve">INP_055</t>
  </si>
  <si>
    <t xml:space="preserve">cp_mix_lite</t>
  </si>
  <si>
    <r>
      <rPr>
        <sz val="10"/>
        <color rgb="FF000000"/>
        <rFont val="Arial"/>
        <family val="0"/>
        <charset val="1"/>
      </rPr>
      <t xml:space="preserve">Coding Plan </t>
    </r>
    <r>
      <rPr>
        <sz val="10"/>
        <color rgb="FF000000"/>
        <rFont val="Noto Sans CJK SC"/>
        <family val="2"/>
      </rPr>
      <t xml:space="preserve">方案組合：</t>
    </r>
    <r>
      <rPr>
        <sz val="10"/>
        <color rgb="FF000000"/>
        <rFont val="Arial"/>
        <family val="0"/>
        <charset val="1"/>
      </rPr>
      <t xml:space="preserve">Lite </t>
    </r>
    <r>
      <rPr>
        <sz val="10"/>
        <color rgb="FF000000"/>
        <rFont val="Noto Sans CJK SC"/>
        <family val="2"/>
      </rPr>
      <t xml:space="preserve">占訂閱者</t>
    </r>
  </si>
  <si>
    <t xml:space="preserve">入門方案通常占多數；公司未揭露</t>
  </si>
  <si>
    <t xml:space="preserve">INP_056</t>
  </si>
  <si>
    <t xml:space="preserve">cp_mix_pro</t>
  </si>
  <si>
    <r>
      <rPr>
        <sz val="10"/>
        <color rgb="FF000000"/>
        <rFont val="Arial"/>
        <family val="0"/>
        <charset val="1"/>
      </rPr>
      <t xml:space="preserve">Coding Plan </t>
    </r>
    <r>
      <rPr>
        <sz val="10"/>
        <color rgb="FF000000"/>
        <rFont val="Noto Sans CJK SC"/>
        <family val="2"/>
      </rPr>
      <t xml:space="preserve">方案組合：</t>
    </r>
    <r>
      <rPr>
        <sz val="10"/>
        <color rgb="FF000000"/>
        <rFont val="Arial"/>
        <family val="0"/>
        <charset val="1"/>
      </rPr>
      <t xml:space="preserve">Pro </t>
    </r>
    <r>
      <rPr>
        <sz val="10"/>
        <color rgb="FF000000"/>
        <rFont val="Noto Sans CJK SC"/>
        <family val="2"/>
      </rPr>
      <t xml:space="preserve">占訂閱者</t>
    </r>
  </si>
  <si>
    <r>
      <rPr>
        <sz val="10"/>
        <color rgb="FF000000"/>
        <rFont val="Arial"/>
        <family val="0"/>
        <charset val="1"/>
      </rPr>
      <t xml:space="preserve">Max</t>
    </r>
    <r>
      <rPr>
        <sz val="10"/>
        <color rgb="FF000000"/>
        <rFont val="Noto Sans CJK SC"/>
        <family val="2"/>
      </rPr>
      <t xml:space="preserve">＝</t>
    </r>
    <r>
      <rPr>
        <sz val="10"/>
        <color rgb="FF000000"/>
        <rFont val="Arial"/>
        <family val="0"/>
        <charset val="1"/>
      </rPr>
      <t xml:space="preserve">1 − Lite − Pro</t>
    </r>
    <r>
      <rPr>
        <sz val="10"/>
        <color rgb="FF000000"/>
        <rFont val="Noto Sans CJK SC"/>
        <family val="2"/>
      </rPr>
      <t xml:space="preserve">（不另輸入）</t>
    </r>
  </si>
  <si>
    <r>
      <rPr>
        <sz val="10"/>
        <color rgb="FF000000"/>
        <rFont val="Arial"/>
        <family val="0"/>
        <charset val="1"/>
      </rPr>
      <t xml:space="preserve">0.15</t>
    </r>
    <r>
      <rPr>
        <sz val="10"/>
        <color rgb="FF000000"/>
        <rFont val="Noto Sans CJK SC"/>
        <family val="2"/>
      </rPr>
      <t xml:space="preserve">～</t>
    </r>
    <r>
      <rPr>
        <sz val="10"/>
        <color rgb="FF000000"/>
        <rFont val="Arial"/>
        <family val="0"/>
        <charset val="1"/>
      </rPr>
      <t xml:space="preserve">0.45</t>
    </r>
  </si>
  <si>
    <t xml:space="preserve">INP_057</t>
  </si>
  <si>
    <t xml:space="preserve">cp_intl_share</t>
  </si>
  <si>
    <r>
      <rPr>
        <sz val="10"/>
        <color rgb="FF000000"/>
        <rFont val="Arial"/>
        <family val="0"/>
        <charset val="1"/>
      </rPr>
      <t xml:space="preserve">Coding Plan </t>
    </r>
    <r>
      <rPr>
        <sz val="10"/>
        <color rgb="FF000000"/>
        <rFont val="Noto Sans CJK SC"/>
        <family val="2"/>
      </rPr>
      <t xml:space="preserve">國際站訂閱者占比</t>
    </r>
  </si>
  <si>
    <r>
      <rPr>
        <sz val="10"/>
        <color rgb="FF000000"/>
        <rFont val="Noto Sans CJK SC"/>
        <family val="2"/>
      </rPr>
      <t xml:space="preserve">用戶覆蓋 </t>
    </r>
    <r>
      <rPr>
        <sz val="10"/>
        <color rgb="FF000000"/>
        <rFont val="Arial"/>
        <family val="0"/>
        <charset val="1"/>
      </rPr>
      <t xml:space="preserve">218 </t>
    </r>
    <r>
      <rPr>
        <sz val="10"/>
        <color rgb="FF000000"/>
        <rFont val="Noto Sans CJK SC"/>
        <family val="2"/>
      </rPr>
      <t xml:space="preserve">個國家與地區（</t>
    </r>
    <r>
      <rPr>
        <sz val="10"/>
        <color rgb="FF000000"/>
        <rFont val="Arial"/>
        <family val="0"/>
        <charset val="1"/>
      </rPr>
      <t xml:space="preserve">SRC_ZP_408</t>
    </r>
    <r>
      <rPr>
        <sz val="10"/>
        <color rgb="FF000000"/>
        <rFont val="Noto Sans CJK SC"/>
        <family val="2"/>
      </rPr>
      <t xml:space="preserve">）；海外營收占比未揭露</t>
    </r>
  </si>
  <si>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0.5</t>
    </r>
  </si>
  <si>
    <t xml:space="preserve">INP_058</t>
  </si>
  <si>
    <t xml:space="preserve">cp_bill_disc</t>
  </si>
  <si>
    <r>
      <rPr>
        <sz val="10"/>
        <color rgb="FF000000"/>
        <rFont val="Arial"/>
        <family val="0"/>
        <charset val="1"/>
      </rPr>
      <t xml:space="preserve">Coding Plan </t>
    </r>
    <r>
      <rPr>
        <sz val="10"/>
        <color rgb="FF000000"/>
        <rFont val="Noto Sans CJK SC"/>
        <family val="2"/>
      </rPr>
      <t xml:space="preserve">季付／年付折扣加權（牌價月付→實收）</t>
    </r>
  </si>
  <si>
    <r>
      <rPr>
        <sz val="10"/>
        <color rgb="FF000000"/>
        <rFont val="Noto Sans CJK SC"/>
        <family val="2"/>
      </rPr>
      <t xml:space="preserve">包季 </t>
    </r>
    <r>
      <rPr>
        <sz val="10"/>
        <color rgb="FF000000"/>
        <rFont val="Arial"/>
        <family val="0"/>
        <charset val="1"/>
      </rPr>
      <t xml:space="preserve">9 </t>
    </r>
    <r>
      <rPr>
        <sz val="10"/>
        <color rgb="FF000000"/>
        <rFont val="Noto Sans CJK SC"/>
        <family val="2"/>
      </rPr>
      <t xml:space="preserve">折、包年 </t>
    </r>
    <r>
      <rPr>
        <sz val="10"/>
        <color rgb="FF000000"/>
        <rFont val="Arial"/>
        <family val="0"/>
        <charset val="1"/>
      </rPr>
      <t xml:space="preserve">7 </t>
    </r>
    <r>
      <rPr>
        <sz val="10"/>
        <color rgb="FF000000"/>
        <rFont val="Noto Sans CJK SC"/>
        <family val="2"/>
      </rPr>
      <t xml:space="preserve">折（</t>
    </r>
    <r>
      <rPr>
        <sz val="10"/>
        <color rgb="FF000000"/>
        <rFont val="Arial"/>
        <family val="0"/>
        <charset val="1"/>
      </rPr>
      <t xml:space="preserve">SRC_ZP_356–364</t>
    </r>
    <r>
      <rPr>
        <sz val="10"/>
        <color rgb="FF000000"/>
        <rFont val="Noto Sans CJK SC"/>
        <family val="2"/>
      </rPr>
      <t xml:space="preserve">）；國際站季付 −</t>
    </r>
    <r>
      <rPr>
        <sz val="10"/>
        <color rgb="FF000000"/>
        <rFont val="Arial"/>
        <family val="0"/>
        <charset val="1"/>
      </rPr>
      <t xml:space="preserve">20%</t>
    </r>
    <r>
      <rPr>
        <sz val="10"/>
        <color rgb="FF000000"/>
        <rFont val="Noto Sans CJK SC"/>
        <family val="2"/>
      </rPr>
      <t xml:space="preserve">、年付 −</t>
    </r>
    <r>
      <rPr>
        <sz val="10"/>
        <color rgb="FF000000"/>
        <rFont val="Arial"/>
        <family val="0"/>
        <charset val="1"/>
      </rPr>
      <t xml:space="preserve">30%</t>
    </r>
    <r>
      <rPr>
        <sz val="10"/>
        <color rgb="FF000000"/>
        <rFont val="Noto Sans CJK SC"/>
        <family val="2"/>
      </rPr>
      <t xml:space="preserve">（</t>
    </r>
    <r>
      <rPr>
        <sz val="10"/>
        <color rgb="FF000000"/>
        <rFont val="Arial"/>
        <family val="0"/>
        <charset val="1"/>
      </rPr>
      <t xml:space="preserve">SRC_ZP_367</t>
    </r>
    <r>
      <rPr>
        <sz val="10"/>
        <color rgb="FF000000"/>
        <rFont val="Noto Sans CJK SC"/>
        <family val="2"/>
      </rPr>
      <t xml:space="preserve">）</t>
    </r>
  </si>
  <si>
    <r>
      <rPr>
        <sz val="10"/>
        <color rgb="FF000000"/>
        <rFont val="Arial"/>
        <family val="0"/>
        <charset val="1"/>
      </rPr>
      <t xml:space="preserve">0.1</t>
    </r>
    <r>
      <rPr>
        <sz val="10"/>
        <color rgb="FF000000"/>
        <rFont val="Noto Sans CJK SC"/>
        <family val="2"/>
      </rPr>
      <t xml:space="preserve">（多為月付）～</t>
    </r>
    <r>
      <rPr>
        <sz val="10"/>
        <color rgb="FF000000"/>
        <rFont val="Arial"/>
        <family val="0"/>
        <charset val="1"/>
      </rPr>
      <t xml:space="preserve">0.3</t>
    </r>
    <r>
      <rPr>
        <sz val="10"/>
        <color rgb="FF000000"/>
        <rFont val="Noto Sans CJK SC"/>
        <family val="2"/>
      </rPr>
      <t xml:space="preserve">（多為年付）</t>
    </r>
  </si>
  <si>
    <t xml:space="preserve">INP_059</t>
  </si>
  <si>
    <t xml:space="preserve">cp_px_chg</t>
  </si>
  <si>
    <r>
      <rPr>
        <sz val="10"/>
        <color rgb="FF000000"/>
        <rFont val="Arial"/>
        <family val="0"/>
        <charset val="1"/>
      </rPr>
      <t xml:space="preserve">Coding Plan </t>
    </r>
    <r>
      <rPr>
        <sz val="10"/>
        <color rgb="FF000000"/>
        <rFont val="Noto Sans CJK SC"/>
        <family val="2"/>
      </rPr>
      <t xml:space="preserve">方案價格年變動率</t>
    </r>
  </si>
  <si>
    <r>
      <rPr>
        <sz val="10"/>
        <color rgb="FF000000"/>
        <rFont val="Arial"/>
        <family val="0"/>
        <charset val="1"/>
      </rPr>
      <t xml:space="preserve">2026 </t>
    </r>
    <r>
      <rPr>
        <sz val="10"/>
        <color rgb="FF000000"/>
        <rFont val="Noto Sans CJK SC"/>
        <family val="2"/>
      </rPr>
      <t xml:space="preserve">兩次漲價後維持；無資料</t>
    </r>
  </si>
  <si>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+20%</t>
    </r>
  </si>
  <si>
    <t xml:space="preserve">INP_060</t>
  </si>
  <si>
    <t xml:space="preserve">cp_util</t>
  </si>
  <si>
    <r>
      <rPr>
        <sz val="10"/>
        <color rgb="FF000000"/>
        <rFont val="Arial"/>
        <family val="0"/>
        <charset val="1"/>
      </rPr>
      <t xml:space="preserve">Coding Plan </t>
    </r>
    <r>
      <rPr>
        <sz val="10"/>
        <color rgb="FF000000"/>
        <rFont val="Noto Sans CJK SC"/>
        <family val="2"/>
      </rPr>
      <t xml:space="preserve">額度使用率（平均每 </t>
    </r>
    <r>
      <rPr>
        <sz val="10"/>
        <color rgb="FF000000"/>
        <rFont val="Arial"/>
        <family val="0"/>
        <charset val="1"/>
      </rPr>
      <t xml:space="preserve">5 </t>
    </r>
    <r>
      <rPr>
        <sz val="10"/>
        <color rgb="FF000000"/>
        <rFont val="Noto Sans CJK SC"/>
        <family val="2"/>
      </rPr>
      <t xml:space="preserve">小時窗口用掉的額度比例）</t>
    </r>
  </si>
  <si>
    <r>
      <rPr>
        <sz val="10"/>
        <color rgb="FF000000"/>
        <rFont val="Noto Sans CJK SC"/>
        <family val="2"/>
      </rPr>
      <t xml:space="preserve">額度為上限（</t>
    </r>
    <r>
      <rPr>
        <sz val="10"/>
        <color rgb="FF000000"/>
        <rFont val="Arial"/>
        <family val="0"/>
        <charset val="1"/>
      </rPr>
      <t xml:space="preserve">SRC_ZP_376–378</t>
    </r>
    <r>
      <rPr>
        <sz val="10"/>
        <color rgb="FF000000"/>
        <rFont val="Noto Sans CJK SC"/>
        <family val="2"/>
      </rPr>
      <t xml:space="preserve">）；多數訂閱者不會每個窗口用滿</t>
    </r>
  </si>
  <si>
    <t xml:space="preserve">INP_061</t>
  </si>
  <si>
    <t xml:space="preserve">cp_calls_prompt</t>
  </si>
  <si>
    <r>
      <rPr>
        <sz val="10"/>
        <color rgb="FF000000"/>
        <rFont val="Arial"/>
        <family val="0"/>
        <charset val="1"/>
      </rPr>
      <t xml:space="preserve">Coding Plan </t>
    </r>
    <r>
      <rPr>
        <sz val="10"/>
        <color rgb="FF000000"/>
        <rFont val="Noto Sans CJK SC"/>
        <family val="2"/>
      </rPr>
      <t xml:space="preserve">每 </t>
    </r>
    <r>
      <rPr>
        <sz val="10"/>
        <color rgb="FF000000"/>
        <rFont val="Arial"/>
        <family val="0"/>
        <charset val="1"/>
      </rPr>
      <t xml:space="preserve">prompt </t>
    </r>
    <r>
      <rPr>
        <sz val="10"/>
        <color rgb="FF000000"/>
        <rFont val="Noto Sans CJK SC"/>
        <family val="2"/>
      </rPr>
      <t xml:space="preserve">模型呼叫次數</t>
    </r>
  </si>
  <si>
    <r>
      <rPr>
        <sz val="10"/>
        <color rgb="FF000000"/>
        <rFont val="Arial"/>
        <family val="0"/>
        <charset val="1"/>
      </rPr>
      <t xml:space="preserve">SRC_ZP_379 </t>
    </r>
    <r>
      <rPr>
        <sz val="10"/>
        <color rgb="FF000000"/>
        <rFont val="Noto Sans CJK SC"/>
        <family val="2"/>
      </rPr>
      <t xml:space="preserve">區間 </t>
    </r>
    <r>
      <rPr>
        <sz val="10"/>
        <color rgb="FF000000"/>
        <rFont val="Arial"/>
        <family val="0"/>
        <charset val="1"/>
      </rPr>
      <t xml:space="preserve">15–20 </t>
    </r>
    <r>
      <rPr>
        <sz val="10"/>
        <color rgb="FF000000"/>
        <rFont val="Noto Sans CJK SC"/>
        <family val="2"/>
      </rPr>
      <t xml:space="preserve">的中點（公司估計，</t>
    </r>
    <r>
      <rPr>
        <sz val="10"/>
        <color rgb="FF000000"/>
        <rFont val="Arial"/>
        <family val="0"/>
        <charset val="1"/>
      </rPr>
      <t xml:space="preserve">Interested-party</t>
    </r>
    <r>
      <rPr>
        <sz val="10"/>
        <color rgb="FF000000"/>
        <rFont val="Noto Sans CJK SC"/>
        <family val="2"/>
      </rPr>
      <t xml:space="preserve">）</t>
    </r>
  </si>
  <si>
    <r>
      <rPr>
        <sz val="10"/>
        <color rgb="FF000000"/>
        <rFont val="Arial"/>
        <family val="0"/>
        <charset val="1"/>
      </rPr>
      <t xml:space="preserve">SRC </t>
    </r>
    <r>
      <rPr>
        <sz val="10"/>
        <color rgb="FF000000"/>
        <rFont val="Noto Sans CJK SC"/>
        <family val="2"/>
      </rPr>
      <t xml:space="preserve">區間</t>
    </r>
  </si>
  <si>
    <t xml:space="preserve">INP_062</t>
  </si>
  <si>
    <t xml:space="preserve">cp_ktok_call</t>
  </si>
  <si>
    <r>
      <rPr>
        <sz val="10"/>
        <color rgb="FF000000"/>
        <rFont val="Arial"/>
        <family val="0"/>
        <charset val="1"/>
      </rPr>
      <t xml:space="preserve">Coding Plan </t>
    </r>
    <r>
      <rPr>
        <sz val="10"/>
        <color rgb="FF000000"/>
        <rFont val="Noto Sans CJK SC"/>
        <family val="2"/>
      </rPr>
      <t xml:space="preserve">每次模型呼叫 </t>
    </r>
    <r>
      <rPr>
        <sz val="10"/>
        <color rgb="FF000000"/>
        <rFont val="Arial"/>
        <family val="0"/>
        <charset val="1"/>
      </rPr>
      <t xml:space="preserve">token</t>
    </r>
    <r>
      <rPr>
        <sz val="10"/>
        <color rgb="FF000000"/>
        <rFont val="Noto Sans CJK SC"/>
        <family val="2"/>
      </rPr>
      <t xml:space="preserve">（含快取輸入）</t>
    </r>
  </si>
  <si>
    <r>
      <rPr>
        <sz val="10"/>
        <color rgb="FF000000"/>
        <rFont val="Arial"/>
        <family val="0"/>
        <charset val="1"/>
      </rPr>
      <t xml:space="preserve">K tok</t>
    </r>
    <r>
      <rPr>
        <sz val="10"/>
        <color rgb="FF000000"/>
        <rFont val="Noto Sans CJK SC"/>
        <family val="2"/>
      </rPr>
      <t xml:space="preserve">／次</t>
    </r>
  </si>
  <si>
    <t xml:space="preserve">程式碼代理每次呼叫攜帶專案上下文；找不到智譜數據</t>
  </si>
  <si>
    <r>
      <rPr>
        <sz val="10"/>
        <color rgb="FF000000"/>
        <rFont val="Arial"/>
        <family val="0"/>
        <charset val="1"/>
      </rPr>
      <t xml:space="preserve">10</t>
    </r>
    <r>
      <rPr>
        <sz val="10"/>
        <color rgb="FF000000"/>
        <rFont val="Noto Sans CJK SC"/>
        <family val="2"/>
      </rPr>
      <t xml:space="preserve">～</t>
    </r>
    <r>
      <rPr>
        <sz val="10"/>
        <color rgb="FF000000"/>
        <rFont val="Arial"/>
        <family val="0"/>
        <charset val="1"/>
      </rPr>
      <t xml:space="preserve">40</t>
    </r>
  </si>
  <si>
    <t xml:space="preserve">INP_063</t>
  </si>
  <si>
    <t xml:space="preserve">cp_sol_share</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</si>
  <si>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Sol </t>
    </r>
    <r>
      <rPr>
        <sz val="10"/>
        <color rgb="FF000000"/>
        <rFont val="Noto Sans CJK SC"/>
        <family val="2"/>
      </rPr>
      <t xml:space="preserve">占比</t>
    </r>
  </si>
  <si>
    <r>
      <rPr>
        <sz val="10"/>
        <color rgb="FF000000"/>
        <rFont val="Arial"/>
        <family val="0"/>
        <charset val="1"/>
      </rPr>
      <t xml:space="preserve">Coding Plan </t>
    </r>
    <r>
      <rPr>
        <sz val="10"/>
        <color rgb="FF000000"/>
        <rFont val="Noto Sans CJK SC"/>
        <family val="2"/>
      </rPr>
      <t xml:space="preserve">主要呼叫 </t>
    </r>
    <r>
      <rPr>
        <sz val="10"/>
        <color rgb="FF000000"/>
        <rFont val="Arial"/>
        <family val="0"/>
        <charset val="1"/>
      </rPr>
      <t xml:space="preserve">GLM-5.x </t>
    </r>
    <r>
      <rPr>
        <sz val="10"/>
        <color rgb="FF000000"/>
        <rFont val="Noto Sans CJK SC"/>
        <family val="2"/>
      </rPr>
      <t xml:space="preserve">旗艦（</t>
    </r>
    <r>
      <rPr>
        <sz val="10"/>
        <color rgb="FF000000"/>
        <rFont val="Arial"/>
        <family val="0"/>
        <charset val="1"/>
      </rPr>
      <t xml:space="preserve">D24r</t>
    </r>
    <r>
      <rPr>
        <sz val="10"/>
        <color rgb="FF000000"/>
        <rFont val="Noto Sans CJK SC"/>
        <family val="2"/>
      </rPr>
      <t xml:space="preserve">）</t>
    </r>
  </si>
  <si>
    <r>
      <rPr>
        <sz val="10"/>
        <color rgb="FF000000"/>
        <rFont val="Arial"/>
        <family val="0"/>
        <charset val="1"/>
      </rPr>
      <t xml:space="preserve">0.7</t>
    </r>
    <r>
      <rPr>
        <sz val="10"/>
        <color rgb="FF000000"/>
        <rFont val="Noto Sans CJK SC"/>
        <family val="2"/>
      </rPr>
      <t xml:space="preserve">～</t>
    </r>
    <r>
      <rPr>
        <sz val="10"/>
        <color rgb="FF000000"/>
        <rFont val="Arial"/>
        <family val="0"/>
        <charset val="1"/>
      </rPr>
      <t xml:space="preserve">1.0</t>
    </r>
  </si>
  <si>
    <t xml:space="preserve">INP_064</t>
  </si>
  <si>
    <t xml:space="preserve">qy_mau_2025</t>
  </si>
  <si>
    <t xml:space="preserve">智譜清言月活用戶</t>
  </si>
  <si>
    <t xml:space="preserve">百萬人</t>
  </si>
  <si>
    <r>
      <rPr>
        <sz val="10"/>
        <color rgb="FF000000"/>
        <rFont val="Arial"/>
        <family val="0"/>
        <charset val="1"/>
      </rPr>
      <t xml:space="preserve">QuestMobile 2026Q1 </t>
    </r>
    <r>
      <rPr>
        <sz val="10"/>
        <color rgb="FF000000"/>
        <rFont val="Noto Sans CJK SC"/>
        <family val="2"/>
      </rPr>
      <t xml:space="preserve">未進月活前 </t>
    </r>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SRC_ZP_434</t>
    </r>
    <r>
      <rPr>
        <sz val="10"/>
        <color rgb="FF000000"/>
        <rFont val="Noto Sans CJK SC"/>
        <family val="2"/>
      </rPr>
      <t xml:space="preserve">），無絕對值；取低值</t>
    </r>
  </si>
  <si>
    <r>
      <rPr>
        <sz val="10"/>
        <color rgb="FF000000"/>
        <rFont val="Arial"/>
        <family val="0"/>
        <charset val="1"/>
      </rPr>
      <t xml:space="preserve">3</t>
    </r>
    <r>
      <rPr>
        <sz val="10"/>
        <color rgb="FF000000"/>
        <rFont val="Noto Sans CJK SC"/>
        <family val="2"/>
      </rPr>
      <t xml:space="preserve">～</t>
    </r>
    <r>
      <rPr>
        <sz val="10"/>
        <color rgb="FF000000"/>
        <rFont val="Arial"/>
        <family val="0"/>
        <charset val="1"/>
      </rPr>
      <t xml:space="preserve">30</t>
    </r>
  </si>
  <si>
    <t xml:space="preserve">INP_065</t>
  </si>
  <si>
    <t xml:space="preserve">qy_g</t>
  </si>
  <si>
    <t xml:space="preserve">智譜清言月活年增率</t>
  </si>
  <si>
    <r>
      <rPr>
        <sz val="10"/>
        <color rgb="FF000000"/>
        <rFont val="Arial"/>
        <family val="0"/>
        <charset val="1"/>
      </rPr>
      <t xml:space="preserve">2026 </t>
    </r>
    <r>
      <rPr>
        <sz val="10"/>
        <color rgb="FF000000"/>
        <rFont val="Noto Sans CJK SC"/>
        <family val="2"/>
      </rPr>
      <t xml:space="preserve">起</t>
    </r>
  </si>
  <si>
    <r>
      <rPr>
        <sz val="10"/>
        <color rgb="FF000000"/>
        <rFont val="Noto Sans CJK SC"/>
        <family val="2"/>
      </rPr>
      <t xml:space="preserve">公司重心轉向 </t>
    </r>
    <r>
      <rPr>
        <sz val="10"/>
        <color rgb="FF000000"/>
        <rFont val="Arial"/>
        <family val="0"/>
        <charset val="1"/>
      </rPr>
      <t xml:space="preserve">MaaS</t>
    </r>
    <r>
      <rPr>
        <sz val="10"/>
        <color rgb="FF000000"/>
        <rFont val="Noto Sans CJK SC"/>
        <family val="2"/>
      </rPr>
      <t xml:space="preserve">／</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C </t>
    </r>
    <r>
      <rPr>
        <sz val="10"/>
        <color rgb="FF000000"/>
        <rFont val="Noto Sans CJK SC"/>
        <family val="2"/>
      </rPr>
      <t xml:space="preserve">端規模小</t>
    </r>
  </si>
  <si>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+50%</t>
    </r>
  </si>
  <si>
    <t xml:space="preserve">INP_066</t>
  </si>
  <si>
    <t xml:space="preserve">qy_tasks</t>
  </si>
  <si>
    <t xml:space="preserve">智譜清言每月活用戶每日任務數</t>
  </si>
  <si>
    <t xml:space="preserve">任務／日</t>
  </si>
  <si>
    <r>
      <rPr>
        <sz val="10"/>
        <color rgb="FF000000"/>
        <rFont val="Arial"/>
        <family val="0"/>
        <charset val="1"/>
      </rPr>
      <t xml:space="preserve">OpenAI v0.6 INP_102–103</t>
    </r>
    <r>
      <rPr>
        <sz val="10"/>
        <color rgb="FF000000"/>
        <rFont val="Noto Sans CJK SC"/>
        <family val="2"/>
      </rPr>
      <t xml:space="preserve">（</t>
    </r>
    <r>
      <rPr>
        <sz val="10"/>
        <color rgb="FF000000"/>
        <rFont val="Arial"/>
        <family val="0"/>
        <charset val="1"/>
      </rPr>
      <t xml:space="preserve">Free </t>
    </r>
    <r>
      <rPr>
        <sz val="10"/>
        <color rgb="FF000000"/>
        <rFont val="Noto Sans CJK SC"/>
        <family val="2"/>
      </rPr>
      <t xml:space="preserve">每日任務 </t>
    </r>
    <r>
      <rPr>
        <sz val="10"/>
        <color rgb="FF000000"/>
        <rFont val="Arial"/>
        <family val="0"/>
        <charset val="1"/>
      </rPr>
      <t xml:space="preserve">1.7</t>
    </r>
    <r>
      <rPr>
        <sz val="10"/>
        <color rgb="FF000000"/>
        <rFont val="Noto Sans CJK SC"/>
        <family val="2"/>
      </rPr>
      <t xml:space="preserve">，以週活為分母）；差異：清言以月活為分母、含低頻用戶，取較低值</t>
    </r>
  </si>
  <si>
    <r>
      <rPr>
        <sz val="10"/>
        <color rgb="FF000000"/>
        <rFont val="Arial"/>
        <family val="0"/>
        <charset val="1"/>
      </rPr>
      <t xml:space="preserve">0.3</t>
    </r>
    <r>
      <rPr>
        <sz val="10"/>
        <color rgb="FF000000"/>
        <rFont val="Noto Sans CJK SC"/>
        <family val="2"/>
      </rPr>
      <t xml:space="preserve">～</t>
    </r>
    <r>
      <rPr>
        <sz val="10"/>
        <color rgb="FF000000"/>
        <rFont val="Arial"/>
        <family val="0"/>
        <charset val="1"/>
      </rPr>
      <t xml:space="preserve">3</t>
    </r>
  </si>
  <si>
    <t xml:space="preserve">INP_067</t>
  </si>
  <si>
    <t xml:space="preserve">qy_ktok_task</t>
  </si>
  <si>
    <r>
      <rPr>
        <sz val="10"/>
        <color rgb="FF000000"/>
        <rFont val="Noto Sans CJK SC"/>
        <family val="2"/>
      </rPr>
      <t xml:space="preserve">智譜清言每任務 </t>
    </r>
    <r>
      <rPr>
        <sz val="10"/>
        <color rgb="FF000000"/>
        <rFont val="Arial"/>
        <family val="0"/>
        <charset val="1"/>
      </rPr>
      <t xml:space="preserve">token</t>
    </r>
  </si>
  <si>
    <r>
      <rPr>
        <sz val="10"/>
        <color rgb="FF000000"/>
        <rFont val="Arial"/>
        <family val="0"/>
        <charset val="1"/>
      </rPr>
      <t xml:space="preserve">OpenAI v0.6 INP_112–113</t>
    </r>
    <r>
      <rPr>
        <sz val="10"/>
        <color rgb="FF000000"/>
        <rFont val="Noto Sans CJK SC"/>
        <family val="2"/>
      </rPr>
      <t xml:space="preserve">（</t>
    </r>
    <r>
      <rPr>
        <sz val="10"/>
        <color rgb="FF000000"/>
        <rFont val="Arial"/>
        <family val="0"/>
        <charset val="1"/>
      </rPr>
      <t xml:space="preserve">Free 2–2.94 K</t>
    </r>
    <r>
      <rPr>
        <sz val="10"/>
        <color rgb="FF000000"/>
        <rFont val="Noto Sans CJK SC"/>
        <family val="2"/>
      </rPr>
      <t xml:space="preserve">）</t>
    </r>
  </si>
  <si>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10</t>
    </r>
  </si>
  <si>
    <t xml:space="preserve">INP_068</t>
  </si>
  <si>
    <t xml:space="preserve">qy_sol_share</t>
  </si>
  <si>
    <r>
      <rPr>
        <sz val="10"/>
        <color rgb="FF000000"/>
        <rFont val="Noto Sans CJK SC"/>
        <family val="2"/>
      </rPr>
      <t xml:space="preserve">智譜清言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 </t>
    </r>
    <r>
      <rPr>
        <sz val="10"/>
        <color rgb="FF000000"/>
        <rFont val="Noto Sans CJK SC"/>
        <family val="2"/>
      </rPr>
      <t xml:space="preserve">占比</t>
    </r>
  </si>
  <si>
    <r>
      <rPr>
        <sz val="10"/>
        <color rgb="FF000000"/>
        <rFont val="Noto Sans CJK SC"/>
        <family val="2"/>
      </rPr>
      <t xml:space="preserve">免費 </t>
    </r>
    <r>
      <rPr>
        <sz val="10"/>
        <color rgb="FF000000"/>
        <rFont val="Arial"/>
        <family val="0"/>
        <charset val="1"/>
      </rPr>
      <t xml:space="preserve">C </t>
    </r>
    <r>
      <rPr>
        <sz val="10"/>
        <color rgb="FF000000"/>
        <rFont val="Noto Sans CJK SC"/>
        <family val="2"/>
      </rPr>
      <t xml:space="preserve">端多以輕量模型服務</t>
    </r>
  </si>
  <si>
    <t xml:space="preserve">INP_069</t>
  </si>
  <si>
    <t xml:space="preserve">onprem_k_2h26</t>
  </si>
  <si>
    <r>
      <rPr>
        <sz val="10"/>
        <color rgb="FF000000"/>
        <rFont val="Noto Sans CJK SC"/>
        <family val="2"/>
      </rPr>
      <t xml:space="preserve">本地化部署 </t>
    </r>
    <r>
      <rPr>
        <sz val="10"/>
        <color rgb="FF000000"/>
        <rFont val="Arial"/>
        <family val="0"/>
        <charset val="1"/>
      </rPr>
      <t xml:space="preserve">2H26 </t>
    </r>
    <r>
      <rPr>
        <sz val="10"/>
        <color rgb="FF000000"/>
        <rFont val="Noto Sans CJK SC"/>
        <family val="2"/>
      </rPr>
      <t xml:space="preserve">同比延續係數（</t>
    </r>
    <r>
      <rPr>
        <sz val="10"/>
        <color rgb="FF000000"/>
        <rFont val="Arial"/>
        <family val="0"/>
        <charset val="1"/>
      </rPr>
      <t xml:space="preserve">2H26</t>
    </r>
    <r>
      <rPr>
        <sz val="10"/>
        <color rgb="FF000000"/>
        <rFont val="Noto Sans CJK SC"/>
        <family val="2"/>
      </rPr>
      <t xml:space="preserve">＝</t>
    </r>
    <r>
      <rPr>
        <sz val="10"/>
        <color rgb="FF000000"/>
        <rFont val="Arial"/>
        <family val="0"/>
        <charset val="1"/>
      </rPr>
      <t xml:space="preserve">2H25 ×</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＋係數 </t>
    </r>
    <r>
      <rPr>
        <sz val="10"/>
        <color rgb="FF000000"/>
        <rFont val="Arial"/>
        <family val="0"/>
        <charset val="1"/>
      </rPr>
      <t xml:space="preserve">× 1H26 </t>
    </r>
    <r>
      <rPr>
        <sz val="10"/>
        <color rgb="FF000000"/>
        <rFont val="Noto Sans CJK SC"/>
        <family val="2"/>
      </rPr>
      <t xml:space="preserve">同比））</t>
    </r>
  </si>
  <si>
    <r>
      <rPr>
        <sz val="10"/>
        <color rgb="FF000000"/>
        <rFont val="Arial"/>
        <family val="0"/>
        <charset val="1"/>
      </rPr>
      <t xml:space="preserve">chat </t>
    </r>
    <r>
      <rPr>
        <sz val="10"/>
        <color rgb="FF000000"/>
        <rFont val="Noto Sans CJK SC"/>
        <family val="2"/>
      </rPr>
      <t xml:space="preserve">端審查改動 </t>
    </r>
    <r>
      <rPr>
        <sz val="10"/>
        <color rgb="FF000000"/>
        <rFont val="Arial"/>
        <family val="0"/>
        <charset val="1"/>
      </rPr>
      <t xml:space="preserve">R2</t>
    </r>
    <r>
      <rPr>
        <sz val="10"/>
        <color rgb="FF000000"/>
        <rFont val="Noto Sans CJK SC"/>
        <family val="2"/>
      </rPr>
      <t xml:space="preserve">（</t>
    </r>
    <r>
      <rPr>
        <sz val="10"/>
        <color rgb="FF000000"/>
        <rFont val="Arial"/>
        <family val="0"/>
        <charset val="1"/>
      </rPr>
      <t xml:space="preserve">2026-10-08</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持平於 </t>
    </r>
    <r>
      <rPr>
        <sz val="10"/>
        <color rgb="FF000000"/>
        <rFont val="Arial"/>
        <family val="0"/>
        <charset val="1"/>
      </rPr>
      <t xml:space="preserve">2H25</t>
    </r>
    <r>
      <rPr>
        <sz val="10"/>
        <color rgb="FF000000"/>
        <rFont val="Noto Sans CJK SC"/>
        <family val="2"/>
      </rPr>
      <t xml:space="preserve">（係數 </t>
    </r>
    <r>
      <rPr>
        <sz val="10"/>
        <color rgb="FF000000"/>
        <rFont val="Arial"/>
        <family val="0"/>
        <charset val="1"/>
      </rPr>
      <t xml:space="preserve">0</t>
    </r>
    <r>
      <rPr>
        <sz val="10"/>
        <color rgb="FF000000"/>
        <rFont val="Noto Sans CJK SC"/>
        <family val="2"/>
      </rPr>
      <t xml:space="preserve">）。分部整體 </t>
    </r>
    <r>
      <rPr>
        <sz val="10"/>
        <color rgb="FF000000"/>
        <rFont val="Arial"/>
        <family val="0"/>
        <charset val="1"/>
      </rPr>
      <t xml:space="preserve">1H26 </t>
    </r>
    <r>
      <rPr>
        <sz val="10"/>
        <color rgb="FF000000"/>
        <rFont val="Noto Sans CJK SC"/>
        <family val="2"/>
      </rPr>
      <t xml:space="preserve">同比 −</t>
    </r>
    <r>
      <rPr>
        <sz val="10"/>
        <color rgb="FF000000"/>
        <rFont val="Arial"/>
        <family val="0"/>
        <charset val="1"/>
      </rPr>
      <t xml:space="preserve">20%</t>
    </r>
    <r>
      <rPr>
        <sz val="10"/>
        <color rgb="FF000000"/>
        <rFont val="Noto Sans CJK SC"/>
        <family val="2"/>
      </rPr>
      <t xml:space="preserve">，逐線延續（係數 </t>
    </r>
    <r>
      <rPr>
        <sz val="10"/>
        <color rgb="FF000000"/>
        <rFont val="Arial"/>
        <family val="0"/>
        <charset val="1"/>
      </rPr>
      <t xml:space="preserve">1</t>
    </r>
    <r>
      <rPr>
        <sz val="10"/>
        <color rgb="FF000000"/>
        <rFont val="Noto Sans CJK SC"/>
        <family val="2"/>
      </rPr>
      <t xml:space="preserve">）會使 </t>
    </r>
    <r>
      <rPr>
        <sz val="10"/>
        <color rgb="FF000000"/>
        <rFont val="Arial"/>
        <family val="0"/>
        <charset val="1"/>
      </rPr>
      <t xml:space="preserve">2026 </t>
    </r>
    <r>
      <rPr>
        <sz val="10"/>
        <color rgb="FF000000"/>
        <rFont val="Noto Sans CJK SC"/>
        <family val="2"/>
      </rPr>
      <t xml:space="preserve">本地化 </t>
    </r>
    <r>
      <rPr>
        <sz val="10"/>
        <color rgb="FF000000"/>
        <rFont val="Arial"/>
        <family val="0"/>
        <charset val="1"/>
      </rPr>
      <t xml:space="preserve">+63%</t>
    </r>
    <r>
      <rPr>
        <sz val="10"/>
        <color rgb="FF000000"/>
        <rFont val="Noto Sans CJK SC"/>
        <family val="2"/>
      </rPr>
      <t xml:space="preserve">，與分部趨勢相反；專案制收入集中下半年，持平較中性；</t>
    </r>
    <r>
      <rPr>
        <sz val="10"/>
        <color rgb="FF000000"/>
        <rFont val="Arial"/>
        <family val="0"/>
        <charset val="1"/>
      </rPr>
      <t xml:space="preserve">1</t>
    </r>
    <r>
      <rPr>
        <sz val="10"/>
        <color rgb="FF000000"/>
        <rFont val="Noto Sans CJK SC"/>
        <family val="2"/>
      </rPr>
      <t xml:space="preserve">＝下半年延續上半年各線同比</t>
    </r>
  </si>
  <si>
    <r>
      <rPr>
        <sz val="10"/>
        <color rgb="FF000000"/>
        <rFont val="Arial"/>
        <family val="0"/>
        <charset val="1"/>
      </rPr>
      <t xml:space="preserve">0</t>
    </r>
    <r>
      <rPr>
        <sz val="10"/>
        <color rgb="FF000000"/>
        <rFont val="Noto Sans CJK SC"/>
        <family val="2"/>
      </rPr>
      <t xml:space="preserve">（持平）～</t>
    </r>
    <r>
      <rPr>
        <sz val="10"/>
        <color rgb="FF000000"/>
        <rFont val="Arial"/>
        <family val="0"/>
        <charset val="1"/>
      </rPr>
      <t xml:space="preserve">1</t>
    </r>
    <r>
      <rPr>
        <sz val="10"/>
        <color rgb="FF000000"/>
        <rFont val="Noto Sans CJK SC"/>
        <family val="2"/>
      </rPr>
      <t xml:space="preserve">（逐線延續上半年同比）</t>
    </r>
  </si>
  <si>
    <t xml:space="preserve">INP_070</t>
  </si>
  <si>
    <t xml:space="preserve">onprem_g</t>
  </si>
  <si>
    <t xml:space="preserve">本地化部署營收年增率</t>
  </si>
  <si>
    <r>
      <rPr>
        <sz val="10"/>
        <color rgb="FF000000"/>
        <rFont val="Noto Sans CJK SC"/>
        <family val="2"/>
      </rPr>
      <t xml:space="preserve">工作單 </t>
    </r>
    <r>
      <rPr>
        <sz val="10"/>
        <color rgb="FF000000"/>
        <rFont val="Arial"/>
        <family val="0"/>
        <charset val="1"/>
      </rPr>
      <t xml:space="preserve">Z2 </t>
    </r>
    <r>
      <rPr>
        <sz val="10"/>
        <color rgb="FF000000"/>
        <rFont val="Noto Sans CJK SC"/>
        <family val="2"/>
      </rPr>
      <t xml:space="preserve">預設（</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t>
    </r>
  </si>
  <si>
    <t xml:space="preserve">工作單</t>
  </si>
  <si>
    <t xml:space="preserve">INP_071</t>
  </si>
  <si>
    <t xml:space="preserve">ads_rev</t>
  </si>
  <si>
    <t xml:space="preserve">廣告營收</t>
  </si>
  <si>
    <t xml:space="preserve">全期</t>
  </si>
  <si>
    <r>
      <rPr>
        <sz val="10"/>
        <color rgb="FF000000"/>
        <rFont val="Noto Sans CJK SC"/>
        <family val="2"/>
      </rPr>
      <t xml:space="preserve">規格 </t>
    </r>
    <r>
      <rPr>
        <sz val="10"/>
        <color rgb="FF000000"/>
        <rFont val="Arial"/>
        <family val="0"/>
        <charset val="1"/>
      </rPr>
      <t xml:space="preserve">D3</t>
    </r>
    <r>
      <rPr>
        <sz val="10"/>
        <color rgb="FF000000"/>
        <rFont val="Noto Sans CJK SC"/>
        <family val="2"/>
      </rPr>
      <t xml:space="preserve">：無廣告業務揭露</t>
    </r>
  </si>
  <si>
    <t xml:space="preserve">無業務</t>
  </si>
  <si>
    <t xml:space="preserve">INP_073</t>
  </si>
  <si>
    <t xml:space="preserve">arr_warn</t>
  </si>
  <si>
    <r>
      <rPr>
        <sz val="10"/>
        <color rgb="FF000000"/>
        <rFont val="Arial"/>
        <family val="0"/>
        <charset val="1"/>
      </rPr>
      <t xml:space="preserve">ARR </t>
    </r>
    <r>
      <rPr>
        <sz val="10"/>
        <color rgb="FF000000"/>
        <rFont val="Noto Sans CJK SC"/>
        <family val="2"/>
      </rPr>
      <t xml:space="preserve">對照 </t>
    </r>
    <r>
      <rPr>
        <sz val="10"/>
        <color rgb="FF000000"/>
        <rFont val="Arial"/>
        <family val="0"/>
        <charset val="1"/>
      </rPr>
      <t xml:space="preserve">WARN </t>
    </r>
    <r>
      <rPr>
        <sz val="10"/>
        <color rgb="FF000000"/>
        <rFont val="Noto Sans CJK SC"/>
        <family val="2"/>
      </rPr>
      <t xml:space="preserve">門檻（模型年化 </t>
    </r>
    <r>
      <rPr>
        <sz val="10"/>
        <color rgb="FF000000"/>
        <rFont val="Arial"/>
        <family val="0"/>
        <charset val="1"/>
      </rPr>
      <t xml:space="preserve">÷ </t>
    </r>
    <r>
      <rPr>
        <sz val="10"/>
        <color rgb="FF000000"/>
        <rFont val="Noto Sans CJK SC"/>
        <family val="2"/>
      </rPr>
      <t xml:space="preserve">公司 </t>
    </r>
    <r>
      <rPr>
        <sz val="10"/>
        <color rgb="FF000000"/>
        <rFont val="Arial"/>
        <family val="0"/>
        <charset val="1"/>
      </rPr>
      <t xml:space="preserve">ARR − 1 </t>
    </r>
    <r>
      <rPr>
        <sz val="10"/>
        <color rgb="FF000000"/>
        <rFont val="Noto Sans CJK SC"/>
        <family val="2"/>
      </rPr>
      <t xml:space="preserve">的絕對值）</t>
    </r>
  </si>
  <si>
    <r>
      <rPr>
        <sz val="10"/>
        <color rgb="FF000000"/>
        <rFont val="Noto Sans CJK SC"/>
        <family val="2"/>
      </rPr>
      <t xml:space="preserve">規格 </t>
    </r>
    <r>
      <rPr>
        <sz val="10"/>
        <color rgb="FF000000"/>
        <rFont val="Arial"/>
        <family val="0"/>
        <charset val="1"/>
      </rPr>
      <t xml:space="preserve">D14r</t>
    </r>
    <r>
      <rPr>
        <sz val="10"/>
        <color rgb="FF000000"/>
        <rFont val="Noto Sans CJK SC"/>
        <family val="2"/>
      </rPr>
      <t xml:space="preserve">（</t>
    </r>
    <r>
      <rPr>
        <sz val="10"/>
        <color rgb="FF000000"/>
        <rFont val="Arial"/>
        <family val="0"/>
        <charset val="1"/>
      </rPr>
      <t xml:space="preserve">WARN &gt;25%</t>
    </r>
    <r>
      <rPr>
        <sz val="10"/>
        <color rgb="FF000000"/>
        <rFont val="Noto Sans CJK SC"/>
        <family val="2"/>
      </rPr>
      <t xml:space="preserve">）</t>
    </r>
  </si>
  <si>
    <t xml:space="preserve">規格</t>
  </si>
  <si>
    <t xml:space="preserve">INP_074</t>
  </si>
  <si>
    <t xml:space="preserve">mul_t_m</t>
  </si>
  <si>
    <r>
      <rPr>
        <sz val="10"/>
        <color rgb="FF000000"/>
        <rFont val="Noto Sans CJK SC"/>
        <family val="2"/>
      </rPr>
      <t xml:space="preserve">單位換算：兆 </t>
    </r>
    <r>
      <rPr>
        <sz val="10"/>
        <color rgb="FF000000"/>
        <rFont val="Arial"/>
        <family val="0"/>
        <charset val="1"/>
      </rPr>
      <t xml:space="preserve">token → </t>
    </r>
    <r>
      <rPr>
        <sz val="10"/>
        <color rgb="FF000000"/>
        <rFont val="Noto Sans CJK SC"/>
        <family val="2"/>
      </rPr>
      <t xml:space="preserve">百萬 </t>
    </r>
    <r>
      <rPr>
        <sz val="10"/>
        <color rgb="FF000000"/>
        <rFont val="Arial"/>
        <family val="0"/>
        <charset val="1"/>
      </rPr>
      <t xml:space="preserve">token </t>
    </r>
    <r>
      <rPr>
        <sz val="10"/>
        <color rgb="FF000000"/>
        <rFont val="Noto Sans CJK SC"/>
        <family val="2"/>
      </rPr>
      <t xml:space="preserve">的乘數（定義常數）</t>
    </r>
  </si>
  <si>
    <r>
      <rPr>
        <sz val="10"/>
        <color rgb="FF000000"/>
        <rFont val="Arial"/>
        <family val="0"/>
        <charset val="1"/>
      </rPr>
      <t xml:space="preserve">10^12 ÷ 10^6</t>
    </r>
    <r>
      <rPr>
        <sz val="10"/>
        <color rgb="FF000000"/>
        <rFont val="Noto Sans CJK SC"/>
        <family val="2"/>
      </rPr>
      <t xml:space="preserve">（同 </t>
    </r>
    <r>
      <rPr>
        <sz val="10"/>
        <color rgb="FF000000"/>
        <rFont val="Arial"/>
        <family val="0"/>
        <charset val="1"/>
      </rPr>
      <t xml:space="preserve">OpenAI v0.6</t>
    </r>
    <r>
      <rPr>
        <sz val="10"/>
        <color rgb="FF000000"/>
        <rFont val="Noto Sans CJK SC"/>
        <family val="2"/>
      </rPr>
      <t xml:space="preserve">『單位換算：</t>
    </r>
    <r>
      <rPr>
        <sz val="10"/>
        <color rgb="FF000000"/>
        <rFont val="Arial"/>
        <family val="0"/>
        <charset val="1"/>
      </rPr>
      <t xml:space="preserve">T token → M token</t>
    </r>
    <r>
      <rPr>
        <sz val="10"/>
        <color rgb="FF000000"/>
        <rFont val="Noto Sans CJK SC"/>
        <family val="2"/>
      </rPr>
      <t xml:space="preserve">』）</t>
    </r>
  </si>
  <si>
    <t xml:space="preserve">INP_075</t>
  </si>
  <si>
    <t xml:space="preserve">kw_per_gw</t>
  </si>
  <si>
    <r>
      <rPr>
        <sz val="10"/>
        <color rgb="FF000000"/>
        <rFont val="Noto Sans CJK SC"/>
        <family val="2"/>
      </rPr>
      <t xml:space="preserve">單位換算：每 </t>
    </r>
    <r>
      <rPr>
        <sz val="10"/>
        <color rgb="FF000000"/>
        <rFont val="Arial"/>
        <family val="0"/>
        <charset val="1"/>
      </rPr>
      <t xml:space="preserve">GW </t>
    </r>
    <r>
      <rPr>
        <sz val="10"/>
        <color rgb="FF000000"/>
        <rFont val="Noto Sans CJK SC"/>
        <family val="2"/>
      </rPr>
      <t xml:space="preserve">的 </t>
    </r>
    <r>
      <rPr>
        <sz val="10"/>
        <color rgb="FF000000"/>
        <rFont val="Arial"/>
        <family val="0"/>
        <charset val="1"/>
      </rPr>
      <t xml:space="preserve">kW </t>
    </r>
    <r>
      <rPr>
        <sz val="10"/>
        <color rgb="FF000000"/>
        <rFont val="Noto Sans CJK SC"/>
        <family val="2"/>
      </rPr>
      <t xml:space="preserve">數（定義常數）</t>
    </r>
  </si>
  <si>
    <r>
      <rPr>
        <sz val="10"/>
        <color rgb="FF000000"/>
        <rFont val="Arial"/>
        <family val="0"/>
        <charset val="1"/>
      </rPr>
      <t xml:space="preserve">kW</t>
    </r>
    <r>
      <rPr>
        <sz val="10"/>
        <color rgb="FF000000"/>
        <rFont val="Noto Sans CJK SC"/>
        <family val="2"/>
      </rPr>
      <t xml:space="preserve">／</t>
    </r>
    <r>
      <rPr>
        <sz val="10"/>
        <color rgb="FF000000"/>
        <rFont val="Arial"/>
        <family val="0"/>
        <charset val="1"/>
      </rPr>
      <t xml:space="preserve">GW</t>
    </r>
  </si>
  <si>
    <t xml:space="preserve">INP_076</t>
  </si>
  <si>
    <t xml:space="preserve">hours_year</t>
  </si>
  <si>
    <t xml:space="preserve">每年小時數（定義常數）</t>
  </si>
  <si>
    <t xml:space="preserve">小時</t>
  </si>
  <si>
    <r>
      <rPr>
        <sz val="10"/>
        <color rgb="FF000000"/>
        <rFont val="Arial"/>
        <family val="0"/>
        <charset val="1"/>
      </rPr>
      <t xml:space="preserve">365 × 24</t>
    </r>
    <r>
      <rPr>
        <sz val="10"/>
        <color rgb="FF000000"/>
        <rFont val="Noto Sans CJK SC"/>
        <family val="2"/>
      </rPr>
      <t xml:space="preserve">（同 </t>
    </r>
    <r>
      <rPr>
        <sz val="10"/>
        <color rgb="FF000000"/>
        <rFont val="Arial"/>
        <family val="0"/>
        <charset val="1"/>
      </rPr>
      <t xml:space="preserve">Tokenomics </t>
    </r>
    <r>
      <rPr>
        <sz val="10"/>
        <color rgb="FF000000"/>
        <rFont val="Noto Sans CJK SC"/>
        <family val="2"/>
      </rPr>
      <t xml:space="preserve">的 </t>
    </r>
    <r>
      <rPr>
        <sz val="10"/>
        <color rgb="FF000000"/>
        <rFont val="Arial"/>
        <family val="0"/>
        <charset val="1"/>
      </rPr>
      <t xml:space="preserve">8</t>
    </r>
  </si>
  <si>
    <t xml:space="preserve">INP_077</t>
  </si>
  <si>
    <t xml:space="preserve">div_yuan_yi</t>
  </si>
  <si>
    <t xml:space="preserve">單位換算：元 → 億元 的除數（定義常數）</t>
  </si>
  <si>
    <t xml:space="preserve">INP_078</t>
  </si>
  <si>
    <t xml:space="preserve">div_usd_b</t>
  </si>
  <si>
    <t xml:space="preserve">單位換算：美元 → 十億美元 的除數（定義常數）</t>
  </si>
  <si>
    <r>
      <rPr>
        <sz val="10"/>
        <color rgb="FF000000"/>
        <rFont val="Arial"/>
        <family val="0"/>
        <charset val="1"/>
      </rPr>
      <t xml:space="preserve">TK $/M × M tok → $</t>
    </r>
    <r>
      <rPr>
        <sz val="10"/>
        <color rgb="FF000000"/>
        <rFont val="Noto Sans CJK SC"/>
        <family val="2"/>
      </rPr>
      <t xml:space="preserve">，再 </t>
    </r>
    <r>
      <rPr>
        <sz val="10"/>
        <color rgb="FF000000"/>
        <rFont val="Arial"/>
        <family val="0"/>
        <charset val="1"/>
      </rPr>
      <t xml:space="preserve">÷ 10^9 </t>
    </r>
    <r>
      <rPr>
        <sz val="10"/>
        <color rgb="FF000000"/>
        <rFont val="Noto Sans CJK SC"/>
        <family val="2"/>
      </rPr>
      <t xml:space="preserve">成 </t>
    </r>
    <r>
      <rPr>
        <sz val="10"/>
        <color rgb="FF000000"/>
        <rFont val="Arial"/>
        <family val="0"/>
        <charset val="1"/>
      </rPr>
      <t xml:space="preserve">$B</t>
    </r>
    <r>
      <rPr>
        <sz val="10"/>
        <color rgb="FF000000"/>
        <rFont val="Noto Sans CJK SC"/>
        <family val="2"/>
      </rPr>
      <t xml:space="preserve">（同 </t>
    </r>
    <r>
      <rPr>
        <sz val="10"/>
        <color rgb="FF000000"/>
        <rFont val="Arial"/>
        <family val="0"/>
        <charset val="1"/>
      </rPr>
      <t xml:space="preserve">OpenAI v0.6</t>
    </r>
    <r>
      <rPr>
        <sz val="10"/>
        <color rgb="FF000000"/>
        <rFont val="Noto Sans CJK SC"/>
        <family val="2"/>
      </rPr>
      <t xml:space="preserve">『單位換算：</t>
    </r>
    <r>
      <rPr>
        <sz val="10"/>
        <color rgb="FF000000"/>
        <rFont val="Arial"/>
        <family val="0"/>
        <charset val="1"/>
      </rPr>
      <t xml:space="preserve">$ → $B </t>
    </r>
    <r>
      <rPr>
        <sz val="10"/>
        <color rgb="FF000000"/>
        <rFont val="Noto Sans CJK SC"/>
        <family val="2"/>
      </rPr>
      <t xml:space="preserve">的除數』）</t>
    </r>
  </si>
  <si>
    <t xml:space="preserve">INP_079</t>
  </si>
  <si>
    <t xml:space="preserve">eta_warn_lo</t>
  </si>
  <si>
    <r>
      <rPr>
        <sz val="10"/>
        <color rgb="FF000000"/>
        <rFont val="Arial"/>
        <family val="0"/>
        <charset val="1"/>
      </rPr>
      <t xml:space="preserve">η </t>
    </r>
    <r>
      <rPr>
        <sz val="10"/>
        <color rgb="FF000000"/>
        <rFont val="Noto Sans CJK SC"/>
        <family val="2"/>
      </rPr>
      <t xml:space="preserve">合理範圍下限（</t>
    </r>
    <r>
      <rPr>
        <sz val="10"/>
        <color rgb="FF000000"/>
        <rFont val="Arial"/>
        <family val="0"/>
        <charset val="1"/>
      </rPr>
      <t xml:space="preserve">Checks WARN </t>
    </r>
    <r>
      <rPr>
        <sz val="10"/>
        <color rgb="FF000000"/>
        <rFont val="Noto Sans CJK SC"/>
        <family val="2"/>
      </rPr>
      <t xml:space="preserve">門檻）</t>
    </r>
  </si>
  <si>
    <r>
      <rPr>
        <sz val="10"/>
        <color rgb="FF000000"/>
        <rFont val="Noto Sans CJK SC"/>
        <family val="2"/>
      </rPr>
      <t xml:space="preserve">工作單 </t>
    </r>
    <r>
      <rPr>
        <sz val="10"/>
        <color rgb="FF000000"/>
        <rFont val="Arial"/>
        <family val="0"/>
        <charset val="1"/>
      </rPr>
      <t xml:space="preserve">Z3 </t>
    </r>
    <r>
      <rPr>
        <sz val="10"/>
        <color rgb="FF000000"/>
        <rFont val="Noto Sans CJK SC"/>
        <family val="2"/>
      </rPr>
      <t xml:space="preserve">第 </t>
    </r>
    <r>
      <rPr>
        <sz val="10"/>
        <color rgb="FF000000"/>
        <rFont val="Arial"/>
        <family val="0"/>
        <charset val="1"/>
      </rPr>
      <t xml:space="preserve">3 </t>
    </r>
    <r>
      <rPr>
        <sz val="10"/>
        <color rgb="FF000000"/>
        <rFont val="Noto Sans CJK SC"/>
        <family val="2"/>
      </rPr>
      <t xml:space="preserve">步『</t>
    </r>
    <r>
      <rPr>
        <sz val="10"/>
        <color rgb="FF000000"/>
        <rFont val="Arial"/>
        <family val="0"/>
        <charset val="1"/>
      </rPr>
      <t xml:space="preserve">η </t>
    </r>
    <r>
      <rPr>
        <sz val="10"/>
        <color rgb="FF000000"/>
        <rFont val="Noto Sans CJK SC"/>
        <family val="2"/>
      </rPr>
      <t xml:space="preserve">合理範圍 </t>
    </r>
    <r>
      <rPr>
        <sz val="10"/>
        <color rgb="FF000000"/>
        <rFont val="Arial"/>
        <family val="0"/>
        <charset val="1"/>
      </rPr>
      <t xml:space="preserve">WARN</t>
    </r>
    <r>
      <rPr>
        <sz val="10"/>
        <color rgb="FF000000"/>
        <rFont val="Noto Sans CJK SC"/>
        <family val="2"/>
      </rPr>
      <t xml:space="preserve">』；</t>
    </r>
    <r>
      <rPr>
        <sz val="10"/>
        <color rgb="FF000000"/>
        <rFont val="Arial"/>
        <family val="0"/>
        <charset val="1"/>
      </rPr>
      <t xml:space="preserve">OpenAI v0.6 S3 </t>
    </r>
    <r>
      <rPr>
        <sz val="10"/>
        <color rgb="FF000000"/>
        <rFont val="Noto Sans CJK SC"/>
        <family val="2"/>
      </rPr>
      <t xml:space="preserve">工作單以 </t>
    </r>
    <r>
      <rPr>
        <sz val="10"/>
        <color rgb="FF000000"/>
        <rFont val="Arial"/>
        <family val="0"/>
        <charset val="1"/>
      </rPr>
      <t xml:space="preserve">0.1–0.5 </t>
    </r>
    <r>
      <rPr>
        <sz val="10"/>
        <color rgb="FF000000"/>
        <rFont val="Noto Sans CJK SC"/>
        <family val="2"/>
      </rPr>
      <t xml:space="preserve">為合理範圍</t>
    </r>
  </si>
  <si>
    <t xml:space="preserve">INP_080</t>
  </si>
  <si>
    <t xml:space="preserve">eta_warn_hi</t>
  </si>
  <si>
    <r>
      <rPr>
        <sz val="10"/>
        <color rgb="FF000000"/>
        <rFont val="Arial"/>
        <family val="0"/>
        <charset val="1"/>
      </rPr>
      <t xml:space="preserve">η </t>
    </r>
    <r>
      <rPr>
        <sz val="10"/>
        <color rgb="FF000000"/>
        <rFont val="Noto Sans CJK SC"/>
        <family val="2"/>
      </rPr>
      <t xml:space="preserve">合理範圍上限（</t>
    </r>
    <r>
      <rPr>
        <sz val="10"/>
        <color rgb="FF000000"/>
        <rFont val="Arial"/>
        <family val="0"/>
        <charset val="1"/>
      </rPr>
      <t xml:space="preserve">Checks WARN </t>
    </r>
    <r>
      <rPr>
        <sz val="10"/>
        <color rgb="FF000000"/>
        <rFont val="Noto Sans CJK SC"/>
        <family val="2"/>
      </rPr>
      <t xml:space="preserve">門檻）</t>
    </r>
  </si>
  <si>
    <r>
      <rPr>
        <sz val="10"/>
        <color rgb="FF000000"/>
        <rFont val="Arial"/>
        <family val="0"/>
        <charset val="1"/>
      </rPr>
      <t xml:space="preserve">η</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 </t>
    </r>
    <r>
      <rPr>
        <sz val="10"/>
        <color rgb="FF000000"/>
        <rFont val="Arial"/>
        <family val="0"/>
        <charset val="1"/>
      </rPr>
      <t xml:space="preserve">GW ÷ </t>
    </r>
    <r>
      <rPr>
        <sz val="10"/>
        <color rgb="FF000000"/>
        <rFont val="Noto Sans CJK SC"/>
        <family val="2"/>
      </rPr>
      <t xml:space="preserve">支出換算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1 </t>
    </r>
    <r>
      <rPr>
        <sz val="10"/>
        <color rgb="FF000000"/>
        <rFont val="Noto Sans CJK SC"/>
        <family val="2"/>
      </rPr>
      <t xml:space="preserve">表示模型 </t>
    </r>
    <r>
      <rPr>
        <sz val="10"/>
        <color rgb="FF000000"/>
        <rFont val="Arial"/>
        <family val="0"/>
        <charset val="1"/>
      </rPr>
      <t xml:space="preserve">token </t>
    </r>
    <r>
      <rPr>
        <sz val="10"/>
        <color rgb="FF000000"/>
        <rFont val="Noto Sans CJK SC"/>
        <family val="2"/>
      </rPr>
      <t xml:space="preserve">量超過以 </t>
    </r>
    <r>
      <rPr>
        <sz val="10"/>
        <color rgb="FF000000"/>
        <rFont val="Arial"/>
        <family val="0"/>
        <charset val="1"/>
      </rPr>
      <t xml:space="preserve">Tokenomics </t>
    </r>
    <r>
      <rPr>
        <sz val="10"/>
        <color rgb="FF000000"/>
        <rFont val="Noto Sans CJK SC"/>
        <family val="2"/>
      </rPr>
      <t xml:space="preserve">產能與實付算力費買得到的量（物理上不可能，口徑必有一端偏差）</t>
    </r>
  </si>
  <si>
    <t xml:space="preserve">INP_081</t>
  </si>
  <si>
    <t xml:space="preserve">chip_gap_warn</t>
  </si>
  <si>
    <r>
      <rPr>
        <sz val="10"/>
        <color rgb="FF000000"/>
        <rFont val="Noto Sans CJK SC"/>
        <family val="2"/>
      </rPr>
      <t xml:space="preserve">國產晶片 </t>
    </r>
    <r>
      <rPr>
        <sz val="10"/>
        <color rgb="FF000000"/>
        <rFont val="Arial"/>
        <family val="0"/>
        <charset val="1"/>
      </rPr>
      <t xml:space="preserve">GW </t>
    </r>
    <r>
      <rPr>
        <sz val="10"/>
        <color rgb="FF000000"/>
        <rFont val="Noto Sans CJK SC"/>
        <family val="2"/>
      </rPr>
      <t xml:space="preserve">對照差距門檻（</t>
    </r>
    <r>
      <rPr>
        <sz val="10"/>
        <color rgb="FF000000"/>
        <rFont val="Arial"/>
        <family val="0"/>
        <charset val="1"/>
      </rPr>
      <t xml:space="preserve">Checks WARN</t>
    </r>
    <r>
      <rPr>
        <sz val="10"/>
        <color rgb="FF000000"/>
        <rFont val="Noto Sans CJK SC"/>
        <family val="2"/>
      </rPr>
      <t xml:space="preserve">）</t>
    </r>
  </si>
  <si>
    <r>
      <rPr>
        <sz val="10"/>
        <color rgb="FF000000"/>
        <rFont val="Noto Sans CJK SC"/>
        <family val="2"/>
      </rPr>
      <t xml:space="preserve">工作單 </t>
    </r>
    <r>
      <rPr>
        <sz val="10"/>
        <color rgb="FF000000"/>
        <rFont val="Arial"/>
        <family val="0"/>
        <charset val="1"/>
      </rPr>
      <t xml:space="preserve">Z3 </t>
    </r>
    <r>
      <rPr>
        <sz val="10"/>
        <color rgb="FF000000"/>
        <rFont val="Noto Sans CJK SC"/>
        <family val="2"/>
      </rPr>
      <t xml:space="preserve">第 </t>
    </r>
    <r>
      <rPr>
        <sz val="10"/>
        <color rgb="FF000000"/>
        <rFont val="Arial"/>
        <family val="0"/>
        <charset val="1"/>
      </rPr>
      <t xml:space="preserve">3 </t>
    </r>
    <r>
      <rPr>
        <sz val="10"/>
        <color rgb="FF000000"/>
        <rFont val="Noto Sans CJK SC"/>
        <family val="2"/>
      </rPr>
      <t xml:space="preserve">步：國產晶片 </t>
    </r>
    <r>
      <rPr>
        <sz val="10"/>
        <color rgb="FF000000"/>
        <rFont val="Arial"/>
        <family val="0"/>
        <charset val="1"/>
      </rPr>
      <t xml:space="preserve">GW </t>
    </r>
    <r>
      <rPr>
        <sz val="10"/>
        <color rgb="FF000000"/>
        <rFont val="Noto Sans CJK SC"/>
        <family val="2"/>
      </rPr>
      <t xml:space="preserve">對照差距 </t>
    </r>
    <r>
      <rPr>
        <sz val="10"/>
        <color rgb="FF000000"/>
        <rFont val="Arial"/>
        <family val="0"/>
        <charset val="1"/>
      </rPr>
      <t xml:space="preserve">&gt;50% WARN</t>
    </r>
  </si>
  <si>
    <t xml:space="preserve">INP_082</t>
  </si>
  <si>
    <t xml:space="preserve">h20_ratio</t>
  </si>
  <si>
    <r>
      <rPr>
        <sz val="10"/>
        <color rgb="FF000000"/>
        <rFont val="Arial"/>
        <family val="0"/>
        <charset val="1"/>
      </rPr>
      <t xml:space="preserve">H20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產出 </t>
    </r>
    <r>
      <rPr>
        <sz val="10"/>
        <color rgb="FF000000"/>
        <rFont val="Arial"/>
        <family val="0"/>
        <charset val="1"/>
      </rPr>
      <t xml:space="preserve">÷ Hopper</t>
    </r>
    <r>
      <rPr>
        <sz val="10"/>
        <color rgb="FF000000"/>
        <rFont val="Noto Sans CJK SC"/>
        <family val="2"/>
      </rPr>
      <t xml:space="preserve">（</t>
    </r>
    <r>
      <rPr>
        <sz val="10"/>
        <color rgb="FF000000"/>
        <rFont val="Arial"/>
        <family val="0"/>
        <charset val="1"/>
      </rPr>
      <t xml:space="preserve">H100</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產出</t>
    </r>
  </si>
  <si>
    <r>
      <rPr>
        <sz val="10"/>
        <color rgb="FF000000"/>
        <rFont val="Arial"/>
        <family val="0"/>
        <charset val="1"/>
      </rPr>
      <t xml:space="preserve">SRC_ZP_490</t>
    </r>
    <r>
      <rPr>
        <sz val="10"/>
        <color rgb="FF000000"/>
        <rFont val="Noto Sans CJK SC"/>
        <family val="2"/>
      </rPr>
      <t xml:space="preserve">（</t>
    </r>
    <r>
      <rPr>
        <sz val="10"/>
        <color rgb="FF000000"/>
        <rFont val="Arial"/>
        <family val="0"/>
        <charset val="1"/>
      </rPr>
      <t xml:space="preserve">DatabaseMart </t>
    </r>
    <r>
      <rPr>
        <sz val="10"/>
        <color rgb="FF000000"/>
        <rFont val="Noto Sans CJK SC"/>
        <family val="2"/>
      </rPr>
      <t xml:space="preserve">工程估計 </t>
    </r>
    <r>
      <rPr>
        <sz val="10"/>
        <color rgb="FF000000"/>
        <rFont val="Arial"/>
        <family val="0"/>
        <charset val="1"/>
      </rPr>
      <t xml:space="preserve">Llama2-70B </t>
    </r>
    <r>
      <rPr>
        <sz val="10"/>
        <color rgb="FF000000"/>
        <rFont val="Noto Sans CJK SC"/>
        <family val="2"/>
      </rPr>
      <t xml:space="preserve">推論吞吐 </t>
    </r>
    <r>
      <rPr>
        <sz val="10"/>
        <color rgb="FF000000"/>
        <rFont val="Arial"/>
        <family val="0"/>
        <charset val="1"/>
      </rPr>
      <t xml:space="preserve">H20÷H100 0.26–0.42</t>
    </r>
    <r>
      <rPr>
        <sz val="10"/>
        <color rgb="FF000000"/>
        <rFont val="Noto Sans CJK SC"/>
        <family val="2"/>
      </rPr>
      <t xml:space="preserve">，中點 </t>
    </r>
    <r>
      <rPr>
        <sz val="10"/>
        <color rgb="FF000000"/>
        <rFont val="Arial"/>
        <family val="0"/>
        <charset val="1"/>
      </rPr>
      <t xml:space="preserve">0.34</t>
    </r>
    <r>
      <rPr>
        <sz val="10"/>
        <color rgb="FF000000"/>
        <rFont val="Noto Sans CJK SC"/>
        <family val="2"/>
      </rPr>
      <t xml:space="preserve">）；規格 </t>
    </r>
    <r>
      <rPr>
        <sz val="10"/>
        <color rgb="FF000000"/>
        <rFont val="Arial"/>
        <family val="0"/>
        <charset val="1"/>
      </rPr>
      <t xml:space="preserve">D6</t>
    </r>
    <r>
      <rPr>
        <sz val="10"/>
        <color rgb="FF000000"/>
        <rFont val="Noto Sans CJK SC"/>
        <family val="2"/>
      </rPr>
      <t xml:space="preserve">：</t>
    </r>
    <r>
      <rPr>
        <sz val="10"/>
        <color rgb="FF000000"/>
        <rFont val="Arial"/>
        <family val="0"/>
        <charset val="1"/>
      </rPr>
      <t xml:space="preserve">H20 </t>
    </r>
    <r>
      <rPr>
        <sz val="10"/>
        <color rgb="FF000000"/>
        <rFont val="Noto Sans CJK SC"/>
        <family val="2"/>
      </rPr>
      <t xml:space="preserve">算力約 </t>
    </r>
    <r>
      <rPr>
        <sz val="10"/>
        <color rgb="FF000000"/>
        <rFont val="Arial"/>
        <family val="0"/>
        <charset val="1"/>
      </rPr>
      <t xml:space="preserve">H100 </t>
    </r>
    <r>
      <rPr>
        <sz val="10"/>
        <color rgb="FF000000"/>
        <rFont val="Noto Sans CJK SC"/>
        <family val="2"/>
      </rPr>
      <t xml:space="preserve">的 </t>
    </r>
    <r>
      <rPr>
        <sz val="10"/>
        <color rgb="FF000000"/>
        <rFont val="Arial"/>
        <family val="0"/>
        <charset val="1"/>
      </rPr>
      <t xml:space="preserve">15%</t>
    </r>
    <r>
      <rPr>
        <sz val="10"/>
        <color rgb="FF000000"/>
        <rFont val="Noto Sans CJK SC"/>
        <family val="2"/>
      </rPr>
      <t xml:space="preserve">（</t>
    </r>
    <r>
      <rPr>
        <sz val="10"/>
        <color rgb="FF000000"/>
        <rFont val="Arial"/>
        <family val="0"/>
        <charset val="1"/>
      </rPr>
      <t xml:space="preserve">SRC_ZP_489</t>
    </r>
    <r>
      <rPr>
        <sz val="10"/>
        <color rgb="FF000000"/>
        <rFont val="Noto Sans CJK SC"/>
        <family val="2"/>
      </rPr>
      <t xml:space="preserve">）但記憶體頻寬較高，</t>
    </r>
    <r>
      <rPr>
        <sz val="10"/>
        <color rgb="FF000000"/>
        <rFont val="Arial"/>
        <family val="0"/>
        <charset val="1"/>
      </rPr>
      <t xml:space="preserve">decode </t>
    </r>
    <r>
      <rPr>
        <sz val="10"/>
        <color rgb="FF000000"/>
        <rFont val="Noto Sans CJK SC"/>
        <family val="2"/>
      </rPr>
      <t xml:space="preserve">比例遠高於 </t>
    </r>
    <r>
      <rPr>
        <sz val="10"/>
        <color rgb="FF000000"/>
        <rFont val="Arial"/>
        <family val="0"/>
        <charset val="1"/>
      </rPr>
      <t xml:space="preserve">0.15</t>
    </r>
    <r>
      <rPr>
        <sz val="10"/>
        <color rgb="FF000000"/>
        <rFont val="Noto Sans CJK SC"/>
        <family val="2"/>
      </rPr>
      <t xml:space="preserve">；</t>
    </r>
    <r>
      <rPr>
        <sz val="10"/>
        <color rgb="FF000000"/>
        <rFont val="Arial"/>
        <family val="0"/>
        <charset val="1"/>
      </rPr>
      <t xml:space="preserve">SemiAnalysis</t>
    </r>
    <r>
      <rPr>
        <sz val="10"/>
        <color rgb="FF000000"/>
        <rFont val="Noto Sans CJK SC"/>
        <family val="2"/>
      </rPr>
      <t xml:space="preserve">『快 </t>
    </r>
    <r>
      <rPr>
        <sz val="10"/>
        <color rgb="FF000000"/>
        <rFont val="Arial"/>
        <family val="0"/>
        <charset val="1"/>
      </rPr>
      <t xml:space="preserve">20%</t>
    </r>
    <r>
      <rPr>
        <sz val="10"/>
        <color rgb="FF000000"/>
        <rFont val="Noto Sans CJK SC"/>
        <family val="2"/>
      </rPr>
      <t xml:space="preserve">』單一源不用（</t>
    </r>
    <r>
      <rPr>
        <sz val="10"/>
        <color rgb="FF000000"/>
        <rFont val="Arial"/>
        <family val="0"/>
        <charset val="1"/>
      </rPr>
      <t xml:space="preserve">SRC_ZP_491</t>
    </r>
    <r>
      <rPr>
        <sz val="10"/>
        <color rgb="FF000000"/>
        <rFont val="Noto Sans CJK SC"/>
        <family val="2"/>
      </rPr>
      <t xml:space="preserve">）；以每卡比代每 </t>
    </r>
    <r>
      <rPr>
        <sz val="10"/>
        <color rgb="FF000000"/>
        <rFont val="Arial"/>
        <family val="0"/>
        <charset val="1"/>
      </rPr>
      <t xml:space="preserve">GW </t>
    </r>
    <r>
      <rPr>
        <sz val="10"/>
        <color rgb="FF000000"/>
        <rFont val="Noto Sans CJK SC"/>
        <family val="2"/>
      </rPr>
      <t xml:space="preserve">比（每卡 </t>
    </r>
    <r>
      <rPr>
        <sz val="10"/>
        <color rgb="FF000000"/>
        <rFont val="Arial"/>
        <family val="0"/>
        <charset val="1"/>
      </rPr>
      <t xml:space="preserve">IT </t>
    </r>
    <r>
      <rPr>
        <sz val="10"/>
        <color rgb="FF000000"/>
        <rFont val="Noto Sans CJK SC"/>
        <family val="2"/>
      </rPr>
      <t xml:space="preserve">功耗差異見 </t>
    </r>
    <r>
      <rPr>
        <sz val="10"/>
        <color rgb="FF000000"/>
        <rFont val="Arial"/>
        <family val="0"/>
        <charset val="1"/>
      </rPr>
      <t xml:space="preserve">kw_h20</t>
    </r>
    <r>
      <rPr>
        <sz val="10"/>
        <color rgb="FF000000"/>
        <rFont val="Noto Sans CJK SC"/>
        <family val="2"/>
      </rPr>
      <t xml:space="preserve">，屬 </t>
    </r>
    <r>
      <rPr>
        <sz val="10"/>
        <color rgb="FF000000"/>
        <rFont val="Arial"/>
        <family val="0"/>
        <charset val="1"/>
      </rPr>
      <t xml:space="preserve">Tokenomics </t>
    </r>
    <r>
      <rPr>
        <sz val="10"/>
        <color rgb="FF000000"/>
        <rFont val="Noto Sans CJK SC"/>
        <family val="2"/>
      </rPr>
      <t xml:space="preserve">缺口）</t>
    </r>
  </si>
  <si>
    <t xml:space="preserve">INP_083</t>
  </si>
  <si>
    <t xml:space="preserve">dom_ratio</t>
  </si>
  <si>
    <r>
      <rPr>
        <sz val="10"/>
        <color rgb="FF000000"/>
        <rFont val="Noto Sans CJK SC"/>
        <family val="2"/>
      </rPr>
      <t xml:space="preserve">國產晶片（昇騰等）每 </t>
    </r>
    <r>
      <rPr>
        <sz val="10"/>
        <color rgb="FF000000"/>
        <rFont val="Arial"/>
        <family val="0"/>
        <charset val="1"/>
      </rPr>
      <t xml:space="preserve">GW </t>
    </r>
    <r>
      <rPr>
        <sz val="10"/>
        <color rgb="FF000000"/>
        <rFont val="Noto Sans CJK SC"/>
        <family val="2"/>
      </rPr>
      <t xml:space="preserve">產出 </t>
    </r>
    <r>
      <rPr>
        <sz val="10"/>
        <color rgb="FF000000"/>
        <rFont val="Arial"/>
        <family val="0"/>
        <charset val="1"/>
      </rPr>
      <t xml:space="preserve">÷ Hopper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產出（國產產出比）</t>
    </r>
  </si>
  <si>
    <r>
      <rPr>
        <sz val="10"/>
        <color rgb="FF000000"/>
        <rFont val="Noto Sans CJK SC"/>
        <family val="2"/>
      </rPr>
      <t xml:space="preserve">規格 </t>
    </r>
    <r>
      <rPr>
        <sz val="10"/>
        <color rgb="FF000000"/>
        <rFont val="Arial"/>
        <family val="0"/>
        <charset val="1"/>
      </rPr>
      <t xml:space="preserve">D6</t>
    </r>
    <r>
      <rPr>
        <sz val="10"/>
        <color rgb="FF000000"/>
        <rFont val="Noto Sans CJK SC"/>
        <family val="2"/>
      </rPr>
      <t xml:space="preserve">（基準 </t>
    </r>
    <r>
      <rPr>
        <sz val="10"/>
        <color rgb="FF000000"/>
        <rFont val="Arial"/>
        <family val="0"/>
        <charset val="1"/>
      </rPr>
      <t xml:space="preserve">0.6</t>
    </r>
    <r>
      <rPr>
        <sz val="10"/>
        <color rgb="FF000000"/>
        <rFont val="Noto Sans CJK SC"/>
        <family val="2"/>
      </rPr>
      <t xml:space="preserve">，</t>
    </r>
    <r>
      <rPr>
        <sz val="10"/>
        <color rgb="FF000000"/>
        <rFont val="Arial"/>
        <family val="0"/>
        <charset val="1"/>
      </rPr>
      <t xml:space="preserve">0.4–0.9</t>
    </r>
    <r>
      <rPr>
        <sz val="10"/>
        <color rgb="FF000000"/>
        <rFont val="Noto Sans CJK SC"/>
        <family val="2"/>
      </rPr>
      <t xml:space="preserve">）；昇騰 </t>
    </r>
    <r>
      <rPr>
        <sz val="10"/>
        <color rgb="FF000000"/>
        <rFont val="Arial"/>
        <family val="0"/>
        <charset val="1"/>
      </rPr>
      <t xml:space="preserve">910C </t>
    </r>
    <r>
      <rPr>
        <sz val="10"/>
        <color rgb="FF000000"/>
        <rFont val="Noto Sans CJK SC"/>
        <family val="2"/>
      </rPr>
      <t xml:space="preserve">推論約 </t>
    </r>
    <r>
      <rPr>
        <sz val="10"/>
        <color rgb="FF000000"/>
        <rFont val="Arial"/>
        <family val="0"/>
        <charset val="1"/>
      </rPr>
      <t xml:space="preserve">H100 </t>
    </r>
    <r>
      <rPr>
        <sz val="10"/>
        <color rgb="FF000000"/>
        <rFont val="Noto Sans CJK SC"/>
        <family val="2"/>
      </rPr>
      <t xml:space="preserve">的 </t>
    </r>
    <r>
      <rPr>
        <sz val="10"/>
        <color rgb="FF000000"/>
        <rFont val="Arial"/>
        <family val="0"/>
        <charset val="1"/>
      </rPr>
      <t xml:space="preserve">60%</t>
    </r>
    <r>
      <rPr>
        <sz val="10"/>
        <color rgb="FF000000"/>
        <rFont val="Noto Sans CJK SC"/>
        <family val="2"/>
      </rPr>
      <t xml:space="preserve">（</t>
    </r>
    <r>
      <rPr>
        <sz val="10"/>
        <color rgb="FF000000"/>
        <rFont val="Arial"/>
        <family val="0"/>
        <charset val="1"/>
      </rPr>
      <t xml:space="preserve">SRC_ZP_480</t>
    </r>
    <r>
      <rPr>
        <sz val="10"/>
        <color rgb="FF000000"/>
        <rFont val="Noto Sans CJK SC"/>
        <family val="2"/>
      </rPr>
      <t xml:space="preserve">，</t>
    </r>
    <r>
      <rPr>
        <sz val="10"/>
        <color rgb="FF000000"/>
        <rFont val="Arial"/>
        <family val="0"/>
        <charset val="1"/>
      </rPr>
      <t xml:space="preserve">0.6–0.8</t>
    </r>
    <r>
      <rPr>
        <sz val="10"/>
        <color rgb="FF000000"/>
        <rFont val="Noto Sans CJK SC"/>
        <family val="2"/>
      </rPr>
      <t xml:space="preserve">）；公司『同硬體端到端效能提升 </t>
    </r>
    <r>
      <rPr>
        <sz val="10"/>
        <color rgb="FF000000"/>
        <rFont val="Arial"/>
        <family val="0"/>
        <charset val="1"/>
      </rPr>
      <t xml:space="preserve">3 </t>
    </r>
    <r>
      <rPr>
        <sz val="10"/>
        <color rgb="FF000000"/>
        <rFont val="Noto Sans CJK SC"/>
        <family val="2"/>
      </rPr>
      <t xml:space="preserve">倍』（</t>
    </r>
    <r>
      <rPr>
        <sz val="10"/>
        <color rgb="FF000000"/>
        <rFont val="Arial"/>
        <family val="0"/>
        <charset val="1"/>
      </rPr>
      <t xml:space="preserve">SRC_ZP_455</t>
    </r>
    <r>
      <rPr>
        <sz val="10"/>
        <color rgb="FF000000"/>
        <rFont val="Noto Sans CJK SC"/>
        <family val="2"/>
      </rPr>
      <t xml:space="preserve">，</t>
    </r>
    <r>
      <rPr>
        <sz val="10"/>
        <color rgb="FF000000"/>
        <rFont val="Arial"/>
        <family val="0"/>
        <charset val="1"/>
      </rPr>
      <t xml:space="preserve">Interested-party</t>
    </r>
    <r>
      <rPr>
        <sz val="10"/>
        <color rgb="FF000000"/>
        <rFont val="Noto Sans CJK SC"/>
        <family val="2"/>
      </rPr>
      <t xml:space="preserve">）只說明區間上緣；</t>
    </r>
    <r>
      <rPr>
        <sz val="10"/>
        <color rgb="FF000000"/>
        <rFont val="Arial"/>
        <family val="0"/>
        <charset val="1"/>
      </rPr>
      <t xml:space="preserve">Tokenomics </t>
    </r>
    <r>
      <rPr>
        <sz val="10"/>
        <color rgb="FF000000"/>
        <rFont val="Noto Sans CJK SC"/>
        <family val="2"/>
      </rPr>
      <t xml:space="preserve">無昇騰列（缺口）</t>
    </r>
  </si>
  <si>
    <r>
      <rPr>
        <sz val="10"/>
        <color rgb="FF000000"/>
        <rFont val="Noto Sans CJK SC"/>
        <family val="2"/>
      </rPr>
      <t xml:space="preserve">規格 </t>
    </r>
    <r>
      <rPr>
        <sz val="10"/>
        <color rgb="FF000000"/>
        <rFont val="Arial"/>
        <family val="0"/>
        <charset val="1"/>
      </rPr>
      <t xml:space="preserve">D6</t>
    </r>
  </si>
  <si>
    <t xml:space="preserve">INP_084</t>
  </si>
  <si>
    <t xml:space="preserve">share_dom_2025</t>
  </si>
  <si>
    <r>
      <rPr>
        <sz val="10"/>
        <color rgb="FF000000"/>
        <rFont val="Noto Sans CJK SC"/>
        <family val="2"/>
      </rPr>
      <t xml:space="preserve">國產晶片占算力 </t>
    </r>
    <r>
      <rPr>
        <sz val="10"/>
        <color rgb="FF000000"/>
        <rFont val="Arial"/>
        <family val="0"/>
        <charset val="1"/>
      </rPr>
      <t xml:space="preserve">GW </t>
    </r>
    <r>
      <rPr>
        <sz val="10"/>
        <color rgb="FF000000"/>
        <rFont val="Noto Sans CJK SC"/>
        <family val="2"/>
      </rPr>
      <t xml:space="preserve">比例</t>
    </r>
  </si>
  <si>
    <r>
      <rPr>
        <sz val="10"/>
        <color rgb="FF000000"/>
        <rFont val="Noto Sans CJK SC"/>
        <family val="2"/>
      </rPr>
      <t xml:space="preserve">規格 </t>
    </r>
    <r>
      <rPr>
        <sz val="10"/>
        <color rgb="FF000000"/>
        <rFont val="Arial"/>
        <family val="0"/>
        <charset val="1"/>
      </rPr>
      <t xml:space="preserve">D7</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以 </t>
    </r>
    <r>
      <rPr>
        <sz val="10"/>
        <color rgb="FF000000"/>
        <rFont val="Arial"/>
        <family val="0"/>
        <charset val="1"/>
      </rPr>
      <t xml:space="preserve">Hopper </t>
    </r>
    <r>
      <rPr>
        <sz val="10"/>
        <color rgb="FF000000"/>
        <rFont val="Noto Sans CJK SC"/>
        <family val="2"/>
      </rPr>
      <t xml:space="preserve">為主、國產漸增；</t>
    </r>
    <r>
      <rPr>
        <sz val="10"/>
        <color rgb="FF000000"/>
        <rFont val="Arial"/>
        <family val="0"/>
        <charset val="1"/>
      </rPr>
      <t xml:space="preserve">2025-01 </t>
    </r>
    <r>
      <rPr>
        <sz val="10"/>
        <color rgb="FF000000"/>
        <rFont val="Noto Sans CJK SC"/>
        <family val="2"/>
      </rPr>
      <t xml:space="preserve">列入實體清單（</t>
    </r>
    <r>
      <rPr>
        <sz val="10"/>
        <color rgb="FF000000"/>
        <rFont val="Arial"/>
        <family val="0"/>
        <charset val="1"/>
      </rPr>
      <t xml:space="preserve">SRC_ZP_459</t>
    </r>
    <r>
      <rPr>
        <sz val="10"/>
        <color rgb="FF000000"/>
        <rFont val="Noto Sans CJK SC"/>
        <family val="2"/>
      </rPr>
      <t xml:space="preserve">）；公司未揭露晶片組合</t>
    </r>
  </si>
  <si>
    <t xml:space="preserve">INP_085</t>
  </si>
  <si>
    <t xml:space="preserve">share_dom_2026</t>
  </si>
  <si>
    <r>
      <rPr>
        <sz val="10"/>
        <color rgb="FF000000"/>
        <rFont val="Noto Sans CJK SC"/>
        <family val="2"/>
      </rPr>
      <t xml:space="preserve">規格 </t>
    </r>
    <r>
      <rPr>
        <sz val="10"/>
        <color rgb="FF000000"/>
        <rFont val="Arial"/>
        <family val="0"/>
        <charset val="1"/>
      </rPr>
      <t xml:space="preserve">D7</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公司稱『</t>
    </r>
    <r>
      <rPr>
        <sz val="10"/>
        <color rgb="FF000000"/>
        <rFont val="Arial"/>
        <family val="0"/>
        <charset val="1"/>
      </rPr>
      <t xml:space="preserve">10 </t>
    </r>
    <r>
      <rPr>
        <sz val="10"/>
        <color rgb="FF000000"/>
        <rFont val="Noto Sans CJK SC"/>
        <family val="2"/>
      </rPr>
      <t xml:space="preserve">萬級國產晶片用於推論』（</t>
    </r>
    <r>
      <rPr>
        <sz val="10"/>
        <color rgb="FF000000"/>
        <rFont val="Arial"/>
        <family val="0"/>
        <charset val="1"/>
      </rPr>
      <t xml:space="preserve">SRC_ZP_452</t>
    </r>
    <r>
      <rPr>
        <sz val="10"/>
        <color rgb="FF000000"/>
        <rFont val="Noto Sans CJK SC"/>
        <family val="2"/>
      </rPr>
      <t xml:space="preserve">，</t>
    </r>
    <r>
      <rPr>
        <sz val="10"/>
        <color rgb="FF000000"/>
        <rFont val="Arial"/>
        <family val="0"/>
        <charset val="1"/>
      </rPr>
      <t xml:space="preserve">Interested-party</t>
    </r>
    <r>
      <rPr>
        <sz val="10"/>
        <color rgb="FF000000"/>
        <rFont val="Noto Sans CJK SC"/>
        <family val="2"/>
      </rPr>
      <t xml:space="preserve">）；國產成為推論主力</t>
    </r>
  </si>
  <si>
    <t xml:space="preserve">INP_086</t>
  </si>
  <si>
    <t xml:space="preserve">share_dom_2027</t>
  </si>
  <si>
    <r>
      <rPr>
        <sz val="10"/>
        <color rgb="FF000000"/>
        <rFont val="Noto Sans CJK SC"/>
        <family val="2"/>
      </rPr>
      <t xml:space="preserve">無新 </t>
    </r>
    <r>
      <rPr>
        <sz val="10"/>
        <color rgb="FF000000"/>
        <rFont val="Arial"/>
        <family val="0"/>
        <charset val="1"/>
      </rPr>
      <t xml:space="preserve">NVIDIA </t>
    </r>
    <r>
      <rPr>
        <sz val="10"/>
        <color rgb="FF000000"/>
        <rFont val="Noto Sans CJK SC"/>
        <family val="2"/>
      </rPr>
      <t xml:space="preserve">採購（</t>
    </r>
    <r>
      <rPr>
        <sz val="10"/>
        <color rgb="FF000000"/>
        <rFont val="Arial"/>
        <family val="0"/>
        <charset val="1"/>
      </rPr>
      <t xml:space="preserve">D7 Decision</t>
    </r>
    <r>
      <rPr>
        <sz val="10"/>
        <color rgb="FF000000"/>
        <rFont val="Noto Sans CJK SC"/>
        <family val="2"/>
      </rPr>
      <t xml:space="preserve">），既有 </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H20 </t>
    </r>
    <r>
      <rPr>
        <sz val="10"/>
        <color rgb="FF000000"/>
        <rFont val="Noto Sans CJK SC"/>
        <family val="2"/>
      </rPr>
      <t xml:space="preserve">隨折舊與租約到期退出</t>
    </r>
  </si>
  <si>
    <r>
      <rPr>
        <sz val="10"/>
        <color rgb="FF000000"/>
        <rFont val="Arial"/>
        <family val="0"/>
        <charset val="1"/>
      </rPr>
      <t xml:space="preserve">0.5</t>
    </r>
    <r>
      <rPr>
        <sz val="10"/>
        <color rgb="FF000000"/>
        <rFont val="Noto Sans CJK SC"/>
        <family val="2"/>
      </rPr>
      <t xml:space="preserve">～</t>
    </r>
    <r>
      <rPr>
        <sz val="10"/>
        <color rgb="FF000000"/>
        <rFont val="Arial"/>
        <family val="0"/>
        <charset val="1"/>
      </rPr>
      <t xml:space="preserve">0.9</t>
    </r>
  </si>
  <si>
    <t xml:space="preserve">INP_087</t>
  </si>
  <si>
    <t xml:space="preserve">share_dom_2028</t>
  </si>
  <si>
    <r>
      <rPr>
        <sz val="10"/>
        <color rgb="FF000000"/>
        <rFont val="Arial"/>
        <family val="0"/>
        <charset val="1"/>
      </rPr>
      <t xml:space="preserve">0.6</t>
    </r>
    <r>
      <rPr>
        <sz val="10"/>
        <color rgb="FF000000"/>
        <rFont val="Noto Sans CJK SC"/>
        <family val="2"/>
      </rPr>
      <t xml:space="preserve">～</t>
    </r>
    <r>
      <rPr>
        <sz val="10"/>
        <color rgb="FF000000"/>
        <rFont val="Arial"/>
        <family val="0"/>
        <charset val="1"/>
      </rPr>
      <t xml:space="preserve">0.95</t>
    </r>
  </si>
  <si>
    <t xml:space="preserve">INP_088</t>
  </si>
  <si>
    <t xml:space="preserve">share_dom_2029</t>
  </si>
  <si>
    <t xml:space="preserve">INP_089</t>
  </si>
  <si>
    <t xml:space="preserve">share_dom_2030</t>
  </si>
  <si>
    <r>
      <rPr>
        <sz val="10"/>
        <color rgb="FF000000"/>
        <rFont val="Arial"/>
        <family val="0"/>
        <charset val="1"/>
      </rPr>
      <t xml:space="preserve">0.75</t>
    </r>
    <r>
      <rPr>
        <sz val="10"/>
        <color rgb="FF000000"/>
        <rFont val="Noto Sans CJK SC"/>
        <family val="2"/>
      </rPr>
      <t xml:space="preserve">～</t>
    </r>
    <r>
      <rPr>
        <sz val="10"/>
        <color rgb="FF000000"/>
        <rFont val="Arial"/>
        <family val="0"/>
        <charset val="1"/>
      </rPr>
      <t xml:space="preserve">1.0</t>
    </r>
  </si>
  <si>
    <t xml:space="preserve">INP_090</t>
  </si>
  <si>
    <t xml:space="preserve">share_h20_2025</t>
  </si>
  <si>
    <r>
      <rPr>
        <sz val="10"/>
        <color rgb="FF000000"/>
        <rFont val="Arial"/>
        <family val="0"/>
        <charset val="1"/>
      </rPr>
      <t xml:space="preserve">H20 </t>
    </r>
    <r>
      <rPr>
        <sz val="10"/>
        <color rgb="FF000000"/>
        <rFont val="Noto Sans CJK SC"/>
        <family val="2"/>
      </rPr>
      <t xml:space="preserve">占算力 </t>
    </r>
    <r>
      <rPr>
        <sz val="10"/>
        <color rgb="FF000000"/>
        <rFont val="Arial"/>
        <family val="0"/>
        <charset val="1"/>
      </rPr>
      <t xml:space="preserve">GW </t>
    </r>
    <r>
      <rPr>
        <sz val="10"/>
        <color rgb="FF000000"/>
        <rFont val="Noto Sans CJK SC"/>
        <family val="2"/>
      </rPr>
      <t xml:space="preserve">比例</t>
    </r>
  </si>
  <si>
    <r>
      <rPr>
        <sz val="10"/>
        <color rgb="FF000000"/>
        <rFont val="Arial"/>
        <family val="0"/>
        <charset val="1"/>
      </rPr>
      <t xml:space="preserve">H20 </t>
    </r>
    <r>
      <rPr>
        <sz val="10"/>
        <color rgb="FF000000"/>
        <rFont val="Noto Sans CJK SC"/>
        <family val="2"/>
      </rPr>
      <t xml:space="preserve">為 </t>
    </r>
    <r>
      <rPr>
        <sz val="10"/>
        <color rgb="FF000000"/>
        <rFont val="Arial"/>
        <family val="0"/>
        <charset val="1"/>
      </rPr>
      <t xml:space="preserve">2024–2025 </t>
    </r>
    <r>
      <rPr>
        <sz val="10"/>
        <color rgb="FF000000"/>
        <rFont val="Noto Sans CJK SC"/>
        <family val="2"/>
      </rPr>
      <t xml:space="preserve">中國可合法採購的 </t>
    </r>
    <r>
      <rPr>
        <sz val="10"/>
        <color rgb="FF000000"/>
        <rFont val="Arial"/>
        <family val="0"/>
        <charset val="1"/>
      </rPr>
      <t xml:space="preserve">NVIDIA </t>
    </r>
    <r>
      <rPr>
        <sz val="10"/>
        <color rgb="FF000000"/>
        <rFont val="Noto Sans CJK SC"/>
        <family val="2"/>
      </rPr>
      <t xml:space="preserve">推論卡；租價最活躍（</t>
    </r>
    <r>
      <rPr>
        <sz val="10"/>
        <color rgb="FF000000"/>
        <rFont val="Arial"/>
        <family val="0"/>
        <charset val="1"/>
      </rPr>
      <t xml:space="preserve">SRC_ZP_462–464</t>
    </r>
    <r>
      <rPr>
        <sz val="10"/>
        <color rgb="FF000000"/>
        <rFont val="Noto Sans CJK SC"/>
        <family val="2"/>
      </rPr>
      <t xml:space="preserve">）；</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t>
    </r>
    <r>
      <rPr>
        <sz val="10"/>
        <color rgb="FF000000"/>
        <rFont val="Noto Sans CJK SC"/>
        <family val="2"/>
      </rPr>
      <t xml:space="preserve">）＝</t>
    </r>
    <r>
      <rPr>
        <sz val="10"/>
        <color rgb="FF000000"/>
        <rFont val="Arial"/>
        <family val="0"/>
        <charset val="1"/>
      </rPr>
      <t xml:space="preserve">1 − </t>
    </r>
    <r>
      <rPr>
        <sz val="10"/>
        <color rgb="FF000000"/>
        <rFont val="Noto Sans CJK SC"/>
        <family val="2"/>
      </rPr>
      <t xml:space="preserve">國產 − </t>
    </r>
    <r>
      <rPr>
        <sz val="10"/>
        <color rgb="FF000000"/>
        <rFont val="Arial"/>
        <family val="0"/>
        <charset val="1"/>
      </rPr>
      <t xml:space="preserve">H20</t>
    </r>
  </si>
  <si>
    <t xml:space="preserve">INP_091</t>
  </si>
  <si>
    <t xml:space="preserve">share_h20_2026</t>
  </si>
  <si>
    <r>
      <rPr>
        <sz val="10"/>
        <color rgb="FF000000"/>
        <rFont val="Noto Sans CJK SC"/>
        <family val="2"/>
      </rPr>
      <t xml:space="preserve">無新 </t>
    </r>
    <r>
      <rPr>
        <sz val="10"/>
        <color rgb="FF000000"/>
        <rFont val="Arial"/>
        <family val="0"/>
        <charset val="1"/>
      </rPr>
      <t xml:space="preserve">NVIDIA </t>
    </r>
    <r>
      <rPr>
        <sz val="10"/>
        <color rgb="FF000000"/>
        <rFont val="Noto Sans CJK SC"/>
        <family val="2"/>
      </rPr>
      <t xml:space="preserve">採購（</t>
    </r>
    <r>
      <rPr>
        <sz val="10"/>
        <color rgb="FF000000"/>
        <rFont val="Arial"/>
        <family val="0"/>
        <charset val="1"/>
      </rPr>
      <t xml:space="preserve">D7</t>
    </r>
    <r>
      <rPr>
        <sz val="10"/>
        <color rgb="FF000000"/>
        <rFont val="Noto Sans CJK SC"/>
        <family val="2"/>
      </rPr>
      <t xml:space="preserve">）；既有租用延續</t>
    </r>
  </si>
  <si>
    <t xml:space="preserve">INP_092</t>
  </si>
  <si>
    <t xml:space="preserve">share_h20_2027</t>
  </si>
  <si>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0.2</t>
    </r>
  </si>
  <si>
    <t xml:space="preserve">INP_093</t>
  </si>
  <si>
    <t xml:space="preserve">share_h20_2028</t>
  </si>
  <si>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0.15</t>
    </r>
  </si>
  <si>
    <t xml:space="preserve">INP_094</t>
  </si>
  <si>
    <t xml:space="preserve">share_h20_2029</t>
  </si>
  <si>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0.1</t>
    </r>
  </si>
  <si>
    <t xml:space="preserve">INP_095</t>
  </si>
  <si>
    <t xml:space="preserve">share_h20_2030</t>
  </si>
  <si>
    <t xml:space="preserve">INP_096</t>
  </si>
  <si>
    <t xml:space="preserve">kw_hopper</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</si>
  <si>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功耗（含主機、網路）：</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H100</t>
    </r>
    <r>
      <rPr>
        <sz val="10"/>
        <color rgb="FF000000"/>
        <rFont val="Noto Sans CJK SC"/>
        <family val="2"/>
      </rPr>
      <t xml:space="preserve">）</t>
    </r>
  </si>
  <si>
    <r>
      <rPr>
        <sz val="10"/>
        <color rgb="FF000000"/>
        <rFont val="Arial"/>
        <family val="0"/>
        <charset val="1"/>
      </rPr>
      <t xml:space="preserve">kW</t>
    </r>
    <r>
      <rPr>
        <sz val="10"/>
        <color rgb="FF000000"/>
        <rFont val="Noto Sans CJK SC"/>
        <family val="2"/>
      </rPr>
      <t xml:space="preserve">／卡</t>
    </r>
  </si>
  <si>
    <r>
      <rPr>
        <sz val="10"/>
        <color rgb="FF000000"/>
        <rFont val="Arial"/>
        <family val="0"/>
        <charset val="1"/>
      </rPr>
      <t xml:space="preserve">Tokenomics v5.26 DC_Cost</t>
    </r>
    <r>
      <rPr>
        <sz val="10"/>
        <color rgb="FF000000"/>
        <rFont val="Noto Sans CJK SC"/>
        <family val="2"/>
      </rPr>
      <t xml:space="preserve">『</t>
    </r>
    <r>
      <rPr>
        <sz val="10"/>
        <color rgb="FF000000"/>
        <rFont val="Arial"/>
        <family val="0"/>
        <charset val="1"/>
      </rPr>
      <t xml:space="preserve">GPU </t>
    </r>
    <r>
      <rPr>
        <sz val="10"/>
        <color rgb="FF000000"/>
        <rFont val="Noto Sans CJK SC"/>
        <family val="2"/>
      </rPr>
      <t xml:space="preserve">數（設施）』</t>
    </r>
    <r>
      <rPr>
        <sz val="10"/>
        <color rgb="FF000000"/>
        <rFont val="Arial"/>
        <family val="0"/>
        <charset val="1"/>
      </rPr>
      <t xml:space="preserve">Hopper H100 </t>
    </r>
    <r>
      <rPr>
        <sz val="10"/>
        <color rgb="FF000000"/>
        <rFont val="Noto Sans CJK SC"/>
        <family val="2"/>
      </rPr>
      <t xml:space="preserve">每 </t>
    </r>
    <r>
      <rPr>
        <sz val="10"/>
        <color rgb="FF000000"/>
        <rFont val="Arial"/>
        <family val="0"/>
        <charset val="1"/>
      </rPr>
      <t xml:space="preserve">GW 718</t>
    </r>
  </si>
  <si>
    <r>
      <rPr>
        <sz val="10"/>
        <color rgb="FF000000"/>
        <rFont val="Arial"/>
        <family val="0"/>
        <charset val="1"/>
      </rPr>
      <t xml:space="preserve">1.2</t>
    </r>
    <r>
      <rPr>
        <sz val="10"/>
        <color rgb="FF000000"/>
        <rFont val="Noto Sans CJK SC"/>
        <family val="2"/>
      </rPr>
      <t xml:space="preserve">（只計伺服器）～</t>
    </r>
    <r>
      <rPr>
        <sz val="10"/>
        <color rgb="FF000000"/>
        <rFont val="Arial"/>
        <family val="0"/>
        <charset val="1"/>
      </rPr>
      <t xml:space="preserve">1.6</t>
    </r>
    <r>
      <rPr>
        <sz val="10"/>
        <color rgb="FF000000"/>
        <rFont val="Noto Sans CJK SC"/>
        <family val="2"/>
      </rPr>
      <t xml:space="preserve">（含較高網路與儲存負載）</t>
    </r>
  </si>
  <si>
    <t xml:space="preserve">INP_097</t>
  </si>
  <si>
    <t xml:space="preserve">kw_h20</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</si>
  <si>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功耗（含主機、網路）：</t>
    </r>
    <r>
      <rPr>
        <sz val="10"/>
        <color rgb="FF000000"/>
        <rFont val="Arial"/>
        <family val="0"/>
        <charset val="1"/>
      </rPr>
      <t xml:space="preserve">H20</t>
    </r>
  </si>
  <si>
    <r>
      <rPr>
        <sz val="10"/>
        <color rgb="FF000000"/>
        <rFont val="Arial"/>
        <family val="0"/>
        <charset val="1"/>
      </rPr>
      <t xml:space="preserve">Hopper </t>
    </r>
    <r>
      <rPr>
        <sz val="10"/>
        <color rgb="FF000000"/>
        <rFont val="Noto Sans CJK SC"/>
        <family val="2"/>
      </rPr>
      <t xml:space="preserve">每卡 </t>
    </r>
    <r>
      <rPr>
        <sz val="10"/>
        <color rgb="FF000000"/>
        <rFont val="Arial"/>
        <family val="0"/>
        <charset val="1"/>
      </rPr>
      <t xml:space="preserve">1.393 kW − H100 </t>
    </r>
    <r>
      <rPr>
        <sz val="10"/>
        <color rgb="FF000000"/>
        <rFont val="Noto Sans CJK SC"/>
        <family val="2"/>
      </rPr>
      <t xml:space="preserve">晶片 </t>
    </r>
    <r>
      <rPr>
        <sz val="10"/>
        <color rgb="FF000000"/>
        <rFont val="Arial"/>
        <family val="0"/>
        <charset val="1"/>
      </rPr>
      <t xml:space="preserve">0.7 kW</t>
    </r>
    <r>
      <rPr>
        <sz val="10"/>
        <color rgb="FF000000"/>
        <rFont val="Noto Sans CJK SC"/>
        <family val="2"/>
      </rPr>
      <t xml:space="preserve">（</t>
    </r>
    <r>
      <rPr>
        <sz val="10"/>
        <color rgb="FF000000"/>
        <rFont val="Arial"/>
        <family val="0"/>
        <charset val="1"/>
      </rPr>
      <t xml:space="preserve">TK Spec_Rack</t>
    </r>
    <r>
      <rPr>
        <sz val="10"/>
        <color rgb="FF000000"/>
        <rFont val="Noto Sans CJK SC"/>
        <family val="2"/>
      </rPr>
      <t xml:space="preserve">『</t>
    </r>
    <r>
      <rPr>
        <sz val="10"/>
        <color rgb="FF000000"/>
        <rFont val="Arial"/>
        <family val="0"/>
        <charset val="1"/>
      </rPr>
      <t xml:space="preserve">GPU </t>
    </r>
    <r>
      <rPr>
        <sz val="10"/>
        <color rgb="FF000000"/>
        <rFont val="Noto Sans CJK SC"/>
        <family val="2"/>
      </rPr>
      <t xml:space="preserve">功率 </t>
    </r>
    <r>
      <rPr>
        <sz val="10"/>
        <color rgb="FF000000"/>
        <rFont val="Arial"/>
        <family val="0"/>
        <charset val="1"/>
      </rPr>
      <t xml:space="preserve">W/</t>
    </r>
    <r>
      <rPr>
        <sz val="10"/>
        <color rgb="FF000000"/>
        <rFont val="Noto Sans CJK SC"/>
        <family val="2"/>
      </rPr>
      <t xml:space="preserve">封裝』</t>
    </r>
    <r>
      <rPr>
        <sz val="10"/>
        <color rgb="FF000000"/>
        <rFont val="Arial"/>
        <family val="0"/>
        <charset val="1"/>
      </rPr>
      <t xml:space="preserve">700</t>
    </r>
    <r>
      <rPr>
        <sz val="10"/>
        <color rgb="FF000000"/>
        <rFont val="Noto Sans CJK SC"/>
        <family val="2"/>
      </rPr>
      <t xml:space="preserve">）＋ </t>
    </r>
    <r>
      <rPr>
        <sz val="10"/>
        <color rgb="FF000000"/>
        <rFont val="Arial"/>
        <family val="0"/>
        <charset val="1"/>
      </rPr>
      <t xml:space="preserve">H20 </t>
    </r>
    <r>
      <rPr>
        <sz val="10"/>
        <color rgb="FF000000"/>
        <rFont val="Noto Sans CJK SC"/>
        <family val="2"/>
      </rPr>
      <t xml:space="preserve">晶片約 </t>
    </r>
    <r>
      <rPr>
        <sz val="10"/>
        <color rgb="FF000000"/>
        <rFont val="Arial"/>
        <family val="0"/>
        <charset val="1"/>
      </rPr>
      <t xml:space="preserve">0.4 kW</t>
    </r>
    <r>
      <rPr>
        <sz val="10"/>
        <color rgb="FF000000"/>
        <rFont val="Noto Sans CJK SC"/>
        <family val="2"/>
      </rPr>
      <t xml:space="preserve">（</t>
    </r>
    <r>
      <rPr>
        <sz val="10"/>
        <color rgb="FF000000"/>
        <rFont val="Arial"/>
        <family val="0"/>
        <charset val="1"/>
      </rPr>
      <t xml:space="preserve">NVIDIA H20 </t>
    </r>
    <r>
      <rPr>
        <sz val="10"/>
        <color rgb="FF000000"/>
        <rFont val="Noto Sans CJK SC"/>
        <family val="2"/>
      </rPr>
      <t xml:space="preserve">規格 </t>
    </r>
    <r>
      <rPr>
        <sz val="10"/>
        <color rgb="FF000000"/>
        <rFont val="Arial"/>
        <family val="0"/>
        <charset val="1"/>
      </rPr>
      <t xml:space="preserve">TDP 400 W</t>
    </r>
    <r>
      <rPr>
        <sz val="10"/>
        <color rgb="FF000000"/>
        <rFont val="Noto Sans CJK SC"/>
        <family val="2"/>
      </rPr>
      <t xml:space="preserve">；模型內建知識，待核）</t>
    </r>
  </si>
  <si>
    <r>
      <rPr>
        <sz val="10"/>
        <color rgb="FF000000"/>
        <rFont val="Arial"/>
        <family val="0"/>
        <charset val="1"/>
      </rPr>
      <t xml:space="preserve">0.9</t>
    </r>
    <r>
      <rPr>
        <sz val="10"/>
        <color rgb="FF000000"/>
        <rFont val="Noto Sans CJK SC"/>
        <family val="2"/>
      </rPr>
      <t xml:space="preserve">～</t>
    </r>
    <r>
      <rPr>
        <sz val="10"/>
        <color rgb="FF000000"/>
        <rFont val="Arial"/>
        <family val="0"/>
        <charset val="1"/>
      </rPr>
      <t xml:space="preserve">1.393</t>
    </r>
    <r>
      <rPr>
        <sz val="10"/>
        <color rgb="FF000000"/>
        <rFont val="Noto Sans CJK SC"/>
        <family val="2"/>
      </rPr>
      <t xml:space="preserve">（與 </t>
    </r>
    <r>
      <rPr>
        <sz val="10"/>
        <color rgb="FF000000"/>
        <rFont val="Arial"/>
        <family val="0"/>
        <charset val="1"/>
      </rPr>
      <t xml:space="preserve">Hopper </t>
    </r>
    <r>
      <rPr>
        <sz val="10"/>
        <color rgb="FF000000"/>
        <rFont val="Noto Sans CJK SC"/>
        <family val="2"/>
      </rPr>
      <t xml:space="preserve">同）</t>
    </r>
  </si>
  <si>
    <t xml:space="preserve">INP_098</t>
  </si>
  <si>
    <t xml:space="preserve">kw_dom</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</si>
  <si>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功耗（含主機、網路）：國產（昇騰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t>
    </r>
    <r>
      <rPr>
        <sz val="10"/>
        <color rgb="FF000000"/>
        <rFont val="Noto Sans CJK SC"/>
        <family val="2"/>
      </rPr>
      <t xml:space="preserve">）</t>
    </r>
  </si>
  <si>
    <r>
      <rPr>
        <sz val="10"/>
        <color rgb="FF000000"/>
        <rFont val="Noto Sans CJK SC"/>
        <family val="2"/>
      </rPr>
      <t xml:space="preserve">工作單：</t>
    </r>
    <r>
      <rPr>
        <sz val="10"/>
        <color rgb="FF000000"/>
        <rFont val="Arial"/>
        <family val="0"/>
        <charset val="1"/>
      </rPr>
      <t xml:space="preserve">Hopper </t>
    </r>
    <r>
      <rPr>
        <sz val="10"/>
        <color rgb="FF000000"/>
        <rFont val="Noto Sans CJK SC"/>
        <family val="2"/>
      </rPr>
      <t xml:space="preserve">依 </t>
    </r>
    <r>
      <rPr>
        <sz val="10"/>
        <color rgb="FF000000"/>
        <rFont val="Arial"/>
        <family val="0"/>
        <charset val="1"/>
      </rPr>
      <t xml:space="preserve">TK </t>
    </r>
    <r>
      <rPr>
        <sz val="10"/>
        <color rgb="FF000000"/>
        <rFont val="Noto Sans CJK SC"/>
        <family val="2"/>
      </rPr>
      <t xml:space="preserve">機架規格換算——</t>
    </r>
    <r>
      <rPr>
        <sz val="10"/>
        <color rgb="FF000000"/>
        <rFont val="Arial"/>
        <family val="0"/>
        <charset val="1"/>
      </rPr>
      <t xml:space="preserve">Hopper </t>
    </r>
    <r>
      <rPr>
        <sz val="10"/>
        <color rgb="FF000000"/>
        <rFont val="Noto Sans CJK SC"/>
        <family val="2"/>
      </rPr>
      <t xml:space="preserve">每卡 </t>
    </r>
    <r>
      <rPr>
        <sz val="10"/>
        <color rgb="FF000000"/>
        <rFont val="Arial"/>
        <family val="0"/>
        <charset val="1"/>
      </rPr>
      <t xml:space="preserve">1.393 kW − H100 </t>
    </r>
    <r>
      <rPr>
        <sz val="10"/>
        <color rgb="FF000000"/>
        <rFont val="Noto Sans CJK SC"/>
        <family val="2"/>
      </rPr>
      <t xml:space="preserve">晶片 </t>
    </r>
    <r>
      <rPr>
        <sz val="10"/>
        <color rgb="FF000000"/>
        <rFont val="Arial"/>
        <family val="0"/>
        <charset val="1"/>
      </rPr>
      <t xml:space="preserve">0.7 kW </t>
    </r>
    <r>
      <rPr>
        <sz val="10"/>
        <color rgb="FF000000"/>
        <rFont val="Noto Sans CJK SC"/>
        <family val="2"/>
      </rPr>
      <t xml:space="preserve">＋ </t>
    </r>
    <r>
      <rPr>
        <sz val="10"/>
        <color rgb="FF000000"/>
        <rFont val="Arial"/>
        <family val="0"/>
        <charset val="1"/>
      </rPr>
      <t xml:space="preserve">910C </t>
    </r>
    <r>
      <rPr>
        <sz val="10"/>
        <color rgb="FF000000"/>
        <rFont val="Noto Sans CJK SC"/>
        <family val="2"/>
      </rPr>
      <t xml:space="preserve">晶片 </t>
    </r>
    <r>
      <rPr>
        <sz val="10"/>
        <color rgb="FF000000"/>
        <rFont val="Arial"/>
        <family val="0"/>
        <charset val="1"/>
      </rPr>
      <t xml:space="preserve">0.31–0.35 kW</t>
    </r>
    <r>
      <rPr>
        <sz val="10"/>
        <color rgb="FF000000"/>
        <rFont val="Noto Sans CJK SC"/>
        <family val="2"/>
      </rPr>
      <t xml:space="preserve">（</t>
    </r>
    <r>
      <rPr>
        <sz val="10"/>
        <color rgb="FF000000"/>
        <rFont val="Arial"/>
        <family val="0"/>
        <charset val="1"/>
      </rPr>
      <t xml:space="preserve">SRC_ZP_481</t>
    </r>
    <r>
      <rPr>
        <sz val="10"/>
        <color rgb="FF000000"/>
        <rFont val="Noto Sans CJK SC"/>
        <family val="2"/>
      </rPr>
      <t xml:space="preserve">）≈ </t>
    </r>
    <r>
      <rPr>
        <sz val="10"/>
        <color rgb="FF000000"/>
        <rFont val="Arial"/>
        <family val="0"/>
        <charset val="1"/>
      </rPr>
      <t xml:space="preserve">1.0 kW</t>
    </r>
    <r>
      <rPr>
        <sz val="10"/>
        <color rgb="FF000000"/>
        <rFont val="Noto Sans CJK SC"/>
        <family val="2"/>
      </rPr>
      <t xml:space="preserve">；</t>
    </r>
    <r>
      <rPr>
        <sz val="10"/>
        <color rgb="FF000000"/>
        <rFont val="Arial"/>
        <family val="0"/>
        <charset val="1"/>
      </rPr>
      <t xml:space="preserve">CloudMatrix 384 </t>
    </r>
    <r>
      <rPr>
        <sz val="10"/>
        <color rgb="FF000000"/>
        <rFont val="Noto Sans CJK SC"/>
        <family val="2"/>
      </rPr>
      <t xml:space="preserve">系統功耗（</t>
    </r>
    <r>
      <rPr>
        <sz val="10"/>
        <color rgb="FF000000"/>
        <rFont val="Arial"/>
        <family val="0"/>
        <charset val="1"/>
      </rPr>
      <t xml:space="preserve">SRC_ZP_483</t>
    </r>
    <r>
      <rPr>
        <sz val="10"/>
        <color rgb="FF000000"/>
        <rFont val="Noto Sans CJK SC"/>
        <family val="2"/>
      </rPr>
      <t xml:space="preserve">，約 </t>
    </r>
    <r>
      <rPr>
        <sz val="10"/>
        <color rgb="FF000000"/>
        <rFont val="Arial"/>
        <family val="0"/>
        <charset val="1"/>
      </rPr>
      <t xml:space="preserve">1.46 kW</t>
    </r>
    <r>
      <rPr>
        <sz val="10"/>
        <color rgb="FF000000"/>
        <rFont val="Noto Sans CJK SC"/>
        <family val="2"/>
      </rPr>
      <t xml:space="preserve">／</t>
    </r>
    <r>
      <rPr>
        <sz val="10"/>
        <color rgb="FF000000"/>
        <rFont val="Arial"/>
        <family val="0"/>
        <charset val="1"/>
      </rPr>
      <t xml:space="preserve">NPU</t>
    </r>
    <r>
      <rPr>
        <sz val="10"/>
        <color rgb="FF000000"/>
        <rFont val="Noto Sans CJK SC"/>
        <family val="2"/>
      </rPr>
      <t xml:space="preserve">）只有 </t>
    </r>
    <r>
      <rPr>
        <sz val="10"/>
        <color rgb="FF000000"/>
        <rFont val="Arial"/>
        <family val="0"/>
        <charset val="1"/>
      </rPr>
      <t xml:space="preserve">SemiAnalysis </t>
    </r>
    <r>
      <rPr>
        <sz val="10"/>
        <color rgb="FF000000"/>
        <rFont val="Noto Sans CJK SC"/>
        <family val="2"/>
      </rPr>
      <t xml:space="preserve">單一來源，不入模型</t>
    </r>
  </si>
  <si>
    <r>
      <rPr>
        <sz val="10"/>
        <color rgb="FF000000"/>
        <rFont val="Arial"/>
        <family val="0"/>
        <charset val="1"/>
      </rPr>
      <t xml:space="preserve">0.65</t>
    </r>
    <r>
      <rPr>
        <sz val="10"/>
        <color rgb="FF000000"/>
        <rFont val="Noto Sans CJK SC"/>
        <family val="2"/>
      </rPr>
      <t xml:space="preserve">（</t>
    </r>
    <r>
      <rPr>
        <sz val="10"/>
        <color rgb="FF000000"/>
        <rFont val="Arial"/>
        <family val="0"/>
        <charset val="1"/>
      </rPr>
      <t xml:space="preserve">Hopper </t>
    </r>
    <r>
      <rPr>
        <sz val="10"/>
        <color rgb="FF000000"/>
        <rFont val="Noto Sans CJK SC"/>
        <family val="2"/>
      </rPr>
      <t xml:space="preserve">每卡 </t>
    </r>
    <r>
      <rPr>
        <sz val="10"/>
        <color rgb="FF000000"/>
        <rFont val="Arial"/>
        <family val="0"/>
        <charset val="1"/>
      </rPr>
      <t xml:space="preserve">× </t>
    </r>
    <r>
      <rPr>
        <sz val="10"/>
        <color rgb="FF000000"/>
        <rFont val="Noto Sans CJK SC"/>
        <family val="2"/>
      </rPr>
      <t xml:space="preserve">晶片功耗比 </t>
    </r>
    <r>
      <rPr>
        <sz val="10"/>
        <color rgb="FF000000"/>
        <rFont val="Arial"/>
        <family val="0"/>
        <charset val="1"/>
      </rPr>
      <t xml:space="preserve">0.33</t>
    </r>
    <r>
      <rPr>
        <sz val="10"/>
        <color rgb="FF000000"/>
        <rFont val="Noto Sans CJK SC"/>
        <family val="2"/>
      </rPr>
      <t xml:space="preserve">／</t>
    </r>
    <r>
      <rPr>
        <sz val="10"/>
        <color rgb="FF000000"/>
        <rFont val="Arial"/>
        <family val="0"/>
        <charset val="1"/>
      </rPr>
      <t xml:space="preserve">0.7</t>
    </r>
    <r>
      <rPr>
        <sz val="10"/>
        <color rgb="FF000000"/>
        <rFont val="Noto Sans CJK SC"/>
        <family val="2"/>
      </rPr>
      <t xml:space="preserve">）～</t>
    </r>
    <r>
      <rPr>
        <sz val="10"/>
        <color rgb="FF000000"/>
        <rFont val="Arial"/>
        <family val="0"/>
        <charset val="1"/>
      </rPr>
      <t xml:space="preserve">1.4</t>
    </r>
    <r>
      <rPr>
        <sz val="10"/>
        <color rgb="FF000000"/>
        <rFont val="Noto Sans CJK SC"/>
        <family val="2"/>
      </rPr>
      <t xml:space="preserve">（與 </t>
    </r>
    <r>
      <rPr>
        <sz val="10"/>
        <color rgb="FF000000"/>
        <rFont val="Arial"/>
        <family val="0"/>
        <charset val="1"/>
      </rPr>
      <t xml:space="preserve">Hopper </t>
    </r>
    <r>
      <rPr>
        <sz val="10"/>
        <color rgb="FF000000"/>
        <rFont val="Noto Sans CJK SC"/>
        <family val="2"/>
      </rPr>
      <t xml:space="preserve">每卡同）</t>
    </r>
  </si>
  <si>
    <t xml:space="preserve">INP_099</t>
  </si>
  <si>
    <t xml:space="preserve">dom_card_mult</t>
  </si>
  <si>
    <r>
      <rPr>
        <sz val="10"/>
        <color rgb="FF000000"/>
        <rFont val="Noto Sans CJK SC"/>
        <family val="2"/>
      </rPr>
      <t xml:space="preserve">國產卡時租價倍數（</t>
    </r>
    <r>
      <rPr>
        <sz val="10"/>
        <color rgb="FF000000"/>
        <rFont val="Arial"/>
        <family val="0"/>
        <charset val="1"/>
      </rPr>
      <t xml:space="preserve">910B </t>
    </r>
    <r>
      <rPr>
        <sz val="10"/>
        <color rgb="FF000000"/>
        <rFont val="Noto Sans CJK SC"/>
        <family val="2"/>
      </rPr>
      <t xml:space="preserve">租價 → 推論集群實際卡別）</t>
    </r>
  </si>
  <si>
    <r>
      <rPr>
        <sz val="10"/>
        <color rgb="FF000000"/>
        <rFont val="Noto Sans CJK SC"/>
        <family val="2"/>
      </rPr>
      <t xml:space="preserve">規格 </t>
    </r>
    <r>
      <rPr>
        <sz val="10"/>
        <color rgb="FF000000"/>
        <rFont val="Arial"/>
        <family val="0"/>
        <charset val="1"/>
      </rPr>
      <t xml:space="preserve">D9r</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租價找不到 → 以 </t>
    </r>
    <r>
      <rPr>
        <sz val="10"/>
        <color rgb="FF000000"/>
        <rFont val="Arial"/>
        <family val="0"/>
        <charset val="1"/>
      </rPr>
      <t xml:space="preserve">910B </t>
    </r>
    <r>
      <rPr>
        <sz val="10"/>
        <color rgb="FF000000"/>
        <rFont val="Noto Sans CJK SC"/>
        <family val="2"/>
      </rPr>
      <t xml:space="preserve">租價 </t>
    </r>
    <r>
      <rPr>
        <sz val="10"/>
        <color rgb="FF000000"/>
        <rFont val="Arial"/>
        <family val="0"/>
        <charset val="1"/>
      </rPr>
      <t xml:space="preserve">× </t>
    </r>
    <r>
      <rPr>
        <sz val="10"/>
        <color rgb="FF000000"/>
        <rFont val="Noto Sans CJK SC"/>
        <family val="2"/>
      </rPr>
      <t xml:space="preserve">效能比；</t>
    </r>
    <r>
      <rPr>
        <sz val="10"/>
        <color rgb="FF000000"/>
        <rFont val="Arial"/>
        <family val="0"/>
        <charset val="1"/>
      </rPr>
      <t xml:space="preserve">910C </t>
    </r>
    <r>
      <rPr>
        <sz val="10"/>
        <color rgb="FF000000"/>
        <rFont val="Noto Sans CJK SC"/>
        <family val="2"/>
      </rPr>
      <t xml:space="preserve">為雙晶粒封裝，約當兩顆 </t>
    </r>
    <r>
      <rPr>
        <sz val="10"/>
        <color rgb="FF000000"/>
        <rFont val="Arial"/>
        <family val="0"/>
        <charset val="1"/>
      </rPr>
      <t xml:space="preserve">910B</t>
    </r>
    <r>
      <rPr>
        <sz val="10"/>
        <color rgb="FF000000"/>
        <rFont val="Noto Sans CJK SC"/>
        <family val="2"/>
      </rPr>
      <t xml:space="preserve">（倍數 </t>
    </r>
    <r>
      <rPr>
        <sz val="10"/>
        <color rgb="FF000000"/>
        <rFont val="Arial"/>
        <family val="0"/>
        <charset val="1"/>
      </rPr>
      <t xml:space="preserve">2</t>
    </r>
    <r>
      <rPr>
        <sz val="10"/>
        <color rgb="FF000000"/>
        <rFont val="Noto Sans CJK SC"/>
        <family val="2"/>
      </rPr>
      <t xml:space="preserve">）；</t>
    </r>
    <r>
      <rPr>
        <sz val="10"/>
        <color rgb="FF000000"/>
        <rFont val="Arial"/>
        <family val="0"/>
        <charset val="1"/>
      </rPr>
      <t xml:space="preserve">10 </t>
    </r>
    <r>
      <rPr>
        <sz val="10"/>
        <color rgb="FF000000"/>
        <rFont val="Noto Sans CJK SC"/>
        <family val="2"/>
      </rPr>
      <t xml:space="preserve">萬級集群的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組合未揭露，取中點</t>
    </r>
  </si>
  <si>
    <r>
      <rPr>
        <sz val="10"/>
        <color rgb="FF000000"/>
        <rFont val="Arial"/>
        <family val="0"/>
        <charset val="1"/>
      </rPr>
      <t xml:space="preserve">1.0</t>
    </r>
    <r>
      <rPr>
        <sz val="10"/>
        <color rgb="FF000000"/>
        <rFont val="Noto Sans CJK SC"/>
        <family val="2"/>
      </rPr>
      <t xml:space="preserve">（全為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（全為 </t>
    </r>
    <r>
      <rPr>
        <sz val="10"/>
        <color rgb="FF000000"/>
        <rFont val="Arial"/>
        <family val="0"/>
        <charset val="1"/>
      </rPr>
      <t xml:space="preserve">910C</t>
    </r>
    <r>
      <rPr>
        <sz val="10"/>
        <color rgb="FF000000"/>
        <rFont val="Noto Sans CJK SC"/>
        <family val="2"/>
      </rPr>
      <t xml:space="preserve">）</t>
    </r>
  </si>
  <si>
    <t xml:space="preserve">INP_100</t>
  </si>
  <si>
    <t xml:space="preserve">px_gw_chg</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</si>
  <si>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算力價格年變動率（</t>
    </r>
    <r>
      <rPr>
        <sz val="10"/>
        <color rgb="FF000000"/>
        <rFont val="Arial"/>
        <family val="0"/>
        <charset val="1"/>
      </rPr>
      <t xml:space="preserve">2H26 </t>
    </r>
    <r>
      <rPr>
        <sz val="10"/>
        <color rgb="FF000000"/>
        <rFont val="Noto Sans CJK SC"/>
        <family val="2"/>
      </rPr>
      <t xml:space="preserve">起）</t>
    </r>
  </si>
  <si>
    <r>
      <rPr>
        <sz val="10"/>
        <color rgb="FF000000"/>
        <rFont val="Noto Sans CJK SC"/>
        <family val="2"/>
      </rPr>
      <t xml:space="preserve">工作單 </t>
    </r>
    <r>
      <rPr>
        <sz val="10"/>
        <color rgb="FF000000"/>
        <rFont val="Arial"/>
        <family val="0"/>
        <charset val="1"/>
      </rPr>
      <t xml:space="preserve">Z3 </t>
    </r>
    <r>
      <rPr>
        <sz val="10"/>
        <color rgb="FF000000"/>
        <rFont val="Noto Sans CJK SC"/>
        <family val="2"/>
      </rPr>
      <t xml:space="preserve">預設（−</t>
    </r>
    <r>
      <rPr>
        <sz val="10"/>
        <color rgb="FF000000"/>
        <rFont val="Arial"/>
        <family val="0"/>
        <charset val="1"/>
      </rPr>
      <t xml:space="preserve">10%</t>
    </r>
    <r>
      <rPr>
        <sz val="10"/>
        <color rgb="FF000000"/>
        <rFont val="Noto Sans CJK SC"/>
        <family val="2"/>
      </rPr>
      <t xml:space="preserve">／年；−</t>
    </r>
    <r>
      <rPr>
        <sz val="10"/>
        <color rgb="FF000000"/>
        <rFont val="Arial"/>
        <family val="0"/>
        <charset val="1"/>
      </rPr>
      <t xml:space="preserve">25%</t>
    </r>
    <r>
      <rPr>
        <sz val="10"/>
        <color rgb="FF000000"/>
        <rFont val="Noto Sans CJK SC"/>
        <family val="2"/>
      </rPr>
      <t xml:space="preserve">～</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以半年 −</t>
    </r>
    <r>
      <rPr>
        <sz val="10"/>
        <color rgb="FF000000"/>
        <rFont val="Arial"/>
        <family val="0"/>
        <charset val="1"/>
      </rPr>
      <t xml:space="preserve">5% </t>
    </r>
    <r>
      <rPr>
        <sz val="10"/>
        <color rgb="FF000000"/>
        <rFont val="Noto Sans CJK SC"/>
        <family val="2"/>
      </rPr>
      <t xml:space="preserve">計（</t>
    </r>
    <r>
      <rPr>
        <sz val="10"/>
        <color rgb="FF000000"/>
        <rFont val="Arial"/>
        <family val="0"/>
        <charset val="1"/>
      </rPr>
      <t xml:space="preserve">÷ </t>
    </r>
    <r>
      <rPr>
        <sz val="10"/>
        <color rgb="FF000000"/>
        <rFont val="Noto Sans CJK SC"/>
        <family val="2"/>
      </rPr>
      <t xml:space="preserve">半年數）</t>
    </r>
  </si>
  <si>
    <t xml:space="preserve">INP_101</t>
  </si>
  <si>
    <t xml:space="preserve">pue</t>
  </si>
  <si>
    <r>
      <rPr>
        <sz val="10"/>
        <color rgb="FF000000"/>
        <rFont val="Arial"/>
        <family val="0"/>
        <charset val="1"/>
      </rPr>
      <t xml:space="preserve">PUE</t>
    </r>
    <r>
      <rPr>
        <sz val="10"/>
        <color rgb="FF000000"/>
        <rFont val="Noto Sans CJK SC"/>
        <family val="2"/>
      </rPr>
      <t xml:space="preserve">（設施電力 </t>
    </r>
    <r>
      <rPr>
        <sz val="10"/>
        <color rgb="FF000000"/>
        <rFont val="Arial"/>
        <family val="0"/>
        <charset val="1"/>
      </rPr>
      <t xml:space="preserve">÷ IT </t>
    </r>
    <r>
      <rPr>
        <sz val="10"/>
        <color rgb="FF000000"/>
        <rFont val="Noto Sans CJK SC"/>
        <family val="2"/>
      </rPr>
      <t xml:space="preserve">電力）</t>
    </r>
  </si>
  <si>
    <r>
      <rPr>
        <sz val="10"/>
        <color rgb="FF000000"/>
        <rFont val="Noto Sans CJK SC"/>
        <family val="2"/>
      </rPr>
      <t xml:space="preserve">工作單 </t>
    </r>
    <r>
      <rPr>
        <sz val="10"/>
        <color rgb="FF000000"/>
        <rFont val="Arial"/>
        <family val="0"/>
        <charset val="1"/>
      </rPr>
      <t xml:space="preserve">Z3 </t>
    </r>
    <r>
      <rPr>
        <sz val="10"/>
        <color rgb="FF000000"/>
        <rFont val="Noto Sans CJK SC"/>
        <family val="2"/>
      </rPr>
      <t xml:space="preserve">預設（中國資料中心 </t>
    </r>
    <r>
      <rPr>
        <sz val="10"/>
        <color rgb="FF000000"/>
        <rFont val="Arial"/>
        <family val="0"/>
        <charset val="1"/>
      </rPr>
      <t xml:space="preserve">1.3</t>
    </r>
    <r>
      <rPr>
        <sz val="10"/>
        <color rgb="FF000000"/>
        <rFont val="Noto Sans CJK SC"/>
        <family val="2"/>
      </rPr>
      <t xml:space="preserve">，</t>
    </r>
    <r>
      <rPr>
        <sz val="10"/>
        <color rgb="FF000000"/>
        <rFont val="Arial"/>
        <family val="0"/>
        <charset val="1"/>
      </rPr>
      <t xml:space="preserve">1.15–1.5</t>
    </r>
    <r>
      <rPr>
        <sz val="10"/>
        <color rgb="FF000000"/>
        <rFont val="Noto Sans CJK SC"/>
        <family val="2"/>
      </rPr>
      <t xml:space="preserve">）；用於『</t>
    </r>
    <r>
      <rPr>
        <sz val="10"/>
        <color rgb="FF000000"/>
        <rFont val="Arial"/>
        <family val="0"/>
        <charset val="1"/>
      </rPr>
      <t xml:space="preserve">1 GW </t>
    </r>
    <r>
      <rPr>
        <sz val="10"/>
        <color rgb="FF000000"/>
        <rFont val="Noto Sans CJK SC"/>
        <family val="2"/>
      </rPr>
      <t xml:space="preserve">國產算力資料中心』（</t>
    </r>
    <r>
      <rPr>
        <sz val="10"/>
        <color rgb="FF000000"/>
        <rFont val="Arial"/>
        <family val="0"/>
        <charset val="1"/>
      </rPr>
      <t xml:space="preserve">SRC_ZP_458</t>
    </r>
    <r>
      <rPr>
        <sz val="10"/>
        <color rgb="FF000000"/>
        <rFont val="Noto Sans CJK SC"/>
        <family val="2"/>
      </rPr>
      <t xml:space="preserve">，口徑未明，視為設施口徑）換算 </t>
    </r>
    <r>
      <rPr>
        <sz val="10"/>
        <color rgb="FF000000"/>
        <rFont val="Arial"/>
        <family val="0"/>
        <charset val="1"/>
      </rPr>
      <t xml:space="preserve">IT GW</t>
    </r>
  </si>
  <si>
    <t xml:space="preserve">INP_102</t>
  </si>
  <si>
    <t xml:space="preserve">inf_fee_share</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</si>
  <si>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銷售成本中的算力服務費占比（推論算力支出）</t>
    </r>
  </si>
  <si>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t>
    </r>
  </si>
  <si>
    <r>
      <rPr>
        <sz val="10"/>
        <color rgb="FF000000"/>
        <rFont val="Noto Sans CJK SC"/>
        <family val="2"/>
      </rPr>
      <t xml:space="preserve">規格 </t>
    </r>
    <r>
      <rPr>
        <sz val="10"/>
        <color rgb="FF000000"/>
        <rFont val="Arial"/>
        <family val="0"/>
        <charset val="1"/>
      </rPr>
      <t xml:space="preserve">D8r</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推論算力支出＝開放平台及 </t>
    </r>
    <r>
      <rPr>
        <sz val="10"/>
        <color rgb="FF000000"/>
        <rFont val="Arial"/>
        <family val="0"/>
        <charset val="1"/>
      </rPr>
      <t xml:space="preserve">API </t>
    </r>
    <r>
      <rPr>
        <sz val="10"/>
        <color rgb="FF000000"/>
        <rFont val="Noto Sans CJK SC"/>
        <family val="2"/>
      </rPr>
      <t xml:space="preserve">銷售成本（</t>
    </r>
    <r>
      <rPr>
        <sz val="10"/>
        <color rgb="FF000000"/>
        <rFont val="Arial"/>
        <family val="0"/>
        <charset val="1"/>
      </rPr>
      <t xml:space="preserve">SRC_ZP_197</t>
    </r>
    <r>
      <rPr>
        <sz val="10"/>
        <color rgb="FF000000"/>
        <rFont val="Noto Sans CJK SC"/>
        <family val="2"/>
      </rPr>
      <t xml:space="preserve">，</t>
    </r>
    <r>
      <rPr>
        <sz val="10"/>
        <color rgb="FF000000"/>
        <rFont val="Arial"/>
        <family val="0"/>
        <charset val="1"/>
      </rPr>
      <t xml:space="preserve">1.5438 </t>
    </r>
    <r>
      <rPr>
        <sz val="10"/>
        <color rgb="FF000000"/>
        <rFont val="Noto Sans CJK SC"/>
        <family val="2"/>
      </rPr>
      <t xml:space="preserve">億）視同全數算力費（上限）；下限＝</t>
    </r>
    <r>
      <rPr>
        <sz val="10"/>
        <color rgb="FF000000"/>
        <rFont val="Arial"/>
        <family val="0"/>
        <charset val="1"/>
      </rPr>
      <t xml:space="preserve">FY2024 </t>
    </r>
    <r>
      <rPr>
        <sz val="10"/>
        <color rgb="FF000000"/>
        <rFont val="Noto Sans CJK SC"/>
        <family val="2"/>
      </rPr>
      <t xml:space="preserve">銷售成本中算力費占比 </t>
    </r>
    <r>
      <rPr>
        <sz val="10"/>
        <color rgb="FF000000"/>
        <rFont val="Arial"/>
        <family val="0"/>
        <charset val="1"/>
      </rPr>
      <t xml:space="preserve">0.3017 ÷ 1.3653</t>
    </r>
    <r>
      <rPr>
        <sz val="10"/>
        <color rgb="FF000000"/>
        <rFont val="Noto Sans CJK SC"/>
        <family val="2"/>
      </rPr>
      <t xml:space="preserve">＝</t>
    </r>
    <r>
      <rPr>
        <sz val="10"/>
        <color rgb="FF000000"/>
        <rFont val="Arial"/>
        <family val="0"/>
        <charset val="1"/>
      </rPr>
      <t xml:space="preserve">0.22</t>
    </r>
    <r>
      <rPr>
        <sz val="10"/>
        <color rgb="FF000000"/>
        <rFont val="Noto Sans CJK SC"/>
        <family val="2"/>
      </rPr>
      <t xml:space="preserve">（</t>
    </r>
    <r>
      <rPr>
        <sz val="10"/>
        <color rgb="FF000000"/>
        <rFont val="Arial"/>
        <family val="0"/>
        <charset val="1"/>
      </rPr>
      <t xml:space="preserve">SRC_ZP_023</t>
    </r>
    <r>
      <rPr>
        <sz val="10"/>
        <color rgb="FF000000"/>
        <rFont val="Noto Sans CJK SC"/>
        <family val="2"/>
      </rPr>
      <t xml:space="preserve">、</t>
    </r>
    <r>
      <rPr>
        <sz val="10"/>
        <color rgb="FF000000"/>
        <rFont val="Arial"/>
        <family val="0"/>
        <charset val="1"/>
      </rPr>
      <t xml:space="preserve">018</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同法（</t>
    </r>
    <r>
      <rPr>
        <sz val="10"/>
        <color rgb="FF000000"/>
        <rFont val="Arial"/>
        <family val="0"/>
        <charset val="1"/>
      </rPr>
      <t xml:space="preserve">SRC_ZP_195</t>
    </r>
    <r>
      <rPr>
        <sz val="10"/>
        <color rgb="FF000000"/>
        <rFont val="Noto Sans CJK SC"/>
        <family val="2"/>
      </rPr>
      <t xml:space="preserve">）</t>
    </r>
  </si>
  <si>
    <r>
      <rPr>
        <sz val="10"/>
        <color rgb="FF000000"/>
        <rFont val="Arial"/>
        <family val="0"/>
        <charset val="1"/>
      </rPr>
      <t xml:space="preserve">D8r </t>
    </r>
    <r>
      <rPr>
        <sz val="10"/>
        <color rgb="FF000000"/>
        <rFont val="Noto Sans CJK SC"/>
        <family val="2"/>
      </rPr>
      <t xml:space="preserve">下限～上限</t>
    </r>
  </si>
  <si>
    <t xml:space="preserve">INP_103</t>
  </si>
  <si>
    <t xml:space="preserve">rd_compute_share</t>
  </si>
  <si>
    <t xml:space="preserve">研發開支（扣股權報酬）中的算力服務費占比</t>
  </si>
  <si>
    <r>
      <rPr>
        <sz val="10"/>
        <color rgb="FF000000"/>
        <rFont val="Noto Sans CJK SC"/>
        <family val="2"/>
      </rPr>
      <t xml:space="preserve">規格 </t>
    </r>
    <r>
      <rPr>
        <sz val="10"/>
        <color rgb="FF000000"/>
        <rFont val="Arial"/>
        <family val="0"/>
        <charset val="1"/>
      </rPr>
      <t xml:space="preserve">D10r</t>
    </r>
    <r>
      <rPr>
        <sz val="10"/>
        <color rgb="FF000000"/>
        <rFont val="Noto Sans CJK SC"/>
        <family val="2"/>
      </rPr>
      <t xml:space="preserve">：</t>
    </r>
    <r>
      <rPr>
        <sz val="10"/>
        <color rgb="FF000000"/>
        <rFont val="Arial"/>
        <family val="0"/>
        <charset val="1"/>
      </rPr>
      <t xml:space="preserve">FY2024 </t>
    </r>
    <r>
      <rPr>
        <sz val="10"/>
        <color rgb="FF000000"/>
        <rFont val="Noto Sans CJK SC"/>
        <family val="2"/>
      </rPr>
      <t xml:space="preserve">研發算力費 </t>
    </r>
    <r>
      <rPr>
        <sz val="10"/>
        <color rgb="FF000000"/>
        <rFont val="Arial"/>
        <family val="0"/>
        <charset val="1"/>
      </rPr>
      <t xml:space="preserve">15.52 </t>
    </r>
    <r>
      <rPr>
        <sz val="10"/>
        <color rgb="FF000000"/>
        <rFont val="Noto Sans CJK SC"/>
        <family val="2"/>
      </rPr>
      <t xml:space="preserve">億（</t>
    </r>
    <r>
      <rPr>
        <sz val="10"/>
        <color rgb="FF000000"/>
        <rFont val="Arial"/>
        <family val="0"/>
        <charset val="1"/>
      </rPr>
      <t xml:space="preserve">SRC_ZP_232</t>
    </r>
    <r>
      <rPr>
        <sz val="10"/>
        <color rgb="FF000000"/>
        <rFont val="Noto Sans CJK SC"/>
        <family val="2"/>
      </rPr>
      <t xml:space="preserve">，媒體轉述招股章程）</t>
    </r>
    <r>
      <rPr>
        <sz val="10"/>
        <color rgb="FF000000"/>
        <rFont val="Arial"/>
        <family val="0"/>
        <charset val="1"/>
      </rPr>
      <t xml:space="preserve">÷ </t>
    </r>
    <r>
      <rPr>
        <sz val="10"/>
        <color rgb="FF000000"/>
        <rFont val="Noto Sans CJK SC"/>
        <family val="2"/>
      </rPr>
      <t xml:space="preserve">研發開支 </t>
    </r>
    <r>
      <rPr>
        <sz val="10"/>
        <color rgb="FF000000"/>
        <rFont val="Arial"/>
        <family val="0"/>
        <charset val="1"/>
      </rPr>
      <t xml:space="preserve">21.95 </t>
    </r>
    <r>
      <rPr>
        <sz val="10"/>
        <color rgb="FF000000"/>
        <rFont val="Noto Sans CJK SC"/>
        <family val="2"/>
      </rPr>
      <t xml:space="preserve">億（</t>
    </r>
    <r>
      <rPr>
        <sz val="10"/>
        <color rgb="FF000000"/>
        <rFont val="Arial"/>
        <family val="0"/>
        <charset val="1"/>
      </rPr>
      <t xml:space="preserve">SRC_ZP_048</t>
    </r>
    <r>
      <rPr>
        <sz val="10"/>
        <color rgb="FF000000"/>
        <rFont val="Noto Sans CJK SC"/>
        <family val="2"/>
      </rPr>
      <t xml:space="preserve">）＝</t>
    </r>
    <r>
      <rPr>
        <sz val="10"/>
        <color rgb="FF000000"/>
        <rFont val="Arial"/>
        <family val="0"/>
        <charset val="1"/>
      </rPr>
      <t xml:space="preserve">0.707</t>
    </r>
    <r>
      <rPr>
        <sz val="10"/>
        <color rgb="FF000000"/>
        <rFont val="Noto Sans CJK SC"/>
        <family val="2"/>
      </rPr>
      <t xml:space="preserve">；</t>
    </r>
    <r>
      <rPr>
        <sz val="10"/>
        <color rgb="FF000000"/>
        <rFont val="Arial"/>
        <family val="0"/>
        <charset val="1"/>
      </rPr>
      <t xml:space="preserve">FY2025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未揭露；</t>
    </r>
    <r>
      <rPr>
        <sz val="10"/>
        <color rgb="FF000000"/>
        <rFont val="Arial"/>
        <family val="0"/>
        <charset val="1"/>
      </rPr>
      <t xml:space="preserve">1H25 </t>
    </r>
    <r>
      <rPr>
        <sz val="10"/>
        <color rgb="FF000000"/>
        <rFont val="Noto Sans CJK SC"/>
        <family val="2"/>
      </rPr>
      <t xml:space="preserve">媒體稱 ≥</t>
    </r>
    <r>
      <rPr>
        <sz val="10"/>
        <color rgb="FF000000"/>
        <rFont val="Arial"/>
        <family val="0"/>
        <charset val="1"/>
      </rPr>
      <t xml:space="preserve">70%</t>
    </r>
    <r>
      <rPr>
        <sz val="10"/>
        <color rgb="FF000000"/>
        <rFont val="Noto Sans CJK SC"/>
        <family val="2"/>
      </rPr>
      <t xml:space="preserve">（</t>
    </r>
    <r>
      <rPr>
        <sz val="10"/>
        <color rgb="FF000000"/>
        <rFont val="Arial"/>
        <family val="0"/>
        <charset val="1"/>
      </rPr>
      <t xml:space="preserve">SRC_ZP_234</t>
    </r>
    <r>
      <rPr>
        <sz val="10"/>
        <color rgb="FF000000"/>
        <rFont val="Noto Sans CJK SC"/>
        <family val="2"/>
      </rPr>
      <t xml:space="preserve">）</t>
    </r>
  </si>
  <si>
    <r>
      <rPr>
        <sz val="10"/>
        <color rgb="FF000000"/>
        <rFont val="Noto Sans CJK SC"/>
        <family val="2"/>
      </rPr>
      <t xml:space="preserve">規格 </t>
    </r>
    <r>
      <rPr>
        <sz val="10"/>
        <color rgb="FF000000"/>
        <rFont val="Arial"/>
        <family val="0"/>
        <charset val="1"/>
      </rPr>
      <t xml:space="preserve">D10r</t>
    </r>
    <r>
      <rPr>
        <sz val="10"/>
        <color rgb="FF000000"/>
        <rFont val="Noto Sans CJK SC"/>
        <family val="2"/>
      </rPr>
      <t xml:space="preserve">（</t>
    </r>
    <r>
      <rPr>
        <sz val="10"/>
        <color rgb="FF000000"/>
        <rFont val="Arial"/>
        <family val="0"/>
        <charset val="1"/>
      </rPr>
      <t xml:space="preserve">60–80%</t>
    </r>
    <r>
      <rPr>
        <sz val="10"/>
        <color rgb="FF000000"/>
        <rFont val="Noto Sans CJK SC"/>
        <family val="2"/>
      </rPr>
      <t xml:space="preserve">）</t>
    </r>
  </si>
  <si>
    <t xml:space="preserve">INP_104</t>
  </si>
  <si>
    <t xml:space="preserve">sbc_rd_share</t>
  </si>
  <si>
    <t xml:space="preserve">股權報酬中歸研發開支的比例</t>
  </si>
  <si>
    <r>
      <rPr>
        <sz val="10"/>
        <color rgb="FF000000"/>
        <rFont val="Noto Sans CJK SC"/>
        <family val="2"/>
      </rPr>
      <t xml:space="preserve">研發人員占員工 </t>
    </r>
    <r>
      <rPr>
        <sz val="10"/>
        <color rgb="FF000000"/>
        <rFont val="Arial"/>
        <family val="0"/>
        <charset val="1"/>
      </rPr>
      <t xml:space="preserve">74.4%</t>
    </r>
    <r>
      <rPr>
        <sz val="10"/>
        <color rgb="FF000000"/>
        <rFont val="Noto Sans CJK SC"/>
        <family val="2"/>
      </rPr>
      <t xml:space="preserve">（</t>
    </r>
    <r>
      <rPr>
        <sz val="10"/>
        <color rgb="FF000000"/>
        <rFont val="Arial"/>
        <family val="0"/>
        <charset val="1"/>
      </rPr>
      <t xml:space="preserve">SRC_ZP_240</t>
    </r>
    <r>
      <rPr>
        <sz val="10"/>
        <color rgb="FF000000"/>
        <rFont val="Noto Sans CJK SC"/>
        <family val="2"/>
      </rPr>
      <t xml:space="preserve">，</t>
    </r>
    <r>
      <rPr>
        <sz val="10"/>
        <color rgb="FF000000"/>
        <rFont val="Arial"/>
        <family val="0"/>
        <charset val="1"/>
      </rPr>
      <t xml:space="preserve">2025-06-30</t>
    </r>
    <r>
      <rPr>
        <sz val="10"/>
        <color rgb="FF000000"/>
        <rFont val="Noto Sans CJK SC"/>
        <family val="2"/>
      </rPr>
      <t xml:space="preserve">）；股權報酬依功能別拆分未揭露</t>
    </r>
  </si>
  <si>
    <t xml:space="preserve">INP_105</t>
  </si>
  <si>
    <t xml:space="preserve">eta_sw</t>
  </si>
  <si>
    <r>
      <rPr>
        <sz val="10"/>
        <color rgb="FF000000"/>
        <rFont val="Arial"/>
        <family val="0"/>
        <charset val="1"/>
      </rPr>
      <t xml:space="preserve">η&gt;1 </t>
    </r>
    <r>
      <rPr>
        <sz val="10"/>
        <color rgb="FF000000"/>
        <rFont val="Noto Sans CJK SC"/>
        <family val="2"/>
      </rPr>
      <t xml:space="preserve">時的情境開關（</t>
    </r>
    <r>
      <rPr>
        <sz val="10"/>
        <color rgb="FF000000"/>
        <rFont val="Arial"/>
        <family val="0"/>
        <charset val="1"/>
      </rPr>
      <t xml:space="preserve">0</t>
    </r>
    <r>
      <rPr>
        <sz val="10"/>
        <color rgb="FF000000"/>
        <rFont val="Noto Sans CJK SC"/>
        <family val="2"/>
      </rPr>
      <t xml:space="preserve">＝沿用 </t>
    </r>
    <r>
      <rPr>
        <sz val="10"/>
        <color rgb="FF000000"/>
        <rFont val="Arial"/>
        <family val="0"/>
        <charset val="1"/>
      </rPr>
      <t xml:space="preserve">1H26 </t>
    </r>
    <r>
      <rPr>
        <sz val="10"/>
        <color rgb="FF000000"/>
        <rFont val="Noto Sans CJK SC"/>
        <family val="2"/>
      </rPr>
      <t xml:space="preserve">校準值；</t>
    </r>
    <r>
      <rPr>
        <sz val="10"/>
        <color rgb="FF000000"/>
        <rFont val="Arial"/>
        <family val="0"/>
        <charset val="1"/>
      </rPr>
      <t xml:space="preserve">1</t>
    </r>
    <r>
      <rPr>
        <sz val="10"/>
        <color rgb="FF000000"/>
        <rFont val="Noto Sans CJK SC"/>
        <family val="2"/>
      </rPr>
      <t xml:space="preserve">＝線性收斂至目標 </t>
    </r>
    <r>
      <rPr>
        <sz val="10"/>
        <color rgb="FF000000"/>
        <rFont val="Arial"/>
        <family val="0"/>
        <charset val="1"/>
      </rPr>
      <t xml:space="preserve">1</t>
    </r>
    <r>
      <rPr>
        <sz val="10"/>
        <color rgb="FF000000"/>
        <rFont val="Noto Sans CJK SC"/>
        <family val="2"/>
      </rPr>
      <t xml:space="preserve">）</t>
    </r>
  </si>
  <si>
    <t xml:space="preserve">開關</t>
  </si>
  <si>
    <r>
      <rPr>
        <sz val="10"/>
        <color rgb="FF000000"/>
        <rFont val="Noto Sans CJK SC"/>
        <family val="2"/>
      </rPr>
      <t xml:space="preserve">工作單 </t>
    </r>
    <r>
      <rPr>
        <sz val="10"/>
        <color rgb="FF000000"/>
        <rFont val="Arial"/>
        <family val="0"/>
        <charset val="1"/>
      </rPr>
      <t xml:space="preserve">Z3b F2</t>
    </r>
    <r>
      <rPr>
        <sz val="10"/>
        <color rgb="FF000000"/>
        <rFont val="Noto Sans CJK SC"/>
        <family val="2"/>
      </rPr>
      <t xml:space="preserve">：校準 </t>
    </r>
    <r>
      <rPr>
        <sz val="10"/>
        <color rgb="FF000000"/>
        <rFont val="Arial"/>
        <family val="0"/>
        <charset val="1"/>
      </rPr>
      <t xml:space="preserve">η &gt; 1 </t>
    </r>
    <r>
      <rPr>
        <sz val="10"/>
        <color rgb="FF000000"/>
        <rFont val="Noto Sans CJK SC"/>
        <family val="2"/>
      </rPr>
      <t xml:space="preserve">時基準沿用 </t>
    </r>
    <r>
      <rPr>
        <sz val="10"/>
        <color rgb="FF000000"/>
        <rFont val="Arial"/>
        <family val="0"/>
        <charset val="1"/>
      </rPr>
      <t xml:space="preserve">1H26 </t>
    </r>
    <r>
      <rPr>
        <sz val="10"/>
        <color rgb="FF000000"/>
        <rFont val="Noto Sans CJK SC"/>
        <family val="2"/>
      </rPr>
      <t xml:space="preserve">值（『回升至 </t>
    </r>
    <r>
      <rPr>
        <sz val="10"/>
        <color rgb="FF000000"/>
        <rFont val="Arial"/>
        <family val="0"/>
        <charset val="1"/>
      </rPr>
      <t xml:space="preserve">1</t>
    </r>
    <r>
      <rPr>
        <sz val="10"/>
        <color rgb="FF000000"/>
        <rFont val="Noto Sans CJK SC"/>
        <family val="2"/>
      </rPr>
      <t xml:space="preserve">』在 </t>
    </r>
    <r>
      <rPr>
        <sz val="10"/>
        <color rgb="FF000000"/>
        <rFont val="Arial"/>
        <family val="0"/>
        <charset val="1"/>
      </rPr>
      <t xml:space="preserve">η&gt;1 </t>
    </r>
    <r>
      <rPr>
        <sz val="10"/>
        <color rgb="FF000000"/>
        <rFont val="Noto Sans CJK SC"/>
        <family val="2"/>
      </rPr>
      <t xml:space="preserve">時等於無依據的效率衰退），情境收斂至 </t>
    </r>
    <r>
      <rPr>
        <sz val="10"/>
        <color rgb="FF000000"/>
        <rFont val="Arial"/>
        <family val="0"/>
        <charset val="1"/>
      </rPr>
      <t xml:space="preserve">1 </t>
    </r>
    <r>
      <rPr>
        <sz val="10"/>
        <color rgb="FF000000"/>
        <rFont val="Noto Sans CJK SC"/>
        <family val="2"/>
      </rPr>
      <t xml:space="preserve">並列；</t>
    </r>
    <r>
      <rPr>
        <sz val="10"/>
        <color rgb="FF000000"/>
        <rFont val="Arial"/>
        <family val="0"/>
        <charset val="1"/>
      </rPr>
      <t xml:space="preserve">η ≤ 1 </t>
    </r>
    <r>
      <rPr>
        <sz val="10"/>
        <color rgb="FF000000"/>
        <rFont val="Noto Sans CJK SC"/>
        <family val="2"/>
      </rPr>
      <t xml:space="preserve">時改用 </t>
    </r>
    <r>
      <rPr>
        <sz val="10"/>
        <color rgb="FF000000"/>
        <rFont val="Arial"/>
        <family val="0"/>
        <charset val="1"/>
      </rPr>
      <t xml:space="preserve">eta_up_sw</t>
    </r>
    <r>
      <rPr>
        <sz val="10"/>
        <color rgb="FF000000"/>
        <rFont val="Noto Sans CJK SC"/>
        <family val="2"/>
      </rPr>
      <t xml:space="preserve">（同 </t>
    </r>
    <r>
      <rPr>
        <sz val="10"/>
        <color rgb="FF000000"/>
        <rFont val="Arial"/>
        <family val="0"/>
        <charset val="1"/>
      </rPr>
      <t xml:space="preserve">OpenAI v0.6 INP_258 </t>
    </r>
    <r>
      <rPr>
        <sz val="10"/>
        <color rgb="FF000000"/>
        <rFont val="Noto Sans CJK SC"/>
        <family val="2"/>
      </rPr>
      <t xml:space="preserve">回升路徑）</t>
    </r>
  </si>
  <si>
    <t xml:space="preserve">INP_121</t>
  </si>
  <si>
    <t xml:space="preserve">eta_up_sw</t>
  </si>
  <si>
    <r>
      <rPr>
        <sz val="10"/>
        <color rgb="FF000000"/>
        <rFont val="Arial"/>
        <family val="0"/>
        <charset val="1"/>
      </rPr>
      <t xml:space="preserve">η ≤ 1 </t>
    </r>
    <r>
      <rPr>
        <sz val="10"/>
        <color rgb="FF000000"/>
        <rFont val="Noto Sans CJK SC"/>
        <family val="2"/>
      </rPr>
      <t xml:space="preserve">時的路徑開關（</t>
    </r>
    <r>
      <rPr>
        <sz val="10"/>
        <color rgb="FF000000"/>
        <rFont val="Arial"/>
        <family val="0"/>
        <charset val="1"/>
      </rPr>
      <t xml:space="preserve">1</t>
    </r>
    <r>
      <rPr>
        <sz val="10"/>
        <color rgb="FF000000"/>
        <rFont val="Noto Sans CJK SC"/>
        <family val="2"/>
      </rPr>
      <t xml:space="preserve">＝線性回升至目標，同 </t>
    </r>
    <r>
      <rPr>
        <sz val="10"/>
        <color rgb="FF000000"/>
        <rFont val="Arial"/>
        <family val="0"/>
        <charset val="1"/>
      </rPr>
      <t xml:space="preserve">OpenAI v0.6</t>
    </r>
    <r>
      <rPr>
        <sz val="10"/>
        <color rgb="FF000000"/>
        <rFont val="Noto Sans CJK SC"/>
        <family val="2"/>
      </rPr>
      <t xml:space="preserve">）</t>
    </r>
  </si>
  <si>
    <r>
      <rPr>
        <sz val="10"/>
        <color rgb="FF000000"/>
        <rFont val="Noto Sans CJK SC"/>
        <family val="2"/>
      </rPr>
      <t xml:space="preserve">工作單 </t>
    </r>
    <r>
      <rPr>
        <sz val="10"/>
        <color rgb="FF000000"/>
        <rFont val="Arial"/>
        <family val="0"/>
        <charset val="1"/>
      </rPr>
      <t xml:space="preserve">Z3b F2</t>
    </r>
    <r>
      <rPr>
        <sz val="10"/>
        <color rgb="FF000000"/>
        <rFont val="Noto Sans CJK SC"/>
        <family val="2"/>
      </rPr>
      <t xml:space="preserve">：校準 </t>
    </r>
    <r>
      <rPr>
        <sz val="10"/>
        <color rgb="FF000000"/>
        <rFont val="Arial"/>
        <family val="0"/>
        <charset val="1"/>
      </rPr>
      <t xml:space="preserve">η ≤ 1 → </t>
    </r>
    <r>
      <rPr>
        <sz val="10"/>
        <color rgb="FF000000"/>
        <rFont val="Noto Sans CJK SC"/>
        <family val="2"/>
      </rPr>
      <t xml:space="preserve">同 </t>
    </r>
    <r>
      <rPr>
        <sz val="10"/>
        <color rgb="FF000000"/>
        <rFont val="Arial"/>
        <family val="0"/>
        <charset val="1"/>
      </rPr>
      <t xml:space="preserve">OpenAI</t>
    </r>
    <r>
      <rPr>
        <sz val="10"/>
        <color rgb="FF000000"/>
        <rFont val="Noto Sans CJK SC"/>
        <family val="2"/>
      </rPr>
      <t xml:space="preserve">（線性回升至 </t>
    </r>
    <r>
      <rPr>
        <sz val="10"/>
        <color rgb="FF000000"/>
        <rFont val="Arial"/>
        <family val="0"/>
        <charset val="1"/>
      </rPr>
      <t xml:space="preserve">2030</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t>
    </r>
  </si>
  <si>
    <t xml:space="preserve">INP_106</t>
  </si>
  <si>
    <t xml:space="preserve">eta_target</t>
  </si>
  <si>
    <r>
      <rPr>
        <sz val="10"/>
        <color rgb="FF000000"/>
        <rFont val="Arial"/>
        <family val="0"/>
        <charset val="1"/>
      </rPr>
      <t xml:space="preserve">η </t>
    </r>
    <r>
      <rPr>
        <sz val="10"/>
        <color rgb="FF000000"/>
        <rFont val="Noto Sans CJK SC"/>
        <family val="2"/>
      </rPr>
      <t xml:space="preserve">回升情境：目標值</t>
    </r>
  </si>
  <si>
    <r>
      <rPr>
        <sz val="10"/>
        <color rgb="FF000000"/>
        <rFont val="Noto Sans CJK SC"/>
        <family val="2"/>
      </rPr>
      <t xml:space="preserve">規格 </t>
    </r>
    <r>
      <rPr>
        <sz val="10"/>
        <color rgb="FF000000"/>
        <rFont val="Arial"/>
        <family val="0"/>
        <charset val="1"/>
      </rPr>
      <t xml:space="preserve">D8</t>
    </r>
    <r>
      <rPr>
        <sz val="10"/>
        <color rgb="FF000000"/>
        <rFont val="Noto Sans CJK SC"/>
        <family val="2"/>
      </rPr>
      <t xml:space="preserve">（同 </t>
    </r>
    <r>
      <rPr>
        <sz val="10"/>
        <color rgb="FF000000"/>
        <rFont val="Arial"/>
        <family val="0"/>
        <charset val="1"/>
      </rPr>
      <t xml:space="preserve">OpenAI v0.6 INP_259</t>
    </r>
    <r>
      <rPr>
        <sz val="10"/>
        <color rgb="FF000000"/>
        <rFont val="Noto Sans CJK SC"/>
        <family val="2"/>
      </rPr>
      <t xml:space="preserve">）</t>
    </r>
  </si>
  <si>
    <t xml:space="preserve">INP_107</t>
  </si>
  <si>
    <t xml:space="preserve">eta_target_year</t>
  </si>
  <si>
    <r>
      <rPr>
        <sz val="10"/>
        <color rgb="FF000000"/>
        <rFont val="Arial"/>
        <family val="0"/>
        <charset val="1"/>
      </rPr>
      <t xml:space="preserve">η </t>
    </r>
    <r>
      <rPr>
        <sz val="10"/>
        <color rgb="FF000000"/>
        <rFont val="Noto Sans CJK SC"/>
        <family val="2"/>
      </rPr>
      <t xml:space="preserve">回升情境：目標年</t>
    </r>
  </si>
  <si>
    <r>
      <rPr>
        <sz val="10"/>
        <color rgb="FF000000"/>
        <rFont val="Noto Sans CJK SC"/>
        <family val="2"/>
      </rPr>
      <t xml:space="preserve">規格 </t>
    </r>
    <r>
      <rPr>
        <sz val="10"/>
        <color rgb="FF000000"/>
        <rFont val="Arial"/>
        <family val="0"/>
        <charset val="1"/>
      </rPr>
      <t xml:space="preserve">D8</t>
    </r>
    <r>
      <rPr>
        <sz val="10"/>
        <color rgb="FF000000"/>
        <rFont val="Noto Sans CJK SC"/>
        <family val="2"/>
      </rPr>
      <t xml:space="preserve">（同 </t>
    </r>
    <r>
      <rPr>
        <sz val="10"/>
        <color rgb="FF000000"/>
        <rFont val="Arial"/>
        <family val="0"/>
        <charset val="1"/>
      </rPr>
      <t xml:space="preserve">OpenAI v0.6 INP_260</t>
    </r>
    <r>
      <rPr>
        <sz val="10"/>
        <color rgb="FF000000"/>
        <rFont val="Noto Sans CJK SC"/>
        <family val="2"/>
      </rPr>
      <t xml:space="preserve">）</t>
    </r>
  </si>
  <si>
    <t xml:space="preserve">INP_108</t>
  </si>
  <si>
    <t xml:space="preserve">idle</t>
  </si>
  <si>
    <t xml:space="preserve">閒置保留比例</t>
  </si>
  <si>
    <r>
      <rPr>
        <sz val="10"/>
        <color rgb="FF000000"/>
        <rFont val="Arial"/>
        <family val="0"/>
        <charset val="1"/>
      </rPr>
      <t xml:space="preserve">OpenAI v0.6 INP_232</t>
    </r>
    <r>
      <rPr>
        <sz val="10"/>
        <color rgb="FF000000"/>
        <rFont val="Noto Sans CJK SC"/>
        <family val="2"/>
      </rPr>
      <t xml:space="preserve">（</t>
    </r>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v0.5 computeMW.idleReserve</t>
    </r>
    <r>
      <rPr>
        <sz val="10"/>
        <color rgb="FF000000"/>
        <rFont val="Noto Sans CJK SC"/>
        <family val="2"/>
      </rPr>
      <t xml:space="preserve">，</t>
    </r>
    <r>
      <rPr>
        <sz val="10"/>
        <color rgb="FF000000"/>
        <rFont val="Arial"/>
        <family val="0"/>
        <charset val="1"/>
      </rPr>
      <t xml:space="preserve">OpenAI </t>
    </r>
    <r>
      <rPr>
        <sz val="10"/>
        <color rgb="FF000000"/>
        <rFont val="Noto Sans CJK SC"/>
        <family val="2"/>
      </rPr>
      <t xml:space="preserve">無區間）；工作單：沿用 </t>
    </r>
    <r>
      <rPr>
        <sz val="10"/>
        <color rgb="FF000000"/>
        <rFont val="Arial"/>
        <family val="0"/>
        <charset val="1"/>
      </rPr>
      <t xml:space="preserve">OpenAI </t>
    </r>
    <r>
      <rPr>
        <sz val="10"/>
        <color rgb="FF000000"/>
        <rFont val="Noto Sans CJK SC"/>
        <family val="2"/>
      </rPr>
      <t xml:space="preserve">同名 </t>
    </r>
    <r>
      <rPr>
        <sz val="10"/>
        <color rgb="FF000000"/>
        <rFont val="Arial"/>
        <family val="0"/>
        <charset val="1"/>
      </rPr>
      <t xml:space="preserve">Inputs </t>
    </r>
    <r>
      <rPr>
        <sz val="10"/>
        <color rgb="FF000000"/>
        <rFont val="Noto Sans CJK SC"/>
        <family val="2"/>
      </rPr>
      <t xml:space="preserve">的值；區間為本模型補</t>
    </r>
  </si>
  <si>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（本模型補）</t>
    </r>
  </si>
  <si>
    <t xml:space="preserve">INP_109</t>
  </si>
  <si>
    <t xml:space="preserve">min_train</t>
  </si>
  <si>
    <t xml:space="preserve">訓練最低占比</t>
  </si>
  <si>
    <r>
      <rPr>
        <sz val="10"/>
        <color rgb="FF000000"/>
        <rFont val="Arial"/>
        <family val="0"/>
        <charset val="1"/>
      </rPr>
      <t xml:space="preserve">OpenAI v0.6 INP_233</t>
    </r>
    <r>
      <rPr>
        <sz val="10"/>
        <color rgb="FF000000"/>
        <rFont val="Noto Sans CJK SC"/>
        <family val="2"/>
      </rPr>
      <t xml:space="preserve">（</t>
    </r>
    <r>
      <rPr>
        <sz val="10"/>
        <color rgb="FF000000"/>
        <rFont val="Arial"/>
        <family val="0"/>
        <charset val="1"/>
      </rPr>
      <t xml:space="preserve">0.3</t>
    </r>
    <r>
      <rPr>
        <sz val="10"/>
        <color rgb="FF000000"/>
        <rFont val="Noto Sans CJK SC"/>
        <family val="2"/>
      </rPr>
      <t xml:space="preserve">；</t>
    </r>
    <r>
      <rPr>
        <sz val="10"/>
        <color rgb="FF000000"/>
        <rFont val="Arial"/>
        <family val="0"/>
        <charset val="1"/>
      </rPr>
      <t xml:space="preserve">v0.5 computeMW.minTrainingShare</t>
    </r>
    <r>
      <rPr>
        <sz val="10"/>
        <color rgb="FF000000"/>
        <rFont val="Noto Sans CJK SC"/>
        <family val="2"/>
      </rPr>
      <t xml:space="preserve">，</t>
    </r>
    <r>
      <rPr>
        <sz val="10"/>
        <color rgb="FF000000"/>
        <rFont val="Arial"/>
        <family val="0"/>
        <charset val="1"/>
      </rPr>
      <t xml:space="preserve">V1a </t>
    </r>
    <r>
      <rPr>
        <sz val="10"/>
        <color rgb="FF000000"/>
        <rFont val="Noto Sans CJK SC"/>
        <family val="2"/>
      </rPr>
      <t xml:space="preserve">容量上限，</t>
    </r>
    <r>
      <rPr>
        <sz val="10"/>
        <color rgb="FF000000"/>
        <rFont val="Arial"/>
        <family val="0"/>
        <charset val="1"/>
      </rPr>
      <t xml:space="preserve">OpenAI </t>
    </r>
    <r>
      <rPr>
        <sz val="10"/>
        <color rgb="FF000000"/>
        <rFont val="Noto Sans CJK SC"/>
        <family val="2"/>
      </rPr>
      <t xml:space="preserve">無區間）；區間為本模型補</t>
    </r>
  </si>
  <si>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0.4</t>
    </r>
    <r>
      <rPr>
        <sz val="10"/>
        <color rgb="FF000000"/>
        <rFont val="Noto Sans CJK SC"/>
        <family val="2"/>
      </rPr>
      <t xml:space="preserve">（本模型補）</t>
    </r>
  </si>
  <si>
    <t xml:space="preserve">INP_120</t>
  </si>
  <si>
    <t xml:space="preserve">rd_share_sw</t>
  </si>
  <si>
    <r>
      <rPr>
        <sz val="10"/>
        <color rgb="FF000000"/>
        <rFont val="Noto Sans CJK SC"/>
        <family val="2"/>
      </rPr>
      <t xml:space="preserve">研發占比路徑開關（</t>
    </r>
    <r>
      <rPr>
        <sz val="10"/>
        <color rgb="FF000000"/>
        <rFont val="Arial"/>
        <family val="0"/>
        <charset val="1"/>
      </rPr>
      <t xml:space="preserve">0</t>
    </r>
    <r>
      <rPr>
        <sz val="10"/>
        <color rgb="FF000000"/>
        <rFont val="Noto Sans CJK SC"/>
        <family val="2"/>
      </rPr>
      <t xml:space="preserve">＝沿用 </t>
    </r>
    <r>
      <rPr>
        <sz val="10"/>
        <color rgb="FF000000"/>
        <rFont val="Arial"/>
        <family val="0"/>
        <charset val="1"/>
      </rPr>
      <t xml:space="preserve">1H26 </t>
    </r>
    <r>
      <rPr>
        <sz val="10"/>
        <color rgb="FF000000"/>
        <rFont val="Noto Sans CJK SC"/>
        <family val="2"/>
      </rPr>
      <t xml:space="preserve">實際值；</t>
    </r>
    <r>
      <rPr>
        <sz val="10"/>
        <color rgb="FF000000"/>
        <rFont val="Arial"/>
        <family val="0"/>
        <charset val="1"/>
      </rPr>
      <t xml:space="preserve">1</t>
    </r>
    <r>
      <rPr>
        <sz val="10"/>
        <color rgb="FF000000"/>
        <rFont val="Noto Sans CJK SC"/>
        <family val="2"/>
      </rPr>
      <t xml:space="preserve">＝線性移至 </t>
    </r>
    <r>
      <rPr>
        <sz val="10"/>
        <color rgb="FF000000"/>
        <rFont val="Arial"/>
        <family val="0"/>
        <charset val="1"/>
      </rPr>
      <t xml:space="preserve">2030 </t>
    </r>
    <r>
      <rPr>
        <sz val="10"/>
        <color rgb="FF000000"/>
        <rFont val="Noto Sans CJK SC"/>
        <family val="2"/>
      </rPr>
      <t xml:space="preserve">目標）</t>
    </r>
  </si>
  <si>
    <r>
      <rPr>
        <sz val="10"/>
        <color rgb="FF000000"/>
        <rFont val="Arial"/>
        <family val="0"/>
        <charset val="1"/>
      </rPr>
      <t xml:space="preserve">2H26 </t>
    </r>
    <r>
      <rPr>
        <sz val="10"/>
        <color rgb="FF000000"/>
        <rFont val="Noto Sans CJK SC"/>
        <family val="2"/>
      </rPr>
      <t xml:space="preserve">起供給依需求配置（規格未定；見報告已套用的預設）：供給＝有效推論 </t>
    </r>
    <r>
      <rPr>
        <sz val="10"/>
        <color rgb="FF000000"/>
        <rFont val="Arial"/>
        <family val="0"/>
        <charset val="1"/>
      </rPr>
      <t xml:space="preserve">GW ÷</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閒置</t>
    </r>
    <r>
      <rPr>
        <sz val="10"/>
        <color rgb="FF000000"/>
        <rFont val="Arial"/>
        <family val="0"/>
        <charset val="1"/>
      </rPr>
      <t xml:space="preserve">)×(1−</t>
    </r>
    <r>
      <rPr>
        <sz val="10"/>
        <color rgb="FF000000"/>
        <rFont val="Noto Sans CJK SC"/>
        <family val="2"/>
      </rPr>
      <t xml:space="preserve">研發占比</t>
    </r>
    <r>
      <rPr>
        <sz val="10"/>
        <color rgb="FF000000"/>
        <rFont val="Arial"/>
        <family val="0"/>
        <charset val="1"/>
      </rPr>
      <t xml:space="preserve">)</t>
    </r>
    <r>
      <rPr>
        <sz val="10"/>
        <color rgb="FF000000"/>
        <rFont val="Noto Sans CJK SC"/>
        <family val="2"/>
      </rPr>
      <t xml:space="preserve">）；基準沿用最新實際值（</t>
    </r>
    <r>
      <rPr>
        <sz val="10"/>
        <color rgb="FF000000"/>
        <rFont val="Arial"/>
        <family val="0"/>
        <charset val="1"/>
      </rPr>
      <t xml:space="preserve">r2 P1 </t>
    </r>
    <r>
      <rPr>
        <sz val="10"/>
        <color rgb="FF000000"/>
        <rFont val="Noto Sans CJK SC"/>
        <family val="2"/>
      </rPr>
      <t xml:space="preserve">起：</t>
    </r>
    <r>
      <rPr>
        <sz val="10"/>
        <color rgb="FF000000"/>
        <rFont val="Arial"/>
        <family val="0"/>
        <charset val="1"/>
      </rPr>
      <t xml:space="preserve">1H26 </t>
    </r>
    <r>
      <rPr>
        <sz val="10"/>
        <color rgb="FF000000"/>
        <rFont val="Noto Sans CJK SC"/>
        <family val="2"/>
      </rPr>
      <t xml:space="preserve">研發 </t>
    </r>
    <r>
      <rPr>
        <sz val="10"/>
        <color rgb="FF000000"/>
        <rFont val="Arial"/>
        <family val="0"/>
        <charset val="1"/>
      </rPr>
      <t xml:space="preserve">GW </t>
    </r>
    <r>
      <rPr>
        <sz val="10"/>
        <color rgb="FF000000"/>
        <rFont val="Noto Sans CJK SC"/>
        <family val="2"/>
      </rPr>
      <t xml:space="preserve">殘差 </t>
    </r>
    <r>
      <rPr>
        <sz val="10"/>
        <color rgb="FF000000"/>
        <rFont val="Arial"/>
        <family val="0"/>
        <charset val="1"/>
      </rPr>
      <t xml:space="preserve">÷ </t>
    </r>
    <r>
      <rPr>
        <sz val="10"/>
        <color rgb="FF000000"/>
        <rFont val="Noto Sans CJK SC"/>
        <family val="2"/>
      </rPr>
      <t xml:space="preserve">供給；</t>
    </r>
    <r>
      <rPr>
        <sz val="10"/>
        <color rgb="FF000000"/>
        <rFont val="Arial"/>
        <family val="0"/>
        <charset val="1"/>
      </rPr>
      <t xml:space="preserve">Z3 </t>
    </r>
    <r>
      <rPr>
        <sz val="10"/>
        <color rgb="FF000000"/>
        <rFont val="Noto Sans CJK SC"/>
        <family val="2"/>
      </rPr>
      <t xml:space="preserve">原為研發算力費 </t>
    </r>
    <r>
      <rPr>
        <sz val="10"/>
        <color rgb="FF000000"/>
        <rFont val="Arial"/>
        <family val="0"/>
        <charset val="1"/>
      </rPr>
      <t xml:space="preserve">÷ </t>
    </r>
    <r>
      <rPr>
        <sz val="10"/>
        <color rgb="FF000000"/>
        <rFont val="Noto Sans CJK SC"/>
        <family val="2"/>
      </rPr>
      <t xml:space="preserve">算力費合計），與 </t>
    </r>
    <r>
      <rPr>
        <sz val="10"/>
        <color rgb="FF000000"/>
        <rFont val="Arial"/>
        <family val="0"/>
        <charset val="1"/>
      </rPr>
      <t xml:space="preserve">η </t>
    </r>
    <r>
      <rPr>
        <sz val="10"/>
        <color rgb="FF000000"/>
        <rFont val="Noto Sans CJK SC"/>
        <family val="2"/>
      </rPr>
      <t xml:space="preserve">沿用 </t>
    </r>
    <r>
      <rPr>
        <sz val="10"/>
        <color rgb="FF000000"/>
        <rFont val="Arial"/>
        <family val="0"/>
        <charset val="1"/>
      </rPr>
      <t xml:space="preserve">1H26 </t>
    </r>
    <r>
      <rPr>
        <sz val="10"/>
        <color rgb="FF000000"/>
        <rFont val="Noto Sans CJK SC"/>
        <family val="2"/>
      </rPr>
      <t xml:space="preserve">同一原則</t>
    </r>
  </si>
  <si>
    <t xml:space="preserve">INP_110</t>
  </si>
  <si>
    <t xml:space="preserve">rd_share_2030</t>
  </si>
  <si>
    <r>
      <rPr>
        <sz val="10"/>
        <color rgb="FF000000"/>
        <rFont val="Noto Sans CJK SC"/>
        <family val="2"/>
      </rPr>
      <t xml:space="preserve">研發 </t>
    </r>
    <r>
      <rPr>
        <sz val="10"/>
        <color rgb="FF000000"/>
        <rFont val="Arial"/>
        <family val="0"/>
        <charset val="1"/>
      </rPr>
      <t xml:space="preserve">GW </t>
    </r>
    <r>
      <rPr>
        <sz val="10"/>
        <color rgb="FF000000"/>
        <rFont val="Noto Sans CJK SC"/>
        <family val="2"/>
      </rPr>
      <t xml:space="preserve">占非閒置供給比例：</t>
    </r>
    <r>
      <rPr>
        <sz val="10"/>
        <color rgb="FF000000"/>
        <rFont val="Arial"/>
        <family val="0"/>
        <charset val="1"/>
      </rPr>
      <t xml:space="preserve">2030 </t>
    </r>
    <r>
      <rPr>
        <sz val="10"/>
        <color rgb="FF000000"/>
        <rFont val="Noto Sans CJK SC"/>
        <family val="2"/>
      </rPr>
      <t xml:space="preserve">目標（開關＝</t>
    </r>
    <r>
      <rPr>
        <sz val="10"/>
        <color rgb="FF000000"/>
        <rFont val="Arial"/>
        <family val="0"/>
        <charset val="1"/>
      </rPr>
      <t xml:space="preserve">1 </t>
    </r>
    <r>
      <rPr>
        <sz val="10"/>
        <color rgb="FF000000"/>
        <rFont val="Noto Sans CJK SC"/>
        <family val="2"/>
      </rPr>
      <t xml:space="preserve">時自 </t>
    </r>
    <r>
      <rPr>
        <sz val="10"/>
        <color rgb="FF000000"/>
        <rFont val="Arial"/>
        <family val="0"/>
        <charset val="1"/>
      </rPr>
      <t xml:space="preserve">1H26 </t>
    </r>
    <r>
      <rPr>
        <sz val="10"/>
        <color rgb="FF000000"/>
        <rFont val="Noto Sans CJK SC"/>
        <family val="2"/>
      </rPr>
      <t xml:space="preserve">實際值線性移動）</t>
    </r>
  </si>
  <si>
    <r>
      <rPr>
        <sz val="10"/>
        <color rgb="FF000000"/>
        <rFont val="Arial"/>
        <family val="0"/>
        <charset val="1"/>
      </rPr>
      <t xml:space="preserve">OpenAI v0.6 2030 </t>
    </r>
    <r>
      <rPr>
        <sz val="10"/>
        <color rgb="FF000000"/>
        <rFont val="Noto Sans CJK SC"/>
        <family val="2"/>
      </rPr>
      <t xml:space="preserve">研發 </t>
    </r>
    <r>
      <rPr>
        <sz val="10"/>
        <color rgb="FF000000"/>
        <rFont val="Arial"/>
        <family val="0"/>
        <charset val="1"/>
      </rPr>
      <t xml:space="preserve">GW 6.11 ÷</t>
    </r>
    <r>
      <rPr>
        <sz val="10"/>
        <color rgb="FF000000"/>
        <rFont val="Noto Sans CJK SC"/>
        <family val="2"/>
      </rPr>
      <t xml:space="preserve">（供給 </t>
    </r>
    <r>
      <rPr>
        <sz val="10"/>
        <color rgb="FF000000"/>
        <rFont val="Arial"/>
        <family val="0"/>
        <charset val="1"/>
      </rPr>
      <t xml:space="preserve">13.01 ×</t>
    </r>
    <r>
      <rPr>
        <sz val="10"/>
        <color rgb="FF000000"/>
        <rFont val="Noto Sans CJK SC"/>
        <family val="2"/>
      </rPr>
      <t xml:space="preserve">（</t>
    </r>
    <r>
      <rPr>
        <sz val="10"/>
        <color rgb="FF000000"/>
        <rFont val="Arial"/>
        <family val="0"/>
        <charset val="1"/>
      </rPr>
      <t xml:space="preserve">1−0.1</t>
    </r>
    <r>
      <rPr>
        <sz val="10"/>
        <color rgb="FF000000"/>
        <rFont val="Noto Sans CJK SC"/>
        <family val="2"/>
      </rPr>
      <t xml:space="preserve">））＝</t>
    </r>
    <r>
      <rPr>
        <sz val="10"/>
        <color rgb="FF000000"/>
        <rFont val="Arial"/>
        <family val="0"/>
        <charset val="1"/>
      </rPr>
      <t xml:space="preserve">0.52</t>
    </r>
    <r>
      <rPr>
        <sz val="10"/>
        <color rgb="FF000000"/>
        <rFont val="Noto Sans CJK SC"/>
        <family val="2"/>
      </rPr>
      <t xml:space="preserve">；只在開關＝</t>
    </r>
    <r>
      <rPr>
        <sz val="10"/>
        <color rgb="FF000000"/>
        <rFont val="Arial"/>
        <family val="0"/>
        <charset val="1"/>
      </rPr>
      <t xml:space="preserve">1 </t>
    </r>
    <r>
      <rPr>
        <sz val="10"/>
        <color rgb="FF000000"/>
        <rFont val="Noto Sans CJK SC"/>
        <family val="2"/>
      </rPr>
      <t xml:space="preserve">時使用；</t>
    </r>
    <r>
      <rPr>
        <sz val="10"/>
        <color rgb="FF000000"/>
        <rFont val="Arial"/>
        <family val="0"/>
        <charset val="1"/>
      </rPr>
      <t xml:space="preserve">r2 P1 </t>
    </r>
    <r>
      <rPr>
        <sz val="10"/>
        <color rgb="FF000000"/>
        <rFont val="Noto Sans CJK SC"/>
        <family val="2"/>
      </rPr>
      <t xml:space="preserve">後 </t>
    </r>
    <r>
      <rPr>
        <sz val="10"/>
        <color rgb="FF000000"/>
        <rFont val="Arial"/>
        <family val="0"/>
        <charset val="1"/>
      </rPr>
      <t xml:space="preserve">1H26 </t>
    </r>
    <r>
      <rPr>
        <sz val="10"/>
        <color rgb="FF000000"/>
        <rFont val="Noto Sans CJK SC"/>
        <family val="2"/>
      </rPr>
      <t xml:space="preserve">起點為研發殘差占比（</t>
    </r>
    <r>
      <rPr>
        <sz val="10"/>
        <color rgb="FF000000"/>
        <rFont val="Arial"/>
        <family val="0"/>
        <charset val="1"/>
      </rPr>
      <t xml:space="preserve">η </t>
    </r>
    <r>
      <rPr>
        <sz val="10"/>
        <color rgb="FF000000"/>
        <rFont val="Noto Sans CJK SC"/>
        <family val="2"/>
      </rPr>
      <t xml:space="preserve">上調使其＝訓練最低占比 </t>
    </r>
    <r>
      <rPr>
        <sz val="10"/>
        <color rgb="FF000000"/>
        <rFont val="Arial"/>
        <family val="0"/>
        <charset val="1"/>
      </rPr>
      <t xml:space="preserve">0.3</t>
    </r>
    <r>
      <rPr>
        <sz val="10"/>
        <color rgb="FF000000"/>
        <rFont val="Noto Sans CJK SC"/>
        <family val="2"/>
      </rPr>
      <t xml:space="preserve">），不再是會計科目占比 </t>
    </r>
    <r>
      <rPr>
        <sz val="10"/>
        <color rgb="FF000000"/>
        <rFont val="Arial"/>
        <family val="0"/>
        <charset val="1"/>
      </rPr>
      <t xml:space="preserve">0.70</t>
    </r>
  </si>
  <si>
    <r>
      <rPr>
        <sz val="10"/>
        <color rgb="FF000000"/>
        <rFont val="Arial"/>
        <family val="0"/>
        <charset val="1"/>
      </rPr>
      <t xml:space="preserve">0.3</t>
    </r>
    <r>
      <rPr>
        <sz val="10"/>
        <color rgb="FF000000"/>
        <rFont val="Noto Sans CJK SC"/>
        <family val="2"/>
      </rPr>
      <t xml:space="preserve">（＝訓練最低占比）～</t>
    </r>
    <r>
      <rPr>
        <sz val="10"/>
        <color rgb="FF000000"/>
        <rFont val="Arial"/>
        <family val="0"/>
        <charset val="1"/>
      </rPr>
      <t xml:space="preserve">0.7</t>
    </r>
    <r>
      <rPr>
        <sz val="10"/>
        <color rgb="FF000000"/>
        <rFont val="Noto Sans CJK SC"/>
        <family val="2"/>
      </rPr>
      <t xml:space="preserve">（</t>
    </r>
    <r>
      <rPr>
        <sz val="10"/>
        <color rgb="FF000000"/>
        <rFont val="Arial"/>
        <family val="0"/>
        <charset val="1"/>
      </rPr>
      <t xml:space="preserve">Z3 </t>
    </r>
    <r>
      <rPr>
        <sz val="10"/>
        <color rgb="FF000000"/>
        <rFont val="Noto Sans CJK SC"/>
        <family val="2"/>
      </rPr>
      <t xml:space="preserve">會計科目占比）</t>
    </r>
  </si>
  <si>
    <t xml:space="preserve">INP_111</t>
  </si>
  <si>
    <t xml:space="preserve">owned_capex</t>
  </si>
  <si>
    <r>
      <rPr>
        <sz val="10"/>
        <color rgb="FF000000"/>
        <rFont val="Noto Sans CJK SC"/>
        <family val="2"/>
      </rPr>
      <t xml:space="preserve">其他自有算力資本支出（</t>
    </r>
    <r>
      <rPr>
        <sz val="10"/>
        <color rgb="FF000000"/>
        <rFont val="Arial"/>
        <family val="0"/>
        <charset val="1"/>
      </rPr>
      <t xml:space="preserve">2027 </t>
    </r>
    <r>
      <rPr>
        <sz val="10"/>
        <color rgb="FF000000"/>
        <rFont val="Noto Sans CJK SC"/>
        <family val="2"/>
      </rPr>
      <t xml:space="preserve">起每年）</t>
    </r>
  </si>
  <si>
    <r>
      <rPr>
        <sz val="10"/>
        <color rgb="FF000000"/>
        <rFont val="Arial"/>
        <family val="0"/>
        <charset val="1"/>
      </rPr>
      <t xml:space="preserve">RMB </t>
    </r>
    <r>
      <rPr>
        <sz val="10"/>
        <color rgb="FF000000"/>
        <rFont val="Noto Sans CJK SC"/>
        <family val="2"/>
      </rPr>
      <t xml:space="preserve">億／年</t>
    </r>
  </si>
  <si>
    <r>
      <rPr>
        <sz val="10"/>
        <color rgb="FF000000"/>
        <rFont val="Noto Sans CJK SC"/>
        <family val="2"/>
      </rPr>
      <t xml:space="preserve">規格 </t>
    </r>
    <r>
      <rPr>
        <sz val="10"/>
        <color rgb="FF000000"/>
        <rFont val="Arial"/>
        <family val="0"/>
        <charset val="1"/>
      </rPr>
      <t xml:space="preserve">D11r</t>
    </r>
    <r>
      <rPr>
        <sz val="10"/>
        <color rgb="FF000000"/>
        <rFont val="Noto Sans CJK SC"/>
        <family val="2"/>
      </rPr>
      <t xml:space="preserve">：自有算力資本支出基準＝</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Decision</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資本開支 </t>
    </r>
    <r>
      <rPr>
        <sz val="10"/>
        <color rgb="FF000000"/>
        <rFont val="Arial"/>
        <family val="0"/>
        <charset val="1"/>
      </rPr>
      <t xml:space="preserve">3.906 </t>
    </r>
    <r>
      <rPr>
        <sz val="10"/>
        <color rgb="FF000000"/>
        <rFont val="Noto Sans CJK SC"/>
        <family val="2"/>
      </rPr>
      <t xml:space="preserve">億為北京紅鑽辦公樓，非算力）；高端為情境</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</si>
  <si>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50</t>
    </r>
    <r>
      <rPr>
        <sz val="10"/>
        <color rgb="FF000000"/>
        <rFont val="Noto Sans CJK SC"/>
        <family val="2"/>
      </rPr>
      <t xml:space="preserve">（情境）</t>
    </r>
  </si>
  <si>
    <t xml:space="preserve">INP_112</t>
  </si>
  <si>
    <t xml:space="preserve">dc1gw_sw</t>
  </si>
  <si>
    <r>
      <rPr>
        <sz val="10"/>
        <color rgb="FF000000"/>
        <rFont val="Noto Sans CJK SC"/>
        <family val="2"/>
      </rPr>
      <t xml:space="preserve">情境開關：</t>
    </r>
    <r>
      <rPr>
        <sz val="10"/>
        <color rgb="FF000000"/>
        <rFont val="Arial"/>
        <family val="0"/>
        <charset val="1"/>
      </rPr>
      <t xml:space="preserve">1 GW </t>
    </r>
    <r>
      <rPr>
        <sz val="10"/>
        <color rgb="FF000000"/>
        <rFont val="Noto Sans CJK SC"/>
        <family val="2"/>
      </rPr>
      <t xml:space="preserve">國產算力資料中心（</t>
    </r>
    <r>
      <rPr>
        <sz val="10"/>
        <color rgb="FF000000"/>
        <rFont val="Arial"/>
        <family val="0"/>
        <charset val="1"/>
      </rPr>
      <t xml:space="preserve">0</t>
    </r>
    <r>
      <rPr>
        <sz val="10"/>
        <color rgb="FF000000"/>
        <rFont val="Noto Sans CJK SC"/>
        <family val="2"/>
      </rPr>
      <t xml:space="preserve">＝基準不計）</t>
    </r>
  </si>
  <si>
    <r>
      <rPr>
        <sz val="10"/>
        <color rgb="FF000000"/>
        <rFont val="Noto Sans CJK SC"/>
        <family val="2"/>
      </rPr>
      <t xml:space="preserve">規格 </t>
    </r>
    <r>
      <rPr>
        <sz val="10"/>
        <color rgb="FF000000"/>
        <rFont val="Arial"/>
        <family val="0"/>
        <charset val="1"/>
      </rPr>
      <t xml:space="preserve">D11r</t>
    </r>
    <r>
      <rPr>
        <sz val="10"/>
        <color rgb="FF000000"/>
        <rFont val="Noto Sans CJK SC"/>
        <family val="2"/>
      </rPr>
      <t xml:space="preserve">：公司 </t>
    </r>
    <r>
      <rPr>
        <sz val="10"/>
        <color rgb="FF000000"/>
        <rFont val="Arial"/>
        <family val="0"/>
        <charset val="1"/>
      </rPr>
      <t xml:space="preserve">2026-07 </t>
    </r>
    <r>
      <rPr>
        <sz val="10"/>
        <color rgb="FF000000"/>
        <rFont val="Noto Sans CJK SC"/>
        <family val="2"/>
      </rPr>
      <t xml:space="preserve">稱 </t>
    </r>
    <r>
      <rPr>
        <sz val="10"/>
        <color rgb="FF000000"/>
        <rFont val="Arial"/>
        <family val="0"/>
        <charset val="1"/>
      </rPr>
      <t xml:space="preserve">1 GW </t>
    </r>
    <r>
      <rPr>
        <sz val="10"/>
        <color rgb="FF000000"/>
        <rFont val="Noto Sans CJK SC"/>
        <family val="2"/>
      </rPr>
      <t xml:space="preserve">國產算力資料中心（</t>
    </r>
    <r>
      <rPr>
        <sz val="10"/>
        <color rgb="FF000000"/>
        <rFont val="Arial"/>
        <family val="0"/>
        <charset val="1"/>
      </rPr>
      <t xml:space="preserve">SRC_ZP_458</t>
    </r>
    <r>
      <rPr>
        <sz val="10"/>
        <color rgb="FF000000"/>
        <rFont val="Noto Sans CJK SC"/>
        <family val="2"/>
      </rPr>
      <t xml:space="preserve">，口徑、地點、持有方式未揭露）→ 只列情境，基準關</t>
    </r>
  </si>
  <si>
    <t xml:space="preserve">INP_113</t>
  </si>
  <si>
    <t xml:space="preserve">dc1gw_year</t>
  </si>
  <si>
    <r>
      <rPr>
        <sz val="10"/>
        <color rgb="FF000000"/>
        <rFont val="Arial"/>
        <family val="0"/>
        <charset val="1"/>
      </rPr>
      <t xml:space="preserve">1 GW </t>
    </r>
    <r>
      <rPr>
        <sz val="10"/>
        <color rgb="FF000000"/>
        <rFont val="Noto Sans CJK SC"/>
        <family val="2"/>
      </rPr>
      <t xml:space="preserve">資料中心情境：投產年（資本支出計入前一年）</t>
    </r>
  </si>
  <si>
    <t xml:space="preserve">無揭露時程</t>
  </si>
  <si>
    <r>
      <rPr>
        <sz val="10"/>
        <color rgb="FF000000"/>
        <rFont val="Arial"/>
        <family val="0"/>
        <charset val="1"/>
      </rPr>
      <t xml:space="preserve">2027</t>
    </r>
    <r>
      <rPr>
        <sz val="10"/>
        <color rgb="FF000000"/>
        <rFont val="Noto Sans CJK SC"/>
        <family val="2"/>
      </rPr>
      <t xml:space="preserve">～</t>
    </r>
    <r>
      <rPr>
        <sz val="10"/>
        <color rgb="FF000000"/>
        <rFont val="Arial"/>
        <family val="0"/>
        <charset val="1"/>
      </rPr>
      <t xml:space="preserve">2030</t>
    </r>
  </si>
  <si>
    <t xml:space="preserve">INP_114</t>
  </si>
  <si>
    <t xml:space="preserve">hold_ratio_h20</t>
  </si>
  <si>
    <r>
      <rPr>
        <sz val="10"/>
        <color rgb="FF000000"/>
        <rFont val="Arial"/>
        <family val="0"/>
        <charset val="1"/>
      </rPr>
      <t xml:space="preserve">H20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持有成本 </t>
    </r>
    <r>
      <rPr>
        <sz val="10"/>
        <color rgb="FF000000"/>
        <rFont val="Arial"/>
        <family val="0"/>
        <charset val="1"/>
      </rPr>
      <t xml:space="preserve">÷ Hopper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持有成本</t>
    </r>
  </si>
  <si>
    <r>
      <rPr>
        <sz val="10"/>
        <color rgb="FF000000"/>
        <rFont val="Noto Sans CJK SC"/>
        <family val="2"/>
      </rPr>
      <t xml:space="preserve">規格 </t>
    </r>
    <r>
      <rPr>
        <sz val="10"/>
        <color rgb="FF000000"/>
        <rFont val="Arial"/>
        <family val="0"/>
        <charset val="1"/>
      </rPr>
      <t xml:space="preserve">D6</t>
    </r>
    <r>
      <rPr>
        <sz val="10"/>
        <color rgb="FF000000"/>
        <rFont val="Noto Sans CJK SC"/>
        <family val="2"/>
      </rPr>
      <t xml:space="preserve">『持有比同法』；</t>
    </r>
    <r>
      <rPr>
        <sz val="10"/>
        <color rgb="FF000000"/>
        <rFont val="Arial"/>
        <family val="0"/>
        <charset val="1"/>
      </rPr>
      <t xml:space="preserve">H20 </t>
    </r>
    <r>
      <rPr>
        <sz val="10"/>
        <color rgb="FF000000"/>
        <rFont val="Noto Sans CJK SC"/>
        <family val="2"/>
      </rPr>
      <t xml:space="preserve">單卡售價低於 </t>
    </r>
    <r>
      <rPr>
        <sz val="10"/>
        <color rgb="FF000000"/>
        <rFont val="Arial"/>
        <family val="0"/>
        <charset val="1"/>
      </rPr>
      <t xml:space="preserve">H100</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卡數較多（</t>
    </r>
    <r>
      <rPr>
        <sz val="10"/>
        <color rgb="FF000000"/>
        <rFont val="Arial"/>
        <family val="0"/>
        <charset val="1"/>
      </rPr>
      <t xml:space="preserve">kw_h20</t>
    </r>
    <r>
      <rPr>
        <sz val="10"/>
        <color rgb="FF000000"/>
        <rFont val="Noto Sans CJK SC"/>
        <family val="2"/>
      </rPr>
      <t xml:space="preserve">）；</t>
    </r>
    <r>
      <rPr>
        <sz val="10"/>
        <color rgb="FF000000"/>
        <rFont val="Arial"/>
        <family val="0"/>
        <charset val="1"/>
      </rPr>
      <t xml:space="preserve">Tokenomics </t>
    </r>
    <r>
      <rPr>
        <sz val="10"/>
        <color rgb="FF000000"/>
        <rFont val="Noto Sans CJK SC"/>
        <family val="2"/>
      </rPr>
      <t xml:space="preserve">無 </t>
    </r>
    <r>
      <rPr>
        <sz val="10"/>
        <color rgb="FF000000"/>
        <rFont val="Arial"/>
        <family val="0"/>
        <charset val="1"/>
      </rPr>
      <t xml:space="preserve">H20 </t>
    </r>
    <r>
      <rPr>
        <sz val="10"/>
        <color rgb="FF000000"/>
        <rFont val="Noto Sans CJK SC"/>
        <family val="2"/>
      </rPr>
      <t xml:space="preserve">欄（缺口）</t>
    </r>
  </si>
  <si>
    <t xml:space="preserve">INP_115</t>
  </si>
  <si>
    <t xml:space="preserve">hold_ratio_dom</t>
  </si>
  <si>
    <r>
      <rPr>
        <sz val="10"/>
        <color rgb="FF000000"/>
        <rFont val="Noto Sans CJK SC"/>
        <family val="2"/>
      </rPr>
      <t xml:space="preserve">國產晶片每 </t>
    </r>
    <r>
      <rPr>
        <sz val="10"/>
        <color rgb="FF000000"/>
        <rFont val="Arial"/>
        <family val="0"/>
        <charset val="1"/>
      </rPr>
      <t xml:space="preserve">GW </t>
    </r>
    <r>
      <rPr>
        <sz val="10"/>
        <color rgb="FF000000"/>
        <rFont val="Noto Sans CJK SC"/>
        <family val="2"/>
      </rPr>
      <t xml:space="preserve">持有成本（與資本支出）</t>
    </r>
    <r>
      <rPr>
        <sz val="10"/>
        <color rgb="FF000000"/>
        <rFont val="Arial"/>
        <family val="0"/>
        <charset val="1"/>
      </rPr>
      <t xml:space="preserve">÷ Hopper</t>
    </r>
  </si>
  <si>
    <r>
      <rPr>
        <sz val="10"/>
        <color rgb="FF000000"/>
        <rFont val="Noto Sans CJK SC"/>
        <family val="2"/>
      </rPr>
      <t xml:space="preserve">規格 </t>
    </r>
    <r>
      <rPr>
        <sz val="10"/>
        <color rgb="FF000000"/>
        <rFont val="Arial"/>
        <family val="0"/>
        <charset val="1"/>
      </rPr>
      <t xml:space="preserve">D6</t>
    </r>
    <r>
      <rPr>
        <sz val="10"/>
        <color rgb="FF000000"/>
        <rFont val="Noto Sans CJK SC"/>
        <family val="2"/>
      </rPr>
      <t xml:space="preserve">、</t>
    </r>
    <r>
      <rPr>
        <sz val="10"/>
        <color rgb="FF000000"/>
        <rFont val="Arial"/>
        <family val="0"/>
        <charset val="1"/>
      </rPr>
      <t xml:space="preserve">D11</t>
    </r>
    <r>
      <rPr>
        <sz val="10"/>
        <color rgb="FF000000"/>
        <rFont val="Noto Sans CJK SC"/>
        <family val="2"/>
      </rPr>
      <t xml:space="preserve">（國產持有比；</t>
    </r>
    <r>
      <rPr>
        <sz val="10"/>
        <color rgb="FF000000"/>
        <rFont val="Arial"/>
        <family val="0"/>
        <charset val="1"/>
      </rPr>
      <t xml:space="preserve">Analogy</t>
    </r>
    <r>
      <rPr>
        <sz val="10"/>
        <color rgb="FF000000"/>
        <rFont val="Noto Sans CJK SC"/>
        <family val="2"/>
      </rPr>
      <t xml:space="preserve">）；昇騰卡價未查得；</t>
    </r>
    <r>
      <rPr>
        <sz val="10"/>
        <color rgb="FF000000"/>
        <rFont val="Arial"/>
        <family val="0"/>
        <charset val="1"/>
      </rPr>
      <t xml:space="preserve">Tokenomics </t>
    </r>
    <r>
      <rPr>
        <sz val="10"/>
        <color rgb="FF000000"/>
        <rFont val="Noto Sans CJK SC"/>
        <family val="2"/>
      </rPr>
      <t xml:space="preserve">無昇騰列（缺口）</t>
    </r>
  </si>
  <si>
    <r>
      <rPr>
        <sz val="10"/>
        <color rgb="FF000000"/>
        <rFont val="Arial"/>
        <family val="0"/>
        <charset val="1"/>
      </rPr>
      <t xml:space="preserve">0.4</t>
    </r>
    <r>
      <rPr>
        <sz val="10"/>
        <color rgb="FF000000"/>
        <rFont val="Noto Sans CJK SC"/>
        <family val="2"/>
      </rPr>
      <t xml:space="preserve">～</t>
    </r>
    <r>
      <rPr>
        <sz val="10"/>
        <color rgb="FF000000"/>
        <rFont val="Arial"/>
        <family val="0"/>
        <charset val="1"/>
      </rPr>
      <t xml:space="preserve">0.9</t>
    </r>
  </si>
  <si>
    <t xml:space="preserve">INP_116</t>
  </si>
  <si>
    <t xml:space="preserve">hc_g_2h26</t>
  </si>
  <si>
    <r>
      <rPr>
        <sz val="10"/>
        <color rgb="FF000000"/>
        <rFont val="Noto Sans CJK SC"/>
        <family val="2"/>
      </rPr>
      <t xml:space="preserve">員工人數成長率：</t>
    </r>
    <r>
      <rPr>
        <sz val="10"/>
        <color rgb="FF000000"/>
        <rFont val="Arial"/>
        <family val="0"/>
        <charset val="1"/>
      </rPr>
      <t xml:space="preserve">2H26 </t>
    </r>
    <r>
      <rPr>
        <sz val="10"/>
        <color rgb="FF000000"/>
        <rFont val="Noto Sans CJK SC"/>
        <family val="2"/>
      </rPr>
      <t xml:space="preserve">平均對 </t>
    </r>
    <r>
      <rPr>
        <sz val="10"/>
        <color rgb="FF000000"/>
        <rFont val="Arial"/>
        <family val="0"/>
        <charset val="1"/>
      </rPr>
      <t xml:space="preserve">1H26 </t>
    </r>
    <r>
      <rPr>
        <sz val="10"/>
        <color rgb="FF000000"/>
        <rFont val="Noto Sans CJK SC"/>
        <family val="2"/>
      </rPr>
      <t xml:space="preserve">平均</t>
    </r>
  </si>
  <si>
    <r>
      <rPr>
        <sz val="10"/>
        <color rgb="FF000000"/>
        <rFont val="Noto Sans CJK SC"/>
        <family val="2"/>
      </rPr>
      <t xml:space="preserve">員工 </t>
    </r>
    <r>
      <rPr>
        <sz val="10"/>
        <color rgb="FF000000"/>
        <rFont val="Arial"/>
        <family val="0"/>
        <charset val="1"/>
      </rPr>
      <t xml:space="preserve">2025-12-31 1</t>
    </r>
  </si>
  <si>
    <r>
      <rPr>
        <sz val="10"/>
        <color rgb="FF000000"/>
        <rFont val="Arial"/>
        <family val="0"/>
        <charset val="1"/>
      </rPr>
      <t xml:space="preserve">−10%</t>
    </r>
    <r>
      <rPr>
        <sz val="10"/>
        <color rgb="FF000000"/>
        <rFont val="Noto Sans CJK SC"/>
        <family val="2"/>
      </rPr>
      <t xml:space="preserve">～</t>
    </r>
    <r>
      <rPr>
        <sz val="10"/>
        <color rgb="FF000000"/>
        <rFont val="Arial"/>
        <family val="0"/>
        <charset val="1"/>
      </rPr>
      <t xml:space="preserve">+15%</t>
    </r>
  </si>
  <si>
    <t xml:space="preserve">INP_117</t>
  </si>
  <si>
    <t xml:space="preserve">hc_g</t>
  </si>
  <si>
    <t xml:space="preserve">員工人數年增率（年均人數）</t>
  </si>
  <si>
    <r>
      <rPr>
        <sz val="10"/>
        <color rgb="FF000000"/>
        <rFont val="Arial"/>
        <family val="0"/>
        <charset val="1"/>
      </rPr>
      <t xml:space="preserve">OpenAI v0.6 INP_264–267</t>
    </r>
    <r>
      <rPr>
        <sz val="10"/>
        <color rgb="FF000000"/>
        <rFont val="Noto Sans CJK SC"/>
        <family val="2"/>
      </rPr>
      <t xml:space="preserve">（</t>
    </r>
    <r>
      <rPr>
        <sz val="10"/>
        <color rgb="FF000000"/>
        <rFont val="Arial"/>
        <family val="0"/>
        <charset val="1"/>
      </rPr>
      <t xml:space="preserve">2027 +30% </t>
    </r>
    <r>
      <rPr>
        <sz val="10"/>
        <color rgb="FF000000"/>
        <rFont val="Noto Sans CJK SC"/>
        <family val="2"/>
      </rPr>
      <t xml:space="preserve">遞減至 </t>
    </r>
    <r>
      <rPr>
        <sz val="10"/>
        <color rgb="FF000000"/>
        <rFont val="Arial"/>
        <family val="0"/>
        <charset val="1"/>
      </rPr>
      <t xml:space="preserve">2030 +10%</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；智譜 </t>
    </r>
    <r>
      <rPr>
        <sz val="10"/>
        <color rgb="FF000000"/>
        <rFont val="Arial"/>
        <family val="0"/>
        <charset val="1"/>
      </rPr>
      <t xml:space="preserve">2025→1H26 </t>
    </r>
    <r>
      <rPr>
        <sz val="10"/>
        <color rgb="FF000000"/>
        <rFont val="Noto Sans CJK SC"/>
        <family val="2"/>
      </rPr>
      <t xml:space="preserve">人數下降，取較低值</t>
    </r>
  </si>
  <si>
    <t xml:space="preserve">INP_118</t>
  </si>
  <si>
    <t xml:space="preserve">pp_g</t>
  </si>
  <si>
    <t xml:space="preserve">每人年成本（不含股權報酬）年變動率</t>
  </si>
  <si>
    <r>
      <rPr>
        <sz val="10"/>
        <color rgb="FF000000"/>
        <rFont val="Arial"/>
        <family val="0"/>
        <charset val="1"/>
      </rPr>
      <t xml:space="preserve">OpenAI v0.6 INP_268</t>
    </r>
    <r>
      <rPr>
        <sz val="10"/>
        <color rgb="FF000000"/>
        <rFont val="Noto Sans CJK SC"/>
        <family val="2"/>
      </rPr>
      <t xml:space="preserve">（</t>
    </r>
    <r>
      <rPr>
        <sz val="10"/>
        <color rgb="FF000000"/>
        <rFont val="Arial"/>
        <family val="0"/>
        <charset val="1"/>
      </rPr>
      <t xml:space="preserve">0.03</t>
    </r>
    <r>
      <rPr>
        <sz val="10"/>
        <color rgb="FF000000"/>
        <rFont val="Noto Sans CJK SC"/>
        <family val="2"/>
      </rPr>
      <t xml:space="preserve">，</t>
    </r>
    <r>
      <rPr>
        <sz val="10"/>
        <color rgb="FF000000"/>
        <rFont val="Arial"/>
        <family val="0"/>
        <charset val="1"/>
      </rPr>
      <t xml:space="preserve">0–0.08</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以半年計（</t>
    </r>
    <r>
      <rPr>
        <sz val="10"/>
        <color rgb="FF000000"/>
        <rFont val="Arial"/>
        <family val="0"/>
        <charset val="1"/>
      </rPr>
      <t xml:space="preserve">÷ </t>
    </r>
    <r>
      <rPr>
        <sz val="10"/>
        <color rgb="FF000000"/>
        <rFont val="Noto Sans CJK SC"/>
        <family val="2"/>
      </rPr>
      <t xml:space="preserve">半年數）</t>
    </r>
  </si>
  <si>
    <t xml:space="preserve">INP_119</t>
  </si>
  <si>
    <t xml:space="preserve">sbc_pp_g</t>
  </si>
  <si>
    <t xml:space="preserve">每人股權報酬年變動率</t>
  </si>
  <si>
    <r>
      <rPr>
        <sz val="10"/>
        <color rgb="FF000000"/>
        <rFont val="Arial"/>
        <family val="0"/>
        <charset val="1"/>
      </rPr>
      <t xml:space="preserve">OpenAI v0.6 INP_269</t>
    </r>
    <r>
      <rPr>
        <sz val="10"/>
        <color rgb="FF000000"/>
        <rFont val="Noto Sans CJK SC"/>
        <family val="2"/>
      </rPr>
      <t xml:space="preserve">（</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）；基期＝</t>
    </r>
    <r>
      <rPr>
        <sz val="10"/>
        <color rgb="FF000000"/>
        <rFont val="Arial"/>
        <family val="0"/>
        <charset val="1"/>
      </rPr>
      <t xml:space="preserve">1H26 </t>
    </r>
    <r>
      <rPr>
        <sz val="10"/>
        <color rgb="FF000000"/>
        <rFont val="Noto Sans CJK SC"/>
        <family val="2"/>
      </rPr>
      <t xml:space="preserve">年化（上市後；</t>
    </r>
    <r>
      <rPr>
        <sz val="10"/>
        <color rgb="FF000000"/>
        <rFont val="Arial"/>
        <family val="0"/>
        <charset val="1"/>
      </rPr>
      <t xml:space="preserve">2025 </t>
    </r>
    <r>
      <rPr>
        <sz val="10"/>
        <color rgb="FF000000"/>
        <rFont val="Noto Sans CJK SC"/>
        <family val="2"/>
      </rPr>
      <t xml:space="preserve">含上市前一次性授予 </t>
    </r>
    <r>
      <rPr>
        <sz val="10"/>
        <color rgb="FF000000"/>
        <rFont val="Arial"/>
        <family val="0"/>
        <charset val="1"/>
      </rPr>
      <t xml:space="preserve">5.58 </t>
    </r>
    <r>
      <rPr>
        <sz val="10"/>
        <color rgb="FF000000"/>
        <rFont val="Noto Sans CJK SC"/>
        <family val="2"/>
      </rPr>
      <t xml:space="preserve">億）</t>
    </r>
  </si>
  <si>
    <t xml:space="preserve">INP_122</t>
  </si>
  <si>
    <t xml:space="preserve">cp_cache_hit</t>
  </si>
  <si>
    <r>
      <rPr>
        <sz val="10"/>
        <color rgb="FF000000"/>
        <rFont val="Arial"/>
        <family val="0"/>
        <charset val="1"/>
      </rPr>
      <t xml:space="preserve">Coding Plan </t>
    </r>
    <r>
      <rPr>
        <sz val="10"/>
        <color rgb="FF000000"/>
        <rFont val="Noto Sans CJK SC"/>
        <family val="2"/>
      </rPr>
      <t xml:space="preserve">輸入 </t>
    </r>
    <r>
      <rPr>
        <sz val="10"/>
        <color rgb="FF000000"/>
        <rFont val="Arial"/>
        <family val="0"/>
        <charset val="1"/>
      </rPr>
      <t xml:space="preserve">token </t>
    </r>
    <r>
      <rPr>
        <sz val="10"/>
        <color rgb="FF000000"/>
        <rFont val="Noto Sans CJK SC"/>
        <family val="2"/>
      </rPr>
      <t xml:space="preserve">中快取命中占比</t>
    </r>
  </si>
  <si>
    <r>
      <rPr>
        <sz val="10"/>
        <color rgb="FF000000"/>
        <rFont val="Noto Sans CJK SC"/>
        <family val="2"/>
      </rPr>
      <t xml:space="preserve">工作單 </t>
    </r>
    <r>
      <rPr>
        <sz val="10"/>
        <color rgb="FF000000"/>
        <rFont val="Arial"/>
        <family val="0"/>
        <charset val="1"/>
      </rPr>
      <t xml:space="preserve">Z3b F1</t>
    </r>
    <r>
      <rPr>
        <sz val="10"/>
        <color rgb="FF000000"/>
        <rFont val="Noto Sans CJK SC"/>
        <family val="2"/>
      </rPr>
      <t xml:space="preserve">（</t>
    </r>
    <r>
      <rPr>
        <sz val="10"/>
        <color rgb="FF000000"/>
        <rFont val="Arial"/>
        <family val="0"/>
        <charset val="1"/>
      </rPr>
      <t xml:space="preserve">Analogy 0.9</t>
    </r>
    <r>
      <rPr>
        <sz val="10"/>
        <color rgb="FF000000"/>
        <rFont val="Noto Sans CJK SC"/>
        <family val="2"/>
      </rPr>
      <t xml:space="preserve">，</t>
    </r>
    <r>
      <rPr>
        <sz val="10"/>
        <color rgb="FF000000"/>
        <rFont val="Arial"/>
        <family val="0"/>
        <charset val="1"/>
      </rPr>
      <t xml:space="preserve">0.8–0.97</t>
    </r>
    <r>
      <rPr>
        <sz val="10"/>
        <color rgb="FF000000"/>
        <rFont val="Noto Sans CJK SC"/>
        <family val="2"/>
      </rPr>
      <t xml:space="preserve">）：程式碼代理每次呼叫重送專案上下文，前綴快取命中為主；</t>
    </r>
    <r>
      <rPr>
        <sz val="10"/>
        <color rgb="FF000000"/>
        <rFont val="Arial"/>
        <family val="0"/>
        <charset val="1"/>
      </rPr>
      <t xml:space="preserve">Z1-R</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每 </t>
    </r>
    <r>
      <rPr>
        <sz val="10"/>
        <color rgb="FF000000"/>
        <rFont val="Arial"/>
        <family val="0"/>
        <charset val="1"/>
      </rPr>
      <t xml:space="preserve">prompt 15–20 </t>
    </r>
    <r>
      <rPr>
        <sz val="10"/>
        <color rgb="FF000000"/>
        <rFont val="Noto Sans CJK SC"/>
        <family val="2"/>
      </rPr>
      <t xml:space="preserve">次呼叫（</t>
    </r>
    <r>
      <rPr>
        <sz val="10"/>
        <color rgb="FF000000"/>
        <rFont val="Arial"/>
        <family val="0"/>
        <charset val="1"/>
      </rPr>
      <t xml:space="preserve">SRC_ZP_379</t>
    </r>
    <r>
      <rPr>
        <sz val="10"/>
        <color rgb="FF000000"/>
        <rFont val="Noto Sans CJK SC"/>
        <family val="2"/>
      </rPr>
      <t xml:space="preserve">）、每次攜帶大量重複上下文；</t>
    </r>
    <r>
      <rPr>
        <sz val="10"/>
        <color rgb="FF000000"/>
        <rFont val="Arial"/>
        <family val="0"/>
        <charset val="1"/>
      </rPr>
      <t xml:space="preserve">API </t>
    </r>
    <r>
      <rPr>
        <sz val="10"/>
        <color rgb="FF000000"/>
        <rFont val="Noto Sans CJK SC"/>
        <family val="2"/>
      </rPr>
      <t xml:space="preserve">按量計費沿用 </t>
    </r>
    <r>
      <rPr>
        <sz val="10"/>
        <color rgb="FF000000"/>
        <rFont val="Arial"/>
        <family val="0"/>
        <charset val="1"/>
      </rPr>
      <t xml:space="preserve">cache_hit</t>
    </r>
    <r>
      <rPr>
        <sz val="10"/>
        <color rgb="FF000000"/>
        <rFont val="Noto Sans CJK SC"/>
        <family val="2"/>
      </rPr>
      <t xml:space="preserve">（</t>
    </r>
    <r>
      <rPr>
        <sz val="10"/>
        <color rgb="FF000000"/>
        <rFont val="Arial"/>
        <family val="0"/>
        <charset val="1"/>
      </rPr>
      <t xml:space="preserve">INP 0.5</t>
    </r>
    <r>
      <rPr>
        <sz val="10"/>
        <color rgb="FF000000"/>
        <rFont val="Noto Sans CJK SC"/>
        <family val="2"/>
      </rPr>
      <t xml:space="preserve">）</t>
    </r>
  </si>
  <si>
    <r>
      <rPr>
        <sz val="10"/>
        <color rgb="FF000000"/>
        <rFont val="Arial"/>
        <family val="0"/>
        <charset val="1"/>
      </rPr>
      <t xml:space="preserve">0.8</t>
    </r>
    <r>
      <rPr>
        <sz val="10"/>
        <color rgb="FF000000"/>
        <rFont val="Noto Sans CJK SC"/>
        <family val="2"/>
      </rPr>
      <t xml:space="preserve">～</t>
    </r>
    <r>
      <rPr>
        <sz val="10"/>
        <color rgb="FF000000"/>
        <rFont val="Arial"/>
        <family val="0"/>
        <charset val="1"/>
      </rPr>
      <t xml:space="preserve">0.97</t>
    </r>
    <r>
      <rPr>
        <sz val="10"/>
        <color rgb="FF000000"/>
        <rFont val="Noto Sans CJK SC"/>
        <family val="2"/>
      </rPr>
      <t xml:space="preserve">（工作單）</t>
    </r>
  </si>
  <si>
    <t xml:space="preserve">INP_123</t>
  </si>
  <si>
    <t xml:space="preserve">cp_out_share</t>
  </si>
  <si>
    <r>
      <rPr>
        <sz val="10"/>
        <color rgb="FF000000"/>
        <rFont val="Arial"/>
        <family val="0"/>
        <charset val="1"/>
      </rPr>
      <t xml:space="preserve">Coding Plan token </t>
    </r>
    <r>
      <rPr>
        <sz val="10"/>
        <color rgb="FF000000"/>
        <rFont val="Noto Sans CJK SC"/>
        <family val="2"/>
      </rPr>
      <t xml:space="preserve">中輸出 </t>
    </r>
    <r>
      <rPr>
        <sz val="10"/>
        <color rgb="FF000000"/>
        <rFont val="Arial"/>
        <family val="0"/>
        <charset val="1"/>
      </rPr>
      <t xml:space="preserve">token </t>
    </r>
    <r>
      <rPr>
        <sz val="10"/>
        <color rgb="FF000000"/>
        <rFont val="Noto Sans CJK SC"/>
        <family val="2"/>
      </rPr>
      <t xml:space="preserve">占比</t>
    </r>
  </si>
  <si>
    <r>
      <rPr>
        <sz val="10"/>
        <color rgb="FF000000"/>
        <rFont val="Noto Sans CJK SC"/>
        <family val="2"/>
      </rPr>
      <t xml:space="preserve">工作單 </t>
    </r>
    <r>
      <rPr>
        <sz val="10"/>
        <color rgb="FF000000"/>
        <rFont val="Arial"/>
        <family val="0"/>
        <charset val="1"/>
      </rPr>
      <t xml:space="preserve">Z3b F1</t>
    </r>
    <r>
      <rPr>
        <sz val="10"/>
        <color rgb="FF000000"/>
        <rFont val="Noto Sans CJK SC"/>
        <family val="2"/>
      </rPr>
      <t xml:space="preserve">（</t>
    </r>
    <r>
      <rPr>
        <sz val="10"/>
        <color rgb="FF000000"/>
        <rFont val="Arial"/>
        <family val="0"/>
        <charset val="1"/>
      </rPr>
      <t xml:space="preserve">Analogy 0.03</t>
    </r>
    <r>
      <rPr>
        <sz val="10"/>
        <color rgb="FF000000"/>
        <rFont val="Noto Sans CJK SC"/>
        <family val="2"/>
      </rPr>
      <t xml:space="preserve">，</t>
    </r>
    <r>
      <rPr>
        <sz val="10"/>
        <color rgb="FF000000"/>
        <rFont val="Arial"/>
        <family val="0"/>
        <charset val="1"/>
      </rPr>
      <t xml:space="preserve">0.01–0.08</t>
    </r>
    <r>
      <rPr>
        <sz val="10"/>
        <color rgb="FF000000"/>
        <rFont val="Noto Sans CJK SC"/>
        <family val="2"/>
      </rPr>
      <t xml:space="preserve">）：程式碼代理以讀取上下文為主、輸出（含工具呼叫）占比低；</t>
    </r>
    <r>
      <rPr>
        <sz val="10"/>
        <color rgb="FF000000"/>
        <rFont val="Arial"/>
        <family val="0"/>
        <charset val="1"/>
      </rPr>
      <t xml:space="preserve">API </t>
    </r>
    <r>
      <rPr>
        <sz val="10"/>
        <color rgb="FF000000"/>
        <rFont val="Noto Sans CJK SC"/>
        <family val="2"/>
      </rPr>
      <t xml:space="preserve">按量計費沿用 </t>
    </r>
    <r>
      <rPr>
        <sz val="10"/>
        <color rgb="FF000000"/>
        <rFont val="Arial"/>
        <family val="0"/>
        <charset val="1"/>
      </rPr>
      <t xml:space="preserve">out_share</t>
    </r>
    <r>
      <rPr>
        <sz val="10"/>
        <color rgb="FF000000"/>
        <rFont val="Noto Sans CJK SC"/>
        <family val="2"/>
      </rPr>
      <t xml:space="preserve">（</t>
    </r>
    <r>
      <rPr>
        <sz val="10"/>
        <color rgb="FF000000"/>
        <rFont val="Arial"/>
        <family val="0"/>
        <charset val="1"/>
      </rPr>
      <t xml:space="preserve">0.15</t>
    </r>
    <r>
      <rPr>
        <sz val="10"/>
        <color rgb="FF000000"/>
        <rFont val="Noto Sans CJK SC"/>
        <family val="2"/>
      </rPr>
      <t xml:space="preserve">）</t>
    </r>
  </si>
  <si>
    <r>
      <rPr>
        <sz val="10"/>
        <color rgb="FF000000"/>
        <rFont val="Arial"/>
        <family val="0"/>
        <charset val="1"/>
      </rPr>
      <t xml:space="preserve">0.01</t>
    </r>
    <r>
      <rPr>
        <sz val="10"/>
        <color rgb="FF000000"/>
        <rFont val="Noto Sans CJK SC"/>
        <family val="2"/>
      </rPr>
      <t xml:space="preserve">～</t>
    </r>
    <r>
      <rPr>
        <sz val="10"/>
        <color rgb="FF000000"/>
        <rFont val="Arial"/>
        <family val="0"/>
        <charset val="1"/>
      </rPr>
      <t xml:space="preserve">0.08</t>
    </r>
    <r>
      <rPr>
        <sz val="10"/>
        <color rgb="FF000000"/>
        <rFont val="Noto Sans CJK SC"/>
        <family val="2"/>
      </rPr>
      <t xml:space="preserve">（工作單）</t>
    </r>
  </si>
  <si>
    <t xml:space="preserve">INP_124</t>
  </si>
  <si>
    <t xml:space="preserve">min_cash_months</t>
  </si>
  <si>
    <t xml:space="preserve">最低現金：次年（算力成本＋非算力成本不含股權報酬）的月數</t>
  </si>
  <si>
    <r>
      <rPr>
        <sz val="10"/>
        <color rgb="FF000000"/>
        <rFont val="Noto Sans CJK SC"/>
        <family val="2"/>
      </rPr>
      <t xml:space="preserve">規格 </t>
    </r>
    <r>
      <rPr>
        <sz val="10"/>
        <color rgb="FF000000"/>
        <rFont val="Arial"/>
        <family val="0"/>
        <charset val="1"/>
      </rPr>
      <t xml:space="preserve">D17</t>
    </r>
    <r>
      <rPr>
        <sz val="10"/>
        <color rgb="FF000000"/>
        <rFont val="Noto Sans CJK SC"/>
        <family val="2"/>
      </rPr>
      <t xml:space="preserve">（基準 </t>
    </r>
    <r>
      <rPr>
        <sz val="10"/>
        <color rgb="FF000000"/>
        <rFont val="Arial"/>
        <family val="0"/>
        <charset val="1"/>
      </rPr>
      <t xml:space="preserve">6 </t>
    </r>
    <r>
      <rPr>
        <sz val="10"/>
        <color rgb="FF000000"/>
        <rFont val="Noto Sans CJK SC"/>
        <family val="2"/>
      </rPr>
      <t xml:space="preserve">個月；同 </t>
    </r>
    <r>
      <rPr>
        <sz val="10"/>
        <color rgb="FF000000"/>
        <rFont val="Arial"/>
        <family val="0"/>
        <charset val="1"/>
      </rPr>
      <t xml:space="preserve">OpenAI</t>
    </r>
    <r>
      <rPr>
        <sz val="10"/>
        <color rgb="FF000000"/>
        <rFont val="Noto Sans CJK SC"/>
        <family val="2"/>
      </rPr>
      <t xml:space="preserve">／</t>
    </r>
    <r>
      <rPr>
        <sz val="10"/>
        <color rgb="FF000000"/>
        <rFont val="Arial"/>
        <family val="0"/>
        <charset val="1"/>
      </rPr>
      <t xml:space="preserve">CRWV S7 </t>
    </r>
    <r>
      <rPr>
        <sz val="10"/>
        <color rgb="FF000000"/>
        <rFont val="Noto Sans CJK SC"/>
        <family val="2"/>
      </rPr>
      <t xml:space="preserve">以比例表示規模差異）；</t>
    </r>
    <r>
      <rPr>
        <sz val="10"/>
        <color rgb="FF000000"/>
        <rFont val="Arial"/>
        <family val="0"/>
        <charset val="1"/>
      </rPr>
      <t xml:space="preserve">2030 </t>
    </r>
    <r>
      <rPr>
        <sz val="10"/>
        <color rgb="FF000000"/>
        <rFont val="Noto Sans CJK SC"/>
        <family val="2"/>
      </rPr>
      <t xml:space="preserve">無次年，以 </t>
    </r>
    <r>
      <rPr>
        <sz val="10"/>
        <color rgb="FF000000"/>
        <rFont val="Arial"/>
        <family val="0"/>
        <charset val="1"/>
      </rPr>
      <t xml:space="preserve">2030 </t>
    </r>
    <r>
      <rPr>
        <sz val="10"/>
        <color rgb="FF000000"/>
        <rFont val="Noto Sans CJK SC"/>
        <family val="2"/>
      </rPr>
      <t xml:space="preserve">當年代替</t>
    </r>
  </si>
  <si>
    <r>
      <rPr>
        <sz val="10"/>
        <color rgb="FF000000"/>
        <rFont val="Arial"/>
        <family val="0"/>
        <charset val="1"/>
      </rPr>
      <t xml:space="preserve">3</t>
    </r>
    <r>
      <rPr>
        <sz val="10"/>
        <color rgb="FF000000"/>
        <rFont val="Noto Sans CJK SC"/>
        <family val="2"/>
      </rPr>
      <t xml:space="preserve">～</t>
    </r>
    <r>
      <rPr>
        <sz val="10"/>
        <color rgb="FF000000"/>
        <rFont val="Arial"/>
        <family val="0"/>
        <charset val="1"/>
      </rPr>
      <t xml:space="preserve">12 </t>
    </r>
    <r>
      <rPr>
        <sz val="10"/>
        <color rgb="FF000000"/>
        <rFont val="Noto Sans CJK SC"/>
        <family val="2"/>
      </rPr>
      <t xml:space="preserve">個月（</t>
    </r>
    <r>
      <rPr>
        <sz val="10"/>
        <color rgb="FF000000"/>
        <rFont val="Arial"/>
        <family val="0"/>
        <charset val="1"/>
      </rPr>
      <t xml:space="preserve">D17</t>
    </r>
    <r>
      <rPr>
        <sz val="10"/>
        <color rgb="FF000000"/>
        <rFont val="Noto Sans CJK SC"/>
        <family val="2"/>
      </rPr>
      <t xml:space="preserve">）</t>
    </r>
  </si>
  <si>
    <t xml:space="preserve">INP_125</t>
  </si>
  <si>
    <t xml:space="preserve">other_inc_future</t>
  </si>
  <si>
    <r>
      <rPr>
        <sz val="10"/>
        <color rgb="FF000000"/>
        <rFont val="Noto Sans CJK SC"/>
        <family val="2"/>
      </rPr>
      <t xml:space="preserve">其他收益（政府補助、利息收入等）：</t>
    </r>
    <r>
      <rPr>
        <sz val="10"/>
        <color rgb="FF000000"/>
        <rFont val="Arial"/>
        <family val="0"/>
        <charset val="1"/>
      </rPr>
      <t xml:space="preserve">2H26 </t>
    </r>
    <r>
      <rPr>
        <sz val="10"/>
        <color rgb="FF000000"/>
        <rFont val="Noto Sans CJK SC"/>
        <family val="2"/>
      </rPr>
      <t xml:space="preserve">起每年</t>
    </r>
  </si>
  <si>
    <r>
      <rPr>
        <sz val="10"/>
        <color rgb="FF000000"/>
        <rFont val="Noto Sans CJK SC"/>
        <family val="2"/>
      </rPr>
      <t xml:space="preserve">規格 </t>
    </r>
    <r>
      <rPr>
        <sz val="10"/>
        <color rgb="FF000000"/>
        <rFont val="Arial"/>
        <family val="0"/>
        <charset val="1"/>
      </rPr>
      <t xml:space="preserve">D20</t>
    </r>
    <r>
      <rPr>
        <sz val="10"/>
        <color rgb="FF000000"/>
        <rFont val="Noto Sans CJK SC"/>
        <family val="2"/>
      </rPr>
      <t xml:space="preserve">：未來補助＝</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Decision</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其他收入 </t>
    </r>
    <r>
      <rPr>
        <sz val="10"/>
        <color rgb="FF000000"/>
        <rFont val="Arial"/>
        <family val="0"/>
        <charset val="1"/>
      </rPr>
      <t xml:space="preserve">0.41 </t>
    </r>
    <r>
      <rPr>
        <sz val="10"/>
        <color rgb="FF000000"/>
        <rFont val="Noto Sans CJK SC"/>
        <family val="2"/>
      </rPr>
      <t xml:space="preserve">億主要為上市後存款利息（</t>
    </r>
    <r>
      <rPr>
        <sz val="10"/>
        <color rgb="FF000000"/>
        <rFont val="Arial"/>
        <family val="0"/>
        <charset val="1"/>
      </rPr>
      <t xml:space="preserve">SRC_ZP_203</t>
    </r>
    <r>
      <rPr>
        <sz val="10"/>
        <color rgb="FF000000"/>
        <rFont val="Noto Sans CJK SC"/>
        <family val="2"/>
      </rPr>
      <t xml:space="preserve">），保守不外推；高端＝</t>
    </r>
    <r>
      <rPr>
        <sz val="10"/>
        <color rgb="FF000000"/>
        <rFont val="Arial"/>
        <family val="0"/>
        <charset val="1"/>
      </rPr>
      <t xml:space="preserve">1H26 </t>
    </r>
    <r>
      <rPr>
        <sz val="10"/>
        <color rgb="FF000000"/>
        <rFont val="Noto Sans CJK SC"/>
        <family val="2"/>
      </rPr>
      <t xml:space="preserve">年化（只作情境）</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</si>
  <si>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年化 </t>
    </r>
    <r>
      <rPr>
        <sz val="10"/>
        <color rgb="FF000000"/>
        <rFont val="Arial"/>
        <family val="0"/>
        <charset val="1"/>
      </rPr>
      <t xml:space="preserve">0.83</t>
    </r>
  </si>
  <si>
    <t xml:space="preserve">INP_126</t>
  </si>
  <si>
    <t xml:space="preserve">bank_rate</t>
  </si>
  <si>
    <t xml:space="preserve">銀行借款年利率</t>
  </si>
  <si>
    <r>
      <rPr>
        <sz val="10"/>
        <color rgb="FF000000"/>
        <rFont val="Noto Sans CJK SC"/>
        <family val="2"/>
      </rPr>
      <t xml:space="preserve">工作單 </t>
    </r>
    <r>
      <rPr>
        <sz val="10"/>
        <color rgb="FF000000"/>
        <rFont val="Arial"/>
        <family val="0"/>
        <charset val="1"/>
      </rPr>
      <t xml:space="preserve">Z4</t>
    </r>
    <r>
      <rPr>
        <sz val="10"/>
        <color rgb="FF000000"/>
        <rFont val="Noto Sans CJK SC"/>
        <family val="2"/>
      </rPr>
      <t xml:space="preserve">『利息以財報利率計入』；利率與到期未揭露（</t>
    </r>
    <r>
      <rPr>
        <sz val="10"/>
        <color rgb="FF000000"/>
        <rFont val="Arial"/>
        <family val="0"/>
        <charset val="1"/>
      </rPr>
      <t xml:space="preserve">Z1 not_found</t>
    </r>
    <r>
      <rPr>
        <sz val="10"/>
        <color rgb="FF000000"/>
        <rFont val="Noto Sans CJK SC"/>
        <family val="2"/>
      </rPr>
      <t xml:space="preserve">）；財報財務成本含匯兌損失與租賃利息，不能直接推利率 → 以中國一年期 </t>
    </r>
    <r>
      <rPr>
        <sz val="10"/>
        <color rgb="FF000000"/>
        <rFont val="Arial"/>
        <family val="0"/>
        <charset val="1"/>
      </rPr>
      <t xml:space="preserve">LPR </t>
    </r>
    <r>
      <rPr>
        <sz val="10"/>
        <color rgb="FF000000"/>
        <rFont val="Noto Sans CJK SC"/>
        <family val="2"/>
      </rPr>
      <t xml:space="preserve">約 </t>
    </r>
    <r>
      <rPr>
        <sz val="10"/>
        <color rgb="FF000000"/>
        <rFont val="Arial"/>
        <family val="0"/>
        <charset val="1"/>
      </rPr>
      <t xml:space="preserve">3.0% </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用財報財務成本實際值</t>
    </r>
  </si>
  <si>
    <r>
      <rPr>
        <sz val="10"/>
        <color rgb="FF000000"/>
        <rFont val="Arial"/>
        <family val="0"/>
        <charset val="1"/>
      </rPr>
      <t xml:space="preserve">2.5%</t>
    </r>
    <r>
      <rPr>
        <sz val="10"/>
        <color rgb="FF000000"/>
        <rFont val="Noto Sans CJK SC"/>
        <family val="2"/>
      </rPr>
      <t xml:space="preserve">～</t>
    </r>
    <r>
      <rPr>
        <sz val="10"/>
        <color rgb="FF000000"/>
        <rFont val="Arial"/>
        <family val="0"/>
        <charset val="1"/>
      </rPr>
      <t xml:space="preserve">4.5%</t>
    </r>
    <r>
      <rPr>
        <sz val="10"/>
        <color rgb="FF000000"/>
        <rFont val="Noto Sans CJK SC"/>
        <family val="2"/>
      </rPr>
      <t xml:space="preserve">（</t>
    </r>
    <r>
      <rPr>
        <sz val="10"/>
        <color rgb="FF000000"/>
        <rFont val="Arial"/>
        <family val="0"/>
        <charset val="1"/>
      </rPr>
      <t xml:space="preserve">LPR </t>
    </r>
    <r>
      <rPr>
        <sz val="10"/>
        <color rgb="FF000000"/>
        <rFont val="Noto Sans CJK SC"/>
        <family val="2"/>
      </rPr>
      <t xml:space="preserve">至 </t>
    </r>
    <r>
      <rPr>
        <sz val="10"/>
        <color rgb="FF000000"/>
        <rFont val="Arial"/>
        <family val="0"/>
        <charset val="1"/>
      </rPr>
      <t xml:space="preserve">LPR</t>
    </r>
    <r>
      <rPr>
        <sz val="10"/>
        <color rgb="FF000000"/>
        <rFont val="Noto Sans CJK SC"/>
        <family val="2"/>
      </rPr>
      <t xml:space="preserve">＋</t>
    </r>
    <r>
      <rPr>
        <sz val="10"/>
        <color rgb="FF000000"/>
        <rFont val="Arial"/>
        <family val="0"/>
        <charset val="1"/>
      </rPr>
      <t xml:space="preserve">150bp</t>
    </r>
    <r>
      <rPr>
        <sz val="10"/>
        <color rgb="FF000000"/>
        <rFont val="Noto Sans CJK SC"/>
        <family val="2"/>
      </rPr>
      <t xml:space="preserve">）</t>
    </r>
  </si>
  <si>
    <t xml:space="preserve">INP_127</t>
  </si>
  <si>
    <t xml:space="preserve">bank_repay_sw</t>
  </si>
  <si>
    <r>
      <rPr>
        <sz val="10"/>
        <color rgb="FF000000"/>
        <rFont val="Noto Sans CJK SC"/>
        <family val="2"/>
      </rPr>
      <t xml:space="preserve">銀行借款到期處理開關（</t>
    </r>
    <r>
      <rPr>
        <sz val="10"/>
        <color rgb="FF000000"/>
        <rFont val="Arial"/>
        <family val="0"/>
        <charset val="1"/>
      </rPr>
      <t xml:space="preserve">0</t>
    </r>
    <r>
      <rPr>
        <sz val="10"/>
        <color rgb="FF000000"/>
        <rFont val="Noto Sans CJK SC"/>
        <family val="2"/>
      </rPr>
      <t xml:space="preserve">＝續借；</t>
    </r>
    <r>
      <rPr>
        <sz val="10"/>
        <color rgb="FF000000"/>
        <rFont val="Arial"/>
        <family val="0"/>
        <charset val="1"/>
      </rPr>
      <t xml:space="preserve">1</t>
    </r>
    <r>
      <rPr>
        <sz val="10"/>
        <color rgb="FF000000"/>
        <rFont val="Noto Sans CJK SC"/>
        <family val="2"/>
      </rPr>
      <t xml:space="preserve">＝流動部分 </t>
    </r>
    <r>
      <rPr>
        <sz val="10"/>
        <color rgb="FF000000"/>
        <rFont val="Arial"/>
        <family val="0"/>
        <charset val="1"/>
      </rPr>
      <t xml:space="preserve">2027</t>
    </r>
    <r>
      <rPr>
        <sz val="10"/>
        <color rgb="FF000000"/>
        <rFont val="Noto Sans CJK SC"/>
        <family val="2"/>
      </rPr>
      <t xml:space="preserve">、非流動部分 </t>
    </r>
    <r>
      <rPr>
        <sz val="10"/>
        <color rgb="FF000000"/>
        <rFont val="Arial"/>
        <family val="0"/>
        <charset val="1"/>
      </rPr>
      <t xml:space="preserve">2028 </t>
    </r>
    <r>
      <rPr>
        <sz val="10"/>
        <color rgb="FF000000"/>
        <rFont val="Noto Sans CJK SC"/>
        <family val="2"/>
      </rPr>
      <t xml:space="preserve">償還）</t>
    </r>
  </si>
  <si>
    <r>
      <rPr>
        <sz val="10"/>
        <color rgb="FF000000"/>
        <rFont val="Noto Sans CJK SC"/>
        <family val="2"/>
      </rPr>
      <t xml:space="preserve">工作單 </t>
    </r>
    <r>
      <rPr>
        <sz val="10"/>
        <color rgb="FF000000"/>
        <rFont val="Arial"/>
        <family val="0"/>
        <charset val="1"/>
      </rPr>
      <t xml:space="preserve">Z4 </t>
    </r>
    <r>
      <rPr>
        <sz val="10"/>
        <color rgb="FF000000"/>
        <rFont val="Noto Sans CJK SC"/>
        <family val="2"/>
      </rPr>
      <t xml:space="preserve">預設：到期續借（</t>
    </r>
    <r>
      <rPr>
        <sz val="10"/>
        <color rgb="FF000000"/>
        <rFont val="Arial"/>
        <family val="0"/>
        <charset val="1"/>
      </rPr>
      <t xml:space="preserve">Decision</t>
    </r>
    <r>
      <rPr>
        <sz val="10"/>
        <color rgb="FF000000"/>
        <rFont val="Noto Sans CJK SC"/>
        <family val="2"/>
      </rPr>
      <t xml:space="preserve">）；替代＝到期償還（列情境）</t>
    </r>
  </si>
  <si>
    <t xml:space="preserve">INP_128</t>
  </si>
  <si>
    <t xml:space="preserve">cb_conv_sw</t>
  </si>
  <si>
    <r>
      <rPr>
        <sz val="10"/>
        <color rgb="FF000000"/>
        <rFont val="Noto Sans CJK SC"/>
        <family val="2"/>
      </rPr>
      <t xml:space="preserve">可換股債券處理開關（</t>
    </r>
    <r>
      <rPr>
        <sz val="10"/>
        <color rgb="FF000000"/>
        <rFont val="Arial"/>
        <family val="0"/>
        <charset val="1"/>
      </rPr>
      <t xml:space="preserve">0</t>
    </r>
    <r>
      <rPr>
        <sz val="10"/>
        <color rgb="FF000000"/>
        <rFont val="Noto Sans CJK SC"/>
        <family val="2"/>
      </rPr>
      <t xml:space="preserve">＝視為債務、到期現金償還；</t>
    </r>
    <r>
      <rPr>
        <sz val="10"/>
        <color rgb="FF000000"/>
        <rFont val="Arial"/>
        <family val="0"/>
        <charset val="1"/>
      </rPr>
      <t xml:space="preserve">1</t>
    </r>
    <r>
      <rPr>
        <sz val="10"/>
        <color rgb="FF000000"/>
        <rFont val="Noto Sans CJK SC"/>
        <family val="2"/>
      </rPr>
      <t xml:space="preserve">＝轉股、不償還）</t>
    </r>
  </si>
  <si>
    <r>
      <rPr>
        <sz val="10"/>
        <color rgb="FF000000"/>
        <rFont val="Noto Sans CJK SC"/>
        <family val="2"/>
      </rPr>
      <t xml:space="preserve">規格 </t>
    </r>
    <r>
      <rPr>
        <sz val="10"/>
        <color rgb="FF000000"/>
        <rFont val="Arial"/>
        <family val="0"/>
        <charset val="1"/>
      </rPr>
      <t xml:space="preserve">D16r</t>
    </r>
    <r>
      <rPr>
        <sz val="10"/>
        <color rgb="FF000000"/>
        <rFont val="Noto Sans CJK SC"/>
        <family val="2"/>
      </rPr>
      <t xml:space="preserve">：基準＝債務、</t>
    </r>
    <r>
      <rPr>
        <sz val="10"/>
        <color rgb="FF000000"/>
        <rFont val="Arial"/>
        <family val="0"/>
        <charset val="1"/>
      </rPr>
      <t xml:space="preserve">2027-09-16 </t>
    </r>
    <r>
      <rPr>
        <sz val="10"/>
        <color rgb="FF000000"/>
        <rFont val="Noto Sans CJK SC"/>
        <family val="2"/>
      </rPr>
      <t xml:space="preserve">到期以現金償還（現價 </t>
    </r>
    <r>
      <rPr>
        <sz val="10"/>
        <color rgb="FF000000"/>
        <rFont val="Arial"/>
        <family val="0"/>
        <charset val="1"/>
      </rPr>
      <t xml:space="preserve">HK$696 </t>
    </r>
    <r>
      <rPr>
        <sz val="10"/>
        <color rgb="FF000000"/>
        <rFont val="Noto Sans CJK SC"/>
        <family val="2"/>
      </rPr>
      <t xml:space="preserve">低於換股價 </t>
    </r>
    <r>
      <rPr>
        <sz val="10"/>
        <color rgb="FF000000"/>
        <rFont val="Arial"/>
        <family val="0"/>
        <charset val="1"/>
      </rPr>
      <t xml:space="preserve">HK$892.50</t>
    </r>
    <r>
      <rPr>
        <sz val="10"/>
        <color rgb="FF000000"/>
        <rFont val="Noto Sans CJK SC"/>
        <family val="2"/>
      </rPr>
      <t xml:space="preserve">，較保守）；轉股情境另列（</t>
    </r>
    <r>
      <rPr>
        <sz val="10"/>
        <color rgb="FF000000"/>
        <rFont val="Arial"/>
        <family val="0"/>
        <charset val="1"/>
      </rPr>
      <t xml:space="preserve">Funding </t>
    </r>
    <r>
      <rPr>
        <sz val="10"/>
        <color rgb="FF000000"/>
        <rFont val="Noto Sans CJK SC"/>
        <family val="2"/>
      </rPr>
      <t xml:space="preserve">第五節，不受本開關影響）</t>
    </r>
  </si>
  <si>
    <t xml:space="preserve">INP_129</t>
  </si>
  <si>
    <t xml:space="preserve">cb_redeem</t>
  </si>
  <si>
    <t xml:space="preserve">可換股債券到期贖回價（占本金）</t>
  </si>
  <si>
    <r>
      <rPr>
        <sz val="10"/>
        <color rgb="FF000000"/>
        <rFont val="Noto Sans CJK SC"/>
        <family val="2"/>
      </rPr>
      <t xml:space="preserve">零息、發行價 </t>
    </r>
    <r>
      <rPr>
        <sz val="10"/>
        <color rgb="FF000000"/>
        <rFont val="Arial"/>
        <family val="0"/>
        <charset val="1"/>
      </rPr>
      <t xml:space="preserve">100.5%</t>
    </r>
    <r>
      <rPr>
        <sz val="10"/>
        <color rgb="FF000000"/>
        <rFont val="Noto Sans CJK SC"/>
        <family val="2"/>
      </rPr>
      <t xml:space="preserve">（</t>
    </r>
    <r>
      <rPr>
        <sz val="10"/>
        <color rgb="FF000000"/>
        <rFont val="Arial"/>
        <family val="0"/>
        <charset val="1"/>
      </rPr>
      <t xml:space="preserve">SRC_ZP_545</t>
    </r>
    <r>
      <rPr>
        <sz val="10"/>
        <color rgb="FF000000"/>
        <rFont val="Noto Sans CJK SC"/>
        <family val="2"/>
      </rPr>
      <t xml:space="preserve">）；到期贖回溢價未揭露 → 以本金 </t>
    </r>
    <r>
      <rPr>
        <sz val="10"/>
        <color rgb="FF000000"/>
        <rFont val="Arial"/>
        <family val="0"/>
        <charset val="1"/>
      </rPr>
      <t xml:space="preserve">100% </t>
    </r>
    <r>
      <rPr>
        <sz val="10"/>
        <color rgb="FF000000"/>
        <rFont val="Noto Sans CJK SC"/>
        <family val="2"/>
      </rPr>
      <t xml:space="preserve">償還</t>
    </r>
  </si>
  <si>
    <t xml:space="preserve">INP_130</t>
  </si>
  <si>
    <t xml:space="preserve">cb_year</t>
  </si>
  <si>
    <t xml:space="preserve">可換股債券到期年</t>
  </si>
  <si>
    <r>
      <rPr>
        <sz val="10"/>
        <color rgb="FF000000"/>
        <rFont val="Arial"/>
        <family val="0"/>
        <charset val="1"/>
      </rPr>
      <t xml:space="preserve">2027-09-16 </t>
    </r>
    <r>
      <rPr>
        <sz val="10"/>
        <color rgb="FF000000"/>
        <rFont val="Noto Sans CJK SC"/>
        <family val="2"/>
      </rPr>
      <t xml:space="preserve">到期（</t>
    </r>
    <r>
      <rPr>
        <sz val="10"/>
        <color rgb="FF000000"/>
        <rFont val="Arial"/>
        <family val="0"/>
        <charset val="1"/>
      </rPr>
      <t xml:space="preserve">SRC_ZP_548 note</t>
    </r>
    <r>
      <rPr>
        <sz val="10"/>
        <color rgb="FF000000"/>
        <rFont val="Noto Sans CJK SC"/>
        <family val="2"/>
      </rPr>
      <t xml:space="preserve">）</t>
    </r>
  </si>
  <si>
    <t xml:space="preserve">INP_131</t>
  </si>
  <si>
    <t xml:space="preserve">capex_nc</t>
  </si>
  <si>
    <r>
      <rPr>
        <sz val="10"/>
        <color rgb="FF000000"/>
        <rFont val="Noto Sans CJK SC"/>
        <family val="2"/>
      </rPr>
      <t xml:space="preserve">非算力資本支出（辦公設備等）：</t>
    </r>
    <r>
      <rPr>
        <sz val="10"/>
        <color rgb="FF000000"/>
        <rFont val="Arial"/>
        <family val="0"/>
        <charset val="1"/>
      </rPr>
      <t xml:space="preserve">2H26 </t>
    </r>
    <r>
      <rPr>
        <sz val="10"/>
        <color rgb="FF000000"/>
        <rFont val="Noto Sans CJK SC"/>
        <family val="2"/>
      </rPr>
      <t xml:space="preserve">起每年</t>
    </r>
  </si>
  <si>
    <r>
      <rPr>
        <sz val="10"/>
        <color rgb="FF000000"/>
        <rFont val="Arial"/>
        <family val="0"/>
        <charset val="1"/>
      </rPr>
      <t xml:space="preserve">FY2025 </t>
    </r>
    <r>
      <rPr>
        <sz val="10"/>
        <color rgb="FF000000"/>
        <rFont val="Noto Sans CJK SC"/>
        <family val="2"/>
      </rPr>
      <t xml:space="preserve">資本開支 </t>
    </r>
    <r>
      <rPr>
        <sz val="10"/>
        <color rgb="FF000000"/>
        <rFont val="Arial"/>
        <family val="0"/>
        <charset val="1"/>
      </rPr>
      <t xml:space="preserve">0.747 </t>
    </r>
    <r>
      <rPr>
        <sz val="10"/>
        <color rgb="FF000000"/>
        <rFont val="Noto Sans CJK SC"/>
        <family val="2"/>
      </rPr>
      <t xml:space="preserve">億（</t>
    </r>
    <r>
      <rPr>
        <sz val="10"/>
        <color rgb="FF000000"/>
        <rFont val="Arial"/>
        <family val="0"/>
        <charset val="1"/>
      </rPr>
      <t xml:space="preserve">SRC_ZP_149</t>
    </r>
    <r>
      <rPr>
        <sz val="10"/>
        <color rgb="FF000000"/>
        <rFont val="Noto Sans CJK SC"/>
        <family val="2"/>
      </rPr>
      <t xml:space="preserve">；公告稱算力由租賃轉為採購服務，故非算力）延續；</t>
    </r>
    <r>
      <rPr>
        <sz val="10"/>
        <color rgb="FF000000"/>
        <rFont val="Arial"/>
        <family val="0"/>
        <charset val="1"/>
      </rPr>
      <t xml:space="preserve">r2 P2</t>
    </r>
    <r>
      <rPr>
        <sz val="10"/>
        <color rgb="FF000000"/>
        <rFont val="Noto Sans CJK SC"/>
        <family val="2"/>
      </rPr>
      <t xml:space="preserve">：公告口徑含使用權資產添置，招股章程現金口徑 </t>
    </r>
    <r>
      <rPr>
        <sz val="10"/>
        <color rgb="FF000000"/>
        <rFont val="Arial"/>
        <family val="0"/>
        <charset val="1"/>
      </rPr>
      <t xml:space="preserve">FY2024 1.33</t>
    </r>
    <r>
      <rPr>
        <sz val="10"/>
        <color rgb="FF000000"/>
        <rFont val="Noto Sans CJK SC"/>
        <family val="2"/>
      </rPr>
      <t xml:space="preserve">、</t>
    </r>
    <r>
      <rPr>
        <sz val="10"/>
        <color rgb="FF000000"/>
        <rFont val="Arial"/>
        <family val="0"/>
        <charset val="1"/>
      </rPr>
      <t xml:space="preserve">1H25 0.24 </t>
    </r>
    <r>
      <rPr>
        <sz val="10"/>
        <color rgb="FF000000"/>
        <rFont val="Noto Sans CJK SC"/>
        <family val="2"/>
      </rPr>
      <t xml:space="preserve">億（年化 </t>
    </r>
    <r>
      <rPr>
        <sz val="10"/>
        <color rgb="FF000000"/>
        <rFont val="Arial"/>
        <family val="0"/>
        <charset val="1"/>
      </rPr>
      <t xml:space="preserve">0.48</t>
    </r>
    <r>
      <rPr>
        <sz val="10"/>
        <color rgb="FF000000"/>
        <rFont val="Noto Sans CJK SC"/>
        <family val="2"/>
      </rPr>
      <t xml:space="preserve">，</t>
    </r>
    <r>
      <rPr>
        <sz val="10"/>
        <color rgb="FF000000"/>
        <rFont val="Arial"/>
        <family val="0"/>
        <charset val="1"/>
      </rPr>
      <t xml:space="preserve">SRC_ZP_889</t>
    </r>
    <r>
      <rPr>
        <sz val="10"/>
        <color rgb="FF000000"/>
        <rFont val="Noto Sans CJK SC"/>
        <family val="2"/>
      </rPr>
      <t xml:space="preserve">、</t>
    </r>
    <r>
      <rPr>
        <sz val="10"/>
        <color rgb="FF000000"/>
        <rFont val="Arial"/>
        <family val="0"/>
        <charset val="1"/>
      </rPr>
      <t xml:space="preserve">891</t>
    </r>
    <r>
      <rPr>
        <sz val="10"/>
        <color rgb="FF000000"/>
        <rFont val="Noto Sans CJK SC"/>
        <family val="2"/>
      </rPr>
      <t xml:space="preserve">），落在區間內；</t>
    </r>
    <r>
      <rPr>
        <sz val="10"/>
        <color rgb="FF000000"/>
        <rFont val="Arial"/>
        <family val="0"/>
        <charset val="1"/>
      </rPr>
      <t xml:space="preserve">1H26 3.906 </t>
    </r>
    <r>
      <rPr>
        <sz val="10"/>
        <color rgb="FF000000"/>
        <rFont val="Noto Sans CJK SC"/>
        <family val="2"/>
      </rPr>
      <t xml:space="preserve">億主要為北京紅鑽物業（一次性，</t>
    </r>
    <r>
      <rPr>
        <sz val="10"/>
        <color rgb="FF000000"/>
        <rFont val="Arial"/>
        <family val="0"/>
        <charset val="1"/>
      </rPr>
      <t xml:space="preserve">D11r</t>
    </r>
    <r>
      <rPr>
        <sz val="10"/>
        <color rgb="FF000000"/>
        <rFont val="Noto Sans CJK SC"/>
        <family val="2"/>
      </rPr>
      <t xml:space="preserve">）；自有算力資本支出在 </t>
    </r>
    <r>
      <rPr>
        <sz val="10"/>
        <color rgb="FF000000"/>
        <rFont val="Arial"/>
        <family val="0"/>
        <charset val="1"/>
      </rPr>
      <t xml:space="preserve">Cost </t>
    </r>
    <r>
      <rPr>
        <sz val="10"/>
        <color rgb="FF000000"/>
        <rFont val="Noto Sans CJK SC"/>
        <family val="2"/>
      </rPr>
      <t xml:space="preserve">算力成本內（</t>
    </r>
    <r>
      <rPr>
        <sz val="10"/>
        <color rgb="FF000000"/>
        <rFont val="Arial"/>
        <family val="0"/>
        <charset val="1"/>
      </rPr>
      <t xml:space="preserve">D11r </t>
    </r>
    <r>
      <rPr>
        <sz val="10"/>
        <color rgb="FF000000"/>
        <rFont val="Noto Sans CJK SC"/>
        <family val="2"/>
      </rPr>
      <t xml:space="preserve">基準 </t>
    </r>
    <r>
      <rPr>
        <sz val="10"/>
        <color rgb="FF000000"/>
        <rFont val="Arial"/>
        <family val="0"/>
        <charset val="1"/>
      </rPr>
      <t xml:space="preserve">0</t>
    </r>
    <r>
      <rPr>
        <sz val="10"/>
        <color rgb="FF000000"/>
        <rFont val="Noto Sans CJK SC"/>
        <family val="2"/>
      </rPr>
      <t xml:space="preserve">）</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</si>
  <si>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1.5</t>
    </r>
    <r>
      <rPr>
        <sz val="10"/>
        <color rgb="FF000000"/>
        <rFont val="Noto Sans CJK SC"/>
        <family val="2"/>
      </rPr>
      <t xml:space="preserve">（</t>
    </r>
    <r>
      <rPr>
        <sz val="10"/>
        <color rgb="FF000000"/>
        <rFont val="Arial"/>
        <family val="0"/>
        <charset val="1"/>
      </rPr>
      <t xml:space="preserve">FY2025 </t>
    </r>
    <r>
      <rPr>
        <sz val="10"/>
        <color rgb="FF000000"/>
        <rFont val="Noto Sans CJK SC"/>
        <family val="2"/>
      </rPr>
      <t xml:space="preserve">的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 </t>
    </r>
    <r>
      <rPr>
        <sz val="10"/>
        <color rgb="FF000000"/>
        <rFont val="Noto Sans CJK SC"/>
        <family val="2"/>
      </rPr>
      <t xml:space="preserve">倍）</t>
    </r>
  </si>
  <si>
    <t xml:space="preserve">INP_132</t>
  </si>
  <si>
    <t xml:space="preserve">zkjh_cash</t>
  </si>
  <si>
    <r>
      <rPr>
        <sz val="10"/>
        <color rgb="FF000000"/>
        <rFont val="Noto Sans CJK SC"/>
        <family val="2"/>
      </rPr>
      <t xml:space="preserve">併購現金支出：中科加禾約 </t>
    </r>
    <r>
      <rPr>
        <sz val="10"/>
        <color rgb="FF000000"/>
        <rFont val="Arial"/>
        <family val="0"/>
        <charset val="1"/>
      </rPr>
      <t xml:space="preserve">60%</t>
    </r>
    <r>
      <rPr>
        <sz val="10"/>
        <color rgb="FF000000"/>
        <rFont val="Noto Sans CJK SC"/>
        <family val="2"/>
      </rPr>
      <t xml:space="preserve">（</t>
    </r>
    <r>
      <rPr>
        <sz val="10"/>
        <color rgb="FF000000"/>
        <rFont val="Arial"/>
        <family val="0"/>
        <charset val="1"/>
      </rPr>
      <t xml:space="preserve">2H26</t>
    </r>
    <r>
      <rPr>
        <sz val="10"/>
        <color rgb="FF000000"/>
        <rFont val="Noto Sans CJK SC"/>
        <family val="2"/>
      </rPr>
      <t xml:space="preserve">）</t>
    </r>
  </si>
  <si>
    <r>
      <rPr>
        <sz val="10"/>
        <color rgb="FF000000"/>
        <rFont val="Noto Sans CJK SC"/>
        <family val="2"/>
      </rPr>
      <t xml:space="preserve">規格 </t>
    </r>
    <r>
      <rPr>
        <sz val="10"/>
        <color rgb="FF000000"/>
        <rFont val="Arial"/>
        <family val="0"/>
        <charset val="1"/>
      </rPr>
      <t xml:space="preserve">D18</t>
    </r>
    <r>
      <rPr>
        <sz val="10"/>
        <color rgb="FF000000"/>
        <rFont val="Noto Sans CJK SC"/>
        <family val="2"/>
      </rPr>
      <t xml:space="preserve">；對價未揭露，媒體只寫『數億元』（</t>
    </r>
    <r>
      <rPr>
        <sz val="10"/>
        <color rgb="FF000000"/>
        <rFont val="Arial"/>
        <family val="0"/>
        <charset val="1"/>
      </rPr>
      <t xml:space="preserve">SRC_ZP_559</t>
    </r>
    <r>
      <rPr>
        <sz val="10"/>
        <color rgb="FF000000"/>
        <rFont val="Noto Sans CJK SC"/>
        <family val="2"/>
      </rPr>
      <t xml:space="preserve">）、『</t>
    </r>
    <r>
      <rPr>
        <sz val="10"/>
        <color rgb="FF000000"/>
        <rFont val="Arial"/>
        <family val="0"/>
        <charset val="1"/>
      </rPr>
      <t xml:space="preserve">2.92 </t>
    </r>
    <r>
      <rPr>
        <sz val="10"/>
        <color rgb="FF000000"/>
        <rFont val="Noto Sans CJK SC"/>
        <family val="2"/>
      </rPr>
      <t xml:space="preserve">億』找不到原文 → 取 </t>
    </r>
    <r>
      <rPr>
        <sz val="10"/>
        <color rgb="FF000000"/>
        <rFont val="Arial"/>
        <family val="0"/>
        <charset val="1"/>
      </rPr>
      <t xml:space="preserve">3 </t>
    </r>
    <r>
      <rPr>
        <sz val="10"/>
        <color rgb="FF000000"/>
        <rFont val="Noto Sans CJK SC"/>
        <family val="2"/>
      </rPr>
      <t xml:space="preserve">億</t>
    </r>
  </si>
  <si>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5 </t>
    </r>
    <r>
      <rPr>
        <sz val="10"/>
        <color rgb="FF000000"/>
        <rFont val="Noto Sans CJK SC"/>
        <family val="2"/>
      </rPr>
      <t xml:space="preserve">億（『數億元』）</t>
    </r>
  </si>
  <si>
    <t xml:space="preserve">INP_133</t>
  </si>
  <si>
    <t xml:space="preserve">days_jul_aug</t>
  </si>
  <si>
    <r>
      <rPr>
        <sz val="10"/>
        <color rgb="FF000000"/>
        <rFont val="Arial"/>
        <family val="0"/>
        <charset val="1"/>
      </rPr>
      <t xml:space="preserve">2026-07-01</t>
    </r>
    <r>
      <rPr>
        <sz val="10"/>
        <color rgb="FF000000"/>
        <rFont val="Noto Sans CJK SC"/>
        <family val="2"/>
      </rPr>
      <t xml:space="preserve">～</t>
    </r>
    <r>
      <rPr>
        <sz val="10"/>
        <color rgb="FF000000"/>
        <rFont val="Arial"/>
        <family val="0"/>
        <charset val="1"/>
      </rPr>
      <t xml:space="preserve">08-31 </t>
    </r>
    <r>
      <rPr>
        <sz val="10"/>
        <color rgb="FF000000"/>
        <rFont val="Noto Sans CJK SC"/>
        <family val="2"/>
      </rPr>
      <t xml:space="preserve">天數（定義常數）</t>
    </r>
  </si>
  <si>
    <r>
      <rPr>
        <sz val="10"/>
        <color rgb="FF000000"/>
        <rFont val="Noto Sans CJK SC"/>
        <family val="2"/>
      </rPr>
      <t xml:space="preserve">配售款動用對照（</t>
    </r>
    <r>
      <rPr>
        <sz val="10"/>
        <color rgb="FF000000"/>
        <rFont val="Arial"/>
        <family val="0"/>
        <charset val="1"/>
      </rPr>
      <t xml:space="preserve">2026-07 </t>
    </r>
    <r>
      <rPr>
        <sz val="10"/>
        <color rgb="FF000000"/>
        <rFont val="Noto Sans CJK SC"/>
        <family val="2"/>
      </rPr>
      <t xml:space="preserve">配售至 </t>
    </r>
    <r>
      <rPr>
        <sz val="10"/>
        <color rgb="FF000000"/>
        <rFont val="Arial"/>
        <family val="0"/>
        <charset val="1"/>
      </rPr>
      <t xml:space="preserve">08-31 </t>
    </r>
    <r>
      <rPr>
        <sz val="10"/>
        <color rgb="FF000000"/>
        <rFont val="Noto Sans CJK SC"/>
        <family val="2"/>
      </rPr>
      <t xml:space="preserve">已動用）</t>
    </r>
  </si>
  <si>
    <t xml:space="preserve">INP_134</t>
  </si>
  <si>
    <t xml:space="preserve">cons_g_late</t>
  </si>
  <si>
    <r>
      <rPr>
        <sz val="10"/>
        <color rgb="FF000000"/>
        <rFont val="Noto Sans CJK SC"/>
        <family val="2"/>
      </rPr>
      <t xml:space="preserve">反向模式：</t>
    </r>
    <r>
      <rPr>
        <sz val="10"/>
        <color rgb="FF000000"/>
        <rFont val="Arial"/>
        <family val="0"/>
        <charset val="1"/>
      </rPr>
      <t xml:space="preserve">2029–2030 </t>
    </r>
    <r>
      <rPr>
        <sz val="10"/>
        <color rgb="FF000000"/>
        <rFont val="Noto Sans CJK SC"/>
        <family val="2"/>
      </rPr>
      <t xml:space="preserve">目標營收年增率（共識只到 </t>
    </r>
    <r>
      <rPr>
        <sz val="10"/>
        <color rgb="FF000000"/>
        <rFont val="Arial"/>
        <family val="0"/>
        <charset val="1"/>
      </rPr>
      <t xml:space="preserve">FY2028</t>
    </r>
    <r>
      <rPr>
        <sz val="10"/>
        <color rgb="FF000000"/>
        <rFont val="Noto Sans CJK SC"/>
        <family val="2"/>
      </rPr>
      <t xml:space="preserve">）</t>
    </r>
  </si>
  <si>
    <t xml:space="preserve">2029–2030</t>
  </si>
  <si>
    <r>
      <rPr>
        <sz val="10"/>
        <color rgb="FF000000"/>
        <rFont val="Noto Sans CJK SC"/>
        <family val="2"/>
      </rPr>
      <t xml:space="preserve">共識只到 </t>
    </r>
    <r>
      <rPr>
        <sz val="10"/>
        <color rgb="FF000000"/>
        <rFont val="Arial"/>
        <family val="0"/>
        <charset val="1"/>
      </rPr>
      <t xml:space="preserve">FY2028</t>
    </r>
    <r>
      <rPr>
        <sz val="10"/>
        <color rgb="FF000000"/>
        <rFont val="Noto Sans CJK SC"/>
        <family val="2"/>
      </rPr>
      <t xml:space="preserve">（</t>
    </r>
    <r>
      <rPr>
        <sz val="10"/>
        <color rgb="FF000000"/>
        <rFont val="Arial"/>
        <family val="0"/>
        <charset val="1"/>
      </rPr>
      <t xml:space="preserve">SRC_ZP_582–584 </t>
    </r>
    <r>
      <rPr>
        <sz val="10"/>
        <color rgb="FF000000"/>
        <rFont val="Noto Sans CJK SC"/>
        <family val="2"/>
      </rPr>
      <t xml:space="preserve">等）；基準持平於 </t>
    </r>
    <r>
      <rPr>
        <sz val="10"/>
        <color rgb="FF000000"/>
        <rFont val="Arial"/>
        <family val="0"/>
        <charset val="1"/>
      </rPr>
      <t xml:space="preserve">FY2028 </t>
    </r>
    <r>
      <rPr>
        <sz val="10"/>
        <color rgb="FF000000"/>
        <rFont val="Noto Sans CJK SC"/>
        <family val="2"/>
      </rPr>
      <t xml:space="preserve">平均（較保守）；高端＝大和 </t>
    </r>
    <r>
      <rPr>
        <sz val="10"/>
        <color rgb="FF000000"/>
        <rFont val="Arial"/>
        <family val="0"/>
        <charset val="1"/>
      </rPr>
      <t xml:space="preserve">2029 </t>
    </r>
    <r>
      <rPr>
        <sz val="10"/>
        <color rgb="FF000000"/>
        <rFont val="Noto Sans CJK SC"/>
        <family val="2"/>
      </rPr>
      <t xml:space="preserve">年 </t>
    </r>
    <r>
      <rPr>
        <sz val="10"/>
        <color rgb="FF000000"/>
        <rFont val="Arial"/>
        <family val="0"/>
        <charset val="1"/>
      </rPr>
      <t xml:space="preserve">475 </t>
    </r>
    <r>
      <rPr>
        <sz val="10"/>
        <color rgb="FF000000"/>
        <rFont val="Noto Sans CJK SC"/>
        <family val="2"/>
      </rPr>
      <t xml:space="preserve">億 </t>
    </r>
    <r>
      <rPr>
        <sz val="10"/>
        <color rgb="FF000000"/>
        <rFont val="Arial"/>
        <family val="0"/>
        <charset val="1"/>
      </rPr>
      <t xml:space="preserve">÷ </t>
    </r>
    <r>
      <rPr>
        <sz val="10"/>
        <color rgb="FF000000"/>
        <rFont val="Noto Sans CJK SC"/>
        <family val="2"/>
      </rPr>
      <t xml:space="preserve">共識 </t>
    </r>
    <r>
      <rPr>
        <sz val="10"/>
        <color rgb="FF000000"/>
        <rFont val="Arial"/>
        <family val="0"/>
        <charset val="1"/>
      </rPr>
      <t xml:space="preserve">FY2028 379 </t>
    </r>
    <r>
      <rPr>
        <sz val="10"/>
        <color rgb="FF000000"/>
        <rFont val="Noto Sans CJK SC"/>
        <family val="2"/>
      </rPr>
      <t xml:space="preserve">億 − </t>
    </r>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SRC_ZP_610</t>
    </r>
    <r>
      <rPr>
        <sz val="10"/>
        <color rgb="FF000000"/>
        <rFont val="Noto Sans CJK SC"/>
        <family val="2"/>
      </rPr>
      <t xml:space="preserve">，單一券商）</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</si>
  <si>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+25%</t>
    </r>
  </si>
  <si>
    <t xml:space="preserve">INP_135</t>
  </si>
  <si>
    <t xml:space="preserve">peer_mult_range</t>
  </si>
  <si>
    <r>
      <rPr>
        <sz val="10"/>
        <color rgb="FF000000"/>
        <rFont val="Noto Sans CJK SC"/>
        <family val="2"/>
      </rPr>
      <t xml:space="preserve">同業 </t>
    </r>
    <r>
      <rPr>
        <sz val="10"/>
        <color rgb="FF000000"/>
        <rFont val="Arial"/>
        <family val="0"/>
        <charset val="1"/>
      </rPr>
      <t xml:space="preserve">EV</t>
    </r>
    <r>
      <rPr>
        <sz val="10"/>
        <color rgb="FF000000"/>
        <rFont val="Noto Sans CJK SC"/>
        <family val="2"/>
      </rPr>
      <t xml:space="preserve">／年化營收倍數 </t>
    </r>
    <r>
      <rPr>
        <sz val="10"/>
        <color rgb="FF000000"/>
        <rFont val="Arial"/>
        <family val="0"/>
        <charset val="1"/>
      </rPr>
      <t xml:space="preserve">÷ MiniMax </t>
    </r>
    <r>
      <rPr>
        <sz val="10"/>
        <color rgb="FF000000"/>
        <rFont val="Noto Sans CJK SC"/>
        <family val="2"/>
      </rPr>
      <t xml:space="preserve">推導值（市值隱含營收用）</t>
    </r>
  </si>
  <si>
    <r>
      <rPr>
        <sz val="10"/>
        <color rgb="FF000000"/>
        <rFont val="Noto Sans CJK SC"/>
        <family val="2"/>
      </rPr>
      <t xml:space="preserve">規格 </t>
    </r>
    <r>
      <rPr>
        <sz val="10"/>
        <color rgb="FF000000"/>
        <rFont val="Arial"/>
        <family val="0"/>
        <charset val="1"/>
      </rPr>
      <t xml:space="preserve">D22r</t>
    </r>
    <r>
      <rPr>
        <sz val="10"/>
        <color rgb="FF000000"/>
        <rFont val="Noto Sans CJK SC"/>
        <family val="2"/>
      </rPr>
      <t xml:space="preserve">：以 </t>
    </r>
    <r>
      <rPr>
        <sz val="10"/>
        <color rgb="FF000000"/>
        <rFont val="Arial"/>
        <family val="0"/>
        <charset val="1"/>
      </rPr>
      <t xml:space="preserve">MiniMax</t>
    </r>
    <r>
      <rPr>
        <sz val="10"/>
        <color rgb="FF000000"/>
        <rFont val="Noto Sans CJK SC"/>
        <family val="2"/>
      </rPr>
      <t xml:space="preserve">（</t>
    </r>
    <r>
      <rPr>
        <sz val="10"/>
        <color rgb="FF000000"/>
        <rFont val="Arial"/>
        <family val="0"/>
        <charset val="1"/>
      </rPr>
      <t xml:space="preserve">00100.HK</t>
    </r>
    <r>
      <rPr>
        <sz val="10"/>
        <color rgb="FF000000"/>
        <rFont val="Noto Sans CJK SC"/>
        <family val="2"/>
      </rPr>
      <t xml:space="preserve">）當前 </t>
    </r>
    <r>
      <rPr>
        <sz val="10"/>
        <color rgb="FF000000"/>
        <rFont val="Arial"/>
        <family val="0"/>
        <charset val="1"/>
      </rPr>
      <t xml:space="preserve">EV ÷ </t>
    </r>
    <r>
      <rPr>
        <sz val="10"/>
        <color rgb="FF000000"/>
        <rFont val="Noto Sans CJK SC"/>
        <family val="2"/>
      </rPr>
      <t xml:space="preserve">年化營收（</t>
    </r>
    <r>
      <rPr>
        <sz val="10"/>
        <color rgb="FF000000"/>
        <rFont val="Arial"/>
        <family val="0"/>
        <charset val="1"/>
      </rPr>
      <t xml:space="preserve">1H26 × 2</t>
    </r>
    <r>
      <rPr>
        <sz val="10"/>
        <color rgb="FF000000"/>
        <rFont val="Noto Sans CJK SC"/>
        <family val="2"/>
      </rPr>
      <t xml:space="preserve">；</t>
    </r>
    <r>
      <rPr>
        <sz val="10"/>
        <color rgb="FF000000"/>
        <rFont val="Arial"/>
        <family val="0"/>
        <charset val="1"/>
      </rPr>
      <t xml:space="preserve">Reverse </t>
    </r>
    <r>
      <rPr>
        <sz val="10"/>
        <color rgb="FF000000"/>
        <rFont val="Noto Sans CJK SC"/>
        <family val="2"/>
      </rPr>
      <t xml:space="preserve">頁由 </t>
    </r>
    <r>
      <rPr>
        <sz val="10"/>
        <color rgb="FF000000"/>
        <rFont val="Arial"/>
        <family val="0"/>
        <charset val="1"/>
      </rPr>
      <t xml:space="preserve">SRC_ZP_596</t>
    </r>
    <r>
      <rPr>
        <sz val="10"/>
        <color rgb="FF000000"/>
        <rFont val="Noto Sans CJK SC"/>
        <family val="2"/>
      </rPr>
      <t xml:space="preserve">、</t>
    </r>
    <r>
      <rPr>
        <sz val="10"/>
        <color rgb="FF000000"/>
        <rFont val="Arial"/>
        <family val="0"/>
        <charset val="1"/>
      </rPr>
      <t xml:space="preserve">601</t>
    </r>
    <r>
      <rPr>
        <sz val="10"/>
        <color rgb="FF000000"/>
        <rFont val="Noto Sans CJK SC"/>
        <family val="2"/>
      </rPr>
      <t xml:space="preserve">、</t>
    </r>
    <r>
      <rPr>
        <sz val="10"/>
        <color rgb="FF000000"/>
        <rFont val="Arial"/>
        <family val="0"/>
        <charset val="1"/>
      </rPr>
      <t xml:space="preserve">603 </t>
    </r>
    <r>
      <rPr>
        <sz val="10"/>
        <color rgb="FF000000"/>
        <rFont val="Noto Sans CJK SC"/>
        <family val="2"/>
      </rPr>
      <t xml:space="preserve">與匯率推導）為 </t>
    </r>
    <r>
      <rPr>
        <sz val="10"/>
        <color rgb="FF000000"/>
        <rFont val="Arial"/>
        <family val="0"/>
        <charset val="1"/>
      </rPr>
      <t xml:space="preserve">Analogy</t>
    </r>
    <r>
      <rPr>
        <sz val="10"/>
        <color rgb="FF000000"/>
        <rFont val="Noto Sans CJK SC"/>
        <family val="2"/>
      </rPr>
      <t xml:space="preserve">；區間：</t>
    </r>
    <r>
      <rPr>
        <sz val="10"/>
        <color rgb="FF000000"/>
        <rFont val="Arial"/>
        <family val="0"/>
        <charset val="1"/>
      </rPr>
      <t xml:space="preserve">MiniMax 52 </t>
    </r>
    <r>
      <rPr>
        <sz val="10"/>
        <color rgb="FF000000"/>
        <rFont val="Noto Sans CJK SC"/>
        <family val="2"/>
      </rPr>
      <t xml:space="preserve">週低點約為現值 </t>
    </r>
    <r>
      <rPr>
        <sz val="10"/>
        <color rgb="FF000000"/>
        <rFont val="Arial"/>
        <family val="0"/>
        <charset val="1"/>
      </rPr>
      <t xml:space="preserve">0.8 </t>
    </r>
    <r>
      <rPr>
        <sz val="10"/>
        <color rgb="FF000000"/>
        <rFont val="Noto Sans CJK SC"/>
        <family val="2"/>
      </rPr>
      <t xml:space="preserve">倍、國證國際 </t>
    </r>
    <r>
      <rPr>
        <sz val="10"/>
        <color rgb="FF000000"/>
        <rFont val="Arial"/>
        <family val="0"/>
        <charset val="1"/>
      </rPr>
      <t xml:space="preserve">SOTP </t>
    </r>
    <r>
      <rPr>
        <sz val="10"/>
        <color rgb="FF000000"/>
        <rFont val="Noto Sans CJK SC"/>
        <family val="2"/>
      </rPr>
      <t xml:space="preserve">給 </t>
    </r>
    <r>
      <rPr>
        <sz val="10"/>
        <color rgb="FF000000"/>
        <rFont val="Arial"/>
        <family val="0"/>
        <charset val="1"/>
      </rPr>
      <t xml:space="preserve">API </t>
    </r>
    <r>
      <rPr>
        <sz val="10"/>
        <color rgb="FF000000"/>
        <rFont val="Noto Sans CJK SC"/>
        <family val="2"/>
      </rPr>
      <t xml:space="preserve">業務 </t>
    </r>
    <r>
      <rPr>
        <sz val="10"/>
        <color rgb="FF000000"/>
        <rFont val="Arial"/>
        <family val="0"/>
        <charset val="1"/>
      </rPr>
      <t xml:space="preserve">2027 </t>
    </r>
    <r>
      <rPr>
        <sz val="10"/>
        <color rgb="FF000000"/>
        <rFont val="Noto Sans CJK SC"/>
        <family val="2"/>
      </rPr>
      <t xml:space="preserve">年 </t>
    </r>
    <r>
      <rPr>
        <sz val="10"/>
        <color rgb="FF000000"/>
        <rFont val="Arial"/>
        <family val="0"/>
        <charset val="1"/>
      </rPr>
      <t xml:space="preserve">80 </t>
    </r>
    <r>
      <rPr>
        <sz val="10"/>
        <color rgb="FF000000"/>
        <rFont val="Noto Sans CJK SC"/>
        <family val="2"/>
      </rPr>
      <t xml:space="preserve">倍 </t>
    </r>
    <r>
      <rPr>
        <sz val="10"/>
        <color rgb="FF000000"/>
        <rFont val="Arial"/>
        <family val="0"/>
        <charset val="1"/>
      </rPr>
      <t xml:space="preserve">PS</t>
    </r>
    <r>
      <rPr>
        <sz val="10"/>
        <color rgb="FF000000"/>
        <rFont val="Noto Sans CJK SC"/>
        <family val="2"/>
      </rPr>
      <t xml:space="preserve">（約 </t>
    </r>
    <r>
      <rPr>
        <sz val="10"/>
        <color rgb="FF000000"/>
        <rFont val="Arial"/>
        <family val="0"/>
        <charset val="1"/>
      </rPr>
      <t xml:space="preserve">2 </t>
    </r>
    <r>
      <rPr>
        <sz val="10"/>
        <color rgb="FF000000"/>
        <rFont val="Noto Sans CJK SC"/>
        <family val="2"/>
      </rPr>
      <t xml:space="preserve">倍）</t>
    </r>
  </si>
  <si>
    <r>
      <rPr>
        <sz val="10"/>
        <color rgb="FF000000"/>
        <rFont val="Arial"/>
        <family val="0"/>
        <charset val="1"/>
      </rPr>
      <t xml:space="preserve">0.5</t>
    </r>
    <r>
      <rPr>
        <sz val="10"/>
        <color rgb="FF000000"/>
        <rFont val="Noto Sans CJK SC"/>
        <family val="2"/>
      </rPr>
      <t xml:space="preserve">～</t>
    </r>
    <r>
      <rPr>
        <sz val="10"/>
        <color rgb="FF000000"/>
        <rFont val="Arial"/>
        <family val="0"/>
        <charset val="1"/>
      </rPr>
      <t xml:space="preserve">2.0</t>
    </r>
  </si>
  <si>
    <t xml:space="preserve">INP_136</t>
  </si>
  <si>
    <t xml:space="preserve">min_gm</t>
  </si>
  <si>
    <r>
      <rPr>
        <sz val="10"/>
        <color rgb="FF000000"/>
        <rFont val="Noto Sans CJK SC"/>
        <family val="2"/>
      </rPr>
      <t xml:space="preserve">供應商最低毛利（每 </t>
    </r>
    <r>
      <rPr>
        <sz val="10"/>
        <color rgb="FF000000"/>
        <rFont val="Arial"/>
        <family val="0"/>
        <charset val="1"/>
      </rPr>
      <t xml:space="preserve">GW </t>
    </r>
    <r>
      <rPr>
        <sz val="10"/>
        <color rgb="FF000000"/>
        <rFont val="Noto Sans CJK SC"/>
        <family val="2"/>
      </rPr>
      <t xml:space="preserve">租價下限＝供應商持有成本 </t>
    </r>
    <r>
      <rPr>
        <sz val="10"/>
        <color rgb="FF000000"/>
        <rFont val="Arial"/>
        <family val="0"/>
        <charset val="1"/>
      </rPr>
      <t xml:space="preserve">×</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＋本值），</t>
    </r>
    <r>
      <rPr>
        <sz val="10"/>
        <color rgb="FF000000"/>
        <rFont val="Arial"/>
        <family val="0"/>
        <charset val="1"/>
      </rPr>
      <t xml:space="preserve">2H26 </t>
    </r>
    <r>
      <rPr>
        <sz val="10"/>
        <color rgb="FF000000"/>
        <rFont val="Noto Sans CJK SC"/>
        <family val="2"/>
      </rPr>
      <t xml:space="preserve">起）</t>
    </r>
  </si>
  <si>
    <r>
      <rPr>
        <sz val="10"/>
        <color rgb="FF000000"/>
        <rFont val="Noto Sans CJK SC"/>
        <family val="2"/>
      </rPr>
      <t xml:space="preserve">工作單 </t>
    </r>
    <r>
      <rPr>
        <sz val="10"/>
        <color rgb="FF000000"/>
        <rFont val="Arial"/>
        <family val="0"/>
        <charset val="1"/>
      </rPr>
      <t xml:space="preserve">Z5b V1</t>
    </r>
    <r>
      <rPr>
        <sz val="10"/>
        <color rgb="FF000000"/>
        <rFont val="Noto Sans CJK SC"/>
        <family val="2"/>
      </rPr>
      <t xml:space="preserve">：供應商不可長期賠本出租；基準 </t>
    </r>
    <r>
      <rPr>
        <sz val="10"/>
        <color rgb="FF000000"/>
        <rFont val="Arial"/>
        <family val="0"/>
        <charset val="1"/>
      </rPr>
      <t xml:space="preserve">0</t>
    </r>
    <r>
      <rPr>
        <sz val="10"/>
        <color rgb="FF000000"/>
        <rFont val="Noto Sans CJK SC"/>
        <family val="2"/>
      </rPr>
      <t xml:space="preserve">＝租價不低於持有成本（經濟口徑）</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</si>
  <si>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（工作單）</t>
    </r>
  </si>
  <si>
    <t xml:space="preserve">INP_137</t>
  </si>
  <si>
    <t xml:space="preserve">rd_fee_share</t>
  </si>
  <si>
    <r>
      <rPr>
        <sz val="10"/>
        <color rgb="FF000000"/>
        <rFont val="Noto Sans CJK SC"/>
        <family val="2"/>
      </rPr>
      <t xml:space="preserve">研發開支中的算力服務費占比（</t>
    </r>
    <r>
      <rPr>
        <sz val="10"/>
        <color rgb="FF000000"/>
        <rFont val="Arial"/>
        <family val="0"/>
        <charset val="1"/>
      </rPr>
      <t xml:space="preserve">P1</t>
    </r>
    <r>
      <rPr>
        <sz val="10"/>
        <color rgb="FF000000"/>
        <rFont val="Noto Sans CJK SC"/>
        <family val="2"/>
      </rPr>
      <t xml:space="preserve">：研發 </t>
    </r>
    <r>
      <rPr>
        <sz val="10"/>
        <color rgb="FF000000"/>
        <rFont val="Arial"/>
        <family val="0"/>
        <charset val="1"/>
      </rPr>
      <t xml:space="preserve">× </t>
    </r>
    <r>
      <rPr>
        <sz val="10"/>
        <color rgb="FF000000"/>
        <rFont val="Noto Sans CJK SC"/>
        <family val="2"/>
      </rPr>
      <t xml:space="preserve">本值＝研發項下算力費；</t>
    </r>
    <r>
      <rPr>
        <sz val="10"/>
        <color rgb="FF000000"/>
        <rFont val="Arial"/>
        <family val="0"/>
        <charset val="1"/>
      </rPr>
      <t xml:space="preserve">FY2025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未揭露者用）</t>
    </r>
  </si>
  <si>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：招股章程 </t>
    </r>
    <r>
      <rPr>
        <sz val="10"/>
        <color rgb="FF000000"/>
        <rFont val="Arial"/>
        <family val="0"/>
        <charset val="1"/>
      </rPr>
      <t xml:space="preserve">1H25 </t>
    </r>
    <r>
      <rPr>
        <sz val="10"/>
        <color rgb="FF000000"/>
        <rFont val="Noto Sans CJK SC"/>
        <family val="2"/>
      </rPr>
      <t xml:space="preserve">研發算力服務費 </t>
    </r>
    <r>
      <rPr>
        <sz val="10"/>
        <color rgb="FF000000"/>
        <rFont val="Arial"/>
        <family val="0"/>
        <charset val="1"/>
      </rPr>
      <t xml:space="preserve">11.45 </t>
    </r>
    <r>
      <rPr>
        <sz val="10"/>
        <color rgb="FF000000"/>
        <rFont val="Noto Sans CJK SC"/>
        <family val="2"/>
      </rPr>
      <t xml:space="preserve">億 </t>
    </r>
    <r>
      <rPr>
        <sz val="10"/>
        <color rgb="FF000000"/>
        <rFont val="Arial"/>
        <family val="0"/>
        <charset val="1"/>
      </rPr>
      <t xml:space="preserve">÷ </t>
    </r>
    <r>
      <rPr>
        <sz val="10"/>
        <color rgb="FF000000"/>
        <rFont val="Noto Sans CJK SC"/>
        <family val="2"/>
      </rPr>
      <t xml:space="preserve">研發開支 </t>
    </r>
    <r>
      <rPr>
        <sz val="10"/>
        <color rgb="FF000000"/>
        <rFont val="Arial"/>
        <family val="0"/>
        <charset val="1"/>
      </rPr>
      <t xml:space="preserve">15.95 </t>
    </r>
    <r>
      <rPr>
        <sz val="10"/>
        <color rgb="FF000000"/>
        <rFont val="Noto Sans CJK SC"/>
        <family val="2"/>
      </rPr>
      <t xml:space="preserve">億＝</t>
    </r>
    <r>
      <rPr>
        <sz val="10"/>
        <color rgb="FF000000"/>
        <rFont val="Arial"/>
        <family val="0"/>
        <charset val="1"/>
      </rPr>
      <t xml:space="preserve">71.8%</t>
    </r>
    <r>
      <rPr>
        <sz val="10"/>
        <color rgb="FF000000"/>
        <rFont val="Noto Sans CJK SC"/>
        <family val="2"/>
      </rPr>
      <t xml:space="preserve">（</t>
    </r>
    <r>
      <rPr>
        <sz val="10"/>
        <color rgb="FF000000"/>
        <rFont val="Arial"/>
        <family val="0"/>
        <charset val="1"/>
      </rPr>
      <t xml:space="preserve">SRC_ZP_640</t>
    </r>
    <r>
      <rPr>
        <sz val="10"/>
        <color rgb="FF000000"/>
        <rFont val="Noto Sans CJK SC"/>
        <family val="2"/>
      </rPr>
      <t xml:space="preserve">；</t>
    </r>
    <r>
      <rPr>
        <sz val="10"/>
        <color rgb="FF000000"/>
        <rFont val="Arial"/>
        <family val="0"/>
        <charset val="1"/>
      </rPr>
      <t xml:space="preserve">FY2024 70.7% SRC_ZP_638</t>
    </r>
    <r>
      <rPr>
        <sz val="10"/>
        <color rgb="FF000000"/>
        <rFont val="Noto Sans CJK SC"/>
        <family val="2"/>
      </rPr>
      <t xml:space="preserve">、</t>
    </r>
    <r>
      <rPr>
        <sz val="10"/>
        <color rgb="FF000000"/>
        <rFont val="Arial"/>
        <family val="0"/>
        <charset val="1"/>
      </rPr>
      <t xml:space="preserve">1H24 70.2% SRC_ZP_639</t>
    </r>
    <r>
      <rPr>
        <sz val="10"/>
        <color rgb="FF000000"/>
        <rFont val="Noto Sans CJK SC"/>
        <family val="2"/>
      </rPr>
      <t xml:space="preserve">）；占比以研發開支總額（含股權報酬）為分母，故乘研發開支總額</t>
    </r>
  </si>
  <si>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t>
    </r>
    <r>
      <rPr>
        <sz val="10"/>
        <color rgb="FF000000"/>
        <rFont val="Arial"/>
        <family val="0"/>
        <charset val="1"/>
      </rPr>
      <t xml:space="preserve">60–80%</t>
    </r>
    <r>
      <rPr>
        <sz val="10"/>
        <color rgb="FF000000"/>
        <rFont val="Noto Sans CJK SC"/>
        <family val="2"/>
      </rPr>
      <t xml:space="preserve">）</t>
    </r>
  </si>
  <si>
    <t xml:space="preserve">INP_138</t>
  </si>
  <si>
    <t xml:space="preserve">eta_base</t>
  </si>
  <si>
    <r>
      <rPr>
        <sz val="10"/>
        <color rgb="FF000000"/>
        <rFont val="Arial"/>
        <family val="0"/>
        <charset val="1"/>
      </rPr>
      <t xml:space="preserve">η </t>
    </r>
    <r>
      <rPr>
        <sz val="10"/>
        <color rgb="FF000000"/>
        <rFont val="Noto Sans CJK SC"/>
        <family val="2"/>
      </rPr>
      <t xml:space="preserve">基準值（</t>
    </r>
    <r>
      <rPr>
        <sz val="10"/>
        <color rgb="FF000000"/>
        <rFont val="Arial"/>
        <family val="0"/>
        <charset val="1"/>
      </rPr>
      <t xml:space="preserve">P1</t>
    </r>
    <r>
      <rPr>
        <sz val="10"/>
        <color rgb="FF000000"/>
        <rFont val="Noto Sans CJK SC"/>
        <family val="2"/>
      </rPr>
      <t xml:space="preserve">：信任 </t>
    </r>
    <r>
      <rPr>
        <sz val="10"/>
        <color rgb="FF000000"/>
        <rFont val="Arial"/>
        <family val="0"/>
        <charset val="1"/>
      </rPr>
      <t xml:space="preserve">Tokenomics </t>
    </r>
    <r>
      <rPr>
        <sz val="10"/>
        <color rgb="FF000000"/>
        <rFont val="Noto Sans CJK SC"/>
        <family val="2"/>
      </rPr>
      <t xml:space="preserve">物理；校準期殘差不足時才上調）</t>
    </r>
  </si>
  <si>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t>
    </r>
    <r>
      <rPr>
        <sz val="10"/>
        <color rgb="FF000000"/>
        <rFont val="Arial"/>
        <family val="0"/>
        <charset val="1"/>
      </rPr>
      <t xml:space="preserve">η </t>
    </r>
    <r>
      <rPr>
        <sz val="10"/>
        <color rgb="FF000000"/>
        <rFont val="Noto Sans CJK SC"/>
        <family val="2"/>
      </rPr>
      <t xml:space="preserve">基準＝</t>
    </r>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Decision</t>
    </r>
    <r>
      <rPr>
        <sz val="10"/>
        <color rgb="FF000000"/>
        <rFont val="Noto Sans CJK SC"/>
        <family val="2"/>
      </rPr>
      <t xml:space="preserve">）；若研發殘差 </t>
    </r>
    <r>
      <rPr>
        <sz val="10"/>
        <color rgb="FF000000"/>
        <rFont val="Arial"/>
        <family val="0"/>
        <charset val="1"/>
      </rPr>
      <t xml:space="preserve">&lt; </t>
    </r>
    <r>
      <rPr>
        <sz val="10"/>
        <color rgb="FF000000"/>
        <rFont val="Noto Sans CJK SC"/>
        <family val="2"/>
      </rPr>
      <t xml:space="preserve">訓練最低占比 </t>
    </r>
    <r>
      <rPr>
        <sz val="10"/>
        <color rgb="FF000000"/>
        <rFont val="Arial"/>
        <family val="0"/>
        <charset val="1"/>
      </rPr>
      <t xml:space="preserve">× </t>
    </r>
    <r>
      <rPr>
        <sz val="10"/>
        <color rgb="FF000000"/>
        <rFont val="Noto Sans CJK SC"/>
        <family val="2"/>
      </rPr>
      <t xml:space="preserve">供給，</t>
    </r>
    <r>
      <rPr>
        <sz val="10"/>
        <color rgb="FF000000"/>
        <rFont val="Arial"/>
        <family val="0"/>
        <charset val="1"/>
      </rPr>
      <t xml:space="preserve">η </t>
    </r>
    <r>
      <rPr>
        <sz val="10"/>
        <color rgb="FF000000"/>
        <rFont val="Noto Sans CJK SC"/>
        <family val="2"/>
      </rPr>
      <t xml:space="preserve">校準為使殘差＝最低占比的值並 </t>
    </r>
    <r>
      <rPr>
        <sz val="10"/>
        <color rgb="FF000000"/>
        <rFont val="Arial"/>
        <family val="0"/>
        <charset val="1"/>
      </rPr>
      <t xml:space="preserve">WARN</t>
    </r>
    <r>
      <rPr>
        <sz val="10"/>
        <color rgb="FF000000"/>
        <rFont val="Noto Sans CJK SC"/>
        <family val="2"/>
      </rPr>
      <t xml:space="preserve">（</t>
    </r>
    <r>
      <rPr>
        <sz val="10"/>
        <color rgb="FF000000"/>
        <rFont val="Arial"/>
        <family val="0"/>
        <charset val="1"/>
      </rPr>
      <t xml:space="preserve">Checks</t>
    </r>
    <r>
      <rPr>
        <sz val="10"/>
        <color rgb="FF000000"/>
        <rFont val="Noto Sans CJK SC"/>
        <family val="2"/>
      </rPr>
      <t xml:space="preserve">）</t>
    </r>
  </si>
  <si>
    <t xml:space="preserve">INP_139</t>
  </si>
  <si>
    <t xml:space="preserve">eta_old_sw</t>
  </si>
  <si>
    <r>
      <rPr>
        <sz val="10"/>
        <color rgb="FF000000"/>
        <rFont val="Arial"/>
        <family val="0"/>
        <charset val="1"/>
      </rPr>
      <t xml:space="preserve">η </t>
    </r>
    <r>
      <rPr>
        <sz val="10"/>
        <color rgb="FF000000"/>
        <rFont val="Noto Sans CJK SC"/>
        <family val="2"/>
      </rPr>
      <t xml:space="preserve">校準方法開關（</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P1</t>
    </r>
    <r>
      <rPr>
        <sz val="10"/>
        <color rgb="FF000000"/>
        <rFont val="Noto Sans CJK SC"/>
        <family val="2"/>
      </rPr>
      <t xml:space="preserve">：基準 </t>
    </r>
    <r>
      <rPr>
        <sz val="10"/>
        <color rgb="FF000000"/>
        <rFont val="Arial"/>
        <family val="0"/>
        <charset val="1"/>
      </rPr>
      <t xml:space="preserve">1</t>
    </r>
    <r>
      <rPr>
        <sz val="10"/>
        <color rgb="FF000000"/>
        <rFont val="Noto Sans CJK SC"/>
        <family val="2"/>
      </rPr>
      <t xml:space="preserve">、殘差觸及訓練最低占比時上調；</t>
    </r>
    <r>
      <rPr>
        <sz val="10"/>
        <color rgb="FF000000"/>
        <rFont val="Arial"/>
        <family val="0"/>
        <charset val="1"/>
      </rPr>
      <t xml:space="preserve">1</t>
    </r>
    <r>
      <rPr>
        <sz val="10"/>
        <color rgb="FF000000"/>
        <rFont val="Noto Sans CJK SC"/>
        <family val="2"/>
      </rPr>
      <t xml:space="preserve">＝舊法 </t>
    </r>
    <r>
      <rPr>
        <sz val="10"/>
        <color rgb="FF000000"/>
        <rFont val="Arial"/>
        <family val="0"/>
        <charset val="1"/>
      </rPr>
      <t xml:space="preserve">D8r</t>
    </r>
    <r>
      <rPr>
        <sz val="10"/>
        <color rgb="FF000000"/>
        <rFont val="Noto Sans CJK SC"/>
        <family val="2"/>
      </rPr>
      <t xml:space="preserve">：</t>
    </r>
    <r>
      <rPr>
        <sz val="10"/>
        <color rgb="FF000000"/>
        <rFont val="Arial"/>
        <family val="0"/>
        <charset val="1"/>
      </rPr>
      <t xml:space="preserve">token GW ÷ API </t>
    </r>
    <r>
      <rPr>
        <sz val="10"/>
        <color rgb="FF000000"/>
        <rFont val="Noto Sans CJK SC"/>
        <family val="2"/>
      </rPr>
      <t xml:space="preserve">銷售成本換算 </t>
    </r>
    <r>
      <rPr>
        <sz val="10"/>
        <color rgb="FF000000"/>
        <rFont val="Arial"/>
        <family val="0"/>
        <charset val="1"/>
      </rPr>
      <t xml:space="preserve">GW</t>
    </r>
    <r>
      <rPr>
        <sz val="10"/>
        <color rgb="FF000000"/>
        <rFont val="Noto Sans CJK SC"/>
        <family val="2"/>
      </rPr>
      <t xml:space="preserve">）</t>
    </r>
  </si>
  <si>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：舊法（</t>
    </r>
    <r>
      <rPr>
        <sz val="10"/>
        <color rgb="FF000000"/>
        <rFont val="Arial"/>
        <family val="0"/>
        <charset val="1"/>
      </rPr>
      <t xml:space="preserve">API </t>
    </r>
    <r>
      <rPr>
        <sz val="10"/>
        <color rgb="FF000000"/>
        <rFont val="Noto Sans CJK SC"/>
        <family val="2"/>
      </rPr>
      <t xml:space="preserve">營業成本＝推論支出）保留為對照；開關＝</t>
    </r>
    <r>
      <rPr>
        <sz val="10"/>
        <color rgb="FF000000"/>
        <rFont val="Arial"/>
        <family val="0"/>
        <charset val="1"/>
      </rPr>
      <t xml:space="preserve">1 </t>
    </r>
    <r>
      <rPr>
        <sz val="10"/>
        <color rgb="FF000000"/>
        <rFont val="Noto Sans CJK SC"/>
        <family val="2"/>
      </rPr>
      <t xml:space="preserve">只供情境與 </t>
    </r>
    <r>
      <rPr>
        <sz val="10"/>
        <color rgb="FF000000"/>
        <rFont val="Arial"/>
        <family val="0"/>
        <charset val="1"/>
      </rPr>
      <t xml:space="preserve">parity</t>
    </r>
  </si>
  <si>
    <t xml:space="preserve">INP_140</t>
  </si>
  <si>
    <t xml:space="preserve">eta_lift_warn</t>
  </si>
  <si>
    <r>
      <rPr>
        <sz val="10"/>
        <color rgb="FF000000"/>
        <rFont val="Arial"/>
        <family val="0"/>
        <charset val="1"/>
      </rPr>
      <t xml:space="preserve">η </t>
    </r>
    <r>
      <rPr>
        <sz val="10"/>
        <color rgb="FF000000"/>
        <rFont val="Noto Sans CJK SC"/>
        <family val="2"/>
      </rPr>
      <t xml:space="preserve">上調期數 </t>
    </r>
    <r>
      <rPr>
        <sz val="10"/>
        <color rgb="FF000000"/>
        <rFont val="Arial"/>
        <family val="0"/>
        <charset val="1"/>
      </rPr>
      <t xml:space="preserve">WARN </t>
    </r>
    <r>
      <rPr>
        <sz val="10"/>
        <color rgb="FF000000"/>
        <rFont val="Noto Sans CJK SC"/>
        <family val="2"/>
      </rPr>
      <t xml:space="preserve">門檻（</t>
    </r>
    <r>
      <rPr>
        <sz val="10"/>
        <color rgb="FF000000"/>
        <rFont val="Arial"/>
        <family val="0"/>
        <charset val="1"/>
      </rPr>
      <t xml:space="preserve">P1</t>
    </r>
    <r>
      <rPr>
        <sz val="10"/>
        <color rgb="FF000000"/>
        <rFont val="Noto Sans CJK SC"/>
        <family val="2"/>
      </rPr>
      <t xml:space="preserve">）</t>
    </r>
  </si>
  <si>
    <t xml:space="preserve">期</t>
  </si>
  <si>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t>
    </r>
    <r>
      <rPr>
        <sz val="10"/>
        <color rgb="FF000000"/>
        <rFont val="Arial"/>
        <family val="0"/>
        <charset val="1"/>
      </rPr>
      <t xml:space="preserve">η </t>
    </r>
    <r>
      <rPr>
        <sz val="10"/>
        <color rgb="FF000000"/>
        <rFont val="Noto Sans CJK SC"/>
        <family val="2"/>
      </rPr>
      <t xml:space="preserve">被上調（殘差觸及訓練最低占比）時 </t>
    </r>
    <r>
      <rPr>
        <sz val="10"/>
        <color rgb="FF000000"/>
        <rFont val="Arial"/>
        <family val="0"/>
        <charset val="1"/>
      </rPr>
      <t xml:space="preserve">WARN</t>
    </r>
  </si>
  <si>
    <r>
      <rPr>
        <b val="true"/>
        <sz val="13"/>
        <rFont val="Arial"/>
        <family val="0"/>
        <charset val="1"/>
      </rPr>
      <t xml:space="preserve">Demand — </t>
    </r>
    <r>
      <rPr>
        <b val="true"/>
        <sz val="13"/>
        <rFont val="Noto Sans CJK SC"/>
        <family val="2"/>
      </rPr>
      <t xml:space="preserve">需求：</t>
    </r>
    <r>
      <rPr>
        <b val="true"/>
        <sz val="13"/>
        <rFont val="Arial"/>
        <family val="0"/>
        <charset val="1"/>
      </rPr>
      <t xml:space="preserve">API </t>
    </r>
    <r>
      <rPr>
        <b val="true"/>
        <sz val="13"/>
        <rFont val="Noto Sans CJK SC"/>
        <family val="2"/>
      </rPr>
      <t xml:space="preserve">按量計費 </t>
    </r>
    <r>
      <rPr>
        <b val="true"/>
        <sz val="13"/>
        <rFont val="Arial"/>
        <family val="0"/>
        <charset val="1"/>
      </rPr>
      <t xml:space="preserve">token</t>
    </r>
    <r>
      <rPr>
        <b val="true"/>
        <sz val="13"/>
        <rFont val="Noto Sans CJK SC"/>
        <family val="2"/>
      </rPr>
      <t xml:space="preserve">、</t>
    </r>
    <r>
      <rPr>
        <b val="true"/>
        <sz val="13"/>
        <rFont val="Arial"/>
        <family val="0"/>
        <charset val="1"/>
      </rPr>
      <t xml:space="preserve">GLM Coding Plan </t>
    </r>
    <r>
      <rPr>
        <b val="true"/>
        <sz val="13"/>
        <rFont val="Noto Sans CJK SC"/>
        <family val="2"/>
      </rPr>
      <t xml:space="preserve">訂閱者與 </t>
    </r>
    <r>
      <rPr>
        <b val="true"/>
        <sz val="13"/>
        <rFont val="Arial"/>
        <family val="0"/>
        <charset val="1"/>
      </rPr>
      <t xml:space="preserve">token</t>
    </r>
    <r>
      <rPr>
        <b val="true"/>
        <sz val="13"/>
        <rFont val="Noto Sans CJK SC"/>
        <family val="2"/>
      </rPr>
      <t xml:space="preserve">、智譜清言（免費）</t>
    </r>
    <r>
      <rPr>
        <b val="true"/>
        <sz val="13"/>
        <rFont val="Arial"/>
        <family val="0"/>
        <charset val="1"/>
      </rPr>
      <t xml:space="preserve">token</t>
    </r>
    <r>
      <rPr>
        <b val="true"/>
        <sz val="13"/>
        <rFont val="Noto Sans CJK SC"/>
        <family val="2"/>
      </rPr>
      <t xml:space="preserve">；輸出 </t>
    </r>
    <r>
      <rPr>
        <b val="true"/>
        <sz val="13"/>
        <rFont val="Arial"/>
        <family val="0"/>
        <charset val="1"/>
      </rPr>
      <t xml:space="preserve">DEM_Tok_*</t>
    </r>
    <r>
      <rPr>
        <b val="true"/>
        <sz val="13"/>
        <rFont val="Noto Sans CJK SC"/>
        <family val="2"/>
      </rPr>
      <t xml:space="preserve">（層級 </t>
    </r>
    <r>
      <rPr>
        <b val="true"/>
        <sz val="13"/>
        <rFont val="Arial"/>
        <family val="0"/>
        <charset val="1"/>
      </rPr>
      <t xml:space="preserve">Sol</t>
    </r>
    <r>
      <rPr>
        <b val="true"/>
        <sz val="13"/>
        <rFont val="Noto Sans CJK SC"/>
        <family val="2"/>
      </rPr>
      <t xml:space="preserve">／</t>
    </r>
    <r>
      <rPr>
        <b val="true"/>
        <sz val="13"/>
        <rFont val="Arial"/>
        <family val="0"/>
        <charset val="1"/>
      </rPr>
      <t xml:space="preserve">Luna × </t>
    </r>
    <r>
      <rPr>
        <b val="true"/>
        <sz val="13"/>
        <rFont val="Noto Sans CJK SC"/>
        <family val="2"/>
      </rPr>
      <t xml:space="preserve">付費／免費）</t>
    </r>
  </si>
  <si>
    <r>
      <rPr>
        <sz val="9"/>
        <color rgb="FF595959"/>
        <rFont val="Arial"/>
        <family val="0"/>
        <charset val="1"/>
      </rPr>
      <t xml:space="preserve">2025 </t>
    </r>
    <r>
      <rPr>
        <sz val="9"/>
        <color rgb="FF595959"/>
        <rFont val="Noto Sans CJK SC"/>
        <family val="2"/>
      </rPr>
      <t xml:space="preserve">與 </t>
    </r>
    <r>
      <rPr>
        <sz val="9"/>
        <color rgb="FF595959"/>
        <rFont val="Arial"/>
        <family val="0"/>
        <charset val="1"/>
      </rPr>
      <t xml:space="preserve">1H26 </t>
    </r>
    <r>
      <rPr>
        <sz val="9"/>
        <color rgb="FF595959"/>
        <rFont val="Noto Sans CJK SC"/>
        <family val="2"/>
      </rPr>
      <t xml:space="preserve">為校準期：</t>
    </r>
    <r>
      <rPr>
        <sz val="9"/>
        <color rgb="FF595959"/>
        <rFont val="Arial"/>
        <family val="0"/>
        <charset val="1"/>
      </rPr>
      <t xml:space="preserve">API </t>
    </r>
    <r>
      <rPr>
        <sz val="9"/>
        <color rgb="FF595959"/>
        <rFont val="Noto Sans CJK SC"/>
        <family val="2"/>
      </rPr>
      <t xml:space="preserve">按量計費 </t>
    </r>
    <r>
      <rPr>
        <sz val="9"/>
        <color rgb="FF595959"/>
        <rFont val="Arial"/>
        <family val="0"/>
        <charset val="1"/>
      </rPr>
      <t xml:space="preserve">token</t>
    </r>
    <r>
      <rPr>
        <sz val="9"/>
        <color rgb="FF595959"/>
        <rFont val="Noto Sans CJK SC"/>
        <family val="2"/>
      </rPr>
      <t xml:space="preserve">＝（開放平台及 </t>
    </r>
    <r>
      <rPr>
        <sz val="9"/>
        <color rgb="FF595959"/>
        <rFont val="Arial"/>
        <family val="0"/>
        <charset val="1"/>
      </rPr>
      <t xml:space="preserve">API </t>
    </r>
    <r>
      <rPr>
        <sz val="9"/>
        <color rgb="FF595959"/>
        <rFont val="Noto Sans CJK SC"/>
        <family val="2"/>
      </rPr>
      <t xml:space="preserve">實際營收 − </t>
    </r>
    <r>
      <rPr>
        <sz val="9"/>
        <color rgb="FF595959"/>
        <rFont val="Arial"/>
        <family val="0"/>
        <charset val="1"/>
      </rPr>
      <t xml:space="preserve">Coding Plan </t>
    </r>
    <r>
      <rPr>
        <sz val="9"/>
        <color rgb="FF595959"/>
        <rFont val="Noto Sans CJK SC"/>
        <family val="2"/>
      </rPr>
      <t xml:space="preserve">估計營收）</t>
    </r>
    <r>
      <rPr>
        <sz val="9"/>
        <color rgb="FF595959"/>
        <rFont val="Arial"/>
        <family val="0"/>
        <charset val="1"/>
      </rPr>
      <t xml:space="preserve">÷ </t>
    </r>
    <r>
      <rPr>
        <sz val="9"/>
        <color rgb="FF595959"/>
        <rFont val="Noto Sans CJK SC"/>
        <family val="2"/>
      </rPr>
      <t xml:space="preserve">組合有效單價（規格 </t>
    </r>
    <r>
      <rPr>
        <sz val="9"/>
        <color rgb="FF595959"/>
        <rFont val="Arial"/>
        <family val="0"/>
        <charset val="1"/>
      </rPr>
      <t xml:space="preserve">D14</t>
    </r>
    <r>
      <rPr>
        <sz val="9"/>
        <color rgb="FF595959"/>
        <rFont val="Noto Sans CJK SC"/>
        <family val="2"/>
      </rPr>
      <t xml:space="preserve">；單價為驅動、</t>
    </r>
    <r>
      <rPr>
        <sz val="9"/>
        <color rgb="FF595959"/>
        <rFont val="Arial"/>
        <family val="0"/>
        <charset val="1"/>
      </rPr>
      <t xml:space="preserve">token </t>
    </r>
    <r>
      <rPr>
        <sz val="9"/>
        <color rgb="FF595959"/>
        <rFont val="Noto Sans CJK SC"/>
        <family val="2"/>
      </rPr>
      <t xml:space="preserve">為倒推）。</t>
    </r>
    <r>
      <rPr>
        <sz val="9"/>
        <color rgb="FF595959"/>
        <rFont val="Arial"/>
        <family val="0"/>
        <charset val="1"/>
      </rPr>
      <t xml:space="preserve">2H26 </t>
    </r>
    <r>
      <rPr>
        <sz val="9"/>
        <color rgb="FF595959"/>
        <rFont val="Noto Sans CJK SC"/>
        <family val="2"/>
      </rPr>
      <t xml:space="preserve">起：任務數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＋成長）</t>
    </r>
    <r>
      <rPr>
        <sz val="9"/>
        <color rgb="FF595959"/>
        <rFont val="Arial"/>
        <family val="0"/>
        <charset val="1"/>
      </rPr>
      <t xml:space="preserve">× </t>
    </r>
    <r>
      <rPr>
        <sz val="9"/>
        <color rgb="FF595959"/>
        <rFont val="Noto Sans CJK SC"/>
        <family val="2"/>
      </rPr>
      <t xml:space="preserve">每任務 </t>
    </r>
    <r>
      <rPr>
        <sz val="9"/>
        <color rgb="FF595959"/>
        <rFont val="Arial"/>
        <family val="0"/>
        <charset val="1"/>
      </rPr>
      <t xml:space="preserve">token ×</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＋成長）</t>
    </r>
    <r>
      <rPr>
        <sz val="9"/>
        <color rgb="FF595959"/>
        <rFont val="Arial"/>
        <family val="0"/>
        <charset val="1"/>
      </rPr>
      <t xml:space="preserve">× </t>
    </r>
    <r>
      <rPr>
        <sz val="9"/>
        <color rgb="FF595959"/>
        <rFont val="Noto Sans CJK SC"/>
        <family val="2"/>
      </rPr>
      <t xml:space="preserve">價格反應 </t>
    </r>
    <r>
      <rPr>
        <sz val="9"/>
        <color rgb="FF595959"/>
        <rFont val="Arial"/>
        <family val="0"/>
        <charset val="1"/>
      </rPr>
      <t xml:space="preserve">(p/p</t>
    </r>
    <r>
      <rPr>
        <sz val="9"/>
        <color rgb="FF595959"/>
        <rFont val="Noto Sans CJK SC"/>
        <family val="2"/>
      </rPr>
      <t xml:space="preserve">前</t>
    </r>
    <r>
      <rPr>
        <sz val="9"/>
        <color rgb="FF595959"/>
        <rFont val="Arial"/>
        <family val="0"/>
        <charset val="1"/>
      </rPr>
      <t xml:space="preserve">)^ε</t>
    </r>
    <r>
      <rPr>
        <sz val="9"/>
        <color rgb="FF595959"/>
        <rFont val="Noto Sans CJK SC"/>
        <family val="2"/>
      </rPr>
      <t xml:space="preserve">（</t>
    </r>
    <r>
      <rPr>
        <sz val="9"/>
        <color rgb="FF595959"/>
        <rFont val="Arial"/>
        <family val="0"/>
        <charset val="1"/>
      </rPr>
      <t xml:space="preserve">D15</t>
    </r>
    <r>
      <rPr>
        <sz val="9"/>
        <color rgb="FF595959"/>
        <rFont val="Noto Sans CJK SC"/>
        <family val="2"/>
      </rPr>
      <t xml:space="preserve">）。本地化部署不耗智譜算力，不進本頁（</t>
    </r>
    <r>
      <rPr>
        <sz val="9"/>
        <color rgb="FF595959"/>
        <rFont val="Arial"/>
        <family val="0"/>
        <charset val="1"/>
      </rPr>
      <t xml:space="preserve">D4</t>
    </r>
    <r>
      <rPr>
        <sz val="9"/>
        <color rgb="FF595959"/>
        <rFont val="Noto Sans CJK SC"/>
        <family val="2"/>
      </rPr>
      <t xml:space="preserve">）。</t>
    </r>
  </si>
  <si>
    <r>
      <rPr>
        <sz val="9"/>
        <color rgb="FF595959"/>
        <rFont val="Arial"/>
        <family val="0"/>
        <charset val="1"/>
      </rPr>
      <t xml:space="preserve">token </t>
    </r>
    <r>
      <rPr>
        <sz val="9"/>
        <color rgb="FF595959"/>
        <rFont val="Noto Sans CJK SC"/>
        <family val="2"/>
      </rPr>
      <t xml:space="preserve">單位 </t>
    </r>
    <r>
      <rPr>
        <sz val="9"/>
        <color rgb="FF595959"/>
        <rFont val="Arial"/>
        <family val="0"/>
        <charset val="1"/>
      </rPr>
      <t xml:space="preserve">T</t>
    </r>
    <r>
      <rPr>
        <sz val="9"/>
        <color rgb="FF595959"/>
        <rFont val="Noto Sans CJK SC"/>
        <family val="2"/>
      </rPr>
      <t xml:space="preserve">＝</t>
    </r>
    <r>
      <rPr>
        <sz val="9"/>
        <color rgb="FF595959"/>
        <rFont val="Arial"/>
        <family val="0"/>
        <charset val="1"/>
      </rPr>
      <t xml:space="preserve">10^12</t>
    </r>
    <r>
      <rPr>
        <sz val="9"/>
        <color rgb="FF595959"/>
        <rFont val="Noto Sans CJK SC"/>
        <family val="2"/>
      </rPr>
      <t xml:space="preserve">；</t>
    </r>
    <r>
      <rPr>
        <sz val="9"/>
        <color rgb="FF595959"/>
        <rFont val="Arial"/>
        <family val="0"/>
        <charset val="1"/>
      </rPr>
      <t xml:space="preserve">Coding Plan </t>
    </r>
    <r>
      <rPr>
        <sz val="9"/>
        <color rgb="FF595959"/>
        <rFont val="Noto Sans CJK SC"/>
        <family val="2"/>
      </rPr>
      <t xml:space="preserve">訂閱者單位萬人；清言用戶百萬人；任務數十億。容量上限於 </t>
    </r>
    <r>
      <rPr>
        <sz val="9"/>
        <color rgb="FF595959"/>
        <rFont val="Arial"/>
        <family val="0"/>
        <charset val="1"/>
      </rPr>
      <t xml:space="preserve">Z3 </t>
    </r>
    <r>
      <rPr>
        <sz val="9"/>
        <color rgb="FF595959"/>
        <rFont val="Noto Sans CJK SC"/>
        <family val="2"/>
      </rPr>
      <t xml:space="preserve">接 </t>
    </r>
    <r>
      <rPr>
        <sz val="9"/>
        <color rgb="FF595959"/>
        <rFont val="Arial"/>
        <family val="0"/>
        <charset val="1"/>
      </rPr>
      <t xml:space="preserve">Compute</t>
    </r>
    <r>
      <rPr>
        <sz val="9"/>
        <color rgb="FF595959"/>
        <rFont val="Noto Sans CJK SC"/>
        <family val="2"/>
      </rPr>
      <t xml:space="preserve">；本頁不截頂。</t>
    </r>
  </si>
  <si>
    <t xml:space="preserve">編號</t>
  </si>
  <si>
    <t xml:space="preserve">年度</t>
  </si>
  <si>
    <r>
      <rPr>
        <b val="true"/>
        <sz val="10"/>
        <rFont val="Arial"/>
        <family val="0"/>
        <charset val="1"/>
      </rPr>
      <t xml:space="preserve">1H2026</t>
    </r>
    <r>
      <rPr>
        <b val="true"/>
        <sz val="10"/>
        <rFont val="Noto Sans CJK SC"/>
        <family val="2"/>
      </rPr>
      <t xml:space="preserve">（實際）</t>
    </r>
  </si>
  <si>
    <r>
      <rPr>
        <b val="true"/>
        <sz val="10"/>
        <rFont val="Arial"/>
        <family val="0"/>
        <charset val="1"/>
      </rPr>
      <t xml:space="preserve">2H2026</t>
    </r>
    <r>
      <rPr>
        <b val="true"/>
        <sz val="10"/>
        <rFont val="Noto Sans CJK SC"/>
        <family val="2"/>
      </rPr>
      <t xml:space="preserve">（驅動）</t>
    </r>
  </si>
  <si>
    <r>
      <rPr>
        <b val="true"/>
        <sz val="10"/>
        <rFont val="Noto Sans CJK SC"/>
        <family val="2"/>
      </rPr>
      <t xml:space="preserve">一、</t>
    </r>
    <r>
      <rPr>
        <b val="true"/>
        <sz val="10"/>
        <rFont val="Arial"/>
        <family val="0"/>
        <charset val="1"/>
      </rPr>
      <t xml:space="preserve">API </t>
    </r>
    <r>
      <rPr>
        <b val="true"/>
        <sz val="10"/>
        <rFont val="Noto Sans CJK SC"/>
        <family val="2"/>
      </rPr>
      <t xml:space="preserve">按量計費（開放平台及 </t>
    </r>
    <r>
      <rPr>
        <b val="true"/>
        <sz val="10"/>
        <rFont val="Arial"/>
        <family val="0"/>
        <charset val="1"/>
      </rPr>
      <t xml:space="preserve">API </t>
    </r>
    <r>
      <rPr>
        <b val="true"/>
        <sz val="10"/>
        <rFont val="Noto Sans CJK SC"/>
        <family val="2"/>
      </rPr>
      <t xml:space="preserve">扣除 </t>
    </r>
    <r>
      <rPr>
        <b val="true"/>
        <sz val="10"/>
        <rFont val="Arial"/>
        <family val="0"/>
        <charset val="1"/>
      </rPr>
      <t xml:space="preserve">Coding Plan</t>
    </r>
    <r>
      <rPr>
        <b val="true"/>
        <sz val="10"/>
        <rFont val="Noto Sans CJK SC"/>
        <family val="2"/>
      </rPr>
      <t xml:space="preserve">）</t>
    </r>
  </si>
  <si>
    <t xml:space="preserve">D01</t>
  </si>
  <si>
    <r>
      <rPr>
        <sz val="10"/>
        <color rgb="FF000000"/>
        <rFont val="Noto Sans CJK SC"/>
        <family val="2"/>
      </rPr>
      <t xml:space="preserve">價格反應底數 </t>
    </r>
    <r>
      <rPr>
        <sz val="10"/>
        <color rgb="FF000000"/>
        <rFont val="Arial"/>
        <family val="0"/>
        <charset val="1"/>
      </rPr>
      <t xml:space="preserve">p/p</t>
    </r>
    <r>
      <rPr>
        <sz val="10"/>
        <color rgb="FF000000"/>
        <rFont val="Noto Sans CJK SC"/>
        <family val="2"/>
      </rPr>
      <t xml:space="preserve">前（組合有效單價）</t>
    </r>
  </si>
  <si>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2H26 ÷ 1H26</t>
    </r>
    <r>
      <rPr>
        <sz val="9"/>
        <color rgb="FF595959"/>
        <rFont val="Noto Sans CJK SC"/>
        <family val="2"/>
      </rPr>
      <t xml:space="preserve">；</t>
    </r>
    <r>
      <rPr>
        <sz val="9"/>
        <color rgb="FF595959"/>
        <rFont val="Arial"/>
        <family val="0"/>
        <charset val="1"/>
      </rPr>
      <t xml:space="preserve">2027</t>
    </r>
    <r>
      <rPr>
        <sz val="9"/>
        <color rgb="FF595959"/>
        <rFont val="Noto Sans CJK SC"/>
        <family val="2"/>
      </rPr>
      <t xml:space="preserve">＝</t>
    </r>
    <r>
      <rPr>
        <sz val="9"/>
        <color rgb="FF595959"/>
        <rFont val="Arial"/>
        <family val="0"/>
        <charset val="1"/>
      </rPr>
      <t xml:space="preserve">2027 ÷ 2H26</t>
    </r>
    <r>
      <rPr>
        <sz val="9"/>
        <color rgb="FF595959"/>
        <rFont val="Noto Sans CJK SC"/>
        <family val="2"/>
      </rPr>
      <t xml:space="preserve">（最新價格水準）；之後逐年</t>
    </r>
  </si>
  <si>
    <t xml:space="preserve">D02</t>
  </si>
  <si>
    <r>
      <rPr>
        <sz val="10"/>
        <color rgb="FF000000"/>
        <rFont val="Arial"/>
        <family val="0"/>
        <charset val="1"/>
      </rPr>
      <t xml:space="preserve">API </t>
    </r>
    <r>
      <rPr>
        <sz val="10"/>
        <color rgb="FF000000"/>
        <rFont val="Noto Sans CJK SC"/>
        <family val="2"/>
      </rPr>
      <t xml:space="preserve">每任務 </t>
    </r>
    <r>
      <rPr>
        <sz val="10"/>
        <color rgb="FF000000"/>
        <rFont val="Arial"/>
        <family val="0"/>
        <charset val="1"/>
      </rPr>
      <t xml:space="preserve">token</t>
    </r>
  </si>
  <si>
    <r>
      <rPr>
        <sz val="9"/>
        <color rgb="FF595959"/>
        <rFont val="Noto Sans CJK SC"/>
        <family val="2"/>
      </rPr>
      <t xml:space="preserve">校準期＝</t>
    </r>
    <r>
      <rPr>
        <sz val="9"/>
        <color rgb="FF595959"/>
        <rFont val="Arial"/>
        <family val="0"/>
        <charset val="1"/>
      </rPr>
      <t xml:space="preserve">Inputs </t>
    </r>
    <r>
      <rPr>
        <sz val="9"/>
        <color rgb="FF595959"/>
        <rFont val="Noto Sans CJK SC"/>
        <family val="2"/>
      </rPr>
      <t xml:space="preserve">基準（只影響任務數與每任務 </t>
    </r>
    <r>
      <rPr>
        <sz val="9"/>
        <color rgb="FF595959"/>
        <rFont val="Arial"/>
        <family val="0"/>
        <charset val="1"/>
      </rPr>
      <t xml:space="preserve">token </t>
    </r>
    <r>
      <rPr>
        <sz val="9"/>
        <color rgb="FF595959"/>
        <rFont val="Noto Sans CJK SC"/>
        <family val="2"/>
      </rPr>
      <t xml:space="preserve">的水準拆分，不影響營收）；</t>
    </r>
    <r>
      <rPr>
        <sz val="9"/>
        <color rgb="FF595959"/>
        <rFont val="Arial"/>
        <family val="0"/>
        <charset val="1"/>
      </rPr>
      <t xml:space="preserve">2H26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＋成長）</t>
    </r>
    <r>
      <rPr>
        <sz val="9"/>
        <color rgb="FF595959"/>
        <rFont val="Arial"/>
        <family val="0"/>
        <charset val="1"/>
      </rPr>
      <t xml:space="preserve">× </t>
    </r>
    <r>
      <rPr>
        <sz val="9"/>
        <color rgb="FF595959"/>
        <rFont val="Noto Sans CJK SC"/>
        <family val="2"/>
      </rPr>
      <t xml:space="preserve">價格反應</t>
    </r>
    <r>
      <rPr>
        <sz val="9"/>
        <color rgb="FF595959"/>
        <rFont val="Arial"/>
        <family val="0"/>
        <charset val="1"/>
      </rPr>
      <t xml:space="preserve">^ε</t>
    </r>
    <r>
      <rPr>
        <sz val="9"/>
        <color rgb="FF595959"/>
        <rFont val="Noto Sans CJK SC"/>
        <family val="2"/>
      </rPr>
      <t xml:space="preserve">（每任務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欄＝全年 </t>
    </r>
    <r>
      <rPr>
        <sz val="9"/>
        <color rgb="FF595959"/>
        <rFont val="Arial"/>
        <family val="0"/>
        <charset val="1"/>
      </rPr>
      <t xml:space="preserve">token ÷ </t>
    </r>
    <r>
      <rPr>
        <sz val="9"/>
        <color rgb="FF595959"/>
        <rFont val="Noto Sans CJK SC"/>
        <family val="2"/>
      </rPr>
      <t xml:space="preserve">全年任務</t>
    </r>
  </si>
  <si>
    <t xml:space="preserve">D03</t>
  </si>
  <si>
    <r>
      <rPr>
        <sz val="10"/>
        <color rgb="FF000000"/>
        <rFont val="Arial"/>
        <family val="0"/>
        <charset val="1"/>
      </rPr>
      <t xml:space="preserve">API </t>
    </r>
    <r>
      <rPr>
        <sz val="10"/>
        <color rgb="FF000000"/>
        <rFont val="Noto Sans CJK SC"/>
        <family val="2"/>
      </rPr>
      <t xml:space="preserve">任務數</t>
    </r>
  </si>
  <si>
    <t xml:space="preserve">十億</t>
  </si>
  <si>
    <r>
      <rPr>
        <sz val="9"/>
        <color rgb="FF595959"/>
        <rFont val="Noto Sans CJK SC"/>
        <family val="2"/>
      </rPr>
      <t xml:space="preserve">校準期＝</t>
    </r>
    <r>
      <rPr>
        <sz val="9"/>
        <color rgb="FF595959"/>
        <rFont val="Arial"/>
        <family val="0"/>
        <charset val="1"/>
      </rPr>
      <t xml:space="preserve">token ÷ </t>
    </r>
    <r>
      <rPr>
        <sz val="9"/>
        <color rgb="FF595959"/>
        <rFont val="Noto Sans CJK SC"/>
        <family val="2"/>
      </rPr>
      <t xml:space="preserve">每任務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＋半年成長）</t>
    </r>
    <r>
      <rPr>
        <sz val="9"/>
        <color rgb="FF595959"/>
        <rFont val="Arial"/>
        <family val="0"/>
        <charset val="1"/>
      </rPr>
      <t xml:space="preserve">× </t>
    </r>
    <r>
      <rPr>
        <sz val="9"/>
        <color rgb="FF595959"/>
        <rFont val="Noto Sans CJK SC"/>
        <family val="2"/>
      </rPr>
      <t xml:space="preserve">價格反應</t>
    </r>
    <r>
      <rPr>
        <sz val="9"/>
        <color rgb="FF595959"/>
        <rFont val="Arial"/>
        <family val="0"/>
        <charset val="1"/>
      </rPr>
      <t xml:space="preserve">^ε</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起以 </t>
    </r>
    <r>
      <rPr>
        <sz val="9"/>
        <color rgb="FF595959"/>
        <rFont val="Arial"/>
        <family val="0"/>
        <charset val="1"/>
      </rPr>
      <t xml:space="preserve">2026 </t>
    </r>
    <r>
      <rPr>
        <sz val="9"/>
        <color rgb="FF595959"/>
        <rFont val="Noto Sans CJK SC"/>
        <family val="2"/>
      </rPr>
      <t xml:space="preserve">全年為基期</t>
    </r>
  </si>
  <si>
    <t xml:space="preserve">D04</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</si>
  <si>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</si>
  <si>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：按量計費營收（</t>
    </r>
    <r>
      <rPr>
        <sz val="9"/>
        <color rgb="FF595959"/>
        <rFont val="Arial"/>
        <family val="0"/>
        <charset val="1"/>
      </rPr>
      <t xml:space="preserve">API </t>
    </r>
    <r>
      <rPr>
        <sz val="9"/>
        <color rgb="FF595959"/>
        <rFont val="Noto Sans CJK SC"/>
        <family val="2"/>
      </rPr>
      <t xml:space="preserve">實際 − </t>
    </r>
    <r>
      <rPr>
        <sz val="9"/>
        <color rgb="FF595959"/>
        <rFont val="Arial"/>
        <family val="0"/>
        <charset val="1"/>
      </rPr>
      <t xml:space="preserve">Coding Plan </t>
    </r>
    <r>
      <rPr>
        <sz val="9"/>
        <color rgb="FF595959"/>
        <rFont val="Noto Sans CJK SC"/>
        <family val="2"/>
      </rPr>
      <t xml:space="preserve">估計）</t>
    </r>
    <r>
      <rPr>
        <sz val="9"/>
        <color rgb="FF595959"/>
        <rFont val="Arial"/>
        <family val="0"/>
        <charset val="1"/>
      </rPr>
      <t xml:space="preserve">× 100 ÷ </t>
    </r>
    <r>
      <rPr>
        <sz val="9"/>
        <color rgb="FF595959"/>
        <rFont val="Noto Sans CJK SC"/>
        <family val="2"/>
      </rPr>
      <t xml:space="preserve">組合有效單價（元／百萬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×100 </t>
    </r>
    <r>
      <rPr>
        <sz val="9"/>
        <color rgb="FF595959"/>
        <rFont val="Noto Sans CJK SC"/>
        <family val="2"/>
      </rPr>
      <t xml:space="preserve">為 </t>
    </r>
    <r>
      <rPr>
        <sz val="9"/>
        <color rgb="FF595959"/>
        <rFont val="Arial"/>
        <family val="0"/>
        <charset val="1"/>
      </rPr>
      <t xml:space="preserve">Inputs </t>
    </r>
    <r>
      <rPr>
        <sz val="9"/>
        <color rgb="FF595959"/>
        <rFont val="Noto Sans CJK SC"/>
        <family val="2"/>
      </rPr>
      <t xml:space="preserve">定義常數）；之後＝任務數 </t>
    </r>
    <r>
      <rPr>
        <sz val="9"/>
        <color rgb="FF595959"/>
        <rFont val="Arial"/>
        <family val="0"/>
        <charset val="1"/>
      </rPr>
      <t xml:space="preserve">× </t>
    </r>
    <r>
      <rPr>
        <sz val="9"/>
        <color rgb="FF595959"/>
        <rFont val="Noto Sans CJK SC"/>
        <family val="2"/>
      </rPr>
      <t xml:space="preserve">每任務 </t>
    </r>
    <r>
      <rPr>
        <sz val="9"/>
        <color rgb="FF595959"/>
        <rFont val="Arial"/>
        <family val="0"/>
        <charset val="1"/>
      </rPr>
      <t xml:space="preserve">token</t>
    </r>
  </si>
  <si>
    <t xml:space="preserve">D05</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</si>
  <si>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t>
    </r>
  </si>
  <si>
    <r>
      <rPr>
        <sz val="9"/>
        <color rgb="FF595959"/>
        <rFont val="Arial"/>
        <family val="0"/>
        <charset val="1"/>
      </rPr>
      <t xml:space="preserve">token × </t>
    </r>
    <r>
      <rPr>
        <sz val="9"/>
        <color rgb="FF595959"/>
        <rFont val="Noto Sans CJK SC"/>
        <family val="2"/>
      </rPr>
      <t xml:space="preserve">層級組合（</t>
    </r>
    <r>
      <rPr>
        <sz val="9"/>
        <color rgb="FF595959"/>
        <rFont val="Arial"/>
        <family val="0"/>
        <charset val="1"/>
      </rPr>
      <t xml:space="preserve">Revenue</t>
    </r>
    <r>
      <rPr>
        <sz val="9"/>
        <color rgb="FF595959"/>
        <rFont val="Noto Sans CJK SC"/>
        <family val="2"/>
      </rPr>
      <t xml:space="preserve">）</t>
    </r>
  </si>
  <si>
    <t xml:space="preserve">D06</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</si>
  <si>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t>
    </r>
  </si>
  <si>
    <t xml:space="preserve">D07</t>
  </si>
  <si>
    <r>
      <rPr>
        <sz val="10"/>
        <color rgb="FF000000"/>
        <rFont val="Noto Sans CJK SC"/>
        <family val="2"/>
      </rPr>
      <t xml:space="preserve">免費 </t>
    </r>
    <r>
      <rPr>
        <sz val="10"/>
        <color rgb="FF000000"/>
        <rFont val="Arial"/>
        <family val="0"/>
        <charset val="1"/>
      </rPr>
      <t xml:space="preserve">API </t>
    </r>
    <r>
      <rPr>
        <sz val="10"/>
        <color rgb="FF000000"/>
        <rFont val="Noto Sans CJK SC"/>
        <family val="2"/>
      </rPr>
      <t xml:space="preserve">型號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r>
      <rPr>
        <sz val="10"/>
        <color rgb="FF000000"/>
        <rFont val="Noto Sans CJK SC"/>
        <family val="2"/>
      </rPr>
      <t xml:space="preserve">；耗算力無營收）</t>
    </r>
  </si>
  <si>
    <r>
      <rPr>
        <sz val="9"/>
        <color rgb="FF595959"/>
        <rFont val="Arial"/>
        <family val="0"/>
        <charset val="1"/>
      </rPr>
      <t xml:space="preserve">GLM-4.7-Flash </t>
    </r>
    <r>
      <rPr>
        <sz val="9"/>
        <color rgb="FF595959"/>
        <rFont val="Noto Sans CJK SC"/>
        <family val="2"/>
      </rPr>
      <t xml:space="preserve">等免費型號（</t>
    </r>
    <r>
      <rPr>
        <sz val="9"/>
        <color rgb="FF595959"/>
        <rFont val="Arial"/>
        <family val="0"/>
        <charset val="1"/>
      </rPr>
      <t xml:space="preserve">SRC_ZP_333</t>
    </r>
    <r>
      <rPr>
        <sz val="9"/>
        <color rgb="FF595959"/>
        <rFont val="Noto Sans CJK SC"/>
        <family val="2"/>
      </rPr>
      <t xml:space="preserve">）＝付費 </t>
    </r>
    <r>
      <rPr>
        <sz val="9"/>
        <color rgb="FF595959"/>
        <rFont val="Arial"/>
        <family val="0"/>
        <charset val="1"/>
      </rPr>
      <t xml:space="preserve">API token × Inputs </t>
    </r>
    <r>
      <rPr>
        <sz val="9"/>
        <color rgb="FF595959"/>
        <rFont val="Noto Sans CJK SC"/>
        <family val="2"/>
      </rPr>
      <t xml:space="preserve">比例（</t>
    </r>
    <r>
      <rPr>
        <sz val="9"/>
        <color rgb="FF595959"/>
        <rFont val="Arial"/>
        <family val="0"/>
        <charset val="1"/>
      </rPr>
      <t xml:space="preserve">D24r</t>
    </r>
    <r>
      <rPr>
        <sz val="9"/>
        <color rgb="FF595959"/>
        <rFont val="Noto Sans CJK SC"/>
        <family val="2"/>
      </rPr>
      <t xml:space="preserve">：免費型號單列）</t>
    </r>
  </si>
  <si>
    <r>
      <rPr>
        <b val="true"/>
        <sz val="10"/>
        <rFont val="Noto Sans CJK SC"/>
        <family val="2"/>
      </rPr>
      <t xml:space="preserve">二、</t>
    </r>
    <r>
      <rPr>
        <b val="true"/>
        <sz val="10"/>
        <rFont val="Arial"/>
        <family val="0"/>
        <charset val="1"/>
      </rPr>
      <t xml:space="preserve">GLM Coding Plan</t>
    </r>
    <r>
      <rPr>
        <b val="true"/>
        <sz val="10"/>
        <rFont val="Noto Sans CJK SC"/>
        <family val="2"/>
      </rPr>
      <t xml:space="preserve">（訂閱者 </t>
    </r>
    <r>
      <rPr>
        <b val="true"/>
        <sz val="10"/>
        <rFont val="Arial"/>
        <family val="0"/>
        <charset val="1"/>
      </rPr>
      <t xml:space="preserve">× </t>
    </r>
    <r>
      <rPr>
        <b val="true"/>
        <sz val="10"/>
        <rFont val="Noto Sans CJK SC"/>
        <family val="2"/>
      </rPr>
      <t xml:space="preserve">每訂閱者 </t>
    </r>
    <r>
      <rPr>
        <b val="true"/>
        <sz val="10"/>
        <rFont val="Arial"/>
        <family val="0"/>
        <charset val="1"/>
      </rPr>
      <t xml:space="preserve">token</t>
    </r>
    <r>
      <rPr>
        <b val="true"/>
        <sz val="10"/>
        <rFont val="Noto Sans CJK SC"/>
        <family val="2"/>
      </rPr>
      <t xml:space="preserve">；收入在開放平台及 </t>
    </r>
    <r>
      <rPr>
        <b val="true"/>
        <sz val="10"/>
        <rFont val="Arial"/>
        <family val="0"/>
        <charset val="1"/>
      </rPr>
      <t xml:space="preserve">API </t>
    </r>
    <r>
      <rPr>
        <b val="true"/>
        <sz val="10"/>
        <rFont val="Noto Sans CJK SC"/>
        <family val="2"/>
      </rPr>
      <t xml:space="preserve">內，</t>
    </r>
    <r>
      <rPr>
        <b val="true"/>
        <sz val="10"/>
        <rFont val="Arial"/>
        <family val="0"/>
        <charset val="1"/>
      </rPr>
      <t xml:space="preserve">D2r</t>
    </r>
    <r>
      <rPr>
        <b val="true"/>
        <sz val="10"/>
        <rFont val="Noto Sans CJK SC"/>
        <family val="2"/>
      </rPr>
      <t xml:space="preserve">）</t>
    </r>
  </si>
  <si>
    <t xml:space="preserve">D08</t>
  </si>
  <si>
    <r>
      <rPr>
        <sz val="10"/>
        <color rgb="FF000000"/>
        <rFont val="Arial"/>
        <family val="0"/>
        <charset val="1"/>
      </rPr>
      <t xml:space="preserve">Coding Plan </t>
    </r>
    <r>
      <rPr>
        <sz val="10"/>
        <color rgb="FF000000"/>
        <rFont val="Noto Sans CJK SC"/>
        <family val="2"/>
      </rPr>
      <t xml:space="preserve">付費訂閱者（期間平均）</t>
    </r>
  </si>
  <si>
    <t xml:space="preserve">萬人</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</si>
  <si>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2026-03 </t>
    </r>
    <r>
      <rPr>
        <sz val="9"/>
        <color rgb="FF595959"/>
        <rFont val="Noto Sans CJK SC"/>
        <family val="2"/>
      </rPr>
      <t xml:space="preserve">付費開發者 </t>
    </r>
    <r>
      <rPr>
        <sz val="9"/>
        <color rgb="FF595959"/>
        <rFont val="Arial"/>
        <family val="0"/>
        <charset val="1"/>
      </rPr>
      <t xml:space="preserve">24.2 </t>
    </r>
    <r>
      <rPr>
        <sz val="9"/>
        <color rgb="FF595959"/>
        <rFont val="Noto Sans CJK SC"/>
        <family val="2"/>
      </rPr>
      <t xml:space="preserve">萬（</t>
    </r>
    <r>
      <rPr>
        <sz val="9"/>
        <color rgb="FF595959"/>
        <rFont val="Arial"/>
        <family val="0"/>
        <charset val="1"/>
      </rPr>
      <t xml:space="preserve">SRC_ZP_402</t>
    </r>
    <r>
      <rPr>
        <sz val="9"/>
        <color rgb="FF595959"/>
        <rFont val="Noto Sans CJK SC"/>
        <family val="2"/>
      </rPr>
      <t xml:space="preserve">）</t>
    </r>
    <r>
      <rPr>
        <sz val="9"/>
        <color rgb="FF595959"/>
        <rFont val="Arial"/>
        <family val="0"/>
        <charset val="1"/>
      </rPr>
      <t xml:space="preserve">× Inputs </t>
    </r>
    <r>
      <rPr>
        <sz val="9"/>
        <color rgb="FF595959"/>
        <rFont val="Noto Sans CJK SC"/>
        <family val="2"/>
      </rPr>
      <t xml:space="preserve">倍數（營收未單列，無法倒推；工作單：給區間）；</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＋半年成長）；</t>
    </r>
    <r>
      <rPr>
        <sz val="9"/>
        <color rgb="FF595959"/>
        <rFont val="Arial"/>
        <family val="0"/>
        <charset val="1"/>
      </rPr>
      <t xml:space="preserve">2026 </t>
    </r>
    <r>
      <rPr>
        <sz val="9"/>
        <color rgb="FF595959"/>
        <rFont val="Noto Sans CJK SC"/>
        <family val="2"/>
      </rPr>
      <t xml:space="preserve">欄＝兩個半年平均；</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＋年增率）</t>
    </r>
  </si>
  <si>
    <t xml:space="preserve">D09</t>
  </si>
  <si>
    <r>
      <rPr>
        <sz val="10"/>
        <color rgb="FF000000"/>
        <rFont val="Arial"/>
        <family val="0"/>
        <charset val="1"/>
      </rPr>
      <t xml:space="preserve">Coding Plan </t>
    </r>
    <r>
      <rPr>
        <sz val="10"/>
        <color rgb="FF000000"/>
        <rFont val="Noto Sans CJK SC"/>
        <family val="2"/>
      </rPr>
      <t xml:space="preserve">訂閱者：</t>
    </r>
    <r>
      <rPr>
        <sz val="10"/>
        <color rgb="FF000000"/>
        <rFont val="Arial"/>
        <family val="0"/>
        <charset val="1"/>
      </rPr>
      <t xml:space="preserve">Lite</t>
    </r>
  </si>
  <si>
    <r>
      <rPr>
        <sz val="9"/>
        <color rgb="FF595959"/>
        <rFont val="Noto Sans CJK SC"/>
        <family val="2"/>
      </rPr>
      <t xml:space="preserve">訂閱者 </t>
    </r>
    <r>
      <rPr>
        <sz val="9"/>
        <color rgb="FF595959"/>
        <rFont val="Arial"/>
        <family val="0"/>
        <charset val="1"/>
      </rPr>
      <t xml:space="preserve">× </t>
    </r>
    <r>
      <rPr>
        <sz val="9"/>
        <color rgb="FF595959"/>
        <rFont val="Noto Sans CJK SC"/>
        <family val="2"/>
      </rPr>
      <t xml:space="preserve">方案組合（</t>
    </r>
    <r>
      <rPr>
        <sz val="9"/>
        <color rgb="FF595959"/>
        <rFont val="Arial"/>
        <family val="0"/>
        <charset val="1"/>
      </rPr>
      <t xml:space="preserve">Revenue</t>
    </r>
    <r>
      <rPr>
        <sz val="9"/>
        <color rgb="FF595959"/>
        <rFont val="Noto Sans CJK SC"/>
        <family val="2"/>
      </rPr>
      <t xml:space="preserve">）</t>
    </r>
  </si>
  <si>
    <t xml:space="preserve">D10</t>
  </si>
  <si>
    <r>
      <rPr>
        <sz val="10"/>
        <color rgb="FF000000"/>
        <rFont val="Arial"/>
        <family val="0"/>
        <charset val="1"/>
      </rPr>
      <t xml:space="preserve">Coding Plan </t>
    </r>
    <r>
      <rPr>
        <sz val="10"/>
        <color rgb="FF000000"/>
        <rFont val="Noto Sans CJK SC"/>
        <family val="2"/>
      </rPr>
      <t xml:space="preserve">訂閱者：</t>
    </r>
    <r>
      <rPr>
        <sz val="10"/>
        <color rgb="FF000000"/>
        <rFont val="Arial"/>
        <family val="0"/>
        <charset val="1"/>
      </rPr>
      <t xml:space="preserve">Pro</t>
    </r>
  </si>
  <si>
    <t xml:space="preserve">D11</t>
  </si>
  <si>
    <r>
      <rPr>
        <sz val="10"/>
        <color rgb="FF000000"/>
        <rFont val="Arial"/>
        <family val="0"/>
        <charset val="1"/>
      </rPr>
      <t xml:space="preserve">Coding Plan </t>
    </r>
    <r>
      <rPr>
        <sz val="10"/>
        <color rgb="FF000000"/>
        <rFont val="Noto Sans CJK SC"/>
        <family val="2"/>
      </rPr>
      <t xml:space="preserve">訂閱者：</t>
    </r>
    <r>
      <rPr>
        <sz val="10"/>
        <color rgb="FF000000"/>
        <rFont val="Arial"/>
        <family val="0"/>
        <charset val="1"/>
      </rPr>
      <t xml:space="preserve">Max</t>
    </r>
  </si>
  <si>
    <t xml:space="preserve">D12</t>
  </si>
  <si>
    <r>
      <rPr>
        <sz val="10"/>
        <color rgb="FF000000"/>
        <rFont val="Noto Sans CJK SC"/>
        <family val="2"/>
      </rPr>
      <t xml:space="preserve">每訂閱者每日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Lite</t>
    </r>
  </si>
  <si>
    <r>
      <rPr>
        <sz val="10"/>
        <color rgb="FF000000"/>
        <rFont val="Arial"/>
        <family val="0"/>
        <charset val="1"/>
      </rPr>
      <t xml:space="preserve">M tok</t>
    </r>
    <r>
      <rPr>
        <sz val="10"/>
        <color rgb="FF000000"/>
        <rFont val="Noto Sans CJK SC"/>
        <family val="2"/>
      </rPr>
      <t xml:space="preserve">／日</t>
    </r>
  </si>
  <si>
    <r>
      <rPr>
        <sz val="9"/>
        <color rgb="FF595959"/>
        <rFont val="Noto Sans CJK SC"/>
        <family val="2"/>
      </rPr>
      <t xml:space="preserve">每 </t>
    </r>
    <r>
      <rPr>
        <sz val="9"/>
        <color rgb="FF595959"/>
        <rFont val="Arial"/>
        <family val="0"/>
        <charset val="1"/>
      </rPr>
      <t xml:space="preserve">5 </t>
    </r>
    <r>
      <rPr>
        <sz val="9"/>
        <color rgb="FF595959"/>
        <rFont val="Noto Sans CJK SC"/>
        <family val="2"/>
      </rPr>
      <t xml:space="preserve">小時額度（</t>
    </r>
    <r>
      <rPr>
        <sz val="9"/>
        <color rgb="FF595959"/>
        <rFont val="Arial"/>
        <family val="0"/>
        <charset val="1"/>
      </rPr>
      <t xml:space="preserve">SRC_ZP_376–378</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每日窗口數 </t>
    </r>
    <r>
      <rPr>
        <sz val="9"/>
        <color rgb="FF595959"/>
        <rFont val="Arial"/>
        <family val="0"/>
        <charset val="1"/>
      </rPr>
      <t xml:space="preserve">× </t>
    </r>
    <r>
      <rPr>
        <sz val="9"/>
        <color rgb="FF595959"/>
        <rFont val="Noto Sans CJK SC"/>
        <family val="2"/>
      </rPr>
      <t xml:space="preserve">額度使用率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prompt </t>
    </r>
    <r>
      <rPr>
        <sz val="9"/>
        <color rgb="FF595959"/>
        <rFont val="Noto Sans CJK SC"/>
        <family val="2"/>
      </rPr>
      <t xml:space="preserve">呼叫次數 </t>
    </r>
    <r>
      <rPr>
        <sz val="9"/>
        <color rgb="FF595959"/>
        <rFont val="Arial"/>
        <family val="0"/>
        <charset val="1"/>
      </rPr>
      <t xml:space="preserve">× </t>
    </r>
    <r>
      <rPr>
        <sz val="9"/>
        <color rgb="FF595959"/>
        <rFont val="Noto Sans CJK SC"/>
        <family val="2"/>
      </rPr>
      <t xml:space="preserve">每次呼叫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 1000</t>
    </r>
  </si>
  <si>
    <t xml:space="preserve">D13</t>
  </si>
  <si>
    <r>
      <rPr>
        <sz val="10"/>
        <color rgb="FF000000"/>
        <rFont val="Noto Sans CJK SC"/>
        <family val="2"/>
      </rPr>
      <t xml:space="preserve">每訂閱者每日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Pro</t>
    </r>
  </si>
  <si>
    <t xml:space="preserve">D14</t>
  </si>
  <si>
    <r>
      <rPr>
        <sz val="10"/>
        <color rgb="FF000000"/>
        <rFont val="Noto Sans CJK SC"/>
        <family val="2"/>
      </rPr>
      <t xml:space="preserve">每訂閱者每日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Max</t>
    </r>
  </si>
  <si>
    <t xml:space="preserve">D15</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</si>
  <si>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Lite</t>
    </r>
  </si>
  <si>
    <r>
      <rPr>
        <sz val="9"/>
        <color rgb="FF595959"/>
        <rFont val="Noto Sans CJK SC"/>
        <family val="2"/>
      </rPr>
      <t xml:space="preserve">訂閱者（萬）</t>
    </r>
    <r>
      <rPr>
        <sz val="9"/>
        <color rgb="FF595959"/>
        <rFont val="Arial"/>
        <family val="0"/>
        <charset val="1"/>
      </rPr>
      <t xml:space="preserve">× </t>
    </r>
    <r>
      <rPr>
        <sz val="9"/>
        <color rgb="FF595959"/>
        <rFont val="Noto Sans CJK SC"/>
        <family val="2"/>
      </rPr>
      <t xml:space="preserve">每日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M</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天數 </t>
    </r>
    <r>
      <rPr>
        <sz val="9"/>
        <color rgb="FF595959"/>
        <rFont val="Arial"/>
        <family val="0"/>
        <charset val="1"/>
      </rPr>
      <t xml:space="preserve">÷ 100</t>
    </r>
    <r>
      <rPr>
        <sz val="9"/>
        <color rgb="FF595959"/>
        <rFont val="Noto Sans CJK SC"/>
        <family val="2"/>
      </rPr>
      <t xml:space="preserve">（萬 </t>
    </r>
    <r>
      <rPr>
        <sz val="9"/>
        <color rgb="FF595959"/>
        <rFont val="Arial"/>
        <family val="0"/>
        <charset val="1"/>
      </rPr>
      <t xml:space="preserve">× M → T</t>
    </r>
    <r>
      <rPr>
        <sz val="9"/>
        <color rgb="FF595959"/>
        <rFont val="Noto Sans CJK SC"/>
        <family val="2"/>
      </rPr>
      <t xml:space="preserve">）</t>
    </r>
  </si>
  <si>
    <t xml:space="preserve">D16</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</si>
  <si>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Pro</t>
    </r>
  </si>
  <si>
    <t xml:space="preserve">D17</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</si>
  <si>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Max</t>
    </r>
  </si>
  <si>
    <t xml:space="preserve">D18</t>
  </si>
  <si>
    <r>
      <rPr>
        <sz val="10"/>
        <color rgb="FF000000"/>
        <rFont val="Arial"/>
        <family val="0"/>
        <charset val="1"/>
      </rPr>
      <t xml:space="preserve">Coding Plan token </t>
    </r>
    <r>
      <rPr>
        <sz val="10"/>
        <color rgb="FF000000"/>
        <rFont val="Noto Sans CJK SC"/>
        <family val="2"/>
      </rPr>
      <t xml:space="preserve">合計</t>
    </r>
  </si>
  <si>
    <t xml:space="preserve">D19</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</si>
  <si>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Sol</t>
    </r>
  </si>
  <si>
    <r>
      <rPr>
        <sz val="9"/>
        <color rgb="FF595959"/>
        <rFont val="Arial"/>
        <family val="0"/>
        <charset val="1"/>
      </rPr>
      <t xml:space="preserve">Coding Plan </t>
    </r>
    <r>
      <rPr>
        <sz val="9"/>
        <color rgb="FF595959"/>
        <rFont val="Noto Sans CJK SC"/>
        <family val="2"/>
      </rPr>
      <t xml:space="preserve">以 </t>
    </r>
    <r>
      <rPr>
        <sz val="9"/>
        <color rgb="FF595959"/>
        <rFont val="Arial"/>
        <family val="0"/>
        <charset val="1"/>
      </rPr>
      <t xml:space="preserve">GLM-5.x </t>
    </r>
    <r>
      <rPr>
        <sz val="9"/>
        <color rgb="FF595959"/>
        <rFont val="Noto Sans CJK SC"/>
        <family val="2"/>
      </rPr>
      <t xml:space="preserve">旗艦為主（</t>
    </r>
    <r>
      <rPr>
        <sz val="9"/>
        <color rgb="FF595959"/>
        <rFont val="Arial"/>
        <family val="0"/>
        <charset val="1"/>
      </rPr>
      <t xml:space="preserve">D24r</t>
    </r>
    <r>
      <rPr>
        <sz val="9"/>
        <color rgb="FF595959"/>
        <rFont val="Noto Sans CJK SC"/>
        <family val="2"/>
      </rPr>
      <t xml:space="preserve">）</t>
    </r>
  </si>
  <si>
    <t xml:space="preserve">D20</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</si>
  <si>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Luna</t>
    </r>
  </si>
  <si>
    <r>
      <rPr>
        <b val="true"/>
        <sz val="10"/>
        <rFont val="Noto Sans CJK SC"/>
        <family val="2"/>
      </rPr>
      <t xml:space="preserve">三、智譜清言（</t>
    </r>
    <r>
      <rPr>
        <b val="true"/>
        <sz val="10"/>
        <rFont val="Arial"/>
        <family val="0"/>
        <charset val="1"/>
      </rPr>
      <t xml:space="preserve">C </t>
    </r>
    <r>
      <rPr>
        <b val="true"/>
        <sz val="10"/>
        <rFont val="Noto Sans CJK SC"/>
        <family val="2"/>
      </rPr>
      <t xml:space="preserve">端；無單列收入，免費 </t>
    </r>
    <r>
      <rPr>
        <b val="true"/>
        <sz val="10"/>
        <rFont val="Arial"/>
        <family val="0"/>
        <charset val="1"/>
      </rPr>
      <t xml:space="preserve">token </t>
    </r>
    <r>
      <rPr>
        <b val="true"/>
        <sz val="10"/>
        <rFont val="Noto Sans CJK SC"/>
        <family val="2"/>
      </rPr>
      <t xml:space="preserve">耗算力；年度）</t>
    </r>
  </si>
  <si>
    <t xml:space="preserve">D21</t>
  </si>
  <si>
    <r>
      <rPr>
        <sz val="9"/>
        <color rgb="FF595959"/>
        <rFont val="Arial"/>
        <family val="0"/>
        <charset val="1"/>
      </rPr>
      <t xml:space="preserve">2025 Inputs</t>
    </r>
    <r>
      <rPr>
        <sz val="9"/>
        <color rgb="FF595959"/>
        <rFont val="Noto Sans CJK SC"/>
        <family val="2"/>
      </rPr>
      <t xml:space="preserve">（</t>
    </r>
    <r>
      <rPr>
        <sz val="9"/>
        <color rgb="FF595959"/>
        <rFont val="Arial"/>
        <family val="0"/>
        <charset val="1"/>
      </rPr>
      <t xml:space="preserve">QuestMobile </t>
    </r>
    <r>
      <rPr>
        <sz val="9"/>
        <color rgb="FF595959"/>
        <rFont val="Noto Sans CJK SC"/>
        <family val="2"/>
      </rPr>
      <t xml:space="preserve">未進前 </t>
    </r>
    <r>
      <rPr>
        <sz val="9"/>
        <color rgb="FF595959"/>
        <rFont val="Arial"/>
        <family val="0"/>
        <charset val="1"/>
      </rPr>
      <t xml:space="preserve">20</t>
    </r>
    <r>
      <rPr>
        <sz val="9"/>
        <color rgb="FF595959"/>
        <rFont val="Noto Sans CJK SC"/>
        <family val="2"/>
      </rPr>
      <t xml:space="preserve">，</t>
    </r>
    <r>
      <rPr>
        <sz val="9"/>
        <color rgb="FF595959"/>
        <rFont val="Arial"/>
        <family val="0"/>
        <charset val="1"/>
      </rPr>
      <t xml:space="preserve">SRC_ZP_434</t>
    </r>
    <r>
      <rPr>
        <sz val="9"/>
        <color rgb="FF595959"/>
        <rFont val="Noto Sans CJK SC"/>
        <family val="2"/>
      </rPr>
      <t xml:space="preserve">；</t>
    </r>
    <r>
      <rPr>
        <sz val="9"/>
        <color rgb="FF595959"/>
        <rFont val="Arial"/>
        <family val="0"/>
        <charset val="1"/>
      </rPr>
      <t xml:space="preserve">Assumed </t>
    </r>
    <r>
      <rPr>
        <sz val="9"/>
        <color rgb="FF595959"/>
        <rFont val="Noto Sans CJK SC"/>
        <family val="2"/>
      </rPr>
      <t xml:space="preserve">區間）；之後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＋年增率）</t>
    </r>
  </si>
  <si>
    <t xml:space="preserve">D22</t>
  </si>
  <si>
    <r>
      <rPr>
        <sz val="10"/>
        <color rgb="FF000000"/>
        <rFont val="Noto Sans CJK SC"/>
        <family val="2"/>
      </rPr>
      <t xml:space="preserve">智譜清言 </t>
    </r>
    <r>
      <rPr>
        <sz val="10"/>
        <color rgb="FF000000"/>
        <rFont val="Arial"/>
        <family val="0"/>
        <charset val="1"/>
      </rPr>
      <t xml:space="preserve">token</t>
    </r>
  </si>
  <si>
    <r>
      <rPr>
        <sz val="9"/>
        <color rgb="FF595959"/>
        <rFont val="Noto Sans CJK SC"/>
        <family val="2"/>
      </rPr>
      <t xml:space="preserve">用戶（百萬）</t>
    </r>
    <r>
      <rPr>
        <sz val="9"/>
        <color rgb="FF595959"/>
        <rFont val="Arial"/>
        <family val="0"/>
        <charset val="1"/>
      </rPr>
      <t xml:space="preserve">× </t>
    </r>
    <r>
      <rPr>
        <sz val="9"/>
        <color rgb="FF595959"/>
        <rFont val="Noto Sans CJK SC"/>
        <family val="2"/>
      </rPr>
      <t xml:space="preserve">每日任務 </t>
    </r>
    <r>
      <rPr>
        <sz val="9"/>
        <color rgb="FF595959"/>
        <rFont val="Arial"/>
        <family val="0"/>
        <charset val="1"/>
      </rPr>
      <t xml:space="preserve">× </t>
    </r>
    <r>
      <rPr>
        <sz val="9"/>
        <color rgb="FF595959"/>
        <rFont val="Noto Sans CJK SC"/>
        <family val="2"/>
      </rPr>
      <t xml:space="preserve">每任務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天數 </t>
    </r>
    <r>
      <rPr>
        <sz val="9"/>
        <color rgb="FF595959"/>
        <rFont val="Arial"/>
        <family val="0"/>
        <charset val="1"/>
      </rPr>
      <t xml:space="preserve">÷ 1000</t>
    </r>
    <r>
      <rPr>
        <sz val="9"/>
        <color rgb="FF595959"/>
        <rFont val="Noto Sans CJK SC"/>
        <family val="2"/>
      </rPr>
      <t xml:space="preserve">（百萬 </t>
    </r>
    <r>
      <rPr>
        <sz val="9"/>
        <color rgb="FF595959"/>
        <rFont val="Arial"/>
        <family val="0"/>
        <charset val="1"/>
      </rPr>
      <t xml:space="preserve">× K → T</t>
    </r>
    <r>
      <rPr>
        <sz val="9"/>
        <color rgb="FF595959"/>
        <rFont val="Noto Sans CJK SC"/>
        <family val="2"/>
      </rPr>
      <t xml:space="preserve">）</t>
    </r>
  </si>
  <si>
    <t xml:space="preserve">D23</t>
  </si>
  <si>
    <r>
      <rPr>
        <sz val="10"/>
        <color rgb="FF000000"/>
        <rFont val="Noto Sans CJK SC"/>
        <family val="2"/>
      </rPr>
      <t xml:space="preserve">智譜清言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</si>
  <si>
    <t xml:space="preserve">D24</t>
  </si>
  <si>
    <r>
      <rPr>
        <sz val="10"/>
        <color rgb="FF000000"/>
        <rFont val="Noto Sans CJK SC"/>
        <family val="2"/>
      </rPr>
      <t xml:space="preserve">智譜清言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</si>
  <si>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b val="true"/>
        <sz val="10"/>
        <rFont val="Noto Sans CJK SC"/>
        <family val="2"/>
      </rPr>
      <t xml:space="preserve">四、輸出：</t>
    </r>
    <r>
      <rPr>
        <b val="true"/>
        <sz val="10"/>
        <rFont val="Arial"/>
        <family val="0"/>
        <charset val="1"/>
      </rPr>
      <t xml:space="preserve">token </t>
    </r>
    <r>
      <rPr>
        <b val="true"/>
        <sz val="10"/>
        <rFont val="Noto Sans CJK SC"/>
        <family val="2"/>
      </rPr>
      <t xml:space="preserve">量（層級 </t>
    </r>
    <r>
      <rPr>
        <b val="true"/>
        <sz val="10"/>
        <rFont val="Arial"/>
        <family val="0"/>
        <charset val="1"/>
      </rPr>
      <t xml:space="preserve">× </t>
    </r>
    <r>
      <rPr>
        <b val="true"/>
        <sz val="10"/>
        <rFont val="Noto Sans CJK SC"/>
        <family val="2"/>
      </rPr>
      <t xml:space="preserve">付費／免費；供 </t>
    </r>
    <r>
      <rPr>
        <b val="true"/>
        <sz val="10"/>
        <rFont val="Arial"/>
        <family val="0"/>
        <charset val="1"/>
      </rPr>
      <t xml:space="preserve">Z3 </t>
    </r>
    <r>
      <rPr>
        <b val="true"/>
        <sz val="10"/>
        <rFont val="Noto Sans CJK SC"/>
        <family val="2"/>
      </rPr>
      <t xml:space="preserve">推論 </t>
    </r>
    <r>
      <rPr>
        <b val="true"/>
        <sz val="10"/>
        <rFont val="Arial"/>
        <family val="0"/>
        <charset val="1"/>
      </rPr>
      <t xml:space="preserve">GW</t>
    </r>
    <r>
      <rPr>
        <b val="true"/>
        <sz val="10"/>
        <rFont val="Noto Sans CJK SC"/>
        <family val="2"/>
      </rPr>
      <t xml:space="preserve">）</t>
    </r>
  </si>
  <si>
    <t xml:space="preserve">D25</t>
  </si>
  <si>
    <r>
      <rPr>
        <sz val="10"/>
        <color rgb="FF000000"/>
        <rFont val="Noto Sans CJK SC"/>
        <family val="2"/>
      </rPr>
      <t xml:space="preserve">付費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</si>
  <si>
    <r>
      <rPr>
        <sz val="9"/>
        <color rgb="FF595959"/>
        <rFont val="Arial"/>
        <family val="0"/>
        <charset val="1"/>
      </rPr>
      <t xml:space="preserve">API </t>
    </r>
    <r>
      <rPr>
        <sz val="9"/>
        <color rgb="FF595959"/>
        <rFont val="Noto Sans CJK SC"/>
        <family val="2"/>
      </rPr>
      <t xml:space="preserve">按量計費 </t>
    </r>
    <r>
      <rPr>
        <sz val="9"/>
        <color rgb="FF595959"/>
        <rFont val="Arial"/>
        <family val="0"/>
        <charset val="1"/>
      </rPr>
      <t xml:space="preserve">Sol </t>
    </r>
    <r>
      <rPr>
        <sz val="9"/>
        <color rgb="FF595959"/>
        <rFont val="Noto Sans CJK SC"/>
        <family val="2"/>
      </rPr>
      <t xml:space="preserve">＋ </t>
    </r>
    <r>
      <rPr>
        <sz val="9"/>
        <color rgb="FF595959"/>
        <rFont val="Arial"/>
        <family val="0"/>
        <charset val="1"/>
      </rPr>
      <t xml:space="preserve">Coding Plan Sol</t>
    </r>
  </si>
  <si>
    <t xml:space="preserve">D26</t>
  </si>
  <si>
    <r>
      <rPr>
        <sz val="10"/>
        <color rgb="FF000000"/>
        <rFont val="Noto Sans CJK SC"/>
        <family val="2"/>
      </rPr>
      <t xml:space="preserve">付費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</si>
  <si>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sz val="9"/>
        <color rgb="FF595959"/>
        <rFont val="Arial"/>
        <family val="0"/>
        <charset val="1"/>
      </rPr>
      <t xml:space="preserve">API </t>
    </r>
    <r>
      <rPr>
        <sz val="9"/>
        <color rgb="FF595959"/>
        <rFont val="Noto Sans CJK SC"/>
        <family val="2"/>
      </rPr>
      <t xml:space="preserve">按量計費 </t>
    </r>
    <r>
      <rPr>
        <sz val="9"/>
        <color rgb="FF595959"/>
        <rFont val="Arial"/>
        <family val="0"/>
        <charset val="1"/>
      </rPr>
      <t xml:space="preserve">Luna </t>
    </r>
    <r>
      <rPr>
        <sz val="9"/>
        <color rgb="FF595959"/>
        <rFont val="Noto Sans CJK SC"/>
        <family val="2"/>
      </rPr>
      <t xml:space="preserve">＋ </t>
    </r>
    <r>
      <rPr>
        <sz val="9"/>
        <color rgb="FF595959"/>
        <rFont val="Arial"/>
        <family val="0"/>
        <charset val="1"/>
      </rPr>
      <t xml:space="preserve">Coding Plan Luna</t>
    </r>
  </si>
  <si>
    <t xml:space="preserve">D27</t>
  </si>
  <si>
    <r>
      <rPr>
        <sz val="10"/>
        <color rgb="FF000000"/>
        <rFont val="Noto Sans CJK SC"/>
        <family val="2"/>
      </rPr>
      <t xml:space="preserve">免費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</si>
  <si>
    <r>
      <rPr>
        <sz val="9"/>
        <color rgb="FF595959"/>
        <rFont val="Noto Sans CJK SC"/>
        <family val="2"/>
      </rPr>
      <t xml:space="preserve">智譜清言 </t>
    </r>
    <r>
      <rPr>
        <sz val="9"/>
        <color rgb="FF595959"/>
        <rFont val="Arial"/>
        <family val="0"/>
        <charset val="1"/>
      </rPr>
      <t xml:space="preserve">Sol</t>
    </r>
  </si>
  <si>
    <t xml:space="preserve">D28</t>
  </si>
  <si>
    <r>
      <rPr>
        <sz val="10"/>
        <color rgb="FF000000"/>
        <rFont val="Noto Sans CJK SC"/>
        <family val="2"/>
      </rPr>
      <t xml:space="preserve">免費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</si>
  <si>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sz val="9"/>
        <color rgb="FF595959"/>
        <rFont val="Noto Sans CJK SC"/>
        <family val="2"/>
      </rPr>
      <t xml:space="preserve">智譜清言 </t>
    </r>
    <r>
      <rPr>
        <sz val="9"/>
        <color rgb="FF595959"/>
        <rFont val="Arial"/>
        <family val="0"/>
        <charset val="1"/>
      </rPr>
      <t xml:space="preserve">Luna </t>
    </r>
    <r>
      <rPr>
        <sz val="9"/>
        <color rgb="FF595959"/>
        <rFont val="Noto Sans CJK SC"/>
        <family val="2"/>
      </rPr>
      <t xml:space="preserve">＋ 免費 </t>
    </r>
    <r>
      <rPr>
        <sz val="9"/>
        <color rgb="FF595959"/>
        <rFont val="Arial"/>
        <family val="0"/>
        <charset val="1"/>
      </rPr>
      <t xml:space="preserve">API </t>
    </r>
    <r>
      <rPr>
        <sz val="9"/>
        <color rgb="FF595959"/>
        <rFont val="Noto Sans CJK SC"/>
        <family val="2"/>
      </rPr>
      <t xml:space="preserve">型號</t>
    </r>
  </si>
  <si>
    <t xml:space="preserve">D29</t>
  </si>
  <si>
    <r>
      <rPr>
        <sz val="10"/>
        <color rgb="FF000000"/>
        <rFont val="Noto Sans CJK SC"/>
        <family val="2"/>
      </rPr>
      <t xml:space="preserve">付費 </t>
    </r>
    <r>
      <rPr>
        <sz val="10"/>
        <color rgb="FF000000"/>
        <rFont val="Arial"/>
        <family val="0"/>
        <charset val="1"/>
      </rPr>
      <t xml:space="preserve">token </t>
    </r>
    <r>
      <rPr>
        <sz val="10"/>
        <color rgb="FF000000"/>
        <rFont val="Noto Sans CJK SC"/>
        <family val="2"/>
      </rPr>
      <t xml:space="preserve">合計</t>
    </r>
  </si>
  <si>
    <t xml:space="preserve">D30</t>
  </si>
  <si>
    <r>
      <rPr>
        <sz val="10"/>
        <color rgb="FF000000"/>
        <rFont val="Noto Sans CJK SC"/>
        <family val="2"/>
      </rPr>
      <t xml:space="preserve">免費 </t>
    </r>
    <r>
      <rPr>
        <sz val="10"/>
        <color rgb="FF000000"/>
        <rFont val="Arial"/>
        <family val="0"/>
        <charset val="1"/>
      </rPr>
      <t xml:space="preserve">token </t>
    </r>
    <r>
      <rPr>
        <sz val="10"/>
        <color rgb="FF000000"/>
        <rFont val="Noto Sans CJK SC"/>
        <family val="2"/>
      </rPr>
      <t xml:space="preserve">合計</t>
    </r>
  </si>
  <si>
    <t xml:space="preserve">D31</t>
  </si>
  <si>
    <t xml:space="preserve">五、對照（只列差距，不校準）</t>
  </si>
  <si>
    <t xml:space="preserve">D32</t>
  </si>
  <si>
    <r>
      <rPr>
        <sz val="10"/>
        <color rgb="FF000000"/>
        <rFont val="Arial"/>
        <family val="0"/>
        <charset val="1"/>
      </rPr>
      <t xml:space="preserve">2H25→1H26 </t>
    </r>
    <r>
      <rPr>
        <sz val="10"/>
        <color rgb="FF000000"/>
        <rFont val="Noto Sans CJK SC"/>
        <family val="2"/>
      </rPr>
      <t xml:space="preserve">實際隱含量成長（營收倍數 </t>
    </r>
    <r>
      <rPr>
        <sz val="10"/>
        <color rgb="FF000000"/>
        <rFont val="Arial"/>
        <family val="0"/>
        <charset val="1"/>
      </rPr>
      <t xml:space="preserve">÷ </t>
    </r>
    <r>
      <rPr>
        <sz val="10"/>
        <color rgb="FF000000"/>
        <rFont val="Noto Sans CJK SC"/>
        <family val="2"/>
      </rPr>
      <t xml:space="preserve">模型單價倍數）</t>
    </r>
  </si>
  <si>
    <r>
      <rPr>
        <sz val="9"/>
        <color rgb="FF595959"/>
        <rFont val="Noto Sans CJK SC"/>
        <family val="2"/>
      </rPr>
      <t xml:space="preserve">開放平台及 </t>
    </r>
    <r>
      <rPr>
        <sz val="9"/>
        <color rgb="FF595959"/>
        <rFont val="Arial"/>
        <family val="0"/>
        <charset val="1"/>
      </rPr>
      <t xml:space="preserve">API</t>
    </r>
    <r>
      <rPr>
        <sz val="9"/>
        <color rgb="FF595959"/>
        <rFont val="Noto Sans CJK SC"/>
        <family val="2"/>
      </rPr>
      <t xml:space="preserve">：</t>
    </r>
    <r>
      <rPr>
        <sz val="9"/>
        <color rgb="FF595959"/>
        <rFont val="Arial"/>
        <family val="0"/>
        <charset val="1"/>
      </rPr>
      <t xml:space="preserve">1H26 ÷ 2H25</t>
    </r>
    <r>
      <rPr>
        <sz val="9"/>
        <color rgb="FF595959"/>
        <rFont val="Noto Sans CJK SC"/>
        <family val="2"/>
      </rPr>
      <t xml:space="preserve">（＝</t>
    </r>
    <r>
      <rPr>
        <sz val="9"/>
        <color rgb="FF595959"/>
        <rFont val="Arial"/>
        <family val="0"/>
        <charset val="1"/>
      </rPr>
      <t xml:space="preserve">FY25 − 1H25</t>
    </r>
    <r>
      <rPr>
        <sz val="9"/>
        <color rgb="FF595959"/>
        <rFont val="Noto Sans CJK SC"/>
        <family val="2"/>
      </rPr>
      <t xml:space="preserve">）實際營收，除以 </t>
    </r>
    <r>
      <rPr>
        <sz val="9"/>
        <color rgb="FF595959"/>
        <rFont val="Arial"/>
        <family val="0"/>
        <charset val="1"/>
      </rPr>
      <t xml:space="preserve">1H26 ÷ 2025 </t>
    </r>
    <r>
      <rPr>
        <sz val="9"/>
        <color rgb="FF595959"/>
        <rFont val="Noto Sans CJK SC"/>
        <family val="2"/>
      </rPr>
      <t xml:space="preserve">組合有效單價；</t>
    </r>
    <r>
      <rPr>
        <sz val="9"/>
        <color rgb="FF595959"/>
        <rFont val="Arial"/>
        <family val="0"/>
        <charset val="1"/>
      </rPr>
      <t xml:space="preserve">Inputs 2H26 </t>
    </r>
    <r>
      <rPr>
        <sz val="9"/>
        <color rgb="FF595959"/>
        <rFont val="Noto Sans CJK SC"/>
        <family val="2"/>
      </rPr>
      <t xml:space="preserve">任務數成長的參考（實際值，非公司說法）</t>
    </r>
  </si>
  <si>
    <t xml:space="preserve">D33</t>
  </si>
  <si>
    <r>
      <rPr>
        <sz val="10"/>
        <color rgb="FF000000"/>
        <rFont val="Noto Sans CJK SC"/>
        <family val="2"/>
      </rPr>
      <t xml:space="preserve">模型 </t>
    </r>
    <r>
      <rPr>
        <sz val="10"/>
        <color rgb="FF000000"/>
        <rFont val="Arial"/>
        <family val="0"/>
        <charset val="1"/>
      </rPr>
      <t xml:space="preserve">2H26 ÷ 1H26 API </t>
    </r>
    <r>
      <rPr>
        <sz val="10"/>
        <color rgb="FF000000"/>
        <rFont val="Noto Sans CJK SC"/>
        <family val="2"/>
      </rPr>
      <t xml:space="preserve">按量計費 </t>
    </r>
    <r>
      <rPr>
        <sz val="10"/>
        <color rgb="FF000000"/>
        <rFont val="Arial"/>
        <family val="0"/>
        <charset val="1"/>
      </rPr>
      <t xml:space="preserve">token</t>
    </r>
  </si>
  <si>
    <r>
      <rPr>
        <sz val="9"/>
        <color rgb="FF595959"/>
        <rFont val="Noto Sans CJK SC"/>
        <family val="2"/>
      </rPr>
      <t xml:space="preserve">對照：公司稱 </t>
    </r>
    <r>
      <rPr>
        <sz val="9"/>
        <color rgb="FF595959"/>
        <rFont val="Arial"/>
        <family val="0"/>
        <charset val="1"/>
      </rPr>
      <t xml:space="preserve">MaaS token </t>
    </r>
    <r>
      <rPr>
        <sz val="9"/>
        <color rgb="FF595959"/>
        <rFont val="Noto Sans CJK SC"/>
        <family val="2"/>
      </rPr>
      <t xml:space="preserve">呼叫量『較年初 </t>
    </r>
    <r>
      <rPr>
        <sz val="9"/>
        <color rgb="FF595959"/>
        <rFont val="Arial"/>
        <family val="0"/>
        <charset val="1"/>
      </rPr>
      <t xml:space="preserve">40 </t>
    </r>
    <r>
      <rPr>
        <sz val="9"/>
        <color rgb="FF595959"/>
        <rFont val="Noto Sans CJK SC"/>
        <family val="2"/>
      </rPr>
      <t xml:space="preserve">倍以上』（</t>
    </r>
    <r>
      <rPr>
        <sz val="9"/>
        <color rgb="FF595959"/>
        <rFont val="Arial"/>
        <family val="0"/>
        <charset val="1"/>
      </rPr>
      <t xml:space="preserve">SRC_ZP_410</t>
    </r>
    <r>
      <rPr>
        <sz val="9"/>
        <color rgb="FF595959"/>
        <rFont val="Noto Sans CJK SC"/>
        <family val="2"/>
      </rPr>
      <t xml:space="preserve">；基期為年初時點，口徑不同）</t>
    </r>
  </si>
  <si>
    <t xml:space="preserve">D34</t>
  </si>
  <si>
    <r>
      <rPr>
        <sz val="10"/>
        <color rgb="FF000000"/>
        <rFont val="Noto Sans CJK SC"/>
        <family val="2"/>
      </rPr>
      <t xml:space="preserve">公司說法：</t>
    </r>
    <r>
      <rPr>
        <sz val="10"/>
        <color rgb="FF000000"/>
        <rFont val="Arial"/>
        <family val="0"/>
        <charset val="1"/>
      </rPr>
      <t xml:space="preserve">MaaS token </t>
    </r>
    <r>
      <rPr>
        <sz val="10"/>
        <color rgb="FF000000"/>
        <rFont val="Noto Sans CJK SC"/>
        <family val="2"/>
      </rPr>
      <t xml:space="preserve">呼叫量較年初倍數</t>
    </r>
  </si>
  <si>
    <r>
      <rPr>
        <sz val="9"/>
        <color rgb="FF595959"/>
        <rFont val="Arial"/>
        <family val="0"/>
        <charset val="1"/>
      </rPr>
      <t xml:space="preserve">Interested-party</t>
    </r>
    <r>
      <rPr>
        <sz val="9"/>
        <color rgb="FF595959"/>
        <rFont val="Noto Sans CJK SC"/>
        <family val="2"/>
      </rPr>
      <t xml:space="preserve">；只對照，不反推（</t>
    </r>
    <r>
      <rPr>
        <sz val="9"/>
        <color rgb="FF595959"/>
        <rFont val="Arial"/>
        <family val="0"/>
        <charset val="1"/>
      </rPr>
      <t xml:space="preserve">D14r</t>
    </r>
    <r>
      <rPr>
        <sz val="9"/>
        <color rgb="FF595959"/>
        <rFont val="Noto Sans CJK SC"/>
        <family val="2"/>
      </rPr>
      <t xml:space="preserve">）</t>
    </r>
  </si>
  <si>
    <t xml:space="preserve">D35</t>
  </si>
  <si>
    <r>
      <rPr>
        <sz val="10"/>
        <color rgb="FF000000"/>
        <rFont val="Noto Sans CJK SC"/>
        <family val="2"/>
      </rPr>
      <t xml:space="preserve">模型 </t>
    </r>
    <r>
      <rPr>
        <sz val="10"/>
        <color rgb="FF000000"/>
        <rFont val="Arial"/>
        <family val="0"/>
        <charset val="1"/>
      </rPr>
      <t xml:space="preserve">2025 token </t>
    </r>
    <r>
      <rPr>
        <sz val="10"/>
        <color rgb="FF000000"/>
        <rFont val="Noto Sans CJK SC"/>
        <family val="2"/>
      </rPr>
      <t xml:space="preserve">合計 </t>
    </r>
    <r>
      <rPr>
        <sz val="10"/>
        <color rgb="FF000000"/>
        <rFont val="Arial"/>
        <family val="0"/>
        <charset val="1"/>
      </rPr>
      <t xml:space="preserve">÷ </t>
    </r>
    <r>
      <rPr>
        <sz val="10"/>
        <color rgb="FF000000"/>
        <rFont val="Noto Sans CJK SC"/>
        <family val="2"/>
      </rPr>
      <t xml:space="preserve">天數</t>
    </r>
  </si>
  <si>
    <r>
      <rPr>
        <sz val="9"/>
        <color rgb="FF595959"/>
        <rFont val="Noto Sans CJK SC"/>
        <family val="2"/>
      </rPr>
      <t xml:space="preserve">對照：招股章程 </t>
    </r>
    <r>
      <rPr>
        <sz val="9"/>
        <color rgb="FF595959"/>
        <rFont val="Arial"/>
        <family val="0"/>
        <charset val="1"/>
      </rPr>
      <t xml:space="preserve">2025-11 </t>
    </r>
    <r>
      <rPr>
        <sz val="9"/>
        <color rgb="FF595959"/>
        <rFont val="Noto Sans CJK SC"/>
        <family val="2"/>
      </rPr>
      <t xml:space="preserve">日均 </t>
    </r>
    <r>
      <rPr>
        <sz val="9"/>
        <color rgb="FF595959"/>
        <rFont val="Arial"/>
        <family val="0"/>
        <charset val="1"/>
      </rPr>
      <t xml:space="preserve">4.2T</t>
    </r>
    <r>
      <rPr>
        <sz val="9"/>
        <color rgb="FF595959"/>
        <rFont val="Noto Sans CJK SC"/>
        <family val="2"/>
      </rPr>
      <t xml:space="preserve">（</t>
    </r>
    <r>
      <rPr>
        <sz val="9"/>
        <color rgb="FF595959"/>
        <rFont val="Arial"/>
        <family val="0"/>
        <charset val="1"/>
      </rPr>
      <t xml:space="preserve">SRC_ZP_991</t>
    </r>
    <r>
      <rPr>
        <sz val="9"/>
        <color rgb="FF595959"/>
        <rFont val="Noto Sans CJK SC"/>
        <family val="2"/>
      </rPr>
      <t xml:space="preserve">，招股章程第 </t>
    </r>
    <r>
      <rPr>
        <sz val="9"/>
        <color rgb="FF595959"/>
        <rFont val="Arial"/>
        <family val="0"/>
        <charset val="1"/>
      </rPr>
      <t xml:space="preserve">32 </t>
    </r>
    <r>
      <rPr>
        <sz val="9"/>
        <color rgb="FF595959"/>
        <rFont val="Noto Sans CJK SC"/>
        <family val="2"/>
      </rPr>
      <t xml:space="preserve">頁；</t>
    </r>
    <r>
      <rPr>
        <sz val="9"/>
        <color rgb="FF595959"/>
        <rFont val="Arial"/>
        <family val="0"/>
        <charset val="1"/>
      </rPr>
      <t xml:space="preserve">r2 P2 </t>
    </r>
    <r>
      <rPr>
        <sz val="9"/>
        <color rgb="FF595959"/>
        <rFont val="Noto Sans CJK SC"/>
        <family val="2"/>
      </rPr>
      <t xml:space="preserve">改引用一手列；口徑可能含全部雲端與免費）</t>
    </r>
  </si>
  <si>
    <t xml:space="preserve">D36</t>
  </si>
  <si>
    <r>
      <rPr>
        <sz val="10"/>
        <color rgb="FF000000"/>
        <rFont val="Noto Sans CJK SC"/>
        <family val="2"/>
      </rPr>
      <t xml:space="preserve">公司揭露：</t>
    </r>
    <r>
      <rPr>
        <sz val="10"/>
        <color rgb="FF000000"/>
        <rFont val="Arial"/>
        <family val="0"/>
        <charset val="1"/>
      </rPr>
      <t xml:space="preserve">2025-11 </t>
    </r>
    <r>
      <rPr>
        <sz val="10"/>
        <color rgb="FF000000"/>
        <rFont val="Noto Sans CJK SC"/>
        <family val="2"/>
      </rPr>
      <t xml:space="preserve">日均 </t>
    </r>
    <r>
      <rPr>
        <sz val="10"/>
        <color rgb="FF000000"/>
        <rFont val="Arial"/>
        <family val="0"/>
        <charset val="1"/>
      </rPr>
      <t xml:space="preserve">token</t>
    </r>
  </si>
  <si>
    <r>
      <rPr>
        <sz val="9"/>
        <color rgb="FF595959"/>
        <rFont val="Arial"/>
        <family val="0"/>
        <charset val="1"/>
      </rPr>
      <t xml:space="preserve">Interested-party</t>
    </r>
    <r>
      <rPr>
        <sz val="9"/>
        <color rgb="FF595959"/>
        <rFont val="Noto Sans CJK SC"/>
        <family val="2"/>
      </rPr>
      <t xml:space="preserve">（</t>
    </r>
    <r>
      <rPr>
        <sz val="9"/>
        <color rgb="FF595959"/>
        <rFont val="Arial"/>
        <family val="0"/>
        <charset val="1"/>
      </rPr>
      <t xml:space="preserve">SRC_ZP_991</t>
    </r>
    <r>
      <rPr>
        <sz val="9"/>
        <color rgb="FF595959"/>
        <rFont val="Noto Sans CJK SC"/>
        <family val="2"/>
      </rPr>
      <t xml:space="preserve">，招股章程月度點）</t>
    </r>
  </si>
  <si>
    <t xml:space="preserve">D37</t>
  </si>
  <si>
    <r>
      <rPr>
        <sz val="10"/>
        <color rgb="FF000000"/>
        <rFont val="Arial"/>
        <family val="0"/>
        <charset val="1"/>
      </rPr>
      <t xml:space="preserve">2025 </t>
    </r>
    <r>
      <rPr>
        <sz val="10"/>
        <color rgb="FF000000"/>
        <rFont val="Noto Sans CJK SC"/>
        <family val="2"/>
      </rPr>
      <t xml:space="preserve">計費比例＝</t>
    </r>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 ÷</t>
    </r>
    <r>
      <rPr>
        <sz val="10"/>
        <color rgb="FF000000"/>
        <rFont val="Noto Sans CJK SC"/>
        <family val="2"/>
      </rPr>
      <t xml:space="preserve">（日均 </t>
    </r>
    <r>
      <rPr>
        <sz val="10"/>
        <color rgb="FF000000"/>
        <rFont val="Arial"/>
        <family val="0"/>
        <charset val="1"/>
      </rPr>
      <t xml:space="preserve">4.2T × 365</t>
    </r>
    <r>
      <rPr>
        <sz val="10"/>
        <color rgb="FF000000"/>
        <rFont val="Noto Sans CJK SC"/>
        <family val="2"/>
      </rPr>
      <t xml:space="preserve">）</t>
    </r>
  </si>
  <si>
    <r>
      <rPr>
        <sz val="9"/>
        <color rgb="FF595959"/>
        <rFont val="Noto Sans CJK SC"/>
        <family val="2"/>
      </rPr>
      <t xml:space="preserve">類比 </t>
    </r>
    <r>
      <rPr>
        <sz val="9"/>
        <color rgb="FF595959"/>
        <rFont val="Arial"/>
        <family val="0"/>
        <charset val="1"/>
      </rPr>
      <t xml:space="preserve">OpenAI v0.6 DEM_ApiBilledRatio2025</t>
    </r>
    <r>
      <rPr>
        <sz val="9"/>
        <color rgb="FF595959"/>
        <rFont val="Noto Sans CJK SC"/>
        <family val="2"/>
      </rPr>
      <t xml:space="preserve">：揭露量多為免費、</t>
    </r>
    <r>
      <rPr>
        <sz val="9"/>
        <color rgb="FF595959"/>
        <rFont val="Arial"/>
        <family val="0"/>
        <charset val="1"/>
      </rPr>
      <t xml:space="preserve">Coding Plan </t>
    </r>
    <r>
      <rPr>
        <sz val="9"/>
        <color rgb="FF595959"/>
        <rFont val="Noto Sans CJK SC"/>
        <family val="2"/>
      </rPr>
      <t xml:space="preserve">與折扣流量</t>
    </r>
  </si>
  <si>
    <r>
      <rPr>
        <b val="true"/>
        <sz val="13"/>
        <rFont val="Arial"/>
        <family val="0"/>
        <charset val="1"/>
      </rPr>
      <t xml:space="preserve">Revenue — </t>
    </r>
    <r>
      <rPr>
        <b val="true"/>
        <sz val="13"/>
        <rFont val="Noto Sans CJK SC"/>
        <family val="2"/>
      </rPr>
      <t xml:space="preserve">營收：①開放平台及 </t>
    </r>
    <r>
      <rPr>
        <b val="true"/>
        <sz val="13"/>
        <rFont val="Arial"/>
        <family val="0"/>
        <charset val="1"/>
      </rPr>
      <t xml:space="preserve">API</t>
    </r>
    <r>
      <rPr>
        <b val="true"/>
        <sz val="13"/>
        <rFont val="Noto Sans CJK SC"/>
        <family val="2"/>
      </rPr>
      <t xml:space="preserve">（按量計費＋</t>
    </r>
    <r>
      <rPr>
        <b val="true"/>
        <sz val="13"/>
        <rFont val="Arial"/>
        <family val="0"/>
        <charset val="1"/>
      </rPr>
      <t xml:space="preserve">Coding Plan </t>
    </r>
    <r>
      <rPr>
        <b val="true"/>
        <sz val="13"/>
        <rFont val="Noto Sans CJK SC"/>
        <family val="2"/>
      </rPr>
      <t xml:space="preserve">子列）②企業級智能體 ③企業級通用大模型 ④技術服務及其他；總額＝淨額；雲端 </t>
    </r>
    <r>
      <rPr>
        <b val="true"/>
        <sz val="13"/>
        <rFont val="Arial"/>
        <family val="0"/>
        <charset val="1"/>
      </rPr>
      <t xml:space="preserve">vs </t>
    </r>
    <r>
      <rPr>
        <b val="true"/>
        <sz val="13"/>
        <rFont val="Noto Sans CJK SC"/>
        <family val="2"/>
      </rPr>
      <t xml:space="preserve">本地化、企業 </t>
    </r>
    <r>
      <rPr>
        <b val="true"/>
        <sz val="13"/>
        <rFont val="Arial"/>
        <family val="0"/>
        <charset val="1"/>
      </rPr>
      <t xml:space="preserve">vs </t>
    </r>
    <r>
      <rPr>
        <b val="true"/>
        <sz val="13"/>
        <rFont val="Noto Sans CJK SC"/>
        <family val="2"/>
      </rPr>
      <t xml:space="preserve">個人</t>
    </r>
  </si>
  <si>
    <r>
      <rPr>
        <sz val="9"/>
        <color rgb="FF595959"/>
        <rFont val="Arial"/>
        <family val="0"/>
        <charset val="1"/>
      </rPr>
      <t xml:space="preserve">API </t>
    </r>
    <r>
      <rPr>
        <sz val="9"/>
        <color rgb="FF595959"/>
        <rFont val="Noto Sans CJK SC"/>
        <family val="2"/>
      </rPr>
      <t xml:space="preserve">牌價：</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GLM-4.7</t>
    </r>
    <r>
      <rPr>
        <sz val="9"/>
        <color rgb="FF595959"/>
        <rFont val="Noto Sans CJK SC"/>
        <family val="2"/>
      </rPr>
      <t xml:space="preserve">／</t>
    </r>
    <r>
      <rPr>
        <sz val="9"/>
        <color rgb="FF595959"/>
        <rFont val="Arial"/>
        <family val="0"/>
        <charset val="1"/>
      </rPr>
      <t xml:space="preserve">GLM-4.5-Air </t>
    </r>
    <r>
      <rPr>
        <sz val="9"/>
        <color rgb="FF595959"/>
        <rFont val="Noto Sans CJK SC"/>
        <family val="2"/>
      </rPr>
      <t xml:space="preserve">牌價；</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GLM-4.7→GLM-5→GLM-5.1 </t>
    </r>
    <r>
      <rPr>
        <sz val="9"/>
        <color rgb="FF595959"/>
        <rFont val="Noto Sans CJK SC"/>
        <family val="2"/>
      </rPr>
      <t xml:space="preserve">依發布日天數加權；</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GLM-5.2</t>
    </r>
    <r>
      <rPr>
        <sz val="9"/>
        <color rgb="FF595959"/>
        <rFont val="Noto Sans CJK SC"/>
        <family val="2"/>
      </rPr>
      <t xml:space="preserve">／</t>
    </r>
    <r>
      <rPr>
        <sz val="9"/>
        <color rgb="FF595959"/>
        <rFont val="Arial"/>
        <family val="0"/>
        <charset val="1"/>
      </rPr>
      <t xml:space="preserve">5.3</t>
    </r>
    <r>
      <rPr>
        <sz val="9"/>
        <color rgb="FF595959"/>
        <rFont val="Noto Sans CJK SC"/>
        <family val="2"/>
      </rPr>
      <t xml:space="preserve">（</t>
    </r>
    <r>
      <rPr>
        <sz val="9"/>
        <color rgb="FF595959"/>
        <rFont val="Arial"/>
        <family val="0"/>
        <charset val="1"/>
      </rPr>
      <t xml:space="preserve">Sol</t>
    </r>
    <r>
      <rPr>
        <sz val="9"/>
        <color rgb="FF595959"/>
        <rFont val="Noto Sans CJK SC"/>
        <family val="2"/>
      </rPr>
      <t xml:space="preserve">）、</t>
    </r>
    <r>
      <rPr>
        <sz val="9"/>
        <color rgb="FF595959"/>
        <rFont val="Arial"/>
        <family val="0"/>
        <charset val="1"/>
      </rPr>
      <t xml:space="preserve">GLM-4.5-Air→GLM-5.3-Flash</t>
    </r>
    <r>
      <rPr>
        <sz val="9"/>
        <color rgb="FF595959"/>
        <rFont val="Noto Sans CJK SC"/>
        <family val="2"/>
      </rPr>
      <t xml:space="preserve">（</t>
    </r>
    <r>
      <rPr>
        <sz val="9"/>
        <color rgb="FF595959"/>
        <rFont val="Arial"/>
        <family val="0"/>
        <charset val="1"/>
      </rPr>
      <t xml:space="preserve">Luna</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＋年變動率）。輸入價依長上下文占比混合兩檔。有效單價＝［</t>
    </r>
    <r>
      <rPr>
        <sz val="9"/>
        <color rgb="FF595959"/>
        <rFont val="Arial"/>
        <family val="0"/>
        <charset val="1"/>
      </rPr>
      <t xml:space="preserve">(1−</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快取命中</t>
    </r>
    <r>
      <rPr>
        <sz val="9"/>
        <color rgb="FF595959"/>
        <rFont val="Arial"/>
        <family val="0"/>
        <charset val="1"/>
      </rPr>
      <t xml:space="preserve">×</t>
    </r>
    <r>
      <rPr>
        <sz val="9"/>
        <color rgb="FF595959"/>
        <rFont val="Noto Sans CJK SC"/>
        <family val="2"/>
      </rPr>
      <t xml:space="preserve">快取價＋</t>
    </r>
    <r>
      <rPr>
        <sz val="9"/>
        <color rgb="FF595959"/>
        <rFont val="Arial"/>
        <family val="0"/>
        <charset val="1"/>
      </rPr>
      <t xml:space="preserve">(1−</t>
    </r>
    <r>
      <rPr>
        <sz val="9"/>
        <color rgb="FF595959"/>
        <rFont val="Noto Sans CJK SC"/>
        <family val="2"/>
      </rPr>
      <t xml:space="preserve">快取命中</t>
    </r>
    <r>
      <rPr>
        <sz val="9"/>
        <color rgb="FF595959"/>
        <rFont val="Arial"/>
        <family val="0"/>
        <charset val="1"/>
      </rPr>
      <t xml:space="preserve">)×</t>
    </r>
    <r>
      <rPr>
        <sz val="9"/>
        <color rgb="FF595959"/>
        <rFont val="Noto Sans CJK SC"/>
        <family val="2"/>
      </rPr>
      <t xml:space="preserve">輸入價</t>
    </r>
    <r>
      <rPr>
        <sz val="9"/>
        <color rgb="FF595959"/>
        <rFont val="Arial"/>
        <family val="0"/>
        <charset val="1"/>
      </rPr>
      <t xml:space="preserve">)</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輸出價］</t>
    </r>
    <r>
      <rPr>
        <sz val="9"/>
        <color rgb="FF595959"/>
        <rFont val="Arial"/>
        <family val="0"/>
        <charset val="1"/>
      </rPr>
      <t xml:space="preserve">×(1−</t>
    </r>
    <r>
      <rPr>
        <sz val="9"/>
        <color rgb="FF595959"/>
        <rFont val="Noto Sans CJK SC"/>
        <family val="2"/>
      </rPr>
      <t xml:space="preserve">折扣與免費額度</t>
    </r>
    <r>
      <rPr>
        <sz val="9"/>
        <color rgb="FF595959"/>
        <rFont val="Arial"/>
        <family val="0"/>
        <charset val="1"/>
      </rPr>
      <t xml:space="preserve">)</t>
    </r>
    <r>
      <rPr>
        <sz val="9"/>
        <color rgb="FF595959"/>
        <rFont val="Noto Sans CJK SC"/>
        <family val="2"/>
      </rPr>
      <t xml:space="preserve">。</t>
    </r>
  </si>
  <si>
    <r>
      <rPr>
        <sz val="9"/>
        <color rgb="FF595959"/>
        <rFont val="Noto Sans CJK SC"/>
        <family val="2"/>
      </rPr>
      <t xml:space="preserve">金額 </t>
    </r>
    <r>
      <rPr>
        <sz val="9"/>
        <color rgb="FF595959"/>
        <rFont val="Arial"/>
        <family val="0"/>
        <charset val="1"/>
      </rPr>
      <t xml:space="preserve">RMB </t>
    </r>
    <r>
      <rPr>
        <sz val="9"/>
        <color rgb="FF595959"/>
        <rFont val="Noto Sans CJK SC"/>
        <family val="2"/>
      </rPr>
      <t xml:space="preserve">億；牌價 元／百萬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Coding Plan </t>
    </r>
    <r>
      <rPr>
        <sz val="9"/>
        <color rgb="FF595959"/>
        <rFont val="Noto Sans CJK SC"/>
        <family val="2"/>
      </rPr>
      <t xml:space="preserve">價格 元／月。②③④＝本地化部署分部（不耗智譜算力，</t>
    </r>
    <r>
      <rPr>
        <sz val="9"/>
        <color rgb="FF595959"/>
        <rFont val="Arial"/>
        <family val="0"/>
        <charset val="1"/>
      </rPr>
      <t xml:space="preserve">D4</t>
    </r>
    <r>
      <rPr>
        <sz val="9"/>
        <color rgb="FF595959"/>
        <rFont val="Noto Sans CJK SC"/>
        <family val="2"/>
      </rPr>
      <t xml:space="preserve">、</t>
    </r>
    <r>
      <rPr>
        <sz val="9"/>
        <color rgb="FF595959"/>
        <rFont val="Arial"/>
        <family val="0"/>
        <charset val="1"/>
      </rPr>
      <t xml:space="preserve">D2r</t>
    </r>
    <r>
      <rPr>
        <sz val="9"/>
        <color rgb="FF595959"/>
        <rFont val="Noto Sans CJK SC"/>
        <family val="2"/>
      </rPr>
      <t xml:space="preserve">）。容量上限係數取自 </t>
    </r>
    <r>
      <rPr>
        <sz val="9"/>
        <color rgb="FF595959"/>
        <rFont val="Arial"/>
        <family val="0"/>
        <charset val="1"/>
      </rPr>
      <t xml:space="preserve">Compute</t>
    </r>
    <r>
      <rPr>
        <sz val="9"/>
        <color rgb="FF595959"/>
        <rFont val="Noto Sans CJK SC"/>
        <family val="2"/>
      </rPr>
      <t xml:space="preserve">（</t>
    </r>
    <r>
      <rPr>
        <sz val="9"/>
        <color rgb="FF595959"/>
        <rFont val="Arial"/>
        <family val="0"/>
        <charset val="1"/>
      </rPr>
      <t xml:space="preserve">Z3</t>
    </r>
    <r>
      <rPr>
        <sz val="9"/>
        <color rgb="FF595959"/>
        <rFont val="Noto Sans CJK SC"/>
        <family val="2"/>
      </rPr>
      <t xml:space="preserve">），只回乘雲端營收。</t>
    </r>
  </si>
  <si>
    <r>
      <rPr>
        <b val="true"/>
        <sz val="10"/>
        <rFont val="Noto Sans CJK SC"/>
        <family val="2"/>
      </rPr>
      <t xml:space="preserve">一、價格期間權重（由發布日推得的天數；</t>
    </r>
    <r>
      <rPr>
        <b val="true"/>
        <sz val="10"/>
        <rFont val="Arial"/>
        <family val="0"/>
        <charset val="1"/>
      </rPr>
      <t xml:space="preserve">Inputs Derived</t>
    </r>
    <r>
      <rPr>
        <b val="true"/>
        <sz val="10"/>
        <rFont val="Noto Sans CJK SC"/>
        <family val="2"/>
      </rPr>
      <t xml:space="preserve">）</t>
    </r>
  </si>
  <si>
    <t xml:space="preserve">R01</t>
  </si>
  <si>
    <r>
      <rPr>
        <sz val="10"/>
        <color rgb="FF000000"/>
        <rFont val="Arial"/>
        <family val="0"/>
        <charset val="1"/>
      </rPr>
      <t xml:space="preserve">1H26 GLM-4.7 </t>
    </r>
    <r>
      <rPr>
        <sz val="10"/>
        <color rgb="FF000000"/>
        <rFont val="Noto Sans CJK SC"/>
        <family val="2"/>
      </rPr>
      <t xml:space="preserve">期間占比</t>
    </r>
  </si>
  <si>
    <r>
      <rPr>
        <sz val="9"/>
        <color rgb="FF595959"/>
        <rFont val="Arial"/>
        <family val="0"/>
        <charset val="1"/>
      </rPr>
      <t xml:space="preserve">2026-01-01</t>
    </r>
    <r>
      <rPr>
        <sz val="9"/>
        <color rgb="FF595959"/>
        <rFont val="Noto Sans CJK SC"/>
        <family val="2"/>
      </rPr>
      <t xml:space="preserve">～</t>
    </r>
    <r>
      <rPr>
        <sz val="9"/>
        <color rgb="FF595959"/>
        <rFont val="Arial"/>
        <family val="0"/>
        <charset val="1"/>
      </rPr>
      <t xml:space="preserve">02-11 ÷ 181 </t>
    </r>
    <r>
      <rPr>
        <sz val="9"/>
        <color rgb="FF595959"/>
        <rFont val="Noto Sans CJK SC"/>
        <family val="2"/>
      </rPr>
      <t xml:space="preserve">天</t>
    </r>
  </si>
  <si>
    <t xml:space="preserve">R02</t>
  </si>
  <si>
    <r>
      <rPr>
        <sz val="10"/>
        <color rgb="FF000000"/>
        <rFont val="Arial"/>
        <family val="0"/>
        <charset val="1"/>
      </rPr>
      <t xml:space="preserve">1H26 GLM-5 </t>
    </r>
    <r>
      <rPr>
        <sz val="10"/>
        <color rgb="FF000000"/>
        <rFont val="Noto Sans CJK SC"/>
        <family val="2"/>
      </rPr>
      <t xml:space="preserve">期間占比</t>
    </r>
  </si>
  <si>
    <r>
      <rPr>
        <sz val="9"/>
        <color rgb="FF595959"/>
        <rFont val="Arial"/>
        <family val="0"/>
        <charset val="1"/>
      </rPr>
      <t xml:space="preserve">2026-02-12</t>
    </r>
    <r>
      <rPr>
        <sz val="9"/>
        <color rgb="FF595959"/>
        <rFont val="Noto Sans CJK SC"/>
        <family val="2"/>
      </rPr>
      <t xml:space="preserve">～</t>
    </r>
    <r>
      <rPr>
        <sz val="9"/>
        <color rgb="FF595959"/>
        <rFont val="Arial"/>
        <family val="0"/>
        <charset val="1"/>
      </rPr>
      <t xml:space="preserve">04-06 ÷ 181 </t>
    </r>
    <r>
      <rPr>
        <sz val="9"/>
        <color rgb="FF595959"/>
        <rFont val="Noto Sans CJK SC"/>
        <family val="2"/>
      </rPr>
      <t xml:space="preserve">天</t>
    </r>
  </si>
  <si>
    <t xml:space="preserve">R03</t>
  </si>
  <si>
    <r>
      <rPr>
        <sz val="10"/>
        <color rgb="FF000000"/>
        <rFont val="Arial"/>
        <family val="0"/>
        <charset val="1"/>
      </rPr>
      <t xml:space="preserve">1H26 GLM-5.1 </t>
    </r>
    <r>
      <rPr>
        <sz val="10"/>
        <color rgb="FF000000"/>
        <rFont val="Noto Sans CJK SC"/>
        <family val="2"/>
      </rPr>
      <t xml:space="preserve">期間占比（＝</t>
    </r>
    <r>
      <rPr>
        <sz val="10"/>
        <color rgb="FF000000"/>
        <rFont val="Arial"/>
        <family val="0"/>
        <charset val="1"/>
      </rPr>
      <t xml:space="preserve">1 − </t>
    </r>
    <r>
      <rPr>
        <sz val="10"/>
        <color rgb="FF000000"/>
        <rFont val="Noto Sans CJK SC"/>
        <family val="2"/>
      </rPr>
      <t xml:space="preserve">前兩者）</t>
    </r>
  </si>
  <si>
    <r>
      <rPr>
        <sz val="9"/>
        <color rgb="FF595959"/>
        <rFont val="Arial"/>
        <family val="0"/>
        <charset val="1"/>
      </rPr>
      <t xml:space="preserve">2026-04-07</t>
    </r>
    <r>
      <rPr>
        <sz val="9"/>
        <color rgb="FF595959"/>
        <rFont val="Noto Sans CJK SC"/>
        <family val="2"/>
      </rPr>
      <t xml:space="preserve">～</t>
    </r>
    <r>
      <rPr>
        <sz val="9"/>
        <color rgb="FF595959"/>
        <rFont val="Arial"/>
        <family val="0"/>
        <charset val="1"/>
      </rPr>
      <t xml:space="preserve">06-30</t>
    </r>
    <r>
      <rPr>
        <sz val="9"/>
        <color rgb="FF595959"/>
        <rFont val="Noto Sans CJK SC"/>
        <family val="2"/>
      </rPr>
      <t xml:space="preserve">（</t>
    </r>
    <r>
      <rPr>
        <sz val="9"/>
        <color rgb="FF595959"/>
        <rFont val="Arial"/>
        <family val="0"/>
        <charset val="1"/>
      </rPr>
      <t xml:space="preserve">GLM-5.2 </t>
    </r>
    <r>
      <rPr>
        <sz val="9"/>
        <color rgb="FF595959"/>
        <rFont val="Noto Sans CJK SC"/>
        <family val="2"/>
      </rPr>
      <t xml:space="preserve">於 </t>
    </r>
    <r>
      <rPr>
        <sz val="9"/>
        <color rgb="FF595959"/>
        <rFont val="Arial"/>
        <family val="0"/>
        <charset val="1"/>
      </rPr>
      <t xml:space="preserve">06-16 </t>
    </r>
    <r>
      <rPr>
        <sz val="9"/>
        <color rgb="FF595959"/>
        <rFont val="Noto Sans CJK SC"/>
        <family val="2"/>
      </rPr>
      <t xml:space="preserve">發布，牌價同 </t>
    </r>
    <r>
      <rPr>
        <sz val="9"/>
        <color rgb="FF595959"/>
        <rFont val="Arial"/>
        <family val="0"/>
        <charset val="1"/>
      </rPr>
      <t xml:space="preserve">GLM-5.1 ≥32K </t>
    </r>
    <r>
      <rPr>
        <sz val="9"/>
        <color rgb="FF595959"/>
        <rFont val="Noto Sans CJK SC"/>
        <family val="2"/>
      </rPr>
      <t xml:space="preserve">檔）</t>
    </r>
  </si>
  <si>
    <t xml:space="preserve">R04</t>
  </si>
  <si>
    <r>
      <rPr>
        <sz val="10"/>
        <color rgb="FF000000"/>
        <rFont val="Arial"/>
        <family val="0"/>
        <charset val="1"/>
      </rPr>
      <t xml:space="preserve">2H26 GLM-5.3-Flash </t>
    </r>
    <r>
      <rPr>
        <sz val="10"/>
        <color rgb="FF000000"/>
        <rFont val="Noto Sans CJK SC"/>
        <family val="2"/>
      </rPr>
      <t xml:space="preserve">期間占比（</t>
    </r>
    <r>
      <rPr>
        <sz val="10"/>
        <color rgb="FF000000"/>
        <rFont val="Arial"/>
        <family val="0"/>
        <charset val="1"/>
      </rPr>
      <t xml:space="preserve">Luna</t>
    </r>
    <r>
      <rPr>
        <sz val="10"/>
        <color rgb="FF000000"/>
        <rFont val="Noto Sans CJK SC"/>
        <family val="2"/>
      </rPr>
      <t xml:space="preserve">）</t>
    </r>
  </si>
  <si>
    <r>
      <rPr>
        <sz val="9"/>
        <color rgb="FF595959"/>
        <rFont val="Arial"/>
        <family val="0"/>
        <charset val="1"/>
      </rPr>
      <t xml:space="preserve">2026-08-26</t>
    </r>
    <r>
      <rPr>
        <sz val="9"/>
        <color rgb="FF595959"/>
        <rFont val="Noto Sans CJK SC"/>
        <family val="2"/>
      </rPr>
      <t xml:space="preserve">～</t>
    </r>
    <r>
      <rPr>
        <sz val="9"/>
        <color rgb="FF595959"/>
        <rFont val="Arial"/>
        <family val="0"/>
        <charset val="1"/>
      </rPr>
      <t xml:space="preserve">12-31 ÷ 184 </t>
    </r>
    <r>
      <rPr>
        <sz val="9"/>
        <color rgb="FF595959"/>
        <rFont val="Noto Sans CJK SC"/>
        <family val="2"/>
      </rPr>
      <t xml:space="preserve">天；之前 </t>
    </r>
    <r>
      <rPr>
        <sz val="9"/>
        <color rgb="FF595959"/>
        <rFont val="Arial"/>
        <family val="0"/>
        <charset val="1"/>
      </rPr>
      <t xml:space="preserve">Luna </t>
    </r>
    <r>
      <rPr>
        <sz val="9"/>
        <color rgb="FF595959"/>
        <rFont val="Noto Sans CJK SC"/>
        <family val="2"/>
      </rPr>
      <t xml:space="preserve">以 </t>
    </r>
    <r>
      <rPr>
        <sz val="9"/>
        <color rgb="FF595959"/>
        <rFont val="Arial"/>
        <family val="0"/>
        <charset val="1"/>
      </rPr>
      <t xml:space="preserve">GLM-4.5-Air </t>
    </r>
    <r>
      <rPr>
        <sz val="9"/>
        <color rgb="FF595959"/>
        <rFont val="Noto Sans CJK SC"/>
        <family val="2"/>
      </rPr>
      <t xml:space="preserve">計</t>
    </r>
  </si>
  <si>
    <r>
      <rPr>
        <b val="true"/>
        <sz val="10"/>
        <rFont val="Noto Sans CJK SC"/>
        <family val="2"/>
      </rPr>
      <t xml:space="preserve">二、</t>
    </r>
    <r>
      <rPr>
        <b val="true"/>
        <sz val="10"/>
        <rFont val="Arial"/>
        <family val="0"/>
        <charset val="1"/>
      </rPr>
      <t xml:space="preserve">API </t>
    </r>
    <r>
      <rPr>
        <b val="true"/>
        <sz val="10"/>
        <rFont val="Noto Sans CJK SC"/>
        <family val="2"/>
      </rPr>
      <t xml:space="preserve">牌價（元／百萬 </t>
    </r>
    <r>
      <rPr>
        <b val="true"/>
        <sz val="10"/>
        <rFont val="Arial"/>
        <family val="0"/>
        <charset val="1"/>
      </rPr>
      <t xml:space="preserve">token</t>
    </r>
    <r>
      <rPr>
        <b val="true"/>
        <sz val="10"/>
        <rFont val="Noto Sans CJK SC"/>
        <family val="2"/>
      </rPr>
      <t xml:space="preserve">；層級 </t>
    </r>
    <r>
      <rPr>
        <b val="true"/>
        <sz val="10"/>
        <rFont val="Arial"/>
        <family val="0"/>
        <charset val="1"/>
      </rPr>
      <t xml:space="preserve">× </t>
    </r>
    <r>
      <rPr>
        <b val="true"/>
        <sz val="10"/>
        <rFont val="Noto Sans CJK SC"/>
        <family val="2"/>
      </rPr>
      <t xml:space="preserve">輸入／快取／輸出）</t>
    </r>
  </si>
  <si>
    <t xml:space="preserve">R05</t>
  </si>
  <si>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 輸入牌價</t>
    </r>
  </si>
  <si>
    <r>
      <rPr>
        <sz val="10"/>
        <color rgb="FF000000"/>
        <rFont val="Noto Sans CJK SC"/>
        <family val="2"/>
      </rPr>
      <t xml:space="preserve">元／</t>
    </r>
    <r>
      <rPr>
        <sz val="10"/>
        <color rgb="FF000000"/>
        <rFont val="Arial"/>
        <family val="0"/>
        <charset val="1"/>
      </rPr>
      <t xml:space="preserve">M</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</si>
  <si>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GLM-4.7</t>
    </r>
    <r>
      <rPr>
        <sz val="9"/>
        <color rgb="FF595959"/>
        <rFont val="Noto Sans CJK SC"/>
        <family val="2"/>
      </rPr>
      <t xml:space="preserve">（</t>
    </r>
    <r>
      <rPr>
        <sz val="9"/>
        <color rgb="FF595959"/>
        <rFont val="Arial"/>
        <family val="0"/>
        <charset val="1"/>
      </rPr>
      <t xml:space="preserve">&lt;32K </t>
    </r>
    <r>
      <rPr>
        <sz val="9"/>
        <color rgb="FF595959"/>
        <rFont val="Noto Sans CJK SC"/>
        <family val="2"/>
      </rPr>
      <t xml:space="preserve">且輸出 ≥</t>
    </r>
    <r>
      <rPr>
        <sz val="9"/>
        <color rgb="FF595959"/>
        <rFont val="Arial"/>
        <family val="0"/>
        <charset val="1"/>
      </rPr>
      <t xml:space="preserve">0.2K </t>
    </r>
    <r>
      <rPr>
        <sz val="9"/>
        <color rgb="FF595959"/>
        <rFont val="Noto Sans CJK SC"/>
        <family val="2"/>
      </rPr>
      <t xml:space="preserve">檔 與 </t>
    </r>
    <r>
      <rPr>
        <sz val="9"/>
        <color rgb="FF595959"/>
        <rFont val="Arial"/>
        <family val="0"/>
        <charset val="1"/>
      </rPr>
      <t xml:space="preserve">32K–200K </t>
    </r>
    <r>
      <rPr>
        <sz val="9"/>
        <color rgb="FF595959"/>
        <rFont val="Noto Sans CJK SC"/>
        <family val="2"/>
      </rPr>
      <t xml:space="preserve">檔，依長上下文占比混合）；</t>
    </r>
    <r>
      <rPr>
        <sz val="9"/>
        <color rgb="FF595959"/>
        <rFont val="Arial"/>
        <family val="0"/>
        <charset val="1"/>
      </rPr>
      <t xml:space="preserve">1H26</t>
    </r>
    <r>
      <rPr>
        <sz val="9"/>
        <color rgb="FF595959"/>
        <rFont val="Noto Sans CJK SC"/>
        <family val="2"/>
      </rPr>
      <t xml:space="preserve">：期間加權 </t>
    </r>
    <r>
      <rPr>
        <sz val="9"/>
        <color rgb="FF595959"/>
        <rFont val="Arial"/>
        <family val="0"/>
        <charset val="1"/>
      </rPr>
      <t xml:space="preserve">GLM-4.7</t>
    </r>
    <r>
      <rPr>
        <sz val="9"/>
        <color rgb="FF595959"/>
        <rFont val="Noto Sans CJK SC"/>
        <family val="2"/>
      </rPr>
      <t xml:space="preserve">／</t>
    </r>
    <r>
      <rPr>
        <sz val="9"/>
        <color rgb="FF595959"/>
        <rFont val="Arial"/>
        <family val="0"/>
        <charset val="1"/>
      </rPr>
      <t xml:space="preserve">GLM-5</t>
    </r>
    <r>
      <rPr>
        <sz val="9"/>
        <color rgb="FF595959"/>
        <rFont val="Noto Sans CJK SC"/>
        <family val="2"/>
      </rPr>
      <t xml:space="preserve">／</t>
    </r>
    <r>
      <rPr>
        <sz val="9"/>
        <color rgb="FF595959"/>
        <rFont val="Arial"/>
        <family val="0"/>
        <charset val="1"/>
      </rPr>
      <t xml:space="preserve">GLM-5.1</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GLM-5.2</t>
    </r>
    <r>
      <rPr>
        <sz val="9"/>
        <color rgb="FF595959"/>
        <rFont val="Noto Sans CJK SC"/>
        <family val="2"/>
      </rPr>
      <t xml:space="preserve">／</t>
    </r>
    <r>
      <rPr>
        <sz val="9"/>
        <color rgb="FF595959"/>
        <rFont val="Arial"/>
        <family val="0"/>
        <charset val="1"/>
      </rPr>
      <t xml:space="preserve">5.3 1M </t>
    </r>
    <r>
      <rPr>
        <sz val="9"/>
        <color rgb="FF595959"/>
        <rFont val="Noto Sans CJK SC"/>
        <family val="2"/>
      </rPr>
      <t xml:space="preserve">全量；</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t>
    </r>
    <r>
      <rPr>
        <sz val="9"/>
        <color rgb="FF595959"/>
        <rFont val="Arial"/>
        <family val="0"/>
        <charset val="1"/>
      </rPr>
      <t xml:space="preserve">2026 </t>
    </r>
    <r>
      <rPr>
        <sz val="9"/>
        <color rgb="FF595959"/>
        <rFont val="Noto Sans CJK SC"/>
        <family val="2"/>
      </rPr>
      <t xml:space="preserve">欄為兩個半年的平均（顯示用）</t>
    </r>
  </si>
  <si>
    <t xml:space="preserve">R06</t>
  </si>
  <si>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 快取命中輸入牌價</t>
    </r>
  </si>
  <si>
    <t xml:space="preserve">R07</t>
  </si>
  <si>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 輸出牌價</t>
    </r>
  </si>
  <si>
    <t xml:space="preserve">R08</t>
  </si>
  <si>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 輸入牌價</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</si>
  <si>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GLM-4.5-Air</t>
    </r>
    <r>
      <rPr>
        <sz val="9"/>
        <color rgb="FF595959"/>
        <rFont val="Noto Sans CJK SC"/>
        <family val="2"/>
      </rPr>
      <t xml:space="preserve">（</t>
    </r>
    <r>
      <rPr>
        <sz val="9"/>
        <color rgb="FF595959"/>
        <rFont val="Arial"/>
        <family val="0"/>
        <charset val="1"/>
      </rPr>
      <t xml:space="preserve">&lt;32K </t>
    </r>
    <r>
      <rPr>
        <sz val="9"/>
        <color rgb="FF595959"/>
        <rFont val="Noto Sans CJK SC"/>
        <family val="2"/>
      </rPr>
      <t xml:space="preserve">且輸出 ≥</t>
    </r>
    <r>
      <rPr>
        <sz val="9"/>
        <color rgb="FF595959"/>
        <rFont val="Arial"/>
        <family val="0"/>
        <charset val="1"/>
      </rPr>
      <t xml:space="preserve">0.2K </t>
    </r>
    <r>
      <rPr>
        <sz val="9"/>
        <color rgb="FF595959"/>
        <rFont val="Noto Sans CJK SC"/>
        <family val="2"/>
      </rPr>
      <t xml:space="preserve">檔 與 </t>
    </r>
    <r>
      <rPr>
        <sz val="9"/>
        <color rgb="FF595959"/>
        <rFont val="Arial"/>
        <family val="0"/>
        <charset val="1"/>
      </rPr>
      <t xml:space="preserve">32K–128K </t>
    </r>
    <r>
      <rPr>
        <sz val="9"/>
        <color rgb="FF595959"/>
        <rFont val="Noto Sans CJK SC"/>
        <family val="2"/>
      </rPr>
      <t xml:space="preserve">檔混合）；</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GLM-4.5-Air </t>
    </r>
    <r>
      <rPr>
        <sz val="9"/>
        <color rgb="FF595959"/>
        <rFont val="Noto Sans CJK SC"/>
        <family val="2"/>
      </rPr>
      <t xml:space="preserve">與 </t>
    </r>
    <r>
      <rPr>
        <sz val="9"/>
        <color rgb="FF595959"/>
        <rFont val="Arial"/>
        <family val="0"/>
        <charset val="1"/>
      </rPr>
      <t xml:space="preserve">GLM-5.3-Flash</t>
    </r>
    <r>
      <rPr>
        <sz val="9"/>
        <color rgb="FF595959"/>
        <rFont val="Noto Sans CJK SC"/>
        <family val="2"/>
      </rPr>
      <t xml:space="preserve">（</t>
    </r>
    <r>
      <rPr>
        <sz val="9"/>
        <color rgb="FF595959"/>
        <rFont val="Arial"/>
        <family val="0"/>
        <charset val="1"/>
      </rPr>
      <t xml:space="preserve">08-26 </t>
    </r>
    <r>
      <rPr>
        <sz val="9"/>
        <color rgb="FF595959"/>
        <rFont val="Noto Sans CJK SC"/>
        <family val="2"/>
      </rPr>
      <t xml:space="preserve">起）期間加權；</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t>
    </r>
  </si>
  <si>
    <t xml:space="preserve">R09</t>
  </si>
  <si>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 快取命中輸入牌價</t>
    </r>
  </si>
  <si>
    <t xml:space="preserve">R10</t>
  </si>
  <si>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 輸出牌價</t>
    </r>
  </si>
  <si>
    <r>
      <rPr>
        <b val="true"/>
        <sz val="10"/>
        <rFont val="Noto Sans CJK SC"/>
        <family val="2"/>
      </rPr>
      <t xml:space="preserve">三、有效單價（元／百萬 </t>
    </r>
    <r>
      <rPr>
        <b val="true"/>
        <sz val="10"/>
        <rFont val="Arial"/>
        <family val="0"/>
        <charset val="1"/>
      </rPr>
      <t xml:space="preserve">token</t>
    </r>
    <r>
      <rPr>
        <b val="true"/>
        <sz val="10"/>
        <rFont val="Noto Sans CJK SC"/>
        <family val="2"/>
      </rPr>
      <t xml:space="preserve">；含快取、輸出占比、折扣與免費額度）</t>
    </r>
  </si>
  <si>
    <t xml:space="preserve">R11</t>
  </si>
  <si>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 有效單價</t>
    </r>
  </si>
  <si>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快取命中</t>
    </r>
    <r>
      <rPr>
        <sz val="9"/>
        <color rgb="FF595959"/>
        <rFont val="Arial"/>
        <family val="0"/>
        <charset val="1"/>
      </rPr>
      <t xml:space="preserve">×</t>
    </r>
    <r>
      <rPr>
        <sz val="9"/>
        <color rgb="FF595959"/>
        <rFont val="Noto Sans CJK SC"/>
        <family val="2"/>
      </rPr>
      <t xml:space="preserve">快取價＋</t>
    </r>
    <r>
      <rPr>
        <sz val="9"/>
        <color rgb="FF595959"/>
        <rFont val="Arial"/>
        <family val="0"/>
        <charset val="1"/>
      </rPr>
      <t xml:space="preserve">(1−</t>
    </r>
    <r>
      <rPr>
        <sz val="9"/>
        <color rgb="FF595959"/>
        <rFont val="Noto Sans CJK SC"/>
        <family val="2"/>
      </rPr>
      <t xml:space="preserve">快取命中</t>
    </r>
    <r>
      <rPr>
        <sz val="9"/>
        <color rgb="FF595959"/>
        <rFont val="Arial"/>
        <family val="0"/>
        <charset val="1"/>
      </rPr>
      <t xml:space="preserve">)×</t>
    </r>
    <r>
      <rPr>
        <sz val="9"/>
        <color rgb="FF595959"/>
        <rFont val="Noto Sans CJK SC"/>
        <family val="2"/>
      </rPr>
      <t xml:space="preserve">輸入價</t>
    </r>
    <r>
      <rPr>
        <sz val="9"/>
        <color rgb="FF595959"/>
        <rFont val="Arial"/>
        <family val="0"/>
        <charset val="1"/>
      </rPr>
      <t xml:space="preserve">)</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輸出價］</t>
    </r>
    <r>
      <rPr>
        <sz val="9"/>
        <color rgb="FF595959"/>
        <rFont val="Arial"/>
        <family val="0"/>
        <charset val="1"/>
      </rPr>
      <t xml:space="preserve">×(1−</t>
    </r>
    <r>
      <rPr>
        <sz val="9"/>
        <color rgb="FF595959"/>
        <rFont val="Noto Sans CJK SC"/>
        <family val="2"/>
      </rPr>
      <t xml:space="preserve">折扣與免費額度</t>
    </r>
    <r>
      <rPr>
        <sz val="9"/>
        <color rgb="FF595959"/>
        <rFont val="Arial"/>
        <family val="0"/>
        <charset val="1"/>
      </rPr>
      <t xml:space="preserve">)</t>
    </r>
  </si>
  <si>
    <t xml:space="preserve">R12</t>
  </si>
  <si>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 有效單價</t>
    </r>
  </si>
  <si>
    <t xml:space="preserve">R13</t>
  </si>
  <si>
    <r>
      <rPr>
        <sz val="10"/>
        <color rgb="FF000000"/>
        <rFont val="Noto Sans CJK SC"/>
        <family val="2"/>
      </rPr>
      <t xml:space="preserve">付費 </t>
    </r>
    <r>
      <rPr>
        <sz val="10"/>
        <color rgb="FF000000"/>
        <rFont val="Arial"/>
        <family val="0"/>
        <charset val="1"/>
      </rPr>
      <t xml:space="preserve">API token </t>
    </r>
    <r>
      <rPr>
        <sz val="10"/>
        <color rgb="FF000000"/>
        <rFont val="Noto Sans CJK SC"/>
        <family val="2"/>
      </rPr>
      <t xml:space="preserve">組合：</t>
    </r>
    <r>
      <rPr>
        <sz val="10"/>
        <color rgb="FF000000"/>
        <rFont val="Arial"/>
        <family val="0"/>
        <charset val="1"/>
      </rPr>
      <t xml:space="preserve">Sol</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</si>
  <si>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t>
    </r>
  </si>
  <si>
    <t xml:space="preserve">R14</t>
  </si>
  <si>
    <r>
      <rPr>
        <sz val="10"/>
        <color rgb="FF000000"/>
        <rFont val="Noto Sans CJK SC"/>
        <family val="2"/>
      </rPr>
      <t xml:space="preserve">付費 </t>
    </r>
    <r>
      <rPr>
        <sz val="10"/>
        <color rgb="FF000000"/>
        <rFont val="Arial"/>
        <family val="0"/>
        <charset val="1"/>
      </rPr>
      <t xml:space="preserve">API token </t>
    </r>
    <r>
      <rPr>
        <sz val="10"/>
        <color rgb="FF000000"/>
        <rFont val="Noto Sans CJK SC"/>
        <family val="2"/>
      </rPr>
      <t xml:space="preserve">組合：</t>
    </r>
    <r>
      <rPr>
        <sz val="10"/>
        <color rgb="FF000000"/>
        <rFont val="Arial"/>
        <family val="0"/>
        <charset val="1"/>
      </rPr>
      <t xml:space="preserve">Luna</t>
    </r>
  </si>
  <si>
    <r>
      <rPr>
        <sz val="9"/>
        <color rgb="FF595959"/>
        <rFont val="Noto Sans CJK SC"/>
        <family val="2"/>
      </rPr>
      <t xml:space="preserve">＝</t>
    </r>
    <r>
      <rPr>
        <sz val="9"/>
        <color rgb="FF595959"/>
        <rFont val="Arial"/>
        <family val="0"/>
        <charset val="1"/>
      </rPr>
      <t xml:space="preserve">1 − Sol</t>
    </r>
    <r>
      <rPr>
        <sz val="9"/>
        <color rgb="FF595959"/>
        <rFont val="Noto Sans CJK SC"/>
        <family val="2"/>
      </rPr>
      <t xml:space="preserve">（</t>
    </r>
    <r>
      <rPr>
        <sz val="9"/>
        <color rgb="FF595959"/>
        <rFont val="Arial"/>
        <family val="0"/>
        <charset val="1"/>
      </rPr>
      <t xml:space="preserve">D24</t>
    </r>
    <r>
      <rPr>
        <sz val="9"/>
        <color rgb="FF595959"/>
        <rFont val="Noto Sans CJK SC"/>
        <family val="2"/>
      </rPr>
      <t xml:space="preserve">：無 </t>
    </r>
    <r>
      <rPr>
        <sz val="9"/>
        <color rgb="FF595959"/>
        <rFont val="Arial"/>
        <family val="0"/>
        <charset val="1"/>
      </rPr>
      <t xml:space="preserve">Astra </t>
    </r>
    <r>
      <rPr>
        <sz val="9"/>
        <color rgb="FF595959"/>
        <rFont val="Noto Sans CJK SC"/>
        <family val="2"/>
      </rPr>
      <t xml:space="preserve">級）</t>
    </r>
  </si>
  <si>
    <t xml:space="preserve">R15</t>
  </si>
  <si>
    <t xml:space="preserve">組合有效單價</t>
  </si>
  <si>
    <r>
      <rPr>
        <sz val="9"/>
        <color rgb="FF595959"/>
        <rFont val="Arial"/>
        <family val="0"/>
        <charset val="1"/>
      </rPr>
      <t xml:space="preserve">Σ </t>
    </r>
    <r>
      <rPr>
        <sz val="9"/>
        <color rgb="FF595959"/>
        <rFont val="Noto Sans CJK SC"/>
        <family val="2"/>
      </rPr>
      <t xml:space="preserve">層級組合 </t>
    </r>
    <r>
      <rPr>
        <sz val="9"/>
        <color rgb="FF595959"/>
        <rFont val="Arial"/>
        <family val="0"/>
        <charset val="1"/>
      </rPr>
      <t xml:space="preserve">× </t>
    </r>
    <r>
      <rPr>
        <sz val="9"/>
        <color rgb="FF595959"/>
        <rFont val="Noto Sans CJK SC"/>
        <family val="2"/>
      </rPr>
      <t xml:space="preserve">有效單價；</t>
    </r>
    <r>
      <rPr>
        <sz val="9"/>
        <color rgb="FF595959"/>
        <rFont val="Arial"/>
        <family val="0"/>
        <charset val="1"/>
      </rPr>
      <t xml:space="preserve">2026 </t>
    </r>
    <r>
      <rPr>
        <sz val="9"/>
        <color rgb="FF595959"/>
        <rFont val="Noto Sans CJK SC"/>
        <family val="2"/>
      </rPr>
      <t xml:space="preserve">欄＝全年按量計費營收 </t>
    </r>
    <r>
      <rPr>
        <sz val="9"/>
        <color rgb="FF595959"/>
        <rFont val="Arial"/>
        <family val="0"/>
        <charset val="1"/>
      </rPr>
      <t xml:space="preserve">÷ </t>
    </r>
    <r>
      <rPr>
        <sz val="9"/>
        <color rgb="FF595959"/>
        <rFont val="Noto Sans CJK SC"/>
        <family val="2"/>
      </rPr>
      <t xml:space="preserve">全年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token </t>
    </r>
    <r>
      <rPr>
        <sz val="9"/>
        <color rgb="FF595959"/>
        <rFont val="Noto Sans CJK SC"/>
        <family val="2"/>
      </rPr>
      <t xml:space="preserve">加權）</t>
    </r>
  </si>
  <si>
    <r>
      <rPr>
        <b val="true"/>
        <sz val="10"/>
        <rFont val="Noto Sans CJK SC"/>
        <family val="2"/>
      </rPr>
      <t xml:space="preserve">四、</t>
    </r>
    <r>
      <rPr>
        <b val="true"/>
        <sz val="10"/>
        <rFont val="Arial"/>
        <family val="0"/>
        <charset val="1"/>
      </rPr>
      <t xml:space="preserve">GLM Coding Plan </t>
    </r>
    <r>
      <rPr>
        <b val="true"/>
        <sz val="10"/>
        <rFont val="Noto Sans CJK SC"/>
        <family val="2"/>
      </rPr>
      <t xml:space="preserve">方案價格（元／月／訂閱者）</t>
    </r>
  </si>
  <si>
    <t xml:space="preserve">R16</t>
  </si>
  <si>
    <r>
      <rPr>
        <sz val="10"/>
        <color rgb="FF000000"/>
        <rFont val="Arial"/>
        <family val="0"/>
        <charset val="1"/>
      </rPr>
      <t xml:space="preserve">Lite </t>
    </r>
    <r>
      <rPr>
        <sz val="10"/>
        <color rgb="FF000000"/>
        <rFont val="Noto Sans CJK SC"/>
        <family val="2"/>
      </rPr>
      <t xml:space="preserve">國內月付牌價</t>
    </r>
  </si>
  <si>
    <t xml:space="preserve">元／月</t>
  </si>
  <si>
    <r>
      <rPr>
        <sz val="9"/>
        <color rgb="FF595959"/>
        <rFont val="Arial"/>
        <family val="0"/>
        <charset val="1"/>
      </rPr>
      <t xml:space="preserve">2026-02-12 </t>
    </r>
    <r>
      <rPr>
        <sz val="9"/>
        <color rgb="FF595959"/>
        <rFont val="Noto Sans CJK SC"/>
        <family val="2"/>
      </rPr>
      <t xml:space="preserve">漲價後（</t>
    </r>
    <r>
      <rPr>
        <sz val="9"/>
        <color rgb="FF595959"/>
        <rFont val="Arial"/>
        <family val="0"/>
        <charset val="1"/>
      </rPr>
      <t xml:space="preserve">SRC_ZP_356</t>
    </r>
    <r>
      <rPr>
        <sz val="9"/>
        <color rgb="FF595959"/>
        <rFont val="Noto Sans CJK SC"/>
        <family val="2"/>
      </rPr>
      <t xml:space="preserve">／</t>
    </r>
    <r>
      <rPr>
        <sz val="9"/>
        <color rgb="FF595959"/>
        <rFont val="Arial"/>
        <family val="0"/>
        <charset val="1"/>
      </rPr>
      <t xml:space="preserve">359</t>
    </r>
    <r>
      <rPr>
        <sz val="9"/>
        <color rgb="FF595959"/>
        <rFont val="Noto Sans CJK SC"/>
        <family val="2"/>
      </rPr>
      <t xml:space="preserve">／</t>
    </r>
    <r>
      <rPr>
        <sz val="9"/>
        <color rgb="FF595959"/>
        <rFont val="Arial"/>
        <family val="0"/>
        <charset val="1"/>
      </rPr>
      <t xml:space="preserve">362</t>
    </r>
    <r>
      <rPr>
        <sz val="9"/>
        <color rgb="FF595959"/>
        <rFont val="Noto Sans CJK SC"/>
        <family val="2"/>
      </rPr>
      <t xml:space="preserve">）</t>
    </r>
  </si>
  <si>
    <t xml:space="preserve">R17</t>
  </si>
  <si>
    <r>
      <rPr>
        <sz val="10"/>
        <color rgb="FF000000"/>
        <rFont val="Arial"/>
        <family val="0"/>
        <charset val="1"/>
      </rPr>
      <t xml:space="preserve">Lite </t>
    </r>
    <r>
      <rPr>
        <sz val="10"/>
        <color rgb="FF000000"/>
        <rFont val="Noto Sans CJK SC"/>
        <family val="2"/>
      </rPr>
      <t xml:space="preserve">國際站月價（換人民幣）</t>
    </r>
  </si>
  <si>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2026-02</t>
    </r>
    <r>
      <rPr>
        <sz val="9"/>
        <color rgb="FF595959"/>
        <rFont val="Noto Sans CJK SC"/>
        <family val="2"/>
      </rPr>
      <t xml:space="preserve">～</t>
    </r>
    <r>
      <rPr>
        <sz val="9"/>
        <color rgb="FF595959"/>
        <rFont val="Arial"/>
        <family val="0"/>
        <charset val="1"/>
      </rPr>
      <t xml:space="preserve">07 </t>
    </r>
    <r>
      <rPr>
        <sz val="9"/>
        <color rgb="FF595959"/>
        <rFont val="Noto Sans CJK SC"/>
        <family val="2"/>
      </rPr>
      <t xml:space="preserve">季付價 </t>
    </r>
    <r>
      <rPr>
        <sz val="9"/>
        <color rgb="FF595959"/>
        <rFont val="Arial"/>
        <family val="0"/>
        <charset val="1"/>
      </rPr>
      <t xml:space="preserve">÷ 3</t>
    </r>
    <r>
      <rPr>
        <sz val="9"/>
        <color rgb="FF595959"/>
        <rFont val="Noto Sans CJK SC"/>
        <family val="2"/>
      </rPr>
      <t xml:space="preserve">（</t>
    </r>
    <r>
      <rPr>
        <sz val="9"/>
        <color rgb="FF595959"/>
        <rFont val="Arial"/>
        <family val="0"/>
        <charset val="1"/>
      </rPr>
      <t xml:space="preserve">SRC_ZP_373–375</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2026-07 </t>
    </r>
    <r>
      <rPr>
        <sz val="9"/>
        <color rgb="FF595959"/>
        <rFont val="Noto Sans CJK SC"/>
        <family val="2"/>
      </rPr>
      <t xml:space="preserve">起牌價（</t>
    </r>
    <r>
      <rPr>
        <sz val="9"/>
        <color rgb="FF595959"/>
        <rFont val="Arial"/>
        <family val="0"/>
        <charset val="1"/>
      </rPr>
      <t xml:space="preserve">SRC_ZP_367</t>
    </r>
    <r>
      <rPr>
        <sz val="9"/>
        <color rgb="FF595959"/>
        <rFont val="Noto Sans CJK SC"/>
        <family val="2"/>
      </rPr>
      <t xml:space="preserve">／</t>
    </r>
    <r>
      <rPr>
        <sz val="9"/>
        <color rgb="FF595959"/>
        <rFont val="Arial"/>
        <family val="0"/>
        <charset val="1"/>
      </rPr>
      <t xml:space="preserve">369</t>
    </r>
    <r>
      <rPr>
        <sz val="9"/>
        <color rgb="FF595959"/>
        <rFont val="Noto Sans CJK SC"/>
        <family val="2"/>
      </rPr>
      <t xml:space="preserve">／</t>
    </r>
    <r>
      <rPr>
        <sz val="9"/>
        <color rgb="FF595959"/>
        <rFont val="Arial"/>
        <family val="0"/>
        <charset val="1"/>
      </rPr>
      <t xml:space="preserve">371</t>
    </r>
    <r>
      <rPr>
        <sz val="9"/>
        <color rgb="FF595959"/>
        <rFont val="Noto Sans CJK SC"/>
        <family val="2"/>
      </rPr>
      <t xml:space="preserve">）；</t>
    </r>
    <r>
      <rPr>
        <sz val="9"/>
        <color rgb="FF595959"/>
        <rFont val="Arial"/>
        <family val="0"/>
        <charset val="1"/>
      </rPr>
      <t xml:space="preserve">× USD/CNY</t>
    </r>
  </si>
  <si>
    <t xml:space="preserve">R18</t>
  </si>
  <si>
    <r>
      <rPr>
        <sz val="10"/>
        <color rgb="FF000000"/>
        <rFont val="Arial"/>
        <family val="0"/>
        <charset val="1"/>
      </rPr>
      <t xml:space="preserve">Lite </t>
    </r>
    <r>
      <rPr>
        <sz val="10"/>
        <color rgb="FF000000"/>
        <rFont val="Noto Sans CJK SC"/>
        <family val="2"/>
      </rPr>
      <t xml:space="preserve">有效月價（實收）</t>
    </r>
  </si>
  <si>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國際占比</t>
    </r>
    <r>
      <rPr>
        <sz val="9"/>
        <color rgb="FF595959"/>
        <rFont val="Arial"/>
        <family val="0"/>
        <charset val="1"/>
      </rPr>
      <t xml:space="preserve">)×</t>
    </r>
    <r>
      <rPr>
        <sz val="9"/>
        <color rgb="FF595959"/>
        <rFont val="Noto Sans CJK SC"/>
        <family val="2"/>
      </rPr>
      <t xml:space="preserve">國內＋國際占比</t>
    </r>
    <r>
      <rPr>
        <sz val="9"/>
        <color rgb="FF595959"/>
        <rFont val="Arial"/>
        <family val="0"/>
        <charset val="1"/>
      </rPr>
      <t xml:space="preserve">×</t>
    </r>
    <r>
      <rPr>
        <sz val="9"/>
        <color rgb="FF595959"/>
        <rFont val="Noto Sans CJK SC"/>
        <family val="2"/>
      </rPr>
      <t xml:space="preserve">國際］</t>
    </r>
    <r>
      <rPr>
        <sz val="9"/>
        <color rgb="FF595959"/>
        <rFont val="Arial"/>
        <family val="0"/>
        <charset val="1"/>
      </rPr>
      <t xml:space="preserve">×(1−</t>
    </r>
    <r>
      <rPr>
        <sz val="9"/>
        <color rgb="FF595959"/>
        <rFont val="Noto Sans CJK SC"/>
        <family val="2"/>
      </rPr>
      <t xml:space="preserve">季／年付折扣</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2026-02 </t>
    </r>
    <r>
      <rPr>
        <sz val="9"/>
        <color rgb="FF595959"/>
        <rFont val="Noto Sans CJK SC"/>
        <family val="2"/>
      </rPr>
      <t xml:space="preserve">漲價 </t>
    </r>
    <r>
      <rPr>
        <sz val="9"/>
        <color rgb="FF595959"/>
        <rFont val="Arial"/>
        <family val="0"/>
        <charset val="1"/>
      </rPr>
      <t xml:space="preserve">30%</t>
    </r>
    <r>
      <rPr>
        <sz val="9"/>
        <color rgb="FF595959"/>
        <rFont val="Noto Sans CJK SC"/>
        <family val="2"/>
      </rPr>
      <t xml:space="preserve">，</t>
    </r>
    <r>
      <rPr>
        <sz val="9"/>
        <color rgb="FF595959"/>
        <rFont val="Arial"/>
        <family val="0"/>
        <charset val="1"/>
      </rPr>
      <t xml:space="preserve">SRC_ZP_350</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t>
    </r>
  </si>
  <si>
    <t xml:space="preserve">R19</t>
  </si>
  <si>
    <r>
      <rPr>
        <sz val="10"/>
        <color rgb="FF000000"/>
        <rFont val="Arial"/>
        <family val="0"/>
        <charset val="1"/>
      </rPr>
      <t xml:space="preserve">Pro </t>
    </r>
    <r>
      <rPr>
        <sz val="10"/>
        <color rgb="FF000000"/>
        <rFont val="Noto Sans CJK SC"/>
        <family val="2"/>
      </rPr>
      <t xml:space="preserve">國內月付牌價</t>
    </r>
  </si>
  <si>
    <t xml:space="preserve">R20</t>
  </si>
  <si>
    <r>
      <rPr>
        <sz val="10"/>
        <color rgb="FF000000"/>
        <rFont val="Arial"/>
        <family val="0"/>
        <charset val="1"/>
      </rPr>
      <t xml:space="preserve">Pro </t>
    </r>
    <r>
      <rPr>
        <sz val="10"/>
        <color rgb="FF000000"/>
        <rFont val="Noto Sans CJK SC"/>
        <family val="2"/>
      </rPr>
      <t xml:space="preserve">國際站月價（換人民幣）</t>
    </r>
  </si>
  <si>
    <t xml:space="preserve">R21</t>
  </si>
  <si>
    <r>
      <rPr>
        <sz val="10"/>
        <color rgb="FF000000"/>
        <rFont val="Arial"/>
        <family val="0"/>
        <charset val="1"/>
      </rPr>
      <t xml:space="preserve">Pro </t>
    </r>
    <r>
      <rPr>
        <sz val="10"/>
        <color rgb="FF000000"/>
        <rFont val="Noto Sans CJK SC"/>
        <family val="2"/>
      </rPr>
      <t xml:space="preserve">有效月價（實收）</t>
    </r>
  </si>
  <si>
    <t xml:space="preserve">R22</t>
  </si>
  <si>
    <r>
      <rPr>
        <sz val="10"/>
        <color rgb="FF000000"/>
        <rFont val="Arial"/>
        <family val="0"/>
        <charset val="1"/>
      </rPr>
      <t xml:space="preserve">Max </t>
    </r>
    <r>
      <rPr>
        <sz val="10"/>
        <color rgb="FF000000"/>
        <rFont val="Noto Sans CJK SC"/>
        <family val="2"/>
      </rPr>
      <t xml:space="preserve">國內月付牌價</t>
    </r>
  </si>
  <si>
    <t xml:space="preserve">R23</t>
  </si>
  <si>
    <r>
      <rPr>
        <sz val="10"/>
        <color rgb="FF000000"/>
        <rFont val="Arial"/>
        <family val="0"/>
        <charset val="1"/>
      </rPr>
      <t xml:space="preserve">Max </t>
    </r>
    <r>
      <rPr>
        <sz val="10"/>
        <color rgb="FF000000"/>
        <rFont val="Noto Sans CJK SC"/>
        <family val="2"/>
      </rPr>
      <t xml:space="preserve">國際站月價（換人民幣）</t>
    </r>
  </si>
  <si>
    <t xml:space="preserve">R24</t>
  </si>
  <si>
    <r>
      <rPr>
        <sz val="10"/>
        <color rgb="FF000000"/>
        <rFont val="Arial"/>
        <family val="0"/>
        <charset val="1"/>
      </rPr>
      <t xml:space="preserve">Max </t>
    </r>
    <r>
      <rPr>
        <sz val="10"/>
        <color rgb="FF000000"/>
        <rFont val="Noto Sans CJK SC"/>
        <family val="2"/>
      </rPr>
      <t xml:space="preserve">有效月價（實收）</t>
    </r>
  </si>
  <si>
    <t xml:space="preserve">R25</t>
  </si>
  <si>
    <r>
      <rPr>
        <sz val="10"/>
        <color rgb="FF000000"/>
        <rFont val="Noto Sans CJK SC"/>
        <family val="2"/>
      </rPr>
      <t xml:space="preserve">方案組合：</t>
    </r>
    <r>
      <rPr>
        <sz val="10"/>
        <color rgb="FF000000"/>
        <rFont val="Arial"/>
        <family val="0"/>
        <charset val="1"/>
      </rPr>
      <t xml:space="preserve">Lite</t>
    </r>
  </si>
  <si>
    <t xml:space="preserve">R26</t>
  </si>
  <si>
    <r>
      <rPr>
        <sz val="10"/>
        <color rgb="FF000000"/>
        <rFont val="Noto Sans CJK SC"/>
        <family val="2"/>
      </rPr>
      <t xml:space="preserve">方案組合：</t>
    </r>
    <r>
      <rPr>
        <sz val="10"/>
        <color rgb="FF000000"/>
        <rFont val="Arial"/>
        <family val="0"/>
        <charset val="1"/>
      </rPr>
      <t xml:space="preserve">Pro</t>
    </r>
  </si>
  <si>
    <t xml:space="preserve">R27</t>
  </si>
  <si>
    <r>
      <rPr>
        <sz val="10"/>
        <color rgb="FF000000"/>
        <rFont val="Noto Sans CJK SC"/>
        <family val="2"/>
      </rPr>
      <t xml:space="preserve">方案組合：</t>
    </r>
    <r>
      <rPr>
        <sz val="10"/>
        <color rgb="FF000000"/>
        <rFont val="Arial"/>
        <family val="0"/>
        <charset val="1"/>
      </rPr>
      <t xml:space="preserve">Max</t>
    </r>
    <r>
      <rPr>
        <sz val="10"/>
        <color rgb="FF000000"/>
        <rFont val="Noto Sans CJK SC"/>
        <family val="2"/>
      </rPr>
      <t xml:space="preserve">（＝</t>
    </r>
    <r>
      <rPr>
        <sz val="10"/>
        <color rgb="FF000000"/>
        <rFont val="Arial"/>
        <family val="0"/>
        <charset val="1"/>
      </rPr>
      <t xml:space="preserve">1 − Lite − Pro</t>
    </r>
    <r>
      <rPr>
        <sz val="10"/>
        <color rgb="FF000000"/>
        <rFont val="Noto Sans CJK SC"/>
        <family val="2"/>
      </rPr>
      <t xml:space="preserve">）</t>
    </r>
  </si>
  <si>
    <t xml:space="preserve">不另輸入</t>
  </si>
  <si>
    <t xml:space="preserve">R28</t>
  </si>
  <si>
    <t xml:space="preserve">每訂閱者加權有效月價</t>
  </si>
  <si>
    <r>
      <rPr>
        <b val="true"/>
        <sz val="10"/>
        <rFont val="Noto Sans CJK SC"/>
        <family val="2"/>
      </rPr>
      <t xml:space="preserve">五、營收（</t>
    </r>
    <r>
      <rPr>
        <b val="true"/>
        <sz val="10"/>
        <rFont val="Arial"/>
        <family val="0"/>
        <charset val="1"/>
      </rPr>
      <t xml:space="preserve">RMB </t>
    </r>
    <r>
      <rPr>
        <b val="true"/>
        <sz val="10"/>
        <rFont val="Noto Sans CJK SC"/>
        <family val="2"/>
      </rPr>
      <t xml:space="preserve">億）</t>
    </r>
  </si>
  <si>
    <t xml:space="preserve">R29</t>
  </si>
  <si>
    <r>
      <rPr>
        <sz val="10"/>
        <color rgb="FF000000"/>
        <rFont val="Arial"/>
        <family val="0"/>
        <charset val="1"/>
      </rPr>
      <t xml:space="preserve">①-Coding Plan </t>
    </r>
    <r>
      <rPr>
        <sz val="10"/>
        <color rgb="FF000000"/>
        <rFont val="Noto Sans CJK SC"/>
        <family val="2"/>
      </rPr>
      <t xml:space="preserve">子列：</t>
    </r>
    <r>
      <rPr>
        <sz val="10"/>
        <color rgb="FF000000"/>
        <rFont val="Arial"/>
        <family val="0"/>
        <charset val="1"/>
      </rPr>
      <t xml:space="preserve">Lite</t>
    </r>
  </si>
  <si>
    <r>
      <rPr>
        <sz val="9"/>
        <color rgb="FF595959"/>
        <rFont val="Noto Sans CJK SC"/>
        <family val="2"/>
      </rPr>
      <t xml:space="preserve">訂閱者（萬）</t>
    </r>
    <r>
      <rPr>
        <sz val="9"/>
        <color rgb="FF595959"/>
        <rFont val="Arial"/>
        <family val="0"/>
        <charset val="1"/>
      </rPr>
      <t xml:space="preserve">× </t>
    </r>
    <r>
      <rPr>
        <sz val="9"/>
        <color rgb="FF595959"/>
        <rFont val="Noto Sans CJK SC"/>
        <family val="2"/>
      </rPr>
      <t xml:space="preserve">有效月價 </t>
    </r>
    <r>
      <rPr>
        <sz val="9"/>
        <color rgb="FF595959"/>
        <rFont val="Arial"/>
        <family val="0"/>
        <charset val="1"/>
      </rPr>
      <t xml:space="preserve">× </t>
    </r>
    <r>
      <rPr>
        <sz val="9"/>
        <color rgb="FF595959"/>
        <rFont val="Noto Sans CJK SC"/>
        <family val="2"/>
      </rPr>
      <t xml:space="preserve">月數 </t>
    </r>
    <r>
      <rPr>
        <sz val="9"/>
        <color rgb="FF595959"/>
        <rFont val="Arial"/>
        <family val="0"/>
        <charset val="1"/>
      </rPr>
      <t xml:space="preserve">÷ 10,000</t>
    </r>
    <r>
      <rPr>
        <sz val="9"/>
        <color rgb="FF595959"/>
        <rFont val="Noto Sans CJK SC"/>
        <family val="2"/>
      </rPr>
      <t xml:space="preserve">（萬 </t>
    </r>
    <r>
      <rPr>
        <sz val="9"/>
        <color rgb="FF595959"/>
        <rFont val="Arial"/>
        <family val="0"/>
        <charset val="1"/>
      </rPr>
      <t xml:space="preserve">× </t>
    </r>
    <r>
      <rPr>
        <sz val="9"/>
        <color rgb="FF595959"/>
        <rFont val="Noto Sans CJK SC"/>
        <family val="2"/>
      </rPr>
      <t xml:space="preserve">元 → 億）</t>
    </r>
  </si>
  <si>
    <t xml:space="preserve">R30</t>
  </si>
  <si>
    <r>
      <rPr>
        <sz val="10"/>
        <color rgb="FF000000"/>
        <rFont val="Arial"/>
        <family val="0"/>
        <charset val="1"/>
      </rPr>
      <t xml:space="preserve">①-Coding Plan </t>
    </r>
    <r>
      <rPr>
        <sz val="10"/>
        <color rgb="FF000000"/>
        <rFont val="Noto Sans CJK SC"/>
        <family val="2"/>
      </rPr>
      <t xml:space="preserve">子列：</t>
    </r>
    <r>
      <rPr>
        <sz val="10"/>
        <color rgb="FF000000"/>
        <rFont val="Arial"/>
        <family val="0"/>
        <charset val="1"/>
      </rPr>
      <t xml:space="preserve">Pro</t>
    </r>
  </si>
  <si>
    <t xml:space="preserve">R31</t>
  </si>
  <si>
    <r>
      <rPr>
        <sz val="10"/>
        <color rgb="FF000000"/>
        <rFont val="Arial"/>
        <family val="0"/>
        <charset val="1"/>
      </rPr>
      <t xml:space="preserve">①-Coding Plan </t>
    </r>
    <r>
      <rPr>
        <sz val="10"/>
        <color rgb="FF000000"/>
        <rFont val="Noto Sans CJK SC"/>
        <family val="2"/>
      </rPr>
      <t xml:space="preserve">子列：</t>
    </r>
    <r>
      <rPr>
        <sz val="10"/>
        <color rgb="FF000000"/>
        <rFont val="Arial"/>
        <family val="0"/>
        <charset val="1"/>
      </rPr>
      <t xml:space="preserve">Max</t>
    </r>
  </si>
  <si>
    <t xml:space="preserve">R32</t>
  </si>
  <si>
    <r>
      <rPr>
        <sz val="10"/>
        <color rgb="FF000000"/>
        <rFont val="Arial"/>
        <family val="0"/>
        <charset val="1"/>
      </rPr>
      <t xml:space="preserve">①-Coding Plan </t>
    </r>
    <r>
      <rPr>
        <sz val="10"/>
        <color rgb="FF000000"/>
        <rFont val="Noto Sans CJK SC"/>
        <family val="2"/>
      </rPr>
      <t xml:space="preserve">子列合計（訂閱）</t>
    </r>
  </si>
  <si>
    <r>
      <rPr>
        <sz val="9"/>
        <color rgb="FF595959"/>
        <rFont val="Noto Sans CJK SC"/>
        <family val="2"/>
      </rPr>
      <t xml:space="preserve">財報歸入開放平台及 </t>
    </r>
    <r>
      <rPr>
        <sz val="9"/>
        <color rgb="FF595959"/>
        <rFont val="Arial"/>
        <family val="0"/>
        <charset val="1"/>
      </rPr>
      <t xml:space="preserve">API</t>
    </r>
    <r>
      <rPr>
        <sz val="9"/>
        <color rgb="FF595959"/>
        <rFont val="Noto Sans CJK SC"/>
        <family val="2"/>
      </rPr>
      <t xml:space="preserve">（</t>
    </r>
    <r>
      <rPr>
        <sz val="9"/>
        <color rgb="FF595959"/>
        <rFont val="Arial"/>
        <family val="0"/>
        <charset val="1"/>
      </rPr>
      <t xml:space="preserve">D2r</t>
    </r>
    <r>
      <rPr>
        <sz val="9"/>
        <color rgb="FF595959"/>
        <rFont val="Noto Sans CJK SC"/>
        <family val="2"/>
      </rPr>
      <t xml:space="preserve">）；本模型以訂閱者驅動</t>
    </r>
  </si>
  <si>
    <t xml:space="preserve">R33</t>
  </si>
  <si>
    <r>
      <rPr>
        <sz val="10"/>
        <color rgb="FF000000"/>
        <rFont val="Noto Sans CJK SC"/>
        <family val="2"/>
      </rPr>
      <t xml:space="preserve">校準：按量計費營收＝開放平台及 </t>
    </r>
    <r>
      <rPr>
        <sz val="10"/>
        <color rgb="FF000000"/>
        <rFont val="Arial"/>
        <family val="0"/>
        <charset val="1"/>
      </rPr>
      <t xml:space="preserve">API </t>
    </r>
    <r>
      <rPr>
        <sz val="10"/>
        <color rgb="FF000000"/>
        <rFont val="Noto Sans CJK SC"/>
        <family val="2"/>
      </rPr>
      <t xml:space="preserve">實際 − </t>
    </r>
    <r>
      <rPr>
        <sz val="10"/>
        <color rgb="FF000000"/>
        <rFont val="Arial"/>
        <family val="0"/>
        <charset val="1"/>
      </rPr>
      <t xml:space="preserve">Coding Plan </t>
    </r>
    <r>
      <rPr>
        <sz val="10"/>
        <color rgb="FF000000"/>
        <rFont val="Noto Sans CJK SC"/>
        <family val="2"/>
      </rPr>
      <t xml:space="preserve">估計</t>
    </r>
  </si>
  <si>
    <r>
      <rPr>
        <sz val="9"/>
        <color rgb="FF595959"/>
        <rFont val="Arial"/>
        <family val="0"/>
        <charset val="1"/>
      </rPr>
      <t xml:space="preserve">2025</t>
    </r>
    <r>
      <rPr>
        <sz val="9"/>
        <color rgb="FF595959"/>
        <rFont val="Noto Sans CJK SC"/>
        <family val="2"/>
      </rPr>
      <t xml:space="preserve">（年報）、</t>
    </r>
    <r>
      <rPr>
        <sz val="9"/>
        <color rgb="FF595959"/>
        <rFont val="Arial"/>
        <family val="0"/>
        <charset val="1"/>
      </rPr>
      <t xml:space="preserve">1H26</t>
    </r>
    <r>
      <rPr>
        <sz val="9"/>
        <color rgb="FF595959"/>
        <rFont val="Noto Sans CJK SC"/>
        <family val="2"/>
      </rPr>
      <t xml:space="preserve">（中期公告）；按量計費 </t>
    </r>
    <r>
      <rPr>
        <sz val="9"/>
        <color rgb="FF595959"/>
        <rFont val="Arial"/>
        <family val="0"/>
        <charset val="1"/>
      </rPr>
      <t xml:space="preserve">token </t>
    </r>
    <r>
      <rPr>
        <sz val="9"/>
        <color rgb="FF595959"/>
        <rFont val="Noto Sans CJK SC"/>
        <family val="2"/>
      </rPr>
      <t xml:space="preserve">由此倒推（</t>
    </r>
    <r>
      <rPr>
        <sz val="9"/>
        <color rgb="FF595959"/>
        <rFont val="Arial"/>
        <family val="0"/>
        <charset val="1"/>
      </rPr>
      <t xml:space="preserve">D14</t>
    </r>
    <r>
      <rPr>
        <sz val="9"/>
        <color rgb="FF595959"/>
        <rFont val="Noto Sans CJK SC"/>
        <family val="2"/>
      </rPr>
      <t xml:space="preserve">）</t>
    </r>
  </si>
  <si>
    <t xml:space="preserve">R34</t>
  </si>
  <si>
    <r>
      <rPr>
        <sz val="10"/>
        <color rgb="FF000000"/>
        <rFont val="Arial"/>
        <family val="0"/>
        <charset val="1"/>
      </rPr>
      <t xml:space="preserve">①-</t>
    </r>
    <r>
      <rPr>
        <sz val="10"/>
        <color rgb="FF000000"/>
        <rFont val="Noto Sans CJK SC"/>
        <family val="2"/>
      </rPr>
      <t xml:space="preserve">按量計費：</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t>
    </r>
  </si>
  <si>
    <r>
      <rPr>
        <sz val="9"/>
        <color rgb="FF595959"/>
        <rFont val="Arial"/>
        <family val="0"/>
        <charset val="1"/>
      </rPr>
      <t xml:space="preserve">token × </t>
    </r>
    <r>
      <rPr>
        <sz val="9"/>
        <color rgb="FF595959"/>
        <rFont val="Noto Sans CJK SC"/>
        <family val="2"/>
      </rPr>
      <t xml:space="preserve">組合 </t>
    </r>
    <r>
      <rPr>
        <sz val="9"/>
        <color rgb="FF595959"/>
        <rFont val="Arial"/>
        <family val="0"/>
        <charset val="1"/>
      </rPr>
      <t xml:space="preserve">× </t>
    </r>
    <r>
      <rPr>
        <sz val="9"/>
        <color rgb="FF595959"/>
        <rFont val="Noto Sans CJK SC"/>
        <family val="2"/>
      </rPr>
      <t xml:space="preserve">有效單價 </t>
    </r>
    <r>
      <rPr>
        <sz val="9"/>
        <color rgb="FF595959"/>
        <rFont val="Arial"/>
        <family val="0"/>
        <charset val="1"/>
      </rPr>
      <t xml:space="preserve">÷ 100</t>
    </r>
    <r>
      <rPr>
        <sz val="9"/>
        <color rgb="FF595959"/>
        <rFont val="Noto Sans CJK SC"/>
        <family val="2"/>
      </rPr>
      <t xml:space="preserve">（</t>
    </r>
    <r>
      <rPr>
        <sz val="9"/>
        <color rgb="FF595959"/>
        <rFont val="Arial"/>
        <family val="0"/>
        <charset val="1"/>
      </rPr>
      <t xml:space="preserve">T × </t>
    </r>
    <r>
      <rPr>
        <sz val="9"/>
        <color rgb="FF595959"/>
        <rFont val="Noto Sans CJK SC"/>
        <family val="2"/>
      </rPr>
      <t xml:space="preserve">元</t>
    </r>
    <r>
      <rPr>
        <sz val="9"/>
        <color rgb="FF595959"/>
        <rFont val="Arial"/>
        <family val="0"/>
        <charset val="1"/>
      </rPr>
      <t xml:space="preserve">/M → </t>
    </r>
    <r>
      <rPr>
        <sz val="9"/>
        <color rgb="FF595959"/>
        <rFont val="Noto Sans CJK SC"/>
        <family val="2"/>
      </rPr>
      <t xml:space="preserve">億）</t>
    </r>
  </si>
  <si>
    <t xml:space="preserve">R35</t>
  </si>
  <si>
    <r>
      <rPr>
        <sz val="10"/>
        <color rgb="FF000000"/>
        <rFont val="Arial"/>
        <family val="0"/>
        <charset val="1"/>
      </rPr>
      <t xml:space="preserve">①-</t>
    </r>
    <r>
      <rPr>
        <sz val="10"/>
        <color rgb="FF000000"/>
        <rFont val="Noto Sans CJK SC"/>
        <family val="2"/>
      </rPr>
      <t xml:space="preserve">按量計費：</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t>
    </r>
  </si>
  <si>
    <t xml:space="preserve">R36</t>
  </si>
  <si>
    <r>
      <rPr>
        <sz val="10"/>
        <color rgb="FF000000"/>
        <rFont val="Arial"/>
        <family val="0"/>
        <charset val="1"/>
      </rPr>
      <t xml:space="preserve">①-</t>
    </r>
    <r>
      <rPr>
        <sz val="10"/>
        <color rgb="FF000000"/>
        <rFont val="Noto Sans CJK SC"/>
        <family val="2"/>
      </rPr>
      <t xml:space="preserve">按量計費合計</t>
    </r>
  </si>
  <si>
    <t xml:space="preserve">校準期恆等於上方校準列</t>
  </si>
  <si>
    <t xml:space="preserve">R37</t>
  </si>
  <si>
    <r>
      <rPr>
        <sz val="10"/>
        <color rgb="FF000000"/>
        <rFont val="Noto Sans CJK SC"/>
        <family val="2"/>
      </rPr>
      <t xml:space="preserve">①開放平台及 </t>
    </r>
    <r>
      <rPr>
        <sz val="10"/>
        <color rgb="FF000000"/>
        <rFont val="Arial"/>
        <family val="0"/>
        <charset val="1"/>
      </rPr>
      <t xml:space="preserve">API</t>
    </r>
    <r>
      <rPr>
        <sz val="10"/>
        <color rgb="FF000000"/>
        <rFont val="Noto Sans CJK SC"/>
        <family val="2"/>
      </rPr>
      <t xml:space="preserve">（按量計費＋</t>
    </r>
    <r>
      <rPr>
        <sz val="10"/>
        <color rgb="FF000000"/>
        <rFont val="Arial"/>
        <family val="0"/>
        <charset val="1"/>
      </rPr>
      <t xml:space="preserve">Coding Plan</t>
    </r>
    <r>
      <rPr>
        <sz val="10"/>
        <color rgb="FF000000"/>
        <rFont val="Noto Sans CJK SC"/>
        <family val="2"/>
      </rPr>
      <t xml:space="preserve">）</t>
    </r>
  </si>
  <si>
    <r>
      <rPr>
        <sz val="9"/>
        <color rgb="FF595959"/>
        <rFont val="Noto Sans CJK SC"/>
        <family val="2"/>
      </rPr>
      <t xml:space="preserve">＝雲端部署分部（</t>
    </r>
    <r>
      <rPr>
        <sz val="9"/>
        <color rgb="FF595959"/>
        <rFont val="Arial"/>
        <family val="0"/>
        <charset val="1"/>
      </rPr>
      <t xml:space="preserve">D2r</t>
    </r>
    <r>
      <rPr>
        <sz val="9"/>
        <color rgb="FF595959"/>
        <rFont val="Noto Sans CJK SC"/>
        <family val="2"/>
      </rPr>
      <t xml:space="preserve">）</t>
    </r>
  </si>
  <si>
    <t xml:space="preserve">R38</t>
  </si>
  <si>
    <t xml:space="preserve">②企業級智能體</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</si>
  <si>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＝財報；</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2H25</t>
    </r>
    <r>
      <rPr>
        <sz val="9"/>
        <color rgb="FF595959"/>
        <rFont val="Noto Sans CJK SC"/>
        <family val="2"/>
      </rPr>
      <t xml:space="preserve">（</t>
    </r>
    <r>
      <rPr>
        <sz val="9"/>
        <color rgb="FF595959"/>
        <rFont val="Arial"/>
        <family val="0"/>
        <charset val="1"/>
      </rPr>
      <t xml:space="preserve">FY25 − 1H25</t>
    </r>
    <r>
      <rPr>
        <sz val="9"/>
        <color rgb="FF595959"/>
        <rFont val="Noto Sans CJK SC"/>
        <family val="2"/>
      </rPr>
      <t xml:space="preserve">）</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延續係數</t>
    </r>
    <r>
      <rPr>
        <sz val="9"/>
        <color rgb="FF595959"/>
        <rFont val="Arial"/>
        <family val="0"/>
        <charset val="1"/>
      </rPr>
      <t xml:space="preserve">)</t>
    </r>
    <r>
      <rPr>
        <sz val="9"/>
        <color rgb="FF595959"/>
        <rFont val="Noto Sans CJK SC"/>
        <family val="2"/>
      </rPr>
      <t xml:space="preserve">＋延續係數 </t>
    </r>
    <r>
      <rPr>
        <sz val="9"/>
        <color rgb="FF595959"/>
        <rFont val="Arial"/>
        <family val="0"/>
        <charset val="1"/>
      </rPr>
      <t xml:space="preserve">× 1H26 ÷ 1H25</t>
    </r>
    <r>
      <rPr>
        <sz val="9"/>
        <color rgb="FF595959"/>
        <rFont val="Noto Sans CJK SC"/>
        <family val="2"/>
      </rPr>
      <t xml:space="preserve">］（工作單：依 </t>
    </r>
    <r>
      <rPr>
        <sz val="9"/>
        <color rgb="FF595959"/>
        <rFont val="Arial"/>
        <family val="0"/>
        <charset val="1"/>
      </rPr>
      <t xml:space="preserve">1H26 </t>
    </r>
    <r>
      <rPr>
        <sz val="9"/>
        <color rgb="FF595959"/>
        <rFont val="Noto Sans CJK SC"/>
        <family val="2"/>
      </rPr>
      <t xml:space="preserve">實際、各線分開）；</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＋年增率）</t>
    </r>
  </si>
  <si>
    <t xml:space="preserve">R39</t>
  </si>
  <si>
    <t xml:space="preserve">③企業級通用大模型</t>
  </si>
  <si>
    <t xml:space="preserve">R40</t>
  </si>
  <si>
    <r>
      <rPr>
        <sz val="10"/>
        <color rgb="FF000000"/>
        <rFont val="Noto Sans CJK SC"/>
        <family val="2"/>
      </rPr>
      <t xml:space="preserve">④技術服務及其他（含 </t>
    </r>
    <r>
      <rPr>
        <sz val="10"/>
        <color rgb="FF000000"/>
        <rFont val="Arial"/>
        <family val="0"/>
        <charset val="1"/>
      </rPr>
      <t xml:space="preserve">C </t>
    </r>
    <r>
      <rPr>
        <sz val="10"/>
        <color rgb="FF000000"/>
        <rFont val="Noto Sans CJK SC"/>
        <family val="2"/>
      </rPr>
      <t xml:space="preserve">端）</t>
    </r>
  </si>
  <si>
    <t xml:space="preserve">R41</t>
  </si>
  <si>
    <t xml:space="preserve">本地化部署分部（②＋③＋④；不耗智譜算力）</t>
  </si>
  <si>
    <r>
      <rPr>
        <sz val="9"/>
        <color rgb="FF595959"/>
        <rFont val="Arial"/>
        <family val="0"/>
        <charset val="1"/>
      </rPr>
      <t xml:space="preserve">D4</t>
    </r>
    <r>
      <rPr>
        <sz val="9"/>
        <color rgb="FF595959"/>
        <rFont val="Noto Sans CJK SC"/>
        <family val="2"/>
      </rPr>
      <t xml:space="preserve">：不進 </t>
    </r>
    <r>
      <rPr>
        <sz val="9"/>
        <color rgb="FF595959"/>
        <rFont val="Arial"/>
        <family val="0"/>
        <charset val="1"/>
      </rPr>
      <t xml:space="preserve">Demand</t>
    </r>
    <r>
      <rPr>
        <sz val="9"/>
        <color rgb="FF595959"/>
        <rFont val="Noto Sans CJK SC"/>
        <family val="2"/>
      </rPr>
      <t xml:space="preserve">、不受容量上限截頂</t>
    </r>
  </si>
  <si>
    <t xml:space="preserve">R42</t>
  </si>
  <si>
    <t xml:space="preserve">廣告</t>
  </si>
  <si>
    <r>
      <rPr>
        <sz val="9"/>
        <color rgb="FF595959"/>
        <rFont val="Noto Sans CJK SC"/>
        <family val="2"/>
      </rPr>
      <t xml:space="preserve">規格 </t>
    </r>
    <r>
      <rPr>
        <sz val="9"/>
        <color rgb="FF595959"/>
        <rFont val="Arial"/>
        <family val="0"/>
        <charset val="1"/>
      </rPr>
      <t xml:space="preserve">D3</t>
    </r>
    <r>
      <rPr>
        <sz val="9"/>
        <color rgb="FF595959"/>
        <rFont val="Noto Sans CJK SC"/>
        <family val="2"/>
      </rPr>
      <t xml:space="preserve">：無廣告業務（</t>
    </r>
    <r>
      <rPr>
        <sz val="9"/>
        <color rgb="FF595959"/>
        <rFont val="Arial"/>
        <family val="0"/>
        <charset val="1"/>
      </rPr>
      <t xml:space="preserve">Decision</t>
    </r>
    <r>
      <rPr>
        <sz val="9"/>
        <color rgb="FF595959"/>
        <rFont val="Noto Sans CJK SC"/>
        <family val="2"/>
      </rPr>
      <t xml:space="preserve">＝</t>
    </r>
    <r>
      <rPr>
        <sz val="9"/>
        <color rgb="FF595959"/>
        <rFont val="Arial"/>
        <family val="0"/>
        <charset val="1"/>
      </rPr>
      <t xml:space="preserve">0</t>
    </r>
    <r>
      <rPr>
        <sz val="9"/>
        <color rgb="FF595959"/>
        <rFont val="Noto Sans CJK SC"/>
        <family val="2"/>
      </rPr>
      <t xml:space="preserve">）</t>
    </r>
  </si>
  <si>
    <t xml:space="preserve">R43</t>
  </si>
  <si>
    <t xml:space="preserve">營收總額（①＋本地化＋廣告）</t>
  </si>
  <si>
    <t xml:space="preserve">未截頂</t>
  </si>
  <si>
    <t xml:space="preserve">R44</t>
  </si>
  <si>
    <r>
      <rPr>
        <sz val="10"/>
        <color rgb="FF000000"/>
        <rFont val="Noto Sans CJK SC"/>
        <family val="2"/>
      </rPr>
      <t xml:space="preserve">營收淨額（＝總額；無雲端夥伴分成，</t>
    </r>
    <r>
      <rPr>
        <sz val="10"/>
        <color rgb="FF000000"/>
        <rFont val="Arial"/>
        <family val="0"/>
        <charset val="1"/>
      </rPr>
      <t xml:space="preserve">D5</t>
    </r>
    <r>
      <rPr>
        <sz val="10"/>
        <color rgb="FF000000"/>
        <rFont val="Noto Sans CJK SC"/>
        <family val="2"/>
      </rPr>
      <t xml:space="preserve">）</t>
    </r>
  </si>
  <si>
    <r>
      <rPr>
        <sz val="9"/>
        <color rgb="FF595959"/>
        <rFont val="Arial"/>
        <family val="0"/>
        <charset val="1"/>
      </rPr>
      <t xml:space="preserve">REV_PartnerShare </t>
    </r>
    <r>
      <rPr>
        <sz val="9"/>
        <color rgb="FF595959"/>
        <rFont val="Noto Sans CJK SC"/>
        <family val="2"/>
      </rPr>
      <t xml:space="preserve">不建</t>
    </r>
  </si>
  <si>
    <t xml:space="preserve">R45</t>
  </si>
  <si>
    <t xml:space="preserve">雲端營收（①；跑在智譜算力上）</t>
  </si>
  <si>
    <r>
      <rPr>
        <sz val="9"/>
        <color rgb="FF595959"/>
        <rFont val="Noto Sans CJK SC"/>
        <family val="2"/>
      </rPr>
      <t xml:space="preserve">規格 </t>
    </r>
    <r>
      <rPr>
        <sz val="9"/>
        <color rgb="FF595959"/>
        <rFont val="Arial"/>
        <family val="0"/>
        <charset val="1"/>
      </rPr>
      <t xml:space="preserve">r1</t>
    </r>
    <r>
      <rPr>
        <sz val="9"/>
        <color rgb="FF595959"/>
        <rFont val="Noto Sans CJK SC"/>
        <family val="2"/>
      </rPr>
      <t xml:space="preserve">：②③④屬本地化部署分部；</t>
    </r>
    <r>
      <rPr>
        <sz val="9"/>
        <color rgb="FF595959"/>
        <rFont val="Arial"/>
        <family val="0"/>
        <charset val="1"/>
      </rPr>
      <t xml:space="preserve">C </t>
    </r>
    <r>
      <rPr>
        <sz val="9"/>
        <color rgb="FF595959"/>
        <rFont val="Noto Sans CJK SC"/>
        <family val="2"/>
      </rPr>
      <t xml:space="preserve">端收入在④內</t>
    </r>
  </si>
  <si>
    <t xml:space="preserve">R46</t>
  </si>
  <si>
    <r>
      <rPr>
        <sz val="10"/>
        <color rgb="FF000000"/>
        <rFont val="Noto Sans CJK SC"/>
        <family val="2"/>
      </rPr>
      <t xml:space="preserve">容量上限係數（</t>
    </r>
    <r>
      <rPr>
        <sz val="10"/>
        <color rgb="FF000000"/>
        <rFont val="Arial"/>
        <family val="0"/>
        <charset val="1"/>
      </rPr>
      <t xml:space="preserve">Compute</t>
    </r>
    <r>
      <rPr>
        <sz val="10"/>
        <color rgb="FF000000"/>
        <rFont val="Noto Sans CJK SC"/>
        <family val="2"/>
      </rPr>
      <t xml:space="preserve">）</t>
    </r>
  </si>
  <si>
    <r>
      <rPr>
        <sz val="9"/>
        <color rgb="FF595959"/>
        <rFont val="Arial"/>
        <family val="0"/>
        <charset val="1"/>
      </rPr>
      <t xml:space="preserve">Compute CMP_CapFactor</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＝未受限；</t>
    </r>
    <r>
      <rPr>
        <sz val="9"/>
        <color rgb="FF595959"/>
        <rFont val="Arial"/>
        <family val="0"/>
        <charset val="1"/>
      </rPr>
      <t xml:space="preserve">Z3 </t>
    </r>
    <r>
      <rPr>
        <sz val="9"/>
        <color rgb="FF595959"/>
        <rFont val="Noto Sans CJK SC"/>
        <family val="2"/>
      </rPr>
      <t xml:space="preserve">取代 </t>
    </r>
    <r>
      <rPr>
        <sz val="9"/>
        <color rgb="FF595959"/>
        <rFont val="Arial"/>
        <family val="0"/>
        <charset val="1"/>
      </rPr>
      <t xml:space="preserve">Z2 </t>
    </r>
    <r>
      <rPr>
        <sz val="9"/>
        <color rgb="FF595959"/>
        <rFont val="Noto Sans CJK SC"/>
        <family val="2"/>
      </rPr>
      <t xml:space="preserve">的佔位 </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實際不截頂、</t>
    </r>
    <r>
      <rPr>
        <sz val="9"/>
        <color rgb="FF595959"/>
        <rFont val="Arial"/>
        <family val="0"/>
        <charset val="1"/>
      </rPr>
      <t xml:space="preserve">2H26 </t>
    </r>
    <r>
      <rPr>
        <sz val="9"/>
        <color rgb="FF595959"/>
        <rFont val="Noto Sans CJK SC"/>
        <family val="2"/>
      </rPr>
      <t xml:space="preserve">依 </t>
    </r>
    <r>
      <rPr>
        <sz val="9"/>
        <color rgb="FF595959"/>
        <rFont val="Arial"/>
        <family val="0"/>
        <charset val="1"/>
      </rPr>
      <t xml:space="preserve">Compute </t>
    </r>
    <r>
      <rPr>
        <sz val="9"/>
        <color rgb="FF595959"/>
        <rFont val="Noto Sans CJK SC"/>
        <family val="2"/>
      </rPr>
      <t xml:space="preserve">係數，以雲端營收加權</t>
    </r>
  </si>
  <si>
    <t xml:space="preserve">R47</t>
  </si>
  <si>
    <r>
      <rPr>
        <sz val="10"/>
        <color rgb="FF000000"/>
        <rFont val="Noto Sans CJK SC"/>
        <family val="2"/>
      </rPr>
      <t xml:space="preserve">營收總額（截頂後）＝雲端 </t>
    </r>
    <r>
      <rPr>
        <sz val="10"/>
        <color rgb="FF000000"/>
        <rFont val="Arial"/>
        <family val="0"/>
        <charset val="1"/>
      </rPr>
      <t xml:space="preserve">× </t>
    </r>
    <r>
      <rPr>
        <sz val="10"/>
        <color rgb="FF000000"/>
        <rFont val="Noto Sans CJK SC"/>
        <family val="2"/>
      </rPr>
      <t xml:space="preserve">係數＋本地化＋廣告</t>
    </r>
  </si>
  <si>
    <r>
      <rPr>
        <sz val="9"/>
        <color rgb="FF595959"/>
        <rFont val="Noto Sans CJK SC"/>
        <family val="2"/>
      </rPr>
      <t xml:space="preserve">容量上限只回乘雲端營收（工作單 </t>
    </r>
    <r>
      <rPr>
        <sz val="9"/>
        <color rgb="FF595959"/>
        <rFont val="Arial"/>
        <family val="0"/>
        <charset val="1"/>
      </rPr>
      <t xml:space="preserve">Z2 </t>
    </r>
    <r>
      <rPr>
        <sz val="9"/>
        <color rgb="FF595959"/>
        <rFont val="Noto Sans CJK SC"/>
        <family val="2"/>
      </rPr>
      <t xml:space="preserve">第 </t>
    </r>
    <r>
      <rPr>
        <sz val="9"/>
        <color rgb="FF595959"/>
        <rFont val="Arial"/>
        <family val="0"/>
        <charset val="1"/>
      </rPr>
      <t xml:space="preserve">5 </t>
    </r>
    <r>
      <rPr>
        <sz val="9"/>
        <color rgb="FF595959"/>
        <rFont val="Noto Sans CJK SC"/>
        <family val="2"/>
      </rPr>
      <t xml:space="preserve">步）</t>
    </r>
  </si>
  <si>
    <t xml:space="preserve">R48</t>
  </si>
  <si>
    <t xml:space="preserve">營收淨額（截頂後）</t>
  </si>
  <si>
    <t xml:space="preserve">R49</t>
  </si>
  <si>
    <t xml:space="preserve">企業（按量計費＋本地化部署）</t>
  </si>
  <si>
    <r>
      <rPr>
        <sz val="9"/>
        <color rgb="FF595959"/>
        <rFont val="Arial"/>
        <family val="0"/>
        <charset val="1"/>
      </rPr>
      <t xml:space="preserve">D2</t>
    </r>
    <r>
      <rPr>
        <sz val="9"/>
        <color rgb="FF595959"/>
        <rFont val="Noto Sans CJK SC"/>
        <family val="2"/>
      </rPr>
      <t xml:space="preserve">：企業 </t>
    </r>
    <r>
      <rPr>
        <sz val="9"/>
        <color rgb="FF595959"/>
        <rFont val="Arial"/>
        <family val="0"/>
        <charset val="1"/>
      </rPr>
      <t xml:space="preserve">vs </t>
    </r>
    <r>
      <rPr>
        <sz val="9"/>
        <color rgb="FF595959"/>
        <rFont val="Noto Sans CJK SC"/>
        <family val="2"/>
      </rPr>
      <t xml:space="preserve">個人；按量計費以企業與開發者為主，歸企業</t>
    </r>
  </si>
  <si>
    <t xml:space="preserve">R50</t>
  </si>
  <si>
    <r>
      <rPr>
        <sz val="10"/>
        <color rgb="FF000000"/>
        <rFont val="Noto Sans CJK SC"/>
        <family val="2"/>
      </rPr>
      <t xml:space="preserve">個人（</t>
    </r>
    <r>
      <rPr>
        <sz val="10"/>
        <color rgb="FF000000"/>
        <rFont val="Arial"/>
        <family val="0"/>
        <charset val="1"/>
      </rPr>
      <t xml:space="preserve">Coding Plan </t>
    </r>
    <r>
      <rPr>
        <sz val="10"/>
        <color rgb="FF000000"/>
        <rFont val="Noto Sans CJK SC"/>
        <family val="2"/>
      </rPr>
      <t xml:space="preserve">訂閱）</t>
    </r>
  </si>
  <si>
    <r>
      <rPr>
        <sz val="9"/>
        <color rgb="FF595959"/>
        <rFont val="Arial"/>
        <family val="0"/>
        <charset val="1"/>
      </rPr>
      <t xml:space="preserve">Coding Plan </t>
    </r>
    <r>
      <rPr>
        <sz val="9"/>
        <color rgb="FF595959"/>
        <rFont val="Noto Sans CJK SC"/>
        <family val="2"/>
      </rPr>
      <t xml:space="preserve">以個人開發者為主；</t>
    </r>
    <r>
      <rPr>
        <sz val="9"/>
        <color rgb="FF595959"/>
        <rFont val="Arial"/>
        <family val="0"/>
        <charset val="1"/>
      </rPr>
      <t xml:space="preserve">C </t>
    </r>
    <r>
      <rPr>
        <sz val="9"/>
        <color rgb="FF595959"/>
        <rFont val="Noto Sans CJK SC"/>
        <family val="2"/>
      </rPr>
      <t xml:space="preserve">端清言收入在④內未拆，歸企業列（資料缺口）</t>
    </r>
  </si>
  <si>
    <t xml:space="preserve">R51</t>
  </si>
  <si>
    <r>
      <rPr>
        <sz val="10"/>
        <color rgb="FF000000"/>
        <rFont val="Noto Sans CJK SC"/>
        <family val="2"/>
      </rPr>
      <t xml:space="preserve">檢查：企業＋個人＋廣告 − 總額（應為 </t>
    </r>
    <r>
      <rPr>
        <sz val="10"/>
        <color rgb="FF000000"/>
        <rFont val="Arial"/>
        <family val="0"/>
        <charset val="1"/>
      </rPr>
      <t xml:space="preserve">0</t>
    </r>
    <r>
      <rPr>
        <sz val="10"/>
        <color rgb="FF000000"/>
        <rFont val="Noto Sans CJK SC"/>
        <family val="2"/>
      </rPr>
      <t xml:space="preserve">）</t>
    </r>
  </si>
  <si>
    <t xml:space="preserve">R52</t>
  </si>
  <si>
    <t xml:space="preserve">雲端占總額</t>
  </si>
  <si>
    <r>
      <rPr>
        <sz val="9"/>
        <color rgb="FF595959"/>
        <rFont val="Arial"/>
        <family val="0"/>
        <charset val="1"/>
      </rPr>
      <t xml:space="preserve">2025 </t>
    </r>
    <r>
      <rPr>
        <sz val="9"/>
        <color rgb="FF595959"/>
        <rFont val="Noto Sans CJK SC"/>
        <family val="2"/>
      </rPr>
      <t xml:space="preserve">約 </t>
    </r>
    <r>
      <rPr>
        <sz val="9"/>
        <color rgb="FF595959"/>
        <rFont val="Arial"/>
        <family val="0"/>
        <charset val="1"/>
      </rPr>
      <t xml:space="preserve">26%</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約 </t>
    </r>
    <r>
      <rPr>
        <sz val="9"/>
        <color rgb="FF595959"/>
        <rFont val="Arial"/>
        <family val="0"/>
        <charset val="1"/>
      </rPr>
      <t xml:space="preserve">87%</t>
    </r>
    <r>
      <rPr>
        <sz val="9"/>
        <color rgb="FF595959"/>
        <rFont val="Noto Sans CJK SC"/>
        <family val="2"/>
      </rPr>
      <t xml:space="preserve">（財報）</t>
    </r>
  </si>
  <si>
    <t xml:space="preserve">R53</t>
  </si>
  <si>
    <t xml:space="preserve">總額年增率</t>
  </si>
  <si>
    <r>
      <rPr>
        <b val="true"/>
        <sz val="10"/>
        <rFont val="Noto Sans CJK SC"/>
        <family val="2"/>
      </rPr>
      <t xml:space="preserve">六、校準差距（應為 </t>
    </r>
    <r>
      <rPr>
        <b val="true"/>
        <sz val="10"/>
        <rFont val="Arial"/>
        <family val="0"/>
        <charset val="1"/>
      </rPr>
      <t xml:space="preserve">0</t>
    </r>
    <r>
      <rPr>
        <b val="true"/>
        <sz val="10"/>
        <rFont val="Noto Sans CJK SC"/>
        <family val="2"/>
      </rPr>
      <t xml:space="preserve">）與對照（公司說法、</t>
    </r>
    <r>
      <rPr>
        <b val="true"/>
        <sz val="10"/>
        <rFont val="Arial"/>
        <family val="0"/>
        <charset val="1"/>
      </rPr>
      <t xml:space="preserve">TK</t>
    </r>
    <r>
      <rPr>
        <b val="true"/>
        <sz val="10"/>
        <rFont val="Noto Sans CJK SC"/>
        <family val="2"/>
      </rPr>
      <t xml:space="preserve">、未校準值；只列差距，不反推）</t>
    </r>
  </si>
  <si>
    <t xml:space="preserve">R54</t>
  </si>
  <si>
    <r>
      <rPr>
        <sz val="10"/>
        <color rgb="FF000000"/>
        <rFont val="Arial"/>
        <family val="0"/>
        <charset val="1"/>
      </rPr>
      <t xml:space="preserve">2025 </t>
    </r>
    <r>
      <rPr>
        <sz val="10"/>
        <color rgb="FF000000"/>
        <rFont val="Noto Sans CJK SC"/>
        <family val="2"/>
      </rPr>
      <t xml:space="preserve">校準差距：①開放平台及 </t>
    </r>
    <r>
      <rPr>
        <sz val="10"/>
        <color rgb="FF000000"/>
        <rFont val="Arial"/>
        <family val="0"/>
        <charset val="1"/>
      </rPr>
      <t xml:space="preserve">API</t>
    </r>
    <r>
      <rPr>
        <sz val="10"/>
        <color rgb="FF000000"/>
        <rFont val="Noto Sans CJK SC"/>
        <family val="2"/>
      </rPr>
      <t xml:space="preserve">（模型 − 年報）</t>
    </r>
  </si>
  <si>
    <t xml:space="preserve">R55</t>
  </si>
  <si>
    <r>
      <rPr>
        <sz val="10"/>
        <color rgb="FF000000"/>
        <rFont val="Arial"/>
        <family val="0"/>
        <charset val="1"/>
      </rPr>
      <t xml:space="preserve">1H26 </t>
    </r>
    <r>
      <rPr>
        <sz val="10"/>
        <color rgb="FF000000"/>
        <rFont val="Noto Sans CJK SC"/>
        <family val="2"/>
      </rPr>
      <t xml:space="preserve">校準差距：①開放平台及 </t>
    </r>
    <r>
      <rPr>
        <sz val="10"/>
        <color rgb="FF000000"/>
        <rFont val="Arial"/>
        <family val="0"/>
        <charset val="1"/>
      </rPr>
      <t xml:space="preserve">API</t>
    </r>
    <r>
      <rPr>
        <sz val="10"/>
        <color rgb="FF000000"/>
        <rFont val="Noto Sans CJK SC"/>
        <family val="2"/>
      </rPr>
      <t xml:space="preserve">（模型 − 中期公告）</t>
    </r>
  </si>
  <si>
    <t xml:space="preserve">R56</t>
  </si>
  <si>
    <r>
      <rPr>
        <sz val="10"/>
        <color rgb="FF000000"/>
        <rFont val="Arial"/>
        <family val="0"/>
        <charset val="1"/>
      </rPr>
      <t xml:space="preserve">2025 </t>
    </r>
    <r>
      <rPr>
        <sz val="10"/>
        <color rgb="FF000000"/>
        <rFont val="Noto Sans CJK SC"/>
        <family val="2"/>
      </rPr>
      <t xml:space="preserve">校準差距：②企業級智能體（模型 − 年報）</t>
    </r>
  </si>
  <si>
    <t xml:space="preserve">R57</t>
  </si>
  <si>
    <r>
      <rPr>
        <sz val="10"/>
        <color rgb="FF000000"/>
        <rFont val="Arial"/>
        <family val="0"/>
        <charset val="1"/>
      </rPr>
      <t xml:space="preserve">1H26 </t>
    </r>
    <r>
      <rPr>
        <sz val="10"/>
        <color rgb="FF000000"/>
        <rFont val="Noto Sans CJK SC"/>
        <family val="2"/>
      </rPr>
      <t xml:space="preserve">校準差距：②企業級智能體（模型 − 中期公告）</t>
    </r>
  </si>
  <si>
    <t xml:space="preserve">R58</t>
  </si>
  <si>
    <r>
      <rPr>
        <sz val="10"/>
        <color rgb="FF000000"/>
        <rFont val="Arial"/>
        <family val="0"/>
        <charset val="1"/>
      </rPr>
      <t xml:space="preserve">2025 </t>
    </r>
    <r>
      <rPr>
        <sz val="10"/>
        <color rgb="FF000000"/>
        <rFont val="Noto Sans CJK SC"/>
        <family val="2"/>
      </rPr>
      <t xml:space="preserve">校準差距：③企業級通用大模型（模型 − 年報）</t>
    </r>
  </si>
  <si>
    <t xml:space="preserve">R59</t>
  </si>
  <si>
    <r>
      <rPr>
        <sz val="10"/>
        <color rgb="FF000000"/>
        <rFont val="Arial"/>
        <family val="0"/>
        <charset val="1"/>
      </rPr>
      <t xml:space="preserve">1H26 </t>
    </r>
    <r>
      <rPr>
        <sz val="10"/>
        <color rgb="FF000000"/>
        <rFont val="Noto Sans CJK SC"/>
        <family val="2"/>
      </rPr>
      <t xml:space="preserve">校準差距：③企業級通用大模型（模型 − 中期公告）</t>
    </r>
  </si>
  <si>
    <t xml:space="preserve">R60</t>
  </si>
  <si>
    <r>
      <rPr>
        <sz val="10"/>
        <color rgb="FF000000"/>
        <rFont val="Arial"/>
        <family val="0"/>
        <charset val="1"/>
      </rPr>
      <t xml:space="preserve">2025 </t>
    </r>
    <r>
      <rPr>
        <sz val="10"/>
        <color rgb="FF000000"/>
        <rFont val="Noto Sans CJK SC"/>
        <family val="2"/>
      </rPr>
      <t xml:space="preserve">校準差距：④技術服務及其他（含 </t>
    </r>
    <r>
      <rPr>
        <sz val="10"/>
        <color rgb="FF000000"/>
        <rFont val="Arial"/>
        <family val="0"/>
        <charset val="1"/>
      </rPr>
      <t xml:space="preserve">C </t>
    </r>
    <r>
      <rPr>
        <sz val="10"/>
        <color rgb="FF000000"/>
        <rFont val="Noto Sans CJK SC"/>
        <family val="2"/>
      </rPr>
      <t xml:space="preserve">端）（模型 − 年報）</t>
    </r>
  </si>
  <si>
    <t xml:space="preserve">R61</t>
  </si>
  <si>
    <r>
      <rPr>
        <sz val="10"/>
        <color rgb="FF000000"/>
        <rFont val="Arial"/>
        <family val="0"/>
        <charset val="1"/>
      </rPr>
      <t xml:space="preserve">1H26 </t>
    </r>
    <r>
      <rPr>
        <sz val="10"/>
        <color rgb="FF000000"/>
        <rFont val="Noto Sans CJK SC"/>
        <family val="2"/>
      </rPr>
      <t xml:space="preserve">校準差距：④技術服務及其他（含 </t>
    </r>
    <r>
      <rPr>
        <sz val="10"/>
        <color rgb="FF000000"/>
        <rFont val="Arial"/>
        <family val="0"/>
        <charset val="1"/>
      </rPr>
      <t xml:space="preserve">C </t>
    </r>
    <r>
      <rPr>
        <sz val="10"/>
        <color rgb="FF000000"/>
        <rFont val="Noto Sans CJK SC"/>
        <family val="2"/>
      </rPr>
      <t xml:space="preserve">端）（模型 − 中期公告）</t>
    </r>
  </si>
  <si>
    <t xml:space="preserve">R62</t>
  </si>
  <si>
    <r>
      <rPr>
        <sz val="10"/>
        <color rgb="FF000000"/>
        <rFont val="Arial"/>
        <family val="0"/>
        <charset val="1"/>
      </rPr>
      <t xml:space="preserve">2025 </t>
    </r>
    <r>
      <rPr>
        <sz val="10"/>
        <color rgb="FF000000"/>
        <rFont val="Noto Sans CJK SC"/>
        <family val="2"/>
      </rPr>
      <t xml:space="preserve">校準差距：營收總額（模型 − 年報）</t>
    </r>
  </si>
  <si>
    <t xml:space="preserve">R63</t>
  </si>
  <si>
    <r>
      <rPr>
        <sz val="10"/>
        <color rgb="FF000000"/>
        <rFont val="Arial"/>
        <family val="0"/>
        <charset val="1"/>
      </rPr>
      <t xml:space="preserve">1H26 </t>
    </r>
    <r>
      <rPr>
        <sz val="10"/>
        <color rgb="FF000000"/>
        <rFont val="Noto Sans CJK SC"/>
        <family val="2"/>
      </rPr>
      <t xml:space="preserve">校準差距：營收總額（模型 − 中期公告）</t>
    </r>
  </si>
  <si>
    <r>
      <rPr>
        <sz val="9"/>
        <color rgb="FF595959"/>
        <rFont val="Noto Sans CJK SC"/>
        <family val="2"/>
      </rPr>
      <t xml:space="preserve">公告以千元四捨五入至億元四位小數：四線合計 </t>
    </r>
    <r>
      <rPr>
        <sz val="9"/>
        <color rgb="FF595959"/>
        <rFont val="Arial"/>
        <family val="0"/>
        <charset val="1"/>
      </rPr>
      <t xml:space="preserve">9.53892 vs </t>
    </r>
    <r>
      <rPr>
        <sz val="9"/>
        <color rgb="FF595959"/>
        <rFont val="Noto Sans CJK SC"/>
        <family val="2"/>
      </rPr>
      <t xml:space="preserve">總額 </t>
    </r>
    <r>
      <rPr>
        <sz val="9"/>
        <color rgb="FF595959"/>
        <rFont val="Arial"/>
        <family val="0"/>
        <charset val="1"/>
      </rPr>
      <t xml:space="preserve">9.5389</t>
    </r>
  </si>
  <si>
    <t xml:space="preserve">R64</t>
  </si>
  <si>
    <r>
      <rPr>
        <sz val="10"/>
        <color rgb="FF000000"/>
        <rFont val="Arial"/>
        <family val="0"/>
        <charset val="1"/>
      </rPr>
      <t xml:space="preserve">2025 </t>
    </r>
    <r>
      <rPr>
        <sz val="10"/>
        <color rgb="FF000000"/>
        <rFont val="Noto Sans CJK SC"/>
        <family val="2"/>
      </rPr>
      <t xml:space="preserve">未校準 ①：日均 </t>
    </r>
    <r>
      <rPr>
        <sz val="10"/>
        <color rgb="FF000000"/>
        <rFont val="Arial"/>
        <family val="0"/>
        <charset val="1"/>
      </rPr>
      <t xml:space="preserve">4.2T × 365 × </t>
    </r>
    <r>
      <rPr>
        <sz val="10"/>
        <color rgb="FF000000"/>
        <rFont val="Noto Sans CJK SC"/>
        <family val="2"/>
      </rPr>
      <t xml:space="preserve">組合有效單價 </t>
    </r>
    <r>
      <rPr>
        <sz val="10"/>
        <color rgb="FF000000"/>
        <rFont val="Arial"/>
        <family val="0"/>
        <charset val="1"/>
      </rPr>
      <t xml:space="preserve">÷ 100 </t>
    </r>
    <r>
      <rPr>
        <sz val="10"/>
        <color rgb="FF000000"/>
        <rFont val="Noto Sans CJK SC"/>
        <family val="2"/>
      </rPr>
      <t xml:space="preserve">＋ </t>
    </r>
    <r>
      <rPr>
        <sz val="10"/>
        <color rgb="FF000000"/>
        <rFont val="Arial"/>
        <family val="0"/>
        <charset val="1"/>
      </rPr>
      <t xml:space="preserve">Coding Plan</t>
    </r>
  </si>
  <si>
    <r>
      <rPr>
        <sz val="9"/>
        <color rgb="FF595959"/>
        <rFont val="Noto Sans CJK SC"/>
        <family val="2"/>
      </rPr>
      <t xml:space="preserve">自下而上口徑（假設揭露 </t>
    </r>
    <r>
      <rPr>
        <sz val="9"/>
        <color rgb="FF595959"/>
        <rFont val="Arial"/>
        <family val="0"/>
        <charset val="1"/>
      </rPr>
      <t xml:space="preserve">token </t>
    </r>
    <r>
      <rPr>
        <sz val="9"/>
        <color rgb="FF595959"/>
        <rFont val="Noto Sans CJK SC"/>
        <family val="2"/>
      </rPr>
      <t xml:space="preserve">全數按有效單價計費）</t>
    </r>
  </si>
  <si>
    <t xml:space="preserve">R65</t>
  </si>
  <si>
    <r>
      <rPr>
        <sz val="10"/>
        <color rgb="FF000000"/>
        <rFont val="Arial"/>
        <family val="0"/>
        <charset val="1"/>
      </rPr>
      <t xml:space="preserve">2025 </t>
    </r>
    <r>
      <rPr>
        <sz val="10"/>
        <color rgb="FF000000"/>
        <rFont val="Noto Sans CJK SC"/>
        <family val="2"/>
      </rPr>
      <t xml:space="preserve">未校準差距：未校準 − 年報 ①</t>
    </r>
  </si>
  <si>
    <r>
      <rPr>
        <sz val="9"/>
        <color rgb="FF595959"/>
        <rFont val="Noto Sans CJK SC"/>
        <family val="2"/>
      </rPr>
      <t xml:space="preserve">差距大＝揭露量多為免費、</t>
    </r>
    <r>
      <rPr>
        <sz val="9"/>
        <color rgb="FF595959"/>
        <rFont val="Arial"/>
        <family val="0"/>
        <charset val="1"/>
      </rPr>
      <t xml:space="preserve">Coding Plan </t>
    </r>
    <r>
      <rPr>
        <sz val="9"/>
        <color rgb="FF595959"/>
        <rFont val="Noto Sans CJK SC"/>
        <family val="2"/>
      </rPr>
      <t xml:space="preserve">或年末時點</t>
    </r>
  </si>
  <si>
    <t xml:space="preserve">R66</t>
  </si>
  <si>
    <r>
      <rPr>
        <sz val="10"/>
        <color rgb="FF000000"/>
        <rFont val="Noto Sans CJK SC"/>
        <family val="2"/>
      </rPr>
      <t xml:space="preserve">模型組合有效單價變動：</t>
    </r>
    <r>
      <rPr>
        <sz val="10"/>
        <color rgb="FF000000"/>
        <rFont val="Arial"/>
        <family val="0"/>
        <charset val="1"/>
      </rPr>
      <t xml:space="preserve">1H26 </t>
    </r>
    <r>
      <rPr>
        <sz val="10"/>
        <color rgb="FF000000"/>
        <rFont val="Noto Sans CJK SC"/>
        <family val="2"/>
      </rPr>
      <t xml:space="preserve">對 </t>
    </r>
    <r>
      <rPr>
        <sz val="10"/>
        <color rgb="FF000000"/>
        <rFont val="Arial"/>
        <family val="0"/>
        <charset val="1"/>
      </rPr>
      <t xml:space="preserve">2025</t>
    </r>
  </si>
  <si>
    <r>
      <rPr>
        <sz val="9"/>
        <color rgb="FF595959"/>
        <rFont val="Noto Sans CJK SC"/>
        <family val="2"/>
      </rPr>
      <t xml:space="preserve">對照：公司稱 </t>
    </r>
    <r>
      <rPr>
        <sz val="9"/>
        <color rgb="FF595959"/>
        <rFont val="Arial"/>
        <family val="0"/>
        <charset val="1"/>
      </rPr>
      <t xml:space="preserve">API </t>
    </r>
    <r>
      <rPr>
        <sz val="9"/>
        <color rgb="FF595959"/>
        <rFont val="Noto Sans CJK SC"/>
        <family val="2"/>
      </rPr>
      <t xml:space="preserve">平均售價較年初 </t>
    </r>
    <r>
      <rPr>
        <sz val="9"/>
        <color rgb="FF595959"/>
        <rFont val="Arial"/>
        <family val="0"/>
        <charset val="1"/>
      </rPr>
      <t xml:space="preserve">+101%</t>
    </r>
    <r>
      <rPr>
        <sz val="9"/>
        <color rgb="FF595959"/>
        <rFont val="Noto Sans CJK SC"/>
        <family val="2"/>
      </rPr>
      <t xml:space="preserve">（</t>
    </r>
    <r>
      <rPr>
        <sz val="9"/>
        <color rgb="FF595959"/>
        <rFont val="Arial"/>
        <family val="0"/>
        <charset val="1"/>
      </rPr>
      <t xml:space="preserve">SRC_ZP_347</t>
    </r>
    <r>
      <rPr>
        <sz val="9"/>
        <color rgb="FF595959"/>
        <rFont val="Noto Sans CJK SC"/>
        <family val="2"/>
      </rPr>
      <t xml:space="preserve">）</t>
    </r>
  </si>
  <si>
    <t xml:space="preserve">R67</t>
  </si>
  <si>
    <r>
      <rPr>
        <sz val="10"/>
        <color rgb="FF000000"/>
        <rFont val="Noto Sans CJK SC"/>
        <family val="2"/>
      </rPr>
      <t xml:space="preserve">模型組合有效單價變動：</t>
    </r>
    <r>
      <rPr>
        <sz val="10"/>
        <color rgb="FF000000"/>
        <rFont val="Arial"/>
        <family val="0"/>
        <charset val="1"/>
      </rPr>
      <t xml:space="preserve">2H26 </t>
    </r>
    <r>
      <rPr>
        <sz val="10"/>
        <color rgb="FF000000"/>
        <rFont val="Noto Sans CJK SC"/>
        <family val="2"/>
      </rPr>
      <t xml:space="preserve">對 </t>
    </r>
    <r>
      <rPr>
        <sz val="10"/>
        <color rgb="FF000000"/>
        <rFont val="Arial"/>
        <family val="0"/>
        <charset val="1"/>
      </rPr>
      <t xml:space="preserve">2025</t>
    </r>
  </si>
  <si>
    <r>
      <rPr>
        <sz val="9"/>
        <color rgb="FF595959"/>
        <rFont val="Noto Sans CJK SC"/>
        <family val="2"/>
      </rPr>
      <t xml:space="preserve">對照：較 </t>
    </r>
    <r>
      <rPr>
        <sz val="9"/>
        <color rgb="FF595959"/>
        <rFont val="Arial"/>
        <family val="0"/>
        <charset val="1"/>
      </rPr>
      <t xml:space="preserve">2025 </t>
    </r>
    <r>
      <rPr>
        <sz val="9"/>
        <color rgb="FF595959"/>
        <rFont val="Noto Sans CJK SC"/>
        <family val="2"/>
      </rPr>
      <t xml:space="preserve">年底 </t>
    </r>
    <r>
      <rPr>
        <sz val="9"/>
        <color rgb="FF595959"/>
        <rFont val="Arial"/>
        <family val="0"/>
        <charset val="1"/>
      </rPr>
      <t xml:space="preserve">+83%</t>
    </r>
    <r>
      <rPr>
        <sz val="9"/>
        <color rgb="FF595959"/>
        <rFont val="Noto Sans CJK SC"/>
        <family val="2"/>
      </rPr>
      <t xml:space="preserve">（</t>
    </r>
    <r>
      <rPr>
        <sz val="9"/>
        <color rgb="FF595959"/>
        <rFont val="Arial"/>
        <family val="0"/>
        <charset val="1"/>
      </rPr>
      <t xml:space="preserve">SRC_ZP_346</t>
    </r>
    <r>
      <rPr>
        <sz val="9"/>
        <color rgb="FF595959"/>
        <rFont val="Noto Sans CJK SC"/>
        <family val="2"/>
      </rPr>
      <t xml:space="preserve">，截至 </t>
    </r>
    <r>
      <rPr>
        <sz val="9"/>
        <color rgb="FF595959"/>
        <rFont val="Arial"/>
        <family val="0"/>
        <charset val="1"/>
      </rPr>
      <t xml:space="preserve">2026-03</t>
    </r>
    <r>
      <rPr>
        <sz val="9"/>
        <color rgb="FF595959"/>
        <rFont val="Noto Sans CJK SC"/>
        <family val="2"/>
      </rPr>
      <t xml:space="preserve">）</t>
    </r>
  </si>
  <si>
    <t xml:space="preserve">R68</t>
  </si>
  <si>
    <r>
      <rPr>
        <sz val="10"/>
        <color rgb="FF000000"/>
        <rFont val="Noto Sans CJK SC"/>
        <family val="2"/>
      </rPr>
      <t xml:space="preserve">公司說法：</t>
    </r>
    <r>
      <rPr>
        <sz val="10"/>
        <color rgb="FF000000"/>
        <rFont val="Arial"/>
        <family val="0"/>
        <charset val="1"/>
      </rPr>
      <t xml:space="preserve">API </t>
    </r>
    <r>
      <rPr>
        <sz val="10"/>
        <color rgb="FF000000"/>
        <rFont val="Noto Sans CJK SC"/>
        <family val="2"/>
      </rPr>
      <t xml:space="preserve">平均售價較年初上升（中期）</t>
    </r>
  </si>
  <si>
    <r>
      <rPr>
        <sz val="9"/>
        <color rgb="FF595959"/>
        <rFont val="Arial"/>
        <family val="0"/>
        <charset val="1"/>
      </rPr>
      <t xml:space="preserve">Interested-party</t>
    </r>
    <r>
      <rPr>
        <sz val="9"/>
        <color rgb="FF595959"/>
        <rFont val="Noto Sans CJK SC"/>
        <family val="2"/>
      </rPr>
      <t xml:space="preserve">；實現平均售價口徑（收入 </t>
    </r>
    <r>
      <rPr>
        <sz val="9"/>
        <color rgb="FF595959"/>
        <rFont val="Arial"/>
        <family val="0"/>
        <charset val="1"/>
      </rPr>
      <t xml:space="preserve">÷ </t>
    </r>
    <r>
      <rPr>
        <sz val="9"/>
        <color rgb="FF595959"/>
        <rFont val="Noto Sans CJK SC"/>
        <family val="2"/>
      </rPr>
      <t xml:space="preserve">計費 </t>
    </r>
    <r>
      <rPr>
        <sz val="9"/>
        <color rgb="FF595959"/>
        <rFont val="Arial"/>
        <family val="0"/>
        <charset val="1"/>
      </rPr>
      <t xml:space="preserve">token</t>
    </r>
    <r>
      <rPr>
        <sz val="9"/>
        <color rgb="FF595959"/>
        <rFont val="Noto Sans CJK SC"/>
        <family val="2"/>
      </rPr>
      <t xml:space="preserve">），只對照</t>
    </r>
  </si>
  <si>
    <t xml:space="preserve">R69</t>
  </si>
  <si>
    <r>
      <rPr>
        <sz val="10"/>
        <color rgb="FF000000"/>
        <rFont val="Noto Sans CJK SC"/>
        <family val="2"/>
      </rPr>
      <t xml:space="preserve">公司說法：</t>
    </r>
    <r>
      <rPr>
        <sz val="10"/>
        <color rgb="FF000000"/>
        <rFont val="Arial"/>
        <family val="0"/>
        <charset val="1"/>
      </rPr>
      <t xml:space="preserve">API </t>
    </r>
    <r>
      <rPr>
        <sz val="10"/>
        <color rgb="FF000000"/>
        <rFont val="Noto Sans CJK SC"/>
        <family val="2"/>
      </rPr>
      <t xml:space="preserve">呼叫定價較 </t>
    </r>
    <r>
      <rPr>
        <sz val="10"/>
        <color rgb="FF000000"/>
        <rFont val="Arial"/>
        <family val="0"/>
        <charset val="1"/>
      </rPr>
      <t xml:space="preserve">2025 </t>
    </r>
    <r>
      <rPr>
        <sz val="10"/>
        <color rgb="FF000000"/>
        <rFont val="Noto Sans CJK SC"/>
        <family val="2"/>
      </rPr>
      <t xml:space="preserve">年底上升</t>
    </r>
  </si>
  <si>
    <r>
      <rPr>
        <sz val="9"/>
        <color rgb="FF595959"/>
        <rFont val="Arial"/>
        <family val="0"/>
        <charset val="1"/>
      </rPr>
      <t xml:space="preserve">Interested-party</t>
    </r>
    <r>
      <rPr>
        <sz val="9"/>
        <color rgb="FF595959"/>
        <rFont val="Noto Sans CJK SC"/>
        <family val="2"/>
      </rPr>
      <t xml:space="preserve">；只對照</t>
    </r>
  </si>
  <si>
    <t xml:space="preserve">R70</t>
  </si>
  <si>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雲端營收年化（</t>
    </r>
    <r>
      <rPr>
        <sz val="10"/>
        <color rgb="FF000000"/>
        <rFont val="Arial"/>
        <family val="0"/>
        <charset val="1"/>
      </rPr>
      <t xml:space="preserve">2H26 × 2</t>
    </r>
    <r>
      <rPr>
        <sz val="10"/>
        <color rgb="FF000000"/>
        <rFont val="Noto Sans CJK SC"/>
        <family val="2"/>
      </rPr>
      <t xml:space="preserve">）</t>
    </r>
  </si>
  <si>
    <r>
      <rPr>
        <sz val="9"/>
        <color rgb="FF595959"/>
        <rFont val="Noto Sans CJK SC"/>
        <family val="2"/>
      </rPr>
      <t xml:space="preserve">對照 </t>
    </r>
    <r>
      <rPr>
        <sz val="9"/>
        <color rgb="FF595959"/>
        <rFont val="Arial"/>
        <family val="0"/>
        <charset val="1"/>
      </rPr>
      <t xml:space="preserve">MaaS ARR</t>
    </r>
    <r>
      <rPr>
        <sz val="9"/>
        <color rgb="FF595959"/>
        <rFont val="Noto Sans CJK SC"/>
        <family val="2"/>
      </rPr>
      <t xml:space="preserve">（</t>
    </r>
    <r>
      <rPr>
        <sz val="9"/>
        <color rgb="FF595959"/>
        <rFont val="Arial"/>
        <family val="0"/>
        <charset val="1"/>
      </rPr>
      <t xml:space="preserve">D14r</t>
    </r>
    <r>
      <rPr>
        <sz val="9"/>
        <color rgb="FF595959"/>
        <rFont val="Noto Sans CJK SC"/>
        <family val="2"/>
      </rPr>
      <t xml:space="preserve">）</t>
    </r>
  </si>
  <si>
    <t xml:space="preserve">R71</t>
  </si>
  <si>
    <r>
      <rPr>
        <sz val="10"/>
        <color rgb="FF000000"/>
        <rFont val="Noto Sans CJK SC"/>
        <family val="2"/>
      </rPr>
      <t xml:space="preserve">公司說法：</t>
    </r>
    <r>
      <rPr>
        <sz val="10"/>
        <color rgb="FF000000"/>
        <rFont val="Arial"/>
        <family val="0"/>
        <charset val="1"/>
      </rPr>
      <t xml:space="preserve">MaaS ARR</t>
    </r>
    <r>
      <rPr>
        <sz val="10"/>
        <color rgb="FF000000"/>
        <rFont val="Noto Sans CJK SC"/>
        <family val="2"/>
      </rPr>
      <t xml:space="preserve">（</t>
    </r>
    <r>
      <rPr>
        <sz val="10"/>
        <color rgb="FF000000"/>
        <rFont val="Arial"/>
        <family val="0"/>
        <charset val="1"/>
      </rPr>
      <t xml:space="preserve">2026-08 </t>
    </r>
    <r>
      <rPr>
        <sz val="10"/>
        <color rgb="FF000000"/>
        <rFont val="Noto Sans CJK SC"/>
        <family val="2"/>
      </rPr>
      <t xml:space="preserve">月度年化）</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</si>
  <si>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SRC_ZP_417</t>
    </r>
    <r>
      <rPr>
        <sz val="9"/>
        <color rgb="FF595959"/>
        <rFont val="Noto Sans CJK SC"/>
        <family val="2"/>
      </rPr>
      <t xml:space="preserve">（</t>
    </r>
    <r>
      <rPr>
        <sz val="9"/>
        <color rgb="FF595959"/>
        <rFont val="Arial"/>
        <family val="0"/>
        <charset val="1"/>
      </rPr>
      <t xml:space="preserve">USD </t>
    </r>
    <r>
      <rPr>
        <sz val="9"/>
        <color rgb="FF595959"/>
        <rFont val="Noto Sans CJK SC"/>
        <family val="2"/>
      </rPr>
      <t xml:space="preserve">億）；</t>
    </r>
    <r>
      <rPr>
        <sz val="9"/>
        <color rgb="FF595959"/>
        <rFont val="Arial"/>
        <family val="0"/>
        <charset val="1"/>
      </rPr>
      <t xml:space="preserve">Interested-party</t>
    </r>
  </si>
  <si>
    <t xml:space="preserve">R72</t>
  </si>
  <si>
    <r>
      <rPr>
        <sz val="10"/>
        <color rgb="FF000000"/>
        <rFont val="Noto Sans CJK SC"/>
        <family val="2"/>
      </rPr>
      <t xml:space="preserve">差距：模型 </t>
    </r>
    <r>
      <rPr>
        <sz val="10"/>
        <color rgb="FF000000"/>
        <rFont val="Arial"/>
        <family val="0"/>
        <charset val="1"/>
      </rPr>
      <t xml:space="preserve">÷ ARR − 1</t>
    </r>
  </si>
  <si>
    <r>
      <rPr>
        <sz val="9"/>
        <color rgb="FF595959"/>
        <rFont val="Arial"/>
        <family val="0"/>
        <charset val="1"/>
      </rPr>
      <t xml:space="preserve">Checks WARN </t>
    </r>
    <r>
      <rPr>
        <sz val="9"/>
        <color rgb="FF595959"/>
        <rFont val="Noto Sans CJK SC"/>
        <family val="2"/>
      </rPr>
      <t xml:space="preserve">門檻 </t>
    </r>
    <r>
      <rPr>
        <sz val="9"/>
        <color rgb="FF595959"/>
        <rFont val="Arial"/>
        <family val="0"/>
        <charset val="1"/>
      </rPr>
      <t xml:space="preserve">25%</t>
    </r>
    <r>
      <rPr>
        <sz val="9"/>
        <color rgb="FF595959"/>
        <rFont val="Noto Sans CJK SC"/>
        <family val="2"/>
      </rPr>
      <t xml:space="preserve">（</t>
    </r>
    <r>
      <rPr>
        <sz val="9"/>
        <color rgb="FF595959"/>
        <rFont val="Arial"/>
        <family val="0"/>
        <charset val="1"/>
      </rPr>
      <t xml:space="preserve">D14r</t>
    </r>
    <r>
      <rPr>
        <sz val="9"/>
        <color rgb="FF595959"/>
        <rFont val="Noto Sans CJK SC"/>
        <family val="2"/>
      </rPr>
      <t xml:space="preserve">）</t>
    </r>
  </si>
  <si>
    <t xml:space="preserve">R73</t>
  </si>
  <si>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營收總額年化（</t>
    </r>
    <r>
      <rPr>
        <sz val="10"/>
        <color rgb="FF000000"/>
        <rFont val="Arial"/>
        <family val="0"/>
        <charset val="1"/>
      </rPr>
      <t xml:space="preserve">2H26 × 2</t>
    </r>
    <r>
      <rPr>
        <sz val="10"/>
        <color rgb="FF000000"/>
        <rFont val="Noto Sans CJK SC"/>
        <family val="2"/>
      </rPr>
      <t xml:space="preserve">）</t>
    </r>
  </si>
  <si>
    <r>
      <rPr>
        <sz val="9"/>
        <color rgb="FF595959"/>
        <rFont val="Noto Sans CJK SC"/>
        <family val="2"/>
      </rPr>
      <t xml:space="preserve">對照全業務 </t>
    </r>
    <r>
      <rPr>
        <sz val="9"/>
        <color rgb="FF595959"/>
        <rFont val="Arial"/>
        <family val="0"/>
        <charset val="1"/>
      </rPr>
      <t xml:space="preserve">ARR</t>
    </r>
  </si>
  <si>
    <t xml:space="preserve">R74</t>
  </si>
  <si>
    <r>
      <rPr>
        <sz val="10"/>
        <color rgb="FF000000"/>
        <rFont val="Noto Sans CJK SC"/>
        <family val="2"/>
      </rPr>
      <t xml:space="preserve">公司說法：全業務 </t>
    </r>
    <r>
      <rPr>
        <sz val="10"/>
        <color rgb="FF000000"/>
        <rFont val="Arial"/>
        <family val="0"/>
        <charset val="1"/>
      </rPr>
      <t xml:space="preserve">ARR</t>
    </r>
    <r>
      <rPr>
        <sz val="10"/>
        <color rgb="FF000000"/>
        <rFont val="Noto Sans CJK SC"/>
        <family val="2"/>
      </rPr>
      <t xml:space="preserve">（</t>
    </r>
    <r>
      <rPr>
        <sz val="10"/>
        <color rgb="FF000000"/>
        <rFont val="Arial"/>
        <family val="0"/>
        <charset val="1"/>
      </rPr>
      <t xml:space="preserve">2026-09</t>
    </r>
    <r>
      <rPr>
        <sz val="10"/>
        <color rgb="FF000000"/>
        <rFont val="Noto Sans CJK SC"/>
        <family val="2"/>
      </rPr>
      <t xml:space="preserve">）</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</si>
  <si>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SRC_ZP_419</t>
    </r>
    <r>
      <rPr>
        <sz val="9"/>
        <color rgb="FF595959"/>
        <rFont val="Noto Sans CJK SC"/>
        <family val="2"/>
      </rPr>
      <t xml:space="preserve">（</t>
    </r>
    <r>
      <rPr>
        <sz val="9"/>
        <color rgb="FF595959"/>
        <rFont val="Arial"/>
        <family val="0"/>
        <charset val="1"/>
      </rPr>
      <t xml:space="preserve">USD </t>
    </r>
    <r>
      <rPr>
        <sz val="9"/>
        <color rgb="FF595959"/>
        <rFont val="Noto Sans CJK SC"/>
        <family val="2"/>
      </rPr>
      <t xml:space="preserve">億）；</t>
    </r>
    <r>
      <rPr>
        <sz val="9"/>
        <color rgb="FF595959"/>
        <rFont val="Arial"/>
        <family val="0"/>
        <charset val="1"/>
      </rPr>
      <t xml:space="preserve">Interested-party</t>
    </r>
  </si>
  <si>
    <t xml:space="preserve">R75</t>
  </si>
  <si>
    <r>
      <rPr>
        <sz val="10"/>
        <color rgb="FF000000"/>
        <rFont val="Noto Sans CJK SC"/>
        <family val="2"/>
      </rPr>
      <t xml:space="preserve">差距：模型 </t>
    </r>
    <r>
      <rPr>
        <sz val="10"/>
        <color rgb="FF000000"/>
        <rFont val="Arial"/>
        <family val="0"/>
        <charset val="1"/>
      </rPr>
      <t xml:space="preserve">÷ </t>
    </r>
    <r>
      <rPr>
        <sz val="10"/>
        <color rgb="FF000000"/>
        <rFont val="Noto Sans CJK SC"/>
        <family val="2"/>
      </rPr>
      <t xml:space="preserve">全業務 </t>
    </r>
    <r>
      <rPr>
        <sz val="10"/>
        <color rgb="FF000000"/>
        <rFont val="Arial"/>
        <family val="0"/>
        <charset val="1"/>
      </rPr>
      <t xml:space="preserve">ARR − 1</t>
    </r>
  </si>
  <si>
    <r>
      <rPr>
        <sz val="9"/>
        <color rgb="FF595959"/>
        <rFont val="Arial"/>
        <family val="0"/>
        <charset val="1"/>
      </rPr>
      <t xml:space="preserve">Checks WARN </t>
    </r>
    <r>
      <rPr>
        <sz val="9"/>
        <color rgb="FF595959"/>
        <rFont val="Noto Sans CJK SC"/>
        <family val="2"/>
      </rPr>
      <t xml:space="preserve">門檻 </t>
    </r>
    <r>
      <rPr>
        <sz val="9"/>
        <color rgb="FF595959"/>
        <rFont val="Arial"/>
        <family val="0"/>
        <charset val="1"/>
      </rPr>
      <t xml:space="preserve">25%</t>
    </r>
  </si>
  <si>
    <t xml:space="preserve">R76</t>
  </si>
  <si>
    <r>
      <rPr>
        <sz val="10"/>
        <color rgb="FF000000"/>
        <rFont val="Noto Sans CJK SC"/>
        <family val="2"/>
      </rPr>
      <t xml:space="preserve">分析師共識營收 </t>
    </r>
    <r>
      <rPr>
        <sz val="10"/>
        <color rgb="FF000000"/>
        <rFont val="Arial"/>
        <family val="0"/>
        <charset val="1"/>
      </rPr>
      <t xml:space="preserve">FY2026</t>
    </r>
    <r>
      <rPr>
        <sz val="10"/>
        <color rgb="FF000000"/>
        <rFont val="Noto Sans CJK SC"/>
        <family val="2"/>
      </rPr>
      <t xml:space="preserve">（</t>
    </r>
    <r>
      <rPr>
        <sz val="10"/>
        <color rgb="FF000000"/>
        <rFont val="Arial"/>
        <family val="0"/>
        <charset val="1"/>
      </rPr>
      <t xml:space="preserve">Simply Wall St</t>
    </r>
    <r>
      <rPr>
        <sz val="10"/>
        <color rgb="FF000000"/>
        <rFont val="Noto Sans CJK SC"/>
        <family val="2"/>
      </rPr>
      <t xml:space="preserve">）</t>
    </r>
  </si>
  <si>
    <r>
      <rPr>
        <sz val="9"/>
        <color rgb="FF595959"/>
        <rFont val="Arial"/>
        <family val="0"/>
        <charset val="1"/>
      </rPr>
      <t xml:space="preserve">SRC_ZP_582</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（券商交易誘因）；只對照</t>
    </r>
  </si>
  <si>
    <t xml:space="preserve">R77</t>
  </si>
  <si>
    <r>
      <rPr>
        <sz val="10"/>
        <color rgb="FF000000"/>
        <rFont val="Noto Sans CJK SC"/>
        <family val="2"/>
      </rPr>
      <t xml:space="preserve">差距：模型 </t>
    </r>
    <r>
      <rPr>
        <sz val="10"/>
        <color rgb="FF000000"/>
        <rFont val="Arial"/>
        <family val="0"/>
        <charset val="1"/>
      </rPr>
      <t xml:space="preserve">2026 </t>
    </r>
    <r>
      <rPr>
        <sz val="10"/>
        <color rgb="FF000000"/>
        <rFont val="Noto Sans CJK SC"/>
        <family val="2"/>
      </rPr>
      <t xml:space="preserve">總額 − 共識</t>
    </r>
  </si>
  <si>
    <t xml:space="preserve">R78</t>
  </si>
  <si>
    <r>
      <rPr>
        <sz val="10"/>
        <color rgb="FF000000"/>
        <rFont val="Arial"/>
        <family val="0"/>
        <charset val="1"/>
      </rPr>
      <t xml:space="preserve">TK</t>
    </r>
    <r>
      <rPr>
        <sz val="10"/>
        <color rgb="FF000000"/>
        <rFont val="Noto Sans CJK SC"/>
        <family val="2"/>
      </rPr>
      <t xml:space="preserve">：</t>
    </r>
    <r>
      <rPr>
        <sz val="10"/>
        <color rgb="FF000000"/>
        <rFont val="Arial"/>
        <family val="0"/>
        <charset val="1"/>
      </rPr>
      <t xml:space="preserve">GLM-5.3 </t>
    </r>
    <r>
      <rPr>
        <sz val="10"/>
        <color rgb="FF000000"/>
        <rFont val="Noto Sans CJK SC"/>
        <family val="2"/>
      </rPr>
      <t xml:space="preserve">國際站輸入價 </t>
    </r>
    <r>
      <rPr>
        <sz val="10"/>
        <color rgb="FF000000"/>
        <rFont val="Arial"/>
        <family val="0"/>
        <charset val="1"/>
      </rPr>
      <t xml:space="preserve">× </t>
    </r>
    <r>
      <rPr>
        <sz val="10"/>
        <color rgb="FF000000"/>
        <rFont val="Noto Sans CJK SC"/>
        <family val="2"/>
      </rPr>
      <t xml:space="preserve">匯率 </t>
    </r>
    <r>
      <rPr>
        <sz val="10"/>
        <color rgb="FF000000"/>
        <rFont val="Arial"/>
        <family val="0"/>
        <charset val="1"/>
      </rPr>
      <t xml:space="preserve">÷ </t>
    </r>
    <r>
      <rPr>
        <sz val="10"/>
        <color rgb="FF000000"/>
        <rFont val="Noto Sans CJK SC"/>
        <family val="2"/>
      </rPr>
      <t xml:space="preserve">本模型 </t>
    </r>
    <r>
      <rPr>
        <sz val="10"/>
        <color rgb="FF000000"/>
        <rFont val="Arial"/>
        <family val="0"/>
        <charset val="1"/>
      </rPr>
      <t xml:space="preserve">2H26 Sol </t>
    </r>
    <r>
      <rPr>
        <sz val="10"/>
        <color rgb="FF000000"/>
        <rFont val="Noto Sans CJK SC"/>
        <family val="2"/>
      </rPr>
      <t xml:space="preserve">人民幣輸入牌價</t>
    </r>
  </si>
  <si>
    <r>
      <rPr>
        <sz val="9"/>
        <color rgb="FF595959"/>
        <rFont val="Arial"/>
        <family val="0"/>
        <charset val="1"/>
      </rPr>
      <t xml:space="preserve">Tokenomics Cap_In F </t>
    </r>
    <r>
      <rPr>
        <sz val="9"/>
        <color rgb="FF595959"/>
        <rFont val="Noto Sans CJK SC"/>
        <family val="2"/>
      </rPr>
      <t xml:space="preserve">表（讀表）；國際站美元價換人民幣後對國內牌價</t>
    </r>
  </si>
  <si>
    <t xml:space="preserve">R79</t>
  </si>
  <si>
    <r>
      <rPr>
        <sz val="10"/>
        <color rgb="FF000000"/>
        <rFont val="Arial"/>
        <family val="0"/>
        <charset val="1"/>
      </rPr>
      <t xml:space="preserve">TK</t>
    </r>
    <r>
      <rPr>
        <sz val="10"/>
        <color rgb="FF000000"/>
        <rFont val="Noto Sans CJK SC"/>
        <family val="2"/>
      </rPr>
      <t xml:space="preserve">：</t>
    </r>
    <r>
      <rPr>
        <sz val="10"/>
        <color rgb="FF000000"/>
        <rFont val="Arial"/>
        <family val="0"/>
        <charset val="1"/>
      </rPr>
      <t xml:space="preserve">GLM-5.3 </t>
    </r>
    <r>
      <rPr>
        <sz val="10"/>
        <color rgb="FF000000"/>
        <rFont val="Noto Sans CJK SC"/>
        <family val="2"/>
      </rPr>
      <t xml:space="preserve">國際站輸出價 </t>
    </r>
    <r>
      <rPr>
        <sz val="10"/>
        <color rgb="FF000000"/>
        <rFont val="Arial"/>
        <family val="0"/>
        <charset val="1"/>
      </rPr>
      <t xml:space="preserve">× </t>
    </r>
    <r>
      <rPr>
        <sz val="10"/>
        <color rgb="FF000000"/>
        <rFont val="Noto Sans CJK SC"/>
        <family val="2"/>
      </rPr>
      <t xml:space="preserve">匯率 </t>
    </r>
    <r>
      <rPr>
        <sz val="10"/>
        <color rgb="FF000000"/>
        <rFont val="Arial"/>
        <family val="0"/>
        <charset val="1"/>
      </rPr>
      <t xml:space="preserve">÷ </t>
    </r>
    <r>
      <rPr>
        <sz val="10"/>
        <color rgb="FF000000"/>
        <rFont val="Noto Sans CJK SC"/>
        <family val="2"/>
      </rPr>
      <t xml:space="preserve">本模型 </t>
    </r>
    <r>
      <rPr>
        <sz val="10"/>
        <color rgb="FF000000"/>
        <rFont val="Arial"/>
        <family val="0"/>
        <charset val="1"/>
      </rPr>
      <t xml:space="preserve">2H26 Sol </t>
    </r>
    <r>
      <rPr>
        <sz val="10"/>
        <color rgb="FF000000"/>
        <rFont val="Noto Sans CJK SC"/>
        <family val="2"/>
      </rPr>
      <t xml:space="preserve">人民幣輸出牌價</t>
    </r>
  </si>
  <si>
    <t xml:space="preserve">R80</t>
  </si>
  <si>
    <r>
      <rPr>
        <sz val="10"/>
        <color rgb="FF000000"/>
        <rFont val="Arial"/>
        <family val="0"/>
        <charset val="1"/>
      </rPr>
      <t xml:space="preserve">TK</t>
    </r>
    <r>
      <rPr>
        <sz val="10"/>
        <color rgb="FF000000"/>
        <rFont val="Noto Sans CJK SC"/>
        <family val="2"/>
      </rPr>
      <t xml:space="preserve">：中國合格前緣（</t>
    </r>
    <r>
      <rPr>
        <sz val="10"/>
        <color rgb="FF000000"/>
        <rFont val="Arial"/>
        <family val="0"/>
        <charset val="1"/>
      </rPr>
      <t xml:space="preserve">Luna</t>
    </r>
    <r>
      <rPr>
        <sz val="10"/>
        <color rgb="FF000000"/>
        <rFont val="Noto Sans CJK SC"/>
        <family val="2"/>
      </rPr>
      <t xml:space="preserve">）混合單價 </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</si>
  <si>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Tokenomics Price_Frontier B </t>
    </r>
    <r>
      <rPr>
        <sz val="9"/>
        <color rgb="FF595959"/>
        <rFont val="Noto Sans CJK SC"/>
        <family val="2"/>
      </rPr>
      <t xml:space="preserve">表（讀表；前緣模型 </t>
    </r>
    <r>
      <rPr>
        <sz val="9"/>
        <color rgb="FF595959"/>
        <rFont val="Arial"/>
        <family val="0"/>
        <charset val="1"/>
      </rPr>
      <t xml:space="preserve">GLM-5.3-Flash</t>
    </r>
    <r>
      <rPr>
        <sz val="9"/>
        <color rgb="FF595959"/>
        <rFont val="Noto Sans CJK SC"/>
        <family val="2"/>
      </rPr>
      <t xml:space="preserve">）；</t>
    </r>
    <r>
      <rPr>
        <sz val="9"/>
        <color rgb="FF595959"/>
        <rFont val="Arial"/>
        <family val="0"/>
        <charset val="1"/>
      </rPr>
      <t xml:space="preserve">Tokenomics </t>
    </r>
    <r>
      <rPr>
        <sz val="9"/>
        <color rgb="FF595959"/>
        <rFont val="Noto Sans CJK SC"/>
        <family val="2"/>
      </rPr>
      <t xml:space="preserve">參考請求混合口徑，未扣折扣</t>
    </r>
  </si>
  <si>
    <t xml:space="preserve">R81</t>
  </si>
  <si>
    <r>
      <rPr>
        <sz val="10"/>
        <color rgb="FF000000"/>
        <rFont val="Arial"/>
        <family val="0"/>
        <charset val="1"/>
      </rPr>
      <t xml:space="preserve">TK</t>
    </r>
    <r>
      <rPr>
        <sz val="10"/>
        <color rgb="FF000000"/>
        <rFont val="Noto Sans CJK SC"/>
        <family val="2"/>
      </rPr>
      <t xml:space="preserve">：</t>
    </r>
    <r>
      <rPr>
        <sz val="10"/>
        <color rgb="FF000000"/>
        <rFont val="Arial"/>
        <family val="0"/>
        <charset val="1"/>
      </rPr>
      <t xml:space="preserve">GLM-5.3 </t>
    </r>
    <r>
      <rPr>
        <sz val="10"/>
        <color rgb="FF000000"/>
        <rFont val="Noto Sans CJK SC"/>
        <family val="2"/>
      </rPr>
      <t xml:space="preserve">參考請求混合單價 </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</si>
  <si>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Tokenomics Price_Frontier A </t>
    </r>
    <r>
      <rPr>
        <sz val="9"/>
        <color rgb="FF595959"/>
        <rFont val="Noto Sans CJK SC"/>
        <family val="2"/>
      </rPr>
      <t xml:space="preserve">表（讀表，</t>
    </r>
    <r>
      <rPr>
        <sz val="9"/>
        <color rgb="FF595959"/>
        <rFont val="Arial"/>
        <family val="0"/>
        <charset val="1"/>
      </rPr>
      <t xml:space="preserve">Sol </t>
    </r>
    <r>
      <rPr>
        <sz val="9"/>
        <color rgb="FF595959"/>
        <rFont val="Noto Sans CJK SC"/>
        <family val="2"/>
      </rPr>
      <t xml:space="preserve">參考請求）</t>
    </r>
  </si>
  <si>
    <t xml:space="preserve">R82</t>
  </si>
  <si>
    <r>
      <rPr>
        <sz val="10"/>
        <color rgb="FF000000"/>
        <rFont val="Noto Sans CJK SC"/>
        <family val="2"/>
      </rPr>
      <t xml:space="preserve">本模型 </t>
    </r>
    <r>
      <rPr>
        <sz val="10"/>
        <color rgb="FF000000"/>
        <rFont val="Arial"/>
        <family val="0"/>
        <charset val="1"/>
      </rPr>
      <t xml:space="preserve">2H26 </t>
    </r>
    <r>
      <rPr>
        <sz val="10"/>
        <color rgb="FF000000"/>
        <rFont val="Noto Sans CJK SC"/>
        <family val="2"/>
      </rPr>
      <t xml:space="preserve">有效單價 </t>
    </r>
    <r>
      <rPr>
        <sz val="10"/>
        <color rgb="FF000000"/>
        <rFont val="Arial"/>
        <family val="0"/>
        <charset val="1"/>
      </rPr>
      <t xml:space="preserve">÷ TK </t>
    </r>
    <r>
      <rPr>
        <sz val="10"/>
        <color rgb="FF000000"/>
        <rFont val="Noto Sans CJK SC"/>
        <family val="2"/>
      </rPr>
      <t xml:space="preserve">混合單價（</t>
    </r>
    <r>
      <rPr>
        <sz val="10"/>
        <color rgb="FF000000"/>
        <rFont val="Arial"/>
        <family val="0"/>
        <charset val="1"/>
      </rPr>
      <t xml:space="preserve">Sol</t>
    </r>
    <r>
      <rPr>
        <sz val="10"/>
        <color rgb="FF000000"/>
        <rFont val="Noto Sans CJK SC"/>
        <family val="2"/>
      </rPr>
      <t xml:space="preserve">）</t>
    </r>
  </si>
  <si>
    <t xml:space="preserve">口徑：本模型含快取、輸出占比與折扣；只列差距</t>
  </si>
  <si>
    <t xml:space="preserve">R83</t>
  </si>
  <si>
    <r>
      <rPr>
        <sz val="10"/>
        <color rgb="FF000000"/>
        <rFont val="Noto Sans CJK SC"/>
        <family val="2"/>
      </rPr>
      <t xml:space="preserve">本模型 </t>
    </r>
    <r>
      <rPr>
        <sz val="10"/>
        <color rgb="FF000000"/>
        <rFont val="Arial"/>
        <family val="0"/>
        <charset val="1"/>
      </rPr>
      <t xml:space="preserve">2H26 </t>
    </r>
    <r>
      <rPr>
        <sz val="10"/>
        <color rgb="FF000000"/>
        <rFont val="Noto Sans CJK SC"/>
        <family val="2"/>
      </rPr>
      <t xml:space="preserve">有效單價 </t>
    </r>
    <r>
      <rPr>
        <sz val="10"/>
        <color rgb="FF000000"/>
        <rFont val="Arial"/>
        <family val="0"/>
        <charset val="1"/>
      </rPr>
      <t xml:space="preserve">÷ TK </t>
    </r>
    <r>
      <rPr>
        <sz val="10"/>
        <color rgb="FF000000"/>
        <rFont val="Noto Sans CJK SC"/>
        <family val="2"/>
      </rPr>
      <t xml:space="preserve">中國合格前緣（</t>
    </r>
    <r>
      <rPr>
        <sz val="10"/>
        <color rgb="FF000000"/>
        <rFont val="Arial"/>
        <family val="0"/>
        <charset val="1"/>
      </rPr>
      <t xml:space="preserve">Luna</t>
    </r>
    <r>
      <rPr>
        <sz val="10"/>
        <color rgb="FF000000"/>
        <rFont val="Noto Sans CJK SC"/>
        <family val="2"/>
      </rPr>
      <t xml:space="preserve">）</t>
    </r>
  </si>
  <si>
    <r>
      <rPr>
        <b val="true"/>
        <sz val="13"/>
        <rFont val="Arial"/>
        <family val="0"/>
        <charset val="1"/>
      </rPr>
      <t xml:space="preserve">Compute — </t>
    </r>
    <r>
      <rPr>
        <b val="true"/>
        <sz val="13"/>
        <rFont val="Noto Sans CJK SC"/>
        <family val="2"/>
      </rPr>
      <t xml:space="preserve">算力：晶片族（</t>
    </r>
    <r>
      <rPr>
        <b val="true"/>
        <sz val="13"/>
        <rFont val="Arial"/>
        <family val="0"/>
        <charset val="1"/>
      </rPr>
      <t xml:space="preserve">Hopper</t>
    </r>
    <r>
      <rPr>
        <b val="true"/>
        <sz val="13"/>
        <rFont val="Noto Sans CJK SC"/>
        <family val="2"/>
      </rPr>
      <t xml:space="preserve">／</t>
    </r>
    <r>
      <rPr>
        <b val="true"/>
        <sz val="13"/>
        <rFont val="Arial"/>
        <family val="0"/>
        <charset val="1"/>
      </rPr>
      <t xml:space="preserve">H20</t>
    </r>
    <r>
      <rPr>
        <b val="true"/>
        <sz val="13"/>
        <rFont val="Noto Sans CJK SC"/>
        <family val="2"/>
      </rPr>
      <t xml:space="preserve">／國產）每 </t>
    </r>
    <r>
      <rPr>
        <b val="true"/>
        <sz val="13"/>
        <rFont val="Arial"/>
        <family val="0"/>
        <charset val="1"/>
      </rPr>
      <t xml:space="preserve">GW </t>
    </r>
    <r>
      <rPr>
        <b val="true"/>
        <sz val="13"/>
        <rFont val="Noto Sans CJK SC"/>
        <family val="2"/>
      </rPr>
      <t xml:space="preserve">產能、組合、</t>
    </r>
    <r>
      <rPr>
        <b val="true"/>
        <sz val="13"/>
        <rFont val="Arial"/>
        <family val="0"/>
        <charset val="1"/>
      </rPr>
      <t xml:space="preserve">token </t>
    </r>
    <r>
      <rPr>
        <b val="true"/>
        <sz val="13"/>
        <rFont val="Noto Sans CJK SC"/>
        <family val="2"/>
      </rPr>
      <t xml:space="preserve">換算 </t>
    </r>
    <r>
      <rPr>
        <b val="true"/>
        <sz val="13"/>
        <rFont val="Arial"/>
        <family val="0"/>
        <charset val="1"/>
      </rPr>
      <t xml:space="preserve">GW</t>
    </r>
    <r>
      <rPr>
        <b val="true"/>
        <sz val="13"/>
        <rFont val="Noto Sans CJK SC"/>
        <family val="2"/>
      </rPr>
      <t xml:space="preserve">、算力服務費與每 </t>
    </r>
    <r>
      <rPr>
        <b val="true"/>
        <sz val="13"/>
        <rFont val="Arial"/>
        <family val="0"/>
        <charset val="1"/>
      </rPr>
      <t xml:space="preserve">GW </t>
    </r>
    <r>
      <rPr>
        <b val="true"/>
        <sz val="13"/>
        <rFont val="Noto Sans CJK SC"/>
        <family val="2"/>
      </rPr>
      <t xml:space="preserve">價格 → 供給 </t>
    </r>
    <r>
      <rPr>
        <b val="true"/>
        <sz val="13"/>
        <rFont val="Arial"/>
        <family val="0"/>
        <charset val="1"/>
      </rPr>
      <t xml:space="preserve">GW</t>
    </r>
    <r>
      <rPr>
        <b val="true"/>
        <sz val="13"/>
        <rFont val="Noto Sans CJK SC"/>
        <family val="2"/>
      </rPr>
      <t xml:space="preserve">、</t>
    </r>
    <r>
      <rPr>
        <b val="true"/>
        <sz val="13"/>
        <rFont val="Arial"/>
        <family val="0"/>
        <charset val="1"/>
      </rPr>
      <t xml:space="preserve">η</t>
    </r>
    <r>
      <rPr>
        <b val="true"/>
        <sz val="13"/>
        <rFont val="Noto Sans CJK SC"/>
        <family val="2"/>
      </rPr>
      <t xml:space="preserve">、有效推論 </t>
    </r>
    <r>
      <rPr>
        <b val="true"/>
        <sz val="13"/>
        <rFont val="Arial"/>
        <family val="0"/>
        <charset val="1"/>
      </rPr>
      <t xml:space="preserve">GW</t>
    </r>
    <r>
      <rPr>
        <b val="true"/>
        <sz val="13"/>
        <rFont val="Noto Sans CJK SC"/>
        <family val="2"/>
      </rPr>
      <t xml:space="preserve">、研發 </t>
    </r>
    <r>
      <rPr>
        <b val="true"/>
        <sz val="13"/>
        <rFont val="Arial"/>
        <family val="0"/>
        <charset val="1"/>
      </rPr>
      <t xml:space="preserve">GW</t>
    </r>
    <r>
      <rPr>
        <b val="true"/>
        <sz val="13"/>
        <rFont val="Noto Sans CJK SC"/>
        <family val="2"/>
      </rPr>
      <t xml:space="preserve">（殘差）、容量上限、</t>
    </r>
    <r>
      <rPr>
        <b val="true"/>
        <sz val="13"/>
        <rFont val="Arial"/>
        <family val="0"/>
        <charset val="1"/>
      </rPr>
      <t xml:space="preserve">VR </t>
    </r>
    <r>
      <rPr>
        <b val="true"/>
        <sz val="13"/>
        <rFont val="Noto Sans CJK SC"/>
        <family val="2"/>
      </rPr>
      <t xml:space="preserve">等值、</t>
    </r>
    <r>
      <rPr>
        <b val="true"/>
        <sz val="13"/>
        <rFont val="Arial"/>
        <family val="0"/>
        <charset val="1"/>
      </rPr>
      <t xml:space="preserve">10 </t>
    </r>
    <r>
      <rPr>
        <b val="true"/>
        <sz val="13"/>
        <rFont val="Noto Sans CJK SC"/>
        <family val="2"/>
      </rPr>
      <t xml:space="preserve">萬國產晶片對照、敏感度</t>
    </r>
  </si>
  <si>
    <r>
      <rPr>
        <sz val="9"/>
        <color rgb="FF595959"/>
        <rFont val="Noto Sans CJK SC"/>
        <family val="2"/>
      </rPr>
      <t xml:space="preserve">規格 </t>
    </r>
    <r>
      <rPr>
        <sz val="9"/>
        <color rgb="FF595959"/>
        <rFont val="Arial"/>
        <family val="0"/>
        <charset val="1"/>
      </rPr>
      <t xml:space="preserve">D6–D12</t>
    </r>
    <r>
      <rPr>
        <sz val="9"/>
        <color rgb="FF595959"/>
        <rFont val="Noto Sans CJK SC"/>
        <family val="2"/>
      </rPr>
      <t xml:space="preserve">、</t>
    </r>
    <r>
      <rPr>
        <sz val="9"/>
        <color rgb="FF595959"/>
        <rFont val="Arial"/>
        <family val="0"/>
        <charset val="1"/>
      </rPr>
      <t xml:space="preserve">r1 D8r</t>
    </r>
    <r>
      <rPr>
        <sz val="9"/>
        <color rgb="FF595959"/>
        <rFont val="Noto Sans CJK SC"/>
        <family val="2"/>
      </rPr>
      <t xml:space="preserve">／</t>
    </r>
    <r>
      <rPr>
        <sz val="9"/>
        <color rgb="FF595959"/>
        <rFont val="Arial"/>
        <family val="0"/>
        <charset val="1"/>
      </rPr>
      <t xml:space="preserve">D9r</t>
    </r>
    <r>
      <rPr>
        <sz val="9"/>
        <color rgb="FF595959"/>
        <rFont val="Noto Sans CJK SC"/>
        <family val="2"/>
      </rPr>
      <t xml:space="preserve">／</t>
    </r>
    <r>
      <rPr>
        <sz val="9"/>
        <color rgb="FF595959"/>
        <rFont val="Arial"/>
        <family val="0"/>
        <charset val="1"/>
      </rPr>
      <t xml:space="preserve">D10r</t>
    </r>
    <r>
      <rPr>
        <sz val="9"/>
        <color rgb="FF595959"/>
        <rFont val="Noto Sans CJK SC"/>
        <family val="2"/>
      </rPr>
      <t xml:space="preserve">／</t>
    </r>
    <r>
      <rPr>
        <sz val="9"/>
        <color rgb="FF595959"/>
        <rFont val="Arial"/>
        <family val="0"/>
        <charset val="1"/>
      </rPr>
      <t xml:space="preserve">D11r</t>
    </r>
    <r>
      <rPr>
        <sz val="9"/>
        <color rgb="FF595959"/>
        <rFont val="Noto Sans CJK SC"/>
        <family val="2"/>
      </rPr>
      <t xml:space="preserve">。產能取 </t>
    </r>
    <r>
      <rPr>
        <sz val="9"/>
        <color rgb="FF595959"/>
        <rFont val="Arial"/>
        <family val="0"/>
        <charset val="1"/>
      </rPr>
      <t xml:space="preserve">TK_Link</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欄的 </t>
    </r>
    <r>
      <rPr>
        <sz val="9"/>
        <color rgb="FF595959"/>
        <rFont val="Arial"/>
        <family val="0"/>
        <charset val="1"/>
      </rPr>
      <t xml:space="preserve">IF_TokGW_*</t>
    </r>
    <r>
      <rPr>
        <sz val="9"/>
        <color rgb="FF595959"/>
        <rFont val="Noto Sans CJK SC"/>
        <family val="2"/>
      </rPr>
      <t xml:space="preserve">、</t>
    </r>
    <r>
      <rPr>
        <sz val="9"/>
        <color rgb="FF595959"/>
        <rFont val="Arial"/>
        <family val="0"/>
        <charset val="1"/>
      </rPr>
      <t xml:space="preserve">IF_Util</t>
    </r>
    <r>
      <rPr>
        <sz val="9"/>
        <color rgb="FF595959"/>
        <rFont val="Noto Sans CJK SC"/>
        <family val="2"/>
      </rPr>
      <t xml:space="preserve">）；</t>
    </r>
    <r>
      <rPr>
        <sz val="9"/>
        <color rgb="FF595959"/>
        <rFont val="Arial"/>
        <family val="0"/>
        <charset val="1"/>
      </rPr>
      <t xml:space="preserve">H20</t>
    </r>
    <r>
      <rPr>
        <sz val="9"/>
        <color rgb="FF595959"/>
        <rFont val="Noto Sans CJK SC"/>
        <family val="2"/>
      </rPr>
      <t xml:space="preserve">、國產＝</t>
    </r>
    <r>
      <rPr>
        <sz val="9"/>
        <color rgb="FF595959"/>
        <rFont val="Arial"/>
        <family val="0"/>
        <charset val="1"/>
      </rPr>
      <t xml:space="preserve">Hopper × Inputs </t>
    </r>
    <r>
      <rPr>
        <sz val="9"/>
        <color rgb="FF595959"/>
        <rFont val="Noto Sans CJK SC"/>
        <family val="2"/>
      </rPr>
      <t xml:space="preserve">比例（</t>
    </r>
    <r>
      <rPr>
        <sz val="9"/>
        <color rgb="FF595959"/>
        <rFont val="Arial"/>
        <family val="0"/>
        <charset val="1"/>
      </rPr>
      <t xml:space="preserve">Tokenomics </t>
    </r>
    <r>
      <rPr>
        <sz val="9"/>
        <color rgb="FF595959"/>
        <rFont val="Noto Sans CJK SC"/>
        <family val="2"/>
      </rPr>
      <t xml:space="preserve">缺口）。</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：供給 </t>
    </r>
    <r>
      <rPr>
        <sz val="9"/>
        <color rgb="FF595959"/>
        <rFont val="Arial"/>
        <family val="0"/>
        <charset val="1"/>
      </rPr>
      <t xml:space="preserve">GW</t>
    </r>
    <r>
      <rPr>
        <sz val="9"/>
        <color rgb="FF595959"/>
        <rFont val="Noto Sans CJK SC"/>
        <family val="2"/>
      </rPr>
      <t xml:space="preserve">＝算力服務費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價格（智譜不揭露 </t>
    </r>
    <r>
      <rPr>
        <sz val="9"/>
        <color rgb="FF595959"/>
        <rFont val="Arial"/>
        <family val="0"/>
        <charset val="1"/>
      </rPr>
      <t xml:space="preserve">GW</t>
    </r>
    <r>
      <rPr>
        <sz val="9"/>
        <color rgb="FF595959"/>
        <rFont val="Noto Sans CJK SC"/>
        <family val="2"/>
      </rPr>
      <t xml:space="preserve">，只能由金額推）；</t>
    </r>
    <r>
      <rPr>
        <sz val="9"/>
        <color rgb="FF595959"/>
        <rFont val="Arial"/>
        <family val="0"/>
        <charset val="1"/>
      </rPr>
      <t xml:space="preserve">η</t>
    </r>
    <r>
      <rPr>
        <sz val="9"/>
        <color rgb="FF595959"/>
        <rFont val="Noto Sans CJK SC"/>
        <family val="2"/>
      </rPr>
      <t xml:space="preserve">＝</t>
    </r>
    <r>
      <rPr>
        <sz val="9"/>
        <color rgb="FF595959"/>
        <rFont val="Arial"/>
        <family val="0"/>
        <charset val="1"/>
      </rPr>
      <t xml:space="preserve">token </t>
    </r>
    <r>
      <rPr>
        <sz val="9"/>
        <color rgb="FF595959"/>
        <rFont val="Noto Sans CJK SC"/>
        <family val="2"/>
      </rPr>
      <t xml:space="preserve">換算推論 </t>
    </r>
    <r>
      <rPr>
        <sz val="9"/>
        <color rgb="FF595959"/>
        <rFont val="Arial"/>
        <family val="0"/>
        <charset val="1"/>
      </rPr>
      <t xml:space="preserve">GW ÷ </t>
    </r>
    <r>
      <rPr>
        <sz val="9"/>
        <color rgb="FF595959"/>
        <rFont val="Noto Sans CJK SC"/>
        <family val="2"/>
      </rPr>
      <t xml:space="preserve">支出換算推論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2H26 </t>
    </r>
    <r>
      <rPr>
        <sz val="9"/>
        <color rgb="FF595959"/>
        <rFont val="Noto Sans CJK SC"/>
        <family val="2"/>
      </rPr>
      <t xml:space="preserve">起：供給依需求配置（見第八節）。</t>
    </r>
  </si>
  <si>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IT </t>
    </r>
    <r>
      <rPr>
        <sz val="9"/>
        <color rgb="FF595959"/>
        <rFont val="Noto Sans CJK SC"/>
        <family val="2"/>
      </rPr>
      <t xml:space="preserve">關鍵電力、期間平均；半年欄（</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L</t>
    </r>
    <r>
      <rPr>
        <sz val="9"/>
        <color rgb="FF595959"/>
        <rFont val="Noto Sans CJK SC"/>
        <family val="2"/>
      </rPr>
      <t xml:space="preserve">）為該半年平均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E</t>
    </r>
    <r>
      <rPr>
        <sz val="9"/>
        <color rgb="FF595959"/>
        <rFont val="Noto Sans CJK SC"/>
        <family val="2"/>
      </rPr>
      <t xml:space="preserve">）＝兩個半年依天數加權。每 </t>
    </r>
    <r>
      <rPr>
        <sz val="9"/>
        <color rgb="FF595959"/>
        <rFont val="Arial"/>
        <family val="0"/>
        <charset val="1"/>
      </rPr>
      <t xml:space="preserve">GW </t>
    </r>
    <r>
      <rPr>
        <sz val="9"/>
        <color rgb="FF595959"/>
        <rFont val="Noto Sans CJK SC"/>
        <family val="2"/>
      </rPr>
      <t xml:space="preserve">價格 </t>
    </r>
    <r>
      <rPr>
        <sz val="9"/>
        <color rgb="FF595959"/>
        <rFont val="Arial"/>
        <family val="0"/>
        <charset val="1"/>
      </rPr>
      <t xml:space="preserve">RMB </t>
    </r>
    <r>
      <rPr>
        <sz val="9"/>
        <color rgb="FF595959"/>
        <rFont val="Noto Sans CJK SC"/>
        <family val="2"/>
      </rPr>
      <t xml:space="preserve">億／</t>
    </r>
    <r>
      <rPr>
        <sz val="9"/>
        <color rgb="FF595959"/>
        <rFont val="Arial"/>
        <family val="0"/>
        <charset val="1"/>
      </rPr>
      <t xml:space="preserve">GW</t>
    </r>
    <r>
      <rPr>
        <sz val="9"/>
        <color rgb="FF595959"/>
        <rFont val="Noto Sans CJK SC"/>
        <family val="2"/>
      </rPr>
      <t xml:space="preserve">／年。</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T</t>
    </r>
    <r>
      <rPr>
        <sz val="9"/>
        <color rgb="FF595959"/>
        <rFont val="Noto Sans CJK SC"/>
        <family val="2"/>
      </rPr>
      <t xml:space="preserve">（兆）；產能：</t>
    </r>
    <r>
      <rPr>
        <sz val="9"/>
        <color rgb="FF595959"/>
        <rFont val="Arial"/>
        <family val="0"/>
        <charset val="1"/>
      </rPr>
      <t xml:space="preserve">M tok</t>
    </r>
    <r>
      <rPr>
        <sz val="9"/>
        <color rgb="FF595959"/>
        <rFont val="Noto Sans CJK SC"/>
        <family val="2"/>
      </rPr>
      <t xml:space="preserve">／</t>
    </r>
    <r>
      <rPr>
        <sz val="9"/>
        <color rgb="FF595959"/>
        <rFont val="Arial"/>
        <family val="0"/>
        <charset val="1"/>
      </rPr>
      <t xml:space="preserve">GW</t>
    </r>
    <r>
      <rPr>
        <sz val="9"/>
        <color rgb="FF595959"/>
        <rFont val="Noto Sans CJK SC"/>
        <family val="2"/>
      </rPr>
      <t xml:space="preserve">／年。</t>
    </r>
  </si>
  <si>
    <r>
      <rPr>
        <b val="true"/>
        <sz val="10"/>
        <rFont val="Noto Sans CJK SC"/>
        <family val="2"/>
      </rPr>
      <t xml:space="preserve">一、晶片族每 </t>
    </r>
    <r>
      <rPr>
        <b val="true"/>
        <sz val="10"/>
        <rFont val="Arial"/>
        <family val="0"/>
        <charset val="1"/>
      </rPr>
      <t xml:space="preserve">GW </t>
    </r>
    <r>
      <rPr>
        <b val="true"/>
        <sz val="10"/>
        <rFont val="Noto Sans CJK SC"/>
        <family val="2"/>
      </rPr>
      <t xml:space="preserve">年產能（</t>
    </r>
    <r>
      <rPr>
        <b val="true"/>
        <sz val="10"/>
        <rFont val="Arial"/>
        <family val="0"/>
        <charset val="1"/>
      </rPr>
      <t xml:space="preserve">100% </t>
    </r>
    <r>
      <rPr>
        <b val="true"/>
        <sz val="10"/>
        <rFont val="Noto Sans CJK SC"/>
        <family val="2"/>
      </rPr>
      <t xml:space="preserve">利用率；</t>
    </r>
    <r>
      <rPr>
        <b val="true"/>
        <sz val="10"/>
        <rFont val="Arial"/>
        <family val="0"/>
        <charset val="1"/>
      </rPr>
      <t xml:space="preserve">TK IF_TokGW_* Hopper H100</t>
    </r>
    <r>
      <rPr>
        <b val="true"/>
        <sz val="10"/>
        <rFont val="Noto Sans CJK SC"/>
        <family val="2"/>
      </rPr>
      <t xml:space="preserve">／</t>
    </r>
    <r>
      <rPr>
        <b val="true"/>
        <sz val="10"/>
        <rFont val="Arial"/>
        <family val="0"/>
        <charset val="1"/>
      </rPr>
      <t xml:space="preserve">VR200 NVL72 </t>
    </r>
    <r>
      <rPr>
        <b val="true"/>
        <sz val="10"/>
        <rFont val="Noto Sans CJK SC"/>
        <family val="2"/>
      </rPr>
      <t xml:space="preserve">基準欄；</t>
    </r>
    <r>
      <rPr>
        <b val="true"/>
        <sz val="10"/>
        <rFont val="Arial"/>
        <family val="0"/>
        <charset val="1"/>
      </rPr>
      <t xml:space="preserve">H20</t>
    </r>
    <r>
      <rPr>
        <b val="true"/>
        <sz val="10"/>
        <rFont val="Noto Sans CJK SC"/>
        <family val="2"/>
      </rPr>
      <t xml:space="preserve">、國產＝</t>
    </r>
    <r>
      <rPr>
        <b val="true"/>
        <sz val="10"/>
        <rFont val="Arial"/>
        <family val="0"/>
        <charset val="1"/>
      </rPr>
      <t xml:space="preserve">Hopper × </t>
    </r>
    <r>
      <rPr>
        <b val="true"/>
        <sz val="10"/>
        <rFont val="Noto Sans CJK SC"/>
        <family val="2"/>
      </rPr>
      <t xml:space="preserve">比例）</t>
    </r>
  </si>
  <si>
    <t xml:space="preserve">G01</t>
  </si>
  <si>
    <r>
      <rPr>
        <sz val="10"/>
        <color rgb="FF000000"/>
        <rFont val="Arial"/>
        <family val="0"/>
        <charset val="1"/>
      </rPr>
      <t xml:space="preserve">Tokenomics </t>
    </r>
    <r>
      <rPr>
        <sz val="10"/>
        <color rgb="FF000000"/>
        <rFont val="Noto Sans CJK SC"/>
        <family val="2"/>
      </rPr>
      <t xml:space="preserve">世代鍵：</t>
    </r>
    <r>
      <rPr>
        <sz val="10"/>
        <color rgb="FF000000"/>
        <rFont val="Arial"/>
        <family val="0"/>
        <charset val="1"/>
      </rPr>
      <t xml:space="preserve">Hopper</t>
    </r>
  </si>
  <si>
    <r>
      <rPr>
        <sz val="9"/>
        <color rgb="FF595959"/>
        <rFont val="Arial"/>
        <family val="0"/>
        <charset val="1"/>
      </rPr>
      <t xml:space="preserve">TK_HdrGen </t>
    </r>
    <r>
      <rPr>
        <sz val="9"/>
        <color rgb="FF595959"/>
        <rFont val="Noto Sans CJK SC"/>
        <family val="2"/>
      </rPr>
      <t xml:space="preserve">的世代名稱（文字鍵，</t>
    </r>
    <r>
      <rPr>
        <sz val="9"/>
        <color rgb="FF595959"/>
        <rFont val="Arial"/>
        <family val="0"/>
        <charset val="1"/>
      </rPr>
      <t xml:space="preserve">SUMIFS </t>
    </r>
    <r>
      <rPr>
        <sz val="9"/>
        <color rgb="FF595959"/>
        <rFont val="Noto Sans CJK SC"/>
        <family val="2"/>
      </rPr>
      <t xml:space="preserve">用）</t>
    </r>
  </si>
  <si>
    <t xml:space="preserve">G02</t>
  </si>
  <si>
    <r>
      <rPr>
        <sz val="10"/>
        <color rgb="FF000000"/>
        <rFont val="Arial"/>
        <family val="0"/>
        <charset val="1"/>
      </rPr>
      <t xml:space="preserve">Tokenomics </t>
    </r>
    <r>
      <rPr>
        <sz val="10"/>
        <color rgb="FF000000"/>
        <rFont val="Noto Sans CJK SC"/>
        <family val="2"/>
      </rPr>
      <t xml:space="preserve">世代鍵：</t>
    </r>
    <r>
      <rPr>
        <sz val="10"/>
        <color rgb="FF000000"/>
        <rFont val="Arial"/>
        <family val="0"/>
        <charset val="1"/>
      </rPr>
      <t xml:space="preserve">VR200</t>
    </r>
    <r>
      <rPr>
        <sz val="10"/>
        <color rgb="FF000000"/>
        <rFont val="Noto Sans CJK SC"/>
        <family val="2"/>
      </rPr>
      <t xml:space="preserve">（</t>
    </r>
    <r>
      <rPr>
        <sz val="10"/>
        <color rgb="FF000000"/>
        <rFont val="Arial"/>
        <family val="0"/>
        <charset val="1"/>
      </rPr>
      <t xml:space="preserve">VR </t>
    </r>
    <r>
      <rPr>
        <sz val="10"/>
        <color rgb="FF000000"/>
        <rFont val="Noto Sans CJK SC"/>
        <family val="2"/>
      </rPr>
      <t xml:space="preserve">等值基準）</t>
    </r>
  </si>
  <si>
    <t xml:space="preserve">G03</t>
  </si>
  <si>
    <r>
      <rPr>
        <sz val="10"/>
        <color rgb="FF000000"/>
        <rFont val="Arial"/>
        <family val="0"/>
        <charset val="1"/>
      </rPr>
      <t xml:space="preserve">Tokenomics </t>
    </r>
    <r>
      <rPr>
        <sz val="10"/>
        <color rgb="FF000000"/>
        <rFont val="Noto Sans CJK SC"/>
        <family val="2"/>
      </rPr>
      <t xml:space="preserve">成本情境鍵：基準</t>
    </r>
  </si>
  <si>
    <r>
      <rPr>
        <sz val="9"/>
        <color rgb="FF595959"/>
        <rFont val="Arial"/>
        <family val="0"/>
        <charset val="1"/>
      </rPr>
      <t xml:space="preserve">TK_HdrCost</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總產出三個成本情境同值）</t>
    </r>
  </si>
  <si>
    <t xml:space="preserve">G04</t>
  </si>
  <si>
    <r>
      <rPr>
        <sz val="10"/>
        <color rgb="FF000000"/>
        <rFont val="Arial"/>
        <family val="0"/>
        <charset val="1"/>
      </rPr>
      <t xml:space="preserve">TK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Hopper × Sol</t>
    </r>
  </si>
  <si>
    <r>
      <rPr>
        <sz val="10"/>
        <color rgb="FF000000"/>
        <rFont val="Arial"/>
        <family val="0"/>
        <charset val="1"/>
      </rPr>
      <t xml:space="preserve">M tok/GW/</t>
    </r>
    <r>
      <rPr>
        <sz val="10"/>
        <color rgb="FF000000"/>
        <rFont val="Noto Sans CJK SC"/>
        <family val="2"/>
      </rPr>
      <t xml:space="preserve">年</t>
    </r>
  </si>
  <si>
    <r>
      <rPr>
        <sz val="9"/>
        <color rgb="FF595959"/>
        <rFont val="Arial"/>
        <family val="0"/>
        <charset val="1"/>
      </rPr>
      <t xml:space="preserve">TK IF_TokGW_Sol</t>
    </r>
    <r>
      <rPr>
        <sz val="9"/>
        <color rgb="FF595959"/>
        <rFont val="Noto Sans CJK SC"/>
        <family val="2"/>
      </rPr>
      <t xml:space="preserve">（</t>
    </r>
    <r>
      <rPr>
        <sz val="9"/>
        <color rgb="FF595959"/>
        <rFont val="Arial"/>
        <family val="0"/>
        <charset val="1"/>
      </rPr>
      <t xml:space="preserve">Hopper H100</t>
    </r>
    <r>
      <rPr>
        <sz val="9"/>
        <color rgb="FF595959"/>
        <rFont val="Noto Sans CJK SC"/>
        <family val="2"/>
      </rPr>
      <t xml:space="preserve">、基準欄）</t>
    </r>
  </si>
  <si>
    <t xml:space="preserve">G05</t>
  </si>
  <si>
    <r>
      <rPr>
        <sz val="10"/>
        <color rgb="FF000000"/>
        <rFont val="Arial"/>
        <family val="0"/>
        <charset val="1"/>
      </rPr>
      <t xml:space="preserve">TK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Hopper × Luna</t>
    </r>
  </si>
  <si>
    <r>
      <rPr>
        <sz val="9"/>
        <color rgb="FF595959"/>
        <rFont val="Arial"/>
        <family val="0"/>
        <charset val="1"/>
      </rPr>
      <t xml:space="preserve">TK IF_TokGW_Luna</t>
    </r>
    <r>
      <rPr>
        <sz val="9"/>
        <color rgb="FF595959"/>
        <rFont val="Noto Sans CJK SC"/>
        <family val="2"/>
      </rPr>
      <t xml:space="preserve">（</t>
    </r>
    <r>
      <rPr>
        <sz val="9"/>
        <color rgb="FF595959"/>
        <rFont val="Arial"/>
        <family val="0"/>
        <charset val="1"/>
      </rPr>
      <t xml:space="preserve">Hopper H100</t>
    </r>
    <r>
      <rPr>
        <sz val="9"/>
        <color rgb="FF595959"/>
        <rFont val="Noto Sans CJK SC"/>
        <family val="2"/>
      </rPr>
      <t xml:space="preserve">、基準欄）</t>
    </r>
  </si>
  <si>
    <t xml:space="preserve">G06</t>
  </si>
  <si>
    <r>
      <rPr>
        <sz val="10"/>
        <color rgb="FF000000"/>
        <rFont val="Arial"/>
        <family val="0"/>
        <charset val="1"/>
      </rPr>
      <t xml:space="preserve">TK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VR200 × Sol</t>
    </r>
  </si>
  <si>
    <r>
      <rPr>
        <sz val="9"/>
        <color rgb="FF595959"/>
        <rFont val="Arial"/>
        <family val="0"/>
        <charset val="1"/>
      </rPr>
      <t xml:space="preserve">VR </t>
    </r>
    <r>
      <rPr>
        <sz val="9"/>
        <color rgb="FF595959"/>
        <rFont val="Noto Sans CJK SC"/>
        <family val="2"/>
      </rPr>
      <t xml:space="preserve">等值換算基準（同 </t>
    </r>
    <r>
      <rPr>
        <sz val="9"/>
        <color rgb="FF595959"/>
        <rFont val="Arial"/>
        <family val="0"/>
        <charset val="1"/>
      </rPr>
      <t xml:space="preserve">OpenAI v0.6</t>
    </r>
    <r>
      <rPr>
        <sz val="9"/>
        <color rgb="FF595959"/>
        <rFont val="Noto Sans CJK SC"/>
        <family val="2"/>
      </rPr>
      <t xml:space="preserve">：</t>
    </r>
    <r>
      <rPr>
        <sz val="9"/>
        <color rgb="FF595959"/>
        <rFont val="Arial"/>
        <family val="0"/>
        <charset val="1"/>
      </rPr>
      <t xml:space="preserve">Sol </t>
    </r>
    <r>
      <rPr>
        <sz val="9"/>
        <color rgb="FF595959"/>
        <rFont val="Noto Sans CJK SC"/>
        <family val="2"/>
      </rPr>
      <t xml:space="preserve">層級產能比）</t>
    </r>
  </si>
  <si>
    <t xml:space="preserve">G07</t>
  </si>
  <si>
    <r>
      <rPr>
        <sz val="10"/>
        <color rgb="FF000000"/>
        <rFont val="Arial"/>
        <family val="0"/>
        <charset val="1"/>
      </rPr>
      <t xml:space="preserve">H20 </t>
    </r>
    <r>
      <rPr>
        <sz val="10"/>
        <color rgb="FF000000"/>
        <rFont val="Noto Sans CJK SC"/>
        <family val="2"/>
      </rPr>
      <t xml:space="preserve">產出比（</t>
    </r>
    <r>
      <rPr>
        <sz val="10"/>
        <color rgb="FF000000"/>
        <rFont val="Arial"/>
        <family val="0"/>
        <charset val="1"/>
      </rPr>
      <t xml:space="preserve">÷ Hopper</t>
    </r>
    <r>
      <rPr>
        <sz val="10"/>
        <color rgb="FF000000"/>
        <rFont val="Noto Sans CJK SC"/>
        <family val="2"/>
      </rPr>
      <t xml:space="preserve">）</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</si>
  <si>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SRC_ZP_490 </t>
    </r>
    <r>
      <rPr>
        <sz val="9"/>
        <color rgb="FF595959"/>
        <rFont val="Noto Sans CJK SC"/>
        <family val="2"/>
      </rPr>
      <t xml:space="preserve">區間；</t>
    </r>
    <r>
      <rPr>
        <sz val="9"/>
        <color rgb="FF595959"/>
        <rFont val="Arial"/>
        <family val="0"/>
        <charset val="1"/>
      </rPr>
      <t xml:space="preserve">D6</t>
    </r>
    <r>
      <rPr>
        <sz val="9"/>
        <color rgb="FF595959"/>
        <rFont val="Noto Sans CJK SC"/>
        <family val="2"/>
      </rPr>
      <t xml:space="preserve">）</t>
    </r>
  </si>
  <si>
    <t xml:space="preserve">G08</t>
  </si>
  <si>
    <r>
      <rPr>
        <sz val="10"/>
        <color rgb="FF000000"/>
        <rFont val="Noto Sans CJK SC"/>
        <family val="2"/>
      </rPr>
      <t xml:space="preserve">國產產出比（</t>
    </r>
    <r>
      <rPr>
        <sz val="10"/>
        <color rgb="FF000000"/>
        <rFont val="Arial"/>
        <family val="0"/>
        <charset val="1"/>
      </rPr>
      <t xml:space="preserve">÷ Hopper</t>
    </r>
    <r>
      <rPr>
        <sz val="10"/>
        <color rgb="FF000000"/>
        <rFont val="Noto Sans CJK SC"/>
        <family val="2"/>
      </rPr>
      <t xml:space="preserve">）</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</si>
  <si>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D6</t>
    </r>
    <r>
      <rPr>
        <sz val="9"/>
        <color rgb="FF595959"/>
        <rFont val="Noto Sans CJK SC"/>
        <family val="2"/>
      </rPr>
      <t xml:space="preserve">，</t>
    </r>
    <r>
      <rPr>
        <sz val="9"/>
        <color rgb="FF595959"/>
        <rFont val="Arial"/>
        <family val="0"/>
        <charset val="1"/>
      </rPr>
      <t xml:space="preserve">0.4–0.9</t>
    </r>
    <r>
      <rPr>
        <sz val="9"/>
        <color rgb="FF595959"/>
        <rFont val="Noto Sans CJK SC"/>
        <family val="2"/>
      </rPr>
      <t xml:space="preserve">）</t>
    </r>
  </si>
  <si>
    <t xml:space="preserve">G09</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</si>
  <si>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 </t>
    </r>
    <r>
      <rPr>
        <sz val="10"/>
        <color rgb="FF000000"/>
        <rFont val="Arial"/>
        <family val="0"/>
        <charset val="1"/>
      </rPr>
      <t xml:space="preserve">× Sol</t>
    </r>
  </si>
  <si>
    <r>
      <rPr>
        <sz val="9"/>
        <color rgb="FF595959"/>
        <rFont val="Arial"/>
        <family val="0"/>
        <charset val="1"/>
      </rPr>
      <t xml:space="preserve">Hopper × </t>
    </r>
    <r>
      <rPr>
        <sz val="9"/>
        <color rgb="FF595959"/>
        <rFont val="Noto Sans CJK SC"/>
        <family val="2"/>
      </rPr>
      <t xml:space="preserve">產出比（</t>
    </r>
    <r>
      <rPr>
        <sz val="9"/>
        <color rgb="FF595959"/>
        <rFont val="Arial"/>
        <family val="0"/>
        <charset val="1"/>
      </rPr>
      <t xml:space="preserve">Tokenomics </t>
    </r>
    <r>
      <rPr>
        <sz val="9"/>
        <color rgb="FF595959"/>
        <rFont val="Noto Sans CJK SC"/>
        <family val="2"/>
      </rPr>
      <t xml:space="preserve">缺口：無 </t>
    </r>
    <r>
      <rPr>
        <sz val="9"/>
        <color rgb="FF595959"/>
        <rFont val="Arial"/>
        <family val="0"/>
        <charset val="1"/>
      </rPr>
      <t xml:space="preserve">H20</t>
    </r>
    <r>
      <rPr>
        <sz val="9"/>
        <color rgb="FF595959"/>
        <rFont val="Noto Sans CJK SC"/>
        <family val="2"/>
      </rPr>
      <t xml:space="preserve">／昇騰欄）</t>
    </r>
  </si>
  <si>
    <t xml:space="preserve">G10</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</si>
  <si>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 </t>
    </r>
    <r>
      <rPr>
        <sz val="10"/>
        <color rgb="FF000000"/>
        <rFont val="Arial"/>
        <family val="0"/>
        <charset val="1"/>
      </rPr>
      <t xml:space="preserve">× Luna</t>
    </r>
  </si>
  <si>
    <t xml:space="preserve">G11</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</si>
  <si>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H20 × Sol</t>
    </r>
  </si>
  <si>
    <t xml:space="preserve">G12</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</si>
  <si>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H20 × Luna</t>
    </r>
  </si>
  <si>
    <t xml:space="preserve">G13</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</si>
  <si>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 </t>
    </r>
    <r>
      <rPr>
        <sz val="10"/>
        <color rgb="FF000000"/>
        <rFont val="Arial"/>
        <family val="0"/>
        <charset val="1"/>
      </rPr>
      <t xml:space="preserve">× Sol</t>
    </r>
  </si>
  <si>
    <t xml:space="preserve">G14</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</si>
  <si>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 </t>
    </r>
    <r>
      <rPr>
        <sz val="10"/>
        <color rgb="FF000000"/>
        <rFont val="Arial"/>
        <family val="0"/>
        <charset val="1"/>
      </rPr>
      <t xml:space="preserve">× Luna</t>
    </r>
  </si>
  <si>
    <r>
      <rPr>
        <b val="true"/>
        <sz val="10"/>
        <rFont val="Noto Sans CJK SC"/>
        <family val="2"/>
      </rPr>
      <t xml:space="preserve">二、晶片族組合（實體 </t>
    </r>
    <r>
      <rPr>
        <b val="true"/>
        <sz val="10"/>
        <rFont val="Arial"/>
        <family val="0"/>
        <charset val="1"/>
      </rPr>
      <t xml:space="preserve">GW </t>
    </r>
    <r>
      <rPr>
        <b val="true"/>
        <sz val="10"/>
        <rFont val="Noto Sans CJK SC"/>
        <family val="2"/>
      </rPr>
      <t xml:space="preserve">占比；</t>
    </r>
    <r>
      <rPr>
        <b val="true"/>
        <sz val="10"/>
        <rFont val="Arial"/>
        <family val="0"/>
        <charset val="1"/>
      </rPr>
      <t xml:space="preserve">D7</t>
    </r>
    <r>
      <rPr>
        <b val="true"/>
        <sz val="10"/>
        <rFont val="Noto Sans CJK SC"/>
        <family val="2"/>
      </rPr>
      <t xml:space="preserve">：時變，無新 </t>
    </r>
    <r>
      <rPr>
        <b val="true"/>
        <sz val="10"/>
        <rFont val="Arial"/>
        <family val="0"/>
        <charset val="1"/>
      </rPr>
      <t xml:space="preserve">NVIDIA </t>
    </r>
    <r>
      <rPr>
        <b val="true"/>
        <sz val="10"/>
        <rFont val="Noto Sans CJK SC"/>
        <family val="2"/>
      </rPr>
      <t xml:space="preserve">採購；</t>
    </r>
    <r>
      <rPr>
        <b val="true"/>
        <sz val="10"/>
        <rFont val="Arial"/>
        <family val="0"/>
        <charset val="1"/>
      </rPr>
      <t xml:space="preserve">Hopper</t>
    </r>
    <r>
      <rPr>
        <b val="true"/>
        <sz val="10"/>
        <rFont val="Noto Sans CJK SC"/>
        <family val="2"/>
      </rPr>
      <t xml:space="preserve">＝</t>
    </r>
    <r>
      <rPr>
        <b val="true"/>
        <sz val="10"/>
        <rFont val="Arial"/>
        <family val="0"/>
        <charset val="1"/>
      </rPr>
      <t xml:space="preserve">1 − </t>
    </r>
    <r>
      <rPr>
        <b val="true"/>
        <sz val="10"/>
        <rFont val="Noto Sans CJK SC"/>
        <family val="2"/>
      </rPr>
      <t xml:space="preserve">國產 − </t>
    </r>
    <r>
      <rPr>
        <b val="true"/>
        <sz val="10"/>
        <rFont val="Arial"/>
        <family val="0"/>
        <charset val="1"/>
      </rPr>
      <t xml:space="preserve">H20</t>
    </r>
    <r>
      <rPr>
        <b val="true"/>
        <sz val="10"/>
        <rFont val="Noto Sans CJK SC"/>
        <family val="2"/>
      </rPr>
      <t xml:space="preserve">）</t>
    </r>
  </si>
  <si>
    <t xml:space="preserve">G15</t>
  </si>
  <si>
    <t xml:space="preserve">國產</t>
  </si>
  <si>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Assumed</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起依『</t>
    </r>
    <r>
      <rPr>
        <sz val="9"/>
        <color rgb="FF595959"/>
        <rFont val="Arial"/>
        <family val="0"/>
        <charset val="1"/>
      </rPr>
      <t xml:space="preserve">10 </t>
    </r>
    <r>
      <rPr>
        <sz val="9"/>
        <color rgb="FF595959"/>
        <rFont val="Noto Sans CJK SC"/>
        <family val="2"/>
      </rPr>
      <t xml:space="preserve">萬級國產晶片用於推論』）</t>
    </r>
  </si>
  <si>
    <t xml:space="preserve">G16</t>
  </si>
  <si>
    <t xml:space="preserve">H20</t>
  </si>
  <si>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Assumed</t>
    </r>
    <r>
      <rPr>
        <sz val="9"/>
        <color rgb="FF595959"/>
        <rFont val="Noto Sans CJK SC"/>
        <family val="2"/>
      </rPr>
      <t xml:space="preserve">）</t>
    </r>
  </si>
  <si>
    <t xml:space="preserve">G17</t>
  </si>
  <si>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</si>
  <si>
    <r>
      <rPr>
        <sz val="9"/>
        <color rgb="FF595959"/>
        <rFont val="Noto Sans CJK SC"/>
        <family val="2"/>
      </rPr>
      <t xml:space="preserve">＝</t>
    </r>
    <r>
      <rPr>
        <sz val="9"/>
        <color rgb="FF595959"/>
        <rFont val="Arial"/>
        <family val="0"/>
        <charset val="1"/>
      </rPr>
      <t xml:space="preserve">1 − </t>
    </r>
    <r>
      <rPr>
        <sz val="9"/>
        <color rgb="FF595959"/>
        <rFont val="Noto Sans CJK SC"/>
        <family val="2"/>
      </rPr>
      <t xml:space="preserve">國產 − </t>
    </r>
    <r>
      <rPr>
        <sz val="9"/>
        <color rgb="FF595959"/>
        <rFont val="Arial"/>
        <family val="0"/>
        <charset val="1"/>
      </rPr>
      <t xml:space="preserve">H20</t>
    </r>
  </si>
  <si>
    <t xml:space="preserve">G18</t>
  </si>
  <si>
    <r>
      <rPr>
        <sz val="10"/>
        <color rgb="FF000000"/>
        <rFont val="Noto Sans CJK SC"/>
        <family val="2"/>
      </rPr>
      <t xml:space="preserve">組合產出係數（</t>
    </r>
    <r>
      <rPr>
        <sz val="10"/>
        <color rgb="FF000000"/>
        <rFont val="Arial"/>
        <family val="0"/>
        <charset val="1"/>
      </rPr>
      <t xml:space="preserve">÷ Hopper</t>
    </r>
    <r>
      <rPr>
        <sz val="10"/>
        <color rgb="FF000000"/>
        <rFont val="Noto Sans CJK SC"/>
        <family val="2"/>
      </rPr>
      <t xml:space="preserve">）＝</t>
    </r>
    <r>
      <rPr>
        <sz val="10"/>
        <color rgb="FF000000"/>
        <rFont val="Arial"/>
        <family val="0"/>
        <charset val="1"/>
      </rPr>
      <t xml:space="preserve">Σ </t>
    </r>
    <r>
      <rPr>
        <sz val="10"/>
        <color rgb="FF000000"/>
        <rFont val="Noto Sans CJK SC"/>
        <family val="2"/>
      </rPr>
      <t xml:space="preserve">占比 </t>
    </r>
    <r>
      <rPr>
        <sz val="10"/>
        <color rgb="FF000000"/>
        <rFont val="Arial"/>
        <family val="0"/>
        <charset val="1"/>
      </rPr>
      <t xml:space="preserve">× </t>
    </r>
    <r>
      <rPr>
        <sz val="10"/>
        <color rgb="FF000000"/>
        <rFont val="Noto Sans CJK SC"/>
        <family val="2"/>
      </rPr>
      <t xml:space="preserve">產出比</t>
    </r>
  </si>
  <si>
    <r>
      <rPr>
        <sz val="9"/>
        <color rgb="FF595959"/>
        <rFont val="Noto Sans CJK SC"/>
        <family val="2"/>
      </rPr>
      <t xml:space="preserve">各族每 </t>
    </r>
    <r>
      <rPr>
        <sz val="9"/>
        <color rgb="FF595959"/>
        <rFont val="Arial"/>
        <family val="0"/>
        <charset val="1"/>
      </rPr>
      <t xml:space="preserve">GW </t>
    </r>
    <r>
      <rPr>
        <sz val="9"/>
        <color rgb="FF595959"/>
        <rFont val="Noto Sans CJK SC"/>
        <family val="2"/>
      </rPr>
      <t xml:space="preserve">產出＝</t>
    </r>
    <r>
      <rPr>
        <sz val="9"/>
        <color rgb="FF595959"/>
        <rFont val="Arial"/>
        <family val="0"/>
        <charset val="1"/>
      </rPr>
      <t xml:space="preserve">Hopper × </t>
    </r>
    <r>
      <rPr>
        <sz val="9"/>
        <color rgb="FF595959"/>
        <rFont val="Noto Sans CJK SC"/>
        <family val="2"/>
      </rPr>
      <t xml:space="preserve">比例，故組合產能＝</t>
    </r>
    <r>
      <rPr>
        <sz val="9"/>
        <color rgb="FF595959"/>
        <rFont val="Arial"/>
        <family val="0"/>
        <charset val="1"/>
      </rPr>
      <t xml:space="preserve">Hopper </t>
    </r>
    <r>
      <rPr>
        <sz val="9"/>
        <color rgb="FF595959"/>
        <rFont val="Noto Sans CJK SC"/>
        <family val="2"/>
      </rPr>
      <t xml:space="preserve">產能 </t>
    </r>
    <r>
      <rPr>
        <sz val="9"/>
        <color rgb="FF595959"/>
        <rFont val="Arial"/>
        <family val="0"/>
        <charset val="1"/>
      </rPr>
      <t xml:space="preserve">× </t>
    </r>
    <r>
      <rPr>
        <sz val="9"/>
        <color rgb="FF595959"/>
        <rFont val="Noto Sans CJK SC"/>
        <family val="2"/>
      </rPr>
      <t xml:space="preserve">本係數</t>
    </r>
  </si>
  <si>
    <r>
      <rPr>
        <b val="true"/>
        <sz val="10"/>
        <rFont val="Noto Sans CJK SC"/>
        <family val="2"/>
      </rPr>
      <t xml:space="preserve">三、</t>
    </r>
    <r>
      <rPr>
        <b val="true"/>
        <sz val="10"/>
        <rFont val="Arial"/>
        <family val="0"/>
        <charset val="1"/>
      </rPr>
      <t xml:space="preserve">token</t>
    </r>
    <r>
      <rPr>
        <b val="true"/>
        <sz val="10"/>
        <rFont val="Noto Sans CJK SC"/>
        <family val="2"/>
      </rPr>
      <t xml:space="preserve">（</t>
    </r>
    <r>
      <rPr>
        <b val="true"/>
        <sz val="10"/>
        <rFont val="Arial"/>
        <family val="0"/>
        <charset val="1"/>
      </rPr>
      <t xml:space="preserve">Demand</t>
    </r>
    <r>
      <rPr>
        <b val="true"/>
        <sz val="10"/>
        <rFont val="Noto Sans CJK SC"/>
        <family val="2"/>
      </rPr>
      <t xml:space="preserve">；</t>
    </r>
    <r>
      <rPr>
        <b val="true"/>
        <sz val="10"/>
        <rFont val="Arial"/>
        <family val="0"/>
        <charset val="1"/>
      </rPr>
      <t xml:space="preserve">T</t>
    </r>
    <r>
      <rPr>
        <b val="true"/>
        <sz val="10"/>
        <rFont val="Noto Sans CJK SC"/>
        <family val="2"/>
      </rPr>
      <t xml:space="preserve">）：依來源（</t>
    </r>
    <r>
      <rPr>
        <b val="true"/>
        <sz val="10"/>
        <rFont val="Arial"/>
        <family val="0"/>
        <charset val="1"/>
      </rPr>
      <t xml:space="preserve">API </t>
    </r>
    <r>
      <rPr>
        <b val="true"/>
        <sz val="10"/>
        <rFont val="Noto Sans CJK SC"/>
        <family val="2"/>
      </rPr>
      <t xml:space="preserve">按量、</t>
    </r>
    <r>
      <rPr>
        <b val="true"/>
        <sz val="10"/>
        <rFont val="Arial"/>
        <family val="0"/>
        <charset val="1"/>
      </rPr>
      <t xml:space="preserve">Coding Plan</t>
    </r>
    <r>
      <rPr>
        <b val="true"/>
        <sz val="10"/>
        <rFont val="Noto Sans CJK SC"/>
        <family val="2"/>
      </rPr>
      <t xml:space="preserve">、免費 </t>
    </r>
    <r>
      <rPr>
        <b val="true"/>
        <sz val="10"/>
        <rFont val="Arial"/>
        <family val="0"/>
        <charset val="1"/>
      </rPr>
      <t xml:space="preserve">API</t>
    </r>
    <r>
      <rPr>
        <b val="true"/>
        <sz val="10"/>
        <rFont val="Noto Sans CJK SC"/>
        <family val="2"/>
      </rPr>
      <t xml:space="preserve">、智譜清言）</t>
    </r>
    <r>
      <rPr>
        <b val="true"/>
        <sz val="10"/>
        <rFont val="Arial"/>
        <family val="0"/>
        <charset val="1"/>
      </rPr>
      <t xml:space="preserve">× </t>
    </r>
    <r>
      <rPr>
        <b val="true"/>
        <sz val="10"/>
        <rFont val="Noto Sans CJK SC"/>
        <family val="2"/>
      </rPr>
      <t xml:space="preserve">層級（半年欄：</t>
    </r>
    <r>
      <rPr>
        <b val="true"/>
        <sz val="10"/>
        <rFont val="Arial"/>
        <family val="0"/>
        <charset val="1"/>
      </rPr>
      <t xml:space="preserve">API</t>
    </r>
    <r>
      <rPr>
        <b val="true"/>
        <sz val="10"/>
        <rFont val="Noto Sans CJK SC"/>
        <family val="2"/>
      </rPr>
      <t xml:space="preserve">／</t>
    </r>
    <r>
      <rPr>
        <b val="true"/>
        <sz val="10"/>
        <rFont val="Arial"/>
        <family val="0"/>
        <charset val="1"/>
      </rPr>
      <t xml:space="preserve">Coding Plan </t>
    </r>
    <r>
      <rPr>
        <b val="true"/>
        <sz val="10"/>
        <rFont val="Noto Sans CJK SC"/>
        <family val="2"/>
      </rPr>
      <t xml:space="preserve">取 </t>
    </r>
    <r>
      <rPr>
        <b val="true"/>
        <sz val="10"/>
        <rFont val="Arial"/>
        <family val="0"/>
        <charset val="1"/>
      </rPr>
      <t xml:space="preserve">Demand </t>
    </r>
    <r>
      <rPr>
        <b val="true"/>
        <sz val="10"/>
        <rFont val="Noto Sans CJK SC"/>
        <family val="2"/>
      </rPr>
      <t xml:space="preserve">半年欄；清言為年度值 </t>
    </r>
    <r>
      <rPr>
        <b val="true"/>
        <sz val="10"/>
        <rFont val="Arial"/>
        <family val="0"/>
        <charset val="1"/>
      </rPr>
      <t xml:space="preserve">× </t>
    </r>
    <r>
      <rPr>
        <b val="true"/>
        <sz val="10"/>
        <rFont val="Noto Sans CJK SC"/>
        <family val="2"/>
      </rPr>
      <t xml:space="preserve">天數比例）</t>
    </r>
  </si>
  <si>
    <t xml:space="preserve">G19</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</si>
  <si>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</si>
  <si>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api_tok_sol</t>
    </r>
    <r>
      <rPr>
        <sz val="9"/>
        <color rgb="FF595959"/>
        <rFont val="Noto Sans CJK SC"/>
        <family val="2"/>
      </rPr>
      <t xml:space="preserve">）</t>
    </r>
  </si>
  <si>
    <t xml:space="preserve">G20</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</si>
  <si>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</si>
  <si>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api_tok_luna</t>
    </r>
    <r>
      <rPr>
        <sz val="9"/>
        <color rgb="FF595959"/>
        <rFont val="Noto Sans CJK SC"/>
        <family val="2"/>
      </rPr>
      <t xml:space="preserve">）</t>
    </r>
  </si>
  <si>
    <t xml:space="preserve">G21</t>
  </si>
  <si>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cptok_sol</t>
    </r>
    <r>
      <rPr>
        <sz val="9"/>
        <color rgb="FF595959"/>
        <rFont val="Noto Sans CJK SC"/>
        <family val="2"/>
      </rPr>
      <t xml:space="preserve">）</t>
    </r>
  </si>
  <si>
    <t xml:space="preserve">G22</t>
  </si>
  <si>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cptok_luna</t>
    </r>
    <r>
      <rPr>
        <sz val="9"/>
        <color rgb="FF595959"/>
        <rFont val="Noto Sans CJK SC"/>
        <family val="2"/>
      </rPr>
      <t xml:space="preserve">）</t>
    </r>
  </si>
  <si>
    <t xml:space="preserve">G23</t>
  </si>
  <si>
    <r>
      <rPr>
        <sz val="10"/>
        <color rgb="FF000000"/>
        <rFont val="Noto Sans CJK SC"/>
        <family val="2"/>
      </rPr>
      <t xml:space="preserve">免費 </t>
    </r>
    <r>
      <rPr>
        <sz val="10"/>
        <color rgb="FF000000"/>
        <rFont val="Arial"/>
        <family val="0"/>
        <charset val="1"/>
      </rPr>
      <t xml:space="preserve">API </t>
    </r>
    <r>
      <rPr>
        <sz val="10"/>
        <color rgb="FF000000"/>
        <rFont val="Noto Sans CJK SC"/>
        <family val="2"/>
      </rPr>
      <t xml:space="preserve">型號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</si>
  <si>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api_free</t>
    </r>
    <r>
      <rPr>
        <sz val="9"/>
        <color rgb="FF595959"/>
        <rFont val="Noto Sans CJK SC"/>
        <family val="2"/>
      </rPr>
      <t xml:space="preserve">）</t>
    </r>
  </si>
  <si>
    <t xml:space="preserve">G24</t>
  </si>
  <si>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qy_sol</t>
    </r>
    <r>
      <rPr>
        <sz val="9"/>
        <color rgb="FF595959"/>
        <rFont val="Noto Sans CJK SC"/>
        <family val="2"/>
      </rPr>
      <t xml:space="preserve">）</t>
    </r>
  </si>
  <si>
    <t xml:space="preserve">G25</t>
  </si>
  <si>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qy_luna</t>
    </r>
    <r>
      <rPr>
        <sz val="9"/>
        <color rgb="FF595959"/>
        <rFont val="Noto Sans CJK SC"/>
        <family val="2"/>
      </rPr>
      <t xml:space="preserve">）</t>
    </r>
  </si>
  <si>
    <t xml:space="preserve">G26</t>
  </si>
  <si>
    <r>
      <rPr>
        <sz val="9"/>
        <color rgb="FF595959"/>
        <rFont val="Noto Sans CJK SC"/>
        <family val="2"/>
      </rPr>
      <t xml:space="preserve">＝</t>
    </r>
    <r>
      <rPr>
        <sz val="9"/>
        <color rgb="FF595959"/>
        <rFont val="Arial"/>
        <family val="0"/>
        <charset val="1"/>
      </rPr>
      <t xml:space="preserve">Demand DEM_Tok_*</t>
    </r>
  </si>
  <si>
    <t xml:space="preserve">G27</t>
  </si>
  <si>
    <t xml:space="preserve">G28</t>
  </si>
  <si>
    <t xml:space="preserve">G29</t>
  </si>
  <si>
    <t xml:space="preserve">G30</t>
  </si>
  <si>
    <t xml:space="preserve">G31</t>
  </si>
  <si>
    <r>
      <rPr>
        <sz val="10"/>
        <color rgb="FF000000"/>
        <rFont val="Noto Sans CJK SC"/>
        <family val="2"/>
      </rPr>
      <t xml:space="preserve">付費：</t>
    </r>
    <r>
      <rPr>
        <sz val="10"/>
        <color rgb="FF000000"/>
        <rFont val="Arial"/>
        <family val="0"/>
        <charset val="1"/>
      </rPr>
      <t xml:space="preserve">Sol </t>
    </r>
    <r>
      <rPr>
        <sz val="10"/>
        <color rgb="FF000000"/>
        <rFont val="Noto Sans CJK SC"/>
        <family val="2"/>
      </rPr>
      <t xml:space="preserve">占比</t>
    </r>
  </si>
  <si>
    <t xml:space="preserve">G32</t>
  </si>
  <si>
    <r>
      <rPr>
        <sz val="10"/>
        <color rgb="FF000000"/>
        <rFont val="Noto Sans CJK SC"/>
        <family val="2"/>
      </rPr>
      <t xml:space="preserve">付費：</t>
    </r>
    <r>
      <rPr>
        <sz val="10"/>
        <color rgb="FF000000"/>
        <rFont val="Arial"/>
        <family val="0"/>
        <charset val="1"/>
      </rPr>
      <t xml:space="preserve">Luna </t>
    </r>
    <r>
      <rPr>
        <sz val="10"/>
        <color rgb="FF000000"/>
        <rFont val="Noto Sans CJK SC"/>
        <family val="2"/>
      </rPr>
      <t xml:space="preserve">占比</t>
    </r>
  </si>
  <si>
    <t xml:space="preserve">G33</t>
  </si>
  <si>
    <t xml:space="preserve">G34</t>
  </si>
  <si>
    <r>
      <rPr>
        <sz val="10"/>
        <color rgb="FF000000"/>
        <rFont val="Noto Sans CJK SC"/>
        <family val="2"/>
      </rPr>
      <t xml:space="preserve">免費：</t>
    </r>
    <r>
      <rPr>
        <sz val="10"/>
        <color rgb="FF000000"/>
        <rFont val="Arial"/>
        <family val="0"/>
        <charset val="1"/>
      </rPr>
      <t xml:space="preserve">Sol </t>
    </r>
    <r>
      <rPr>
        <sz val="10"/>
        <color rgb="FF000000"/>
        <rFont val="Noto Sans CJK SC"/>
        <family val="2"/>
      </rPr>
      <t xml:space="preserve">占比</t>
    </r>
  </si>
  <si>
    <t xml:space="preserve">G35</t>
  </si>
  <si>
    <r>
      <rPr>
        <sz val="10"/>
        <color rgb="FF000000"/>
        <rFont val="Noto Sans CJK SC"/>
        <family val="2"/>
      </rPr>
      <t xml:space="preserve">免費：</t>
    </r>
    <r>
      <rPr>
        <sz val="10"/>
        <color rgb="FF000000"/>
        <rFont val="Arial"/>
        <family val="0"/>
        <charset val="1"/>
      </rPr>
      <t xml:space="preserve">Luna </t>
    </r>
    <r>
      <rPr>
        <sz val="10"/>
        <color rgb="FF000000"/>
        <rFont val="Noto Sans CJK SC"/>
        <family val="2"/>
      </rPr>
      <t xml:space="preserve">占比</t>
    </r>
  </si>
  <si>
    <r>
      <rPr>
        <b val="true"/>
        <sz val="10"/>
        <rFont val="Noto Sans CJK SC"/>
        <family val="2"/>
      </rPr>
      <t xml:space="preserve">四、</t>
    </r>
    <r>
      <rPr>
        <b val="true"/>
        <sz val="10"/>
        <rFont val="Arial"/>
        <family val="0"/>
        <charset val="1"/>
      </rPr>
      <t xml:space="preserve">token </t>
    </r>
    <r>
      <rPr>
        <b val="true"/>
        <sz val="10"/>
        <rFont val="Noto Sans CJK SC"/>
        <family val="2"/>
      </rPr>
      <t xml:space="preserve">換算推論 </t>
    </r>
    <r>
      <rPr>
        <b val="true"/>
        <sz val="10"/>
        <rFont val="Arial"/>
        <family val="0"/>
        <charset val="1"/>
      </rPr>
      <t xml:space="preserve">GW</t>
    </r>
    <r>
      <rPr>
        <b val="true"/>
        <sz val="10"/>
        <rFont val="Noto Sans CJK SC"/>
        <family val="2"/>
      </rPr>
      <t xml:space="preserve">（</t>
    </r>
    <r>
      <rPr>
        <b val="true"/>
        <sz val="10"/>
        <rFont val="Arial"/>
        <family val="0"/>
        <charset val="1"/>
      </rPr>
      <t xml:space="preserve">Z3b F1</t>
    </r>
    <r>
      <rPr>
        <b val="true"/>
        <sz val="10"/>
        <rFont val="Noto Sans CJK SC"/>
        <family val="2"/>
      </rPr>
      <t xml:space="preserve">）＝</t>
    </r>
    <r>
      <rPr>
        <b val="true"/>
        <sz val="10"/>
        <rFont val="Arial"/>
        <family val="0"/>
        <charset val="1"/>
      </rPr>
      <t xml:space="preserve">Σ token × </t>
    </r>
    <r>
      <rPr>
        <b val="true"/>
        <sz val="10"/>
        <rFont val="Noto Sans CJK SC"/>
        <family val="2"/>
      </rPr>
      <t xml:space="preserve">類型組成 </t>
    </r>
    <r>
      <rPr>
        <b val="true"/>
        <sz val="10"/>
        <rFont val="Arial"/>
        <family val="0"/>
        <charset val="1"/>
      </rPr>
      <t xml:space="preserve">× TK </t>
    </r>
    <r>
      <rPr>
        <b val="true"/>
        <sz val="10"/>
        <rFont val="Noto Sans CJK SC"/>
        <family val="2"/>
      </rPr>
      <t xml:space="preserve">逐類型單位成本（</t>
    </r>
    <r>
      <rPr>
        <b val="true"/>
        <sz val="10"/>
        <rFont val="Arial"/>
        <family val="0"/>
        <charset val="1"/>
      </rPr>
      <t xml:space="preserve">Hopper </t>
    </r>
    <r>
      <rPr>
        <b val="true"/>
        <sz val="10"/>
        <rFont val="Noto Sans CJK SC"/>
        <family val="2"/>
      </rPr>
      <t xml:space="preserve">基準欄，經濟、</t>
    </r>
    <r>
      <rPr>
        <b val="true"/>
        <sz val="10"/>
        <rFont val="Arial"/>
        <family val="0"/>
        <charset val="1"/>
      </rPr>
      <t xml:space="preserve">100% </t>
    </r>
    <r>
      <rPr>
        <b val="true"/>
        <sz val="10"/>
        <rFont val="Noto Sans CJK SC"/>
        <family val="2"/>
      </rPr>
      <t xml:space="preserve">利用率）</t>
    </r>
    <r>
      <rPr>
        <b val="true"/>
        <sz val="10"/>
        <rFont val="Arial"/>
        <family val="0"/>
        <charset val="1"/>
      </rPr>
      <t xml:space="preserve">÷ TK IF_HoldEcon</t>
    </r>
    <r>
      <rPr>
        <b val="true"/>
        <sz val="10"/>
        <rFont val="Noto Sans CJK SC"/>
        <family val="2"/>
      </rPr>
      <t xml:space="preserve">（</t>
    </r>
    <r>
      <rPr>
        <b val="true"/>
        <sz val="10"/>
        <rFont val="Arial"/>
        <family val="0"/>
        <charset val="1"/>
      </rPr>
      <t xml:space="preserve">Hopper</t>
    </r>
    <r>
      <rPr>
        <b val="true"/>
        <sz val="10"/>
        <rFont val="Noto Sans CJK SC"/>
        <family val="2"/>
      </rPr>
      <t xml:space="preserve">，</t>
    </r>
    <r>
      <rPr>
        <b val="true"/>
        <sz val="10"/>
        <rFont val="Arial"/>
        <family val="0"/>
        <charset val="1"/>
      </rPr>
      <t xml:space="preserve">100% </t>
    </r>
    <r>
      <rPr>
        <b val="true"/>
        <sz val="10"/>
        <rFont val="Noto Sans CJK SC"/>
        <family val="2"/>
      </rPr>
      <t xml:space="preserve">時數）</t>
    </r>
    <r>
      <rPr>
        <b val="true"/>
        <sz val="10"/>
        <rFont val="Arial"/>
        <family val="0"/>
        <charset val="1"/>
      </rPr>
      <t xml:space="preserve">÷ IF_Util ÷ </t>
    </r>
    <r>
      <rPr>
        <b val="true"/>
        <sz val="10"/>
        <rFont val="Noto Sans CJK SC"/>
        <family val="2"/>
      </rPr>
      <t xml:space="preserve">組合產出係數</t>
    </r>
  </si>
  <si>
    <t xml:space="preserve">G36</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</si>
  <si>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Sol × </t>
    </r>
    <r>
      <rPr>
        <sz val="10"/>
        <color rgb="FF000000"/>
        <rFont val="Noto Sans CJK SC"/>
        <family val="2"/>
      </rPr>
      <t xml:space="preserve">新鮮 </t>
    </r>
    <r>
      <rPr>
        <sz val="10"/>
        <color rgb="FF000000"/>
        <rFont val="Arial"/>
        <family val="0"/>
        <charset val="1"/>
      </rPr>
      <t xml:space="preserve">prefill</t>
    </r>
  </si>
  <si>
    <r>
      <rPr>
        <sz val="9"/>
        <color rgb="FF595959"/>
        <rFont val="Arial"/>
        <family val="0"/>
        <charset val="1"/>
      </rPr>
      <t xml:space="preserve">TK IF_CostPre_Sol</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</si>
  <si>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G37</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</si>
  <si>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Sol × </t>
    </r>
    <r>
      <rPr>
        <sz val="10"/>
        <color rgb="FF000000"/>
        <rFont val="Noto Sans CJK SC"/>
        <family val="2"/>
      </rPr>
      <t xml:space="preserve">快取命中 </t>
    </r>
    <r>
      <rPr>
        <sz val="10"/>
        <color rgb="FF000000"/>
        <rFont val="Arial"/>
        <family val="0"/>
        <charset val="1"/>
      </rPr>
      <t xml:space="preserve">prefill</t>
    </r>
  </si>
  <si>
    <r>
      <rPr>
        <sz val="9"/>
        <color rgb="FF595959"/>
        <rFont val="Arial"/>
        <family val="0"/>
        <charset val="1"/>
      </rPr>
      <t xml:space="preserve">TK IF_CostCache_Sol</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</si>
  <si>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G38</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</si>
  <si>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Sol × decode</t>
    </r>
  </si>
  <si>
    <r>
      <rPr>
        <sz val="9"/>
        <color rgb="FF595959"/>
        <rFont val="Arial"/>
        <family val="0"/>
        <charset val="1"/>
      </rPr>
      <t xml:space="preserve">TK IF_CostDec_Sol</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</si>
  <si>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G39</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</si>
  <si>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Luna × </t>
    </r>
    <r>
      <rPr>
        <sz val="10"/>
        <color rgb="FF000000"/>
        <rFont val="Noto Sans CJK SC"/>
        <family val="2"/>
      </rPr>
      <t xml:space="preserve">新鮮 </t>
    </r>
    <r>
      <rPr>
        <sz val="10"/>
        <color rgb="FF000000"/>
        <rFont val="Arial"/>
        <family val="0"/>
        <charset val="1"/>
      </rPr>
      <t xml:space="preserve">prefill</t>
    </r>
  </si>
  <si>
    <r>
      <rPr>
        <sz val="9"/>
        <color rgb="FF595959"/>
        <rFont val="Arial"/>
        <family val="0"/>
        <charset val="1"/>
      </rPr>
      <t xml:space="preserve">TK IF_CostPre_Luna</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</si>
  <si>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G40</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</si>
  <si>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Luna × </t>
    </r>
    <r>
      <rPr>
        <sz val="10"/>
        <color rgb="FF000000"/>
        <rFont val="Noto Sans CJK SC"/>
        <family val="2"/>
      </rPr>
      <t xml:space="preserve">快取命中 </t>
    </r>
    <r>
      <rPr>
        <sz val="10"/>
        <color rgb="FF000000"/>
        <rFont val="Arial"/>
        <family val="0"/>
        <charset val="1"/>
      </rPr>
      <t xml:space="preserve">prefill</t>
    </r>
  </si>
  <si>
    <r>
      <rPr>
        <sz val="9"/>
        <color rgb="FF595959"/>
        <rFont val="Arial"/>
        <family val="0"/>
        <charset val="1"/>
      </rPr>
      <t xml:space="preserve">TK IF_CostCache_Luna</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</si>
  <si>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G41</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</si>
  <si>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Luna × decode</t>
    </r>
  </si>
  <si>
    <r>
      <rPr>
        <sz val="9"/>
        <color rgb="FF595959"/>
        <rFont val="Arial"/>
        <family val="0"/>
        <charset val="1"/>
      </rPr>
      <t xml:space="preserve">TK IF_CostDec_Luna</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</si>
  <si>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G42</t>
  </si>
  <si>
    <r>
      <rPr>
        <sz val="10"/>
        <color rgb="FF000000"/>
        <rFont val="Arial"/>
        <family val="0"/>
        <charset val="1"/>
      </rPr>
      <t xml:space="preserve">TK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Hopper</t>
    </r>
    <r>
      <rPr>
        <sz val="10"/>
        <color rgb="FF000000"/>
        <rFont val="Noto Sans CJK SC"/>
        <family val="2"/>
      </rPr>
      <t xml:space="preserve">（經濟）</t>
    </r>
  </si>
  <si>
    <r>
      <rPr>
        <sz val="10"/>
        <color rgb="FF000000"/>
        <rFont val="Arial"/>
        <family val="0"/>
        <charset val="1"/>
      </rPr>
      <t xml:space="preserve">$B</t>
    </r>
    <r>
      <rPr>
        <sz val="10"/>
        <color rgb="FF000000"/>
        <rFont val="Noto Sans CJK SC"/>
        <family val="2"/>
      </rPr>
      <t xml:space="preserve">／</t>
    </r>
    <r>
      <rPr>
        <sz val="10"/>
        <color rgb="FF000000"/>
        <rFont val="Arial"/>
        <family val="0"/>
        <charset val="1"/>
      </rPr>
      <t xml:space="preserve">GW</t>
    </r>
    <r>
      <rPr>
        <sz val="10"/>
        <color rgb="FF000000"/>
        <rFont val="Noto Sans CJK SC"/>
        <family val="2"/>
      </rPr>
      <t xml:space="preserve">／年</t>
    </r>
  </si>
  <si>
    <r>
      <rPr>
        <sz val="9"/>
        <color rgb="FF595959"/>
        <rFont val="Noto Sans CJK SC"/>
        <family val="2"/>
      </rPr>
      <t xml:space="preserve">與單位成本同為經濟口徑、</t>
    </r>
    <r>
      <rPr>
        <sz val="9"/>
        <color rgb="FF595959"/>
        <rFont val="Arial"/>
        <family val="0"/>
        <charset val="1"/>
      </rPr>
      <t xml:space="preserve">100% </t>
    </r>
    <r>
      <rPr>
        <sz val="9"/>
        <color rgb="FF595959"/>
        <rFont val="Noto Sans CJK SC"/>
        <family val="2"/>
      </rPr>
      <t xml:space="preserve">時數（單位成本＝每 </t>
    </r>
    <r>
      <rPr>
        <sz val="9"/>
        <color rgb="FF595959"/>
        <rFont val="Arial"/>
        <family val="0"/>
        <charset val="1"/>
      </rPr>
      <t xml:space="preserve">GPU </t>
    </r>
    <r>
      <rPr>
        <sz val="9"/>
        <color rgb="FF595959"/>
        <rFont val="Noto Sans CJK SC"/>
        <family val="2"/>
      </rPr>
      <t xml:space="preserve">小時持有成本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M token GPU </t>
    </r>
    <r>
      <rPr>
        <sz val="9"/>
        <color rgb="FF595959"/>
        <rFont val="Noto Sans CJK SC"/>
        <family val="2"/>
      </rPr>
      <t xml:space="preserve">時間），兩者相除＝</t>
    </r>
    <r>
      <rPr>
        <sz val="9"/>
        <color rgb="FF595959"/>
        <rFont val="Arial"/>
        <family val="0"/>
        <charset val="1"/>
      </rPr>
      <t xml:space="preserve">100% </t>
    </r>
    <r>
      <rPr>
        <sz val="9"/>
        <color rgb="FF595959"/>
        <rFont val="Noto Sans CJK SC"/>
        <family val="2"/>
      </rPr>
      <t xml:space="preserve">利用率下所需 </t>
    </r>
    <r>
      <rPr>
        <sz val="9"/>
        <color rgb="FF595959"/>
        <rFont val="Arial"/>
        <family val="0"/>
        <charset val="1"/>
      </rPr>
      <t xml:space="preserve">GW</t>
    </r>
  </si>
  <si>
    <t xml:space="preserve">G43</t>
  </si>
  <si>
    <r>
      <rPr>
        <sz val="10"/>
        <color rgb="FF000000"/>
        <rFont val="Noto Sans CJK SC"/>
        <family val="2"/>
      </rPr>
      <t xml:space="preserve">類型組成：</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快取命中、輸出占比）：新鮮輸入</t>
    </r>
  </si>
  <si>
    <r>
      <rPr>
        <sz val="9"/>
        <color rgb="FF595959"/>
        <rFont val="Arial"/>
        <family val="0"/>
        <charset val="1"/>
      </rPr>
      <t xml:space="preserve">(1−</t>
    </r>
    <r>
      <rPr>
        <sz val="9"/>
        <color rgb="FF595959"/>
        <rFont val="Noto Sans CJK SC"/>
        <family val="2"/>
      </rPr>
      <t xml:space="preserve">輸出占比</t>
    </r>
    <r>
      <rPr>
        <sz val="9"/>
        <color rgb="FF595959"/>
        <rFont val="Arial"/>
        <family val="0"/>
        <charset val="1"/>
      </rPr>
      <t xml:space="preserve">)×(1−</t>
    </r>
    <r>
      <rPr>
        <sz val="9"/>
        <color rgb="FF595959"/>
        <rFont val="Noto Sans CJK SC"/>
        <family val="2"/>
      </rPr>
      <t xml:space="preserve">快取命中</t>
    </r>
    <r>
      <rPr>
        <sz val="9"/>
        <color rgb="FF595959"/>
        <rFont val="Arial"/>
        <family val="0"/>
        <charset val="1"/>
      </rPr>
      <t xml:space="preserve">)</t>
    </r>
  </si>
  <si>
    <t xml:space="preserve">G44</t>
  </si>
  <si>
    <r>
      <rPr>
        <sz val="10"/>
        <color rgb="FF000000"/>
        <rFont val="Noto Sans CJK SC"/>
        <family val="2"/>
      </rPr>
      <t xml:space="preserve">類型組成：</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快取命中、輸出占比）：快取命中輸入</t>
    </r>
  </si>
  <si>
    <r>
      <rPr>
        <sz val="9"/>
        <color rgb="FF595959"/>
        <rFont val="Arial"/>
        <family val="0"/>
        <charset val="1"/>
      </rPr>
      <t xml:space="preserve">(1−</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快取命中</t>
    </r>
  </si>
  <si>
    <t xml:space="preserve">G45</t>
  </si>
  <si>
    <r>
      <rPr>
        <sz val="10"/>
        <color rgb="FF000000"/>
        <rFont val="Noto Sans CJK SC"/>
        <family val="2"/>
      </rPr>
      <t xml:space="preserve">類型組成：</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快取命中、輸出占比）：輸出</t>
    </r>
  </si>
  <si>
    <t xml:space="preserve">輸出占比</t>
  </si>
  <si>
    <t xml:space="preserve">G46</t>
  </si>
  <si>
    <r>
      <rPr>
        <sz val="10"/>
        <color rgb="FF000000"/>
        <rFont val="Noto Sans CJK SC"/>
        <family val="2"/>
      </rPr>
      <t xml:space="preserve">加權單位成本：</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 </t>
    </r>
    <r>
      <rPr>
        <sz val="10"/>
        <color rgb="FF000000"/>
        <rFont val="Arial"/>
        <family val="0"/>
        <charset val="1"/>
      </rPr>
      <t xml:space="preserve">× Sol</t>
    </r>
  </si>
  <si>
    <r>
      <rPr>
        <sz val="9"/>
        <color rgb="FF595959"/>
        <rFont val="Arial"/>
        <family val="0"/>
        <charset val="1"/>
      </rPr>
      <t xml:space="preserve">Hopper</t>
    </r>
    <r>
      <rPr>
        <sz val="9"/>
        <color rgb="FF595959"/>
        <rFont val="Noto Sans CJK SC"/>
        <family val="2"/>
      </rPr>
      <t xml:space="preserve">、</t>
    </r>
    <r>
      <rPr>
        <sz val="9"/>
        <color rgb="FF595959"/>
        <rFont val="Arial"/>
        <family val="0"/>
        <charset val="1"/>
      </rPr>
      <t xml:space="preserve">100%</t>
    </r>
  </si>
  <si>
    <t xml:space="preserve">G47</t>
  </si>
  <si>
    <r>
      <rPr>
        <sz val="10"/>
        <color rgb="FF000000"/>
        <rFont val="Noto Sans CJK SC"/>
        <family val="2"/>
      </rPr>
      <t xml:space="preserve">加權單位成本：</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 </t>
    </r>
    <r>
      <rPr>
        <sz val="10"/>
        <color rgb="FF000000"/>
        <rFont val="Arial"/>
        <family val="0"/>
        <charset val="1"/>
      </rPr>
      <t xml:space="preserve">× Luna</t>
    </r>
  </si>
  <si>
    <t xml:space="preserve">G48</t>
  </si>
  <si>
    <r>
      <rPr>
        <sz val="10"/>
        <color rgb="FF000000"/>
        <rFont val="Noto Sans CJK SC"/>
        <family val="2"/>
      </rPr>
      <t xml:space="preserve">類型組成：</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）：新鮮輸入</t>
    </r>
  </si>
  <si>
    <t xml:space="preserve">G49</t>
  </si>
  <si>
    <r>
      <rPr>
        <sz val="10"/>
        <color rgb="FF000000"/>
        <rFont val="Noto Sans CJK SC"/>
        <family val="2"/>
      </rPr>
      <t xml:space="preserve">類型組成：</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）：快取命中輸入</t>
    </r>
  </si>
  <si>
    <t xml:space="preserve">G50</t>
  </si>
  <si>
    <r>
      <rPr>
        <sz val="10"/>
        <color rgb="FF000000"/>
        <rFont val="Noto Sans CJK SC"/>
        <family val="2"/>
      </rPr>
      <t xml:space="preserve">類型組成：</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）：輸出</t>
    </r>
  </si>
  <si>
    <t xml:space="preserve">G51</t>
  </si>
  <si>
    <r>
      <rPr>
        <sz val="10"/>
        <color rgb="FF000000"/>
        <rFont val="Noto Sans CJK SC"/>
        <family val="2"/>
      </rPr>
      <t xml:space="preserve">加權單位成本：</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 </t>
    </r>
    <r>
      <rPr>
        <sz val="10"/>
        <color rgb="FF000000"/>
        <rFont val="Arial"/>
        <family val="0"/>
        <charset val="1"/>
      </rPr>
      <t xml:space="preserve">× Sol</t>
    </r>
  </si>
  <si>
    <t xml:space="preserve">G52</t>
  </si>
  <si>
    <r>
      <rPr>
        <sz val="10"/>
        <color rgb="FF000000"/>
        <rFont val="Noto Sans CJK SC"/>
        <family val="2"/>
      </rPr>
      <t xml:space="preserve">加權單位成本：</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 </t>
    </r>
    <r>
      <rPr>
        <sz val="10"/>
        <color rgb="FF000000"/>
        <rFont val="Arial"/>
        <family val="0"/>
        <charset val="1"/>
      </rPr>
      <t xml:space="preserve">× Luna</t>
    </r>
  </si>
  <si>
    <t xml:space="preserve">G53</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</si>
  <si>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換算）：付費</t>
    </r>
  </si>
  <si>
    <r>
      <rPr>
        <sz val="9"/>
        <color rgb="FF595959"/>
        <rFont val="Arial"/>
        <family val="0"/>
        <charset val="1"/>
      </rPr>
      <t xml:space="preserve">Σ token</t>
    </r>
    <r>
      <rPr>
        <sz val="9"/>
        <color rgb="FF595959"/>
        <rFont val="Noto Sans CJK SC"/>
        <family val="2"/>
      </rPr>
      <t xml:space="preserve">（</t>
    </r>
    <r>
      <rPr>
        <sz val="9"/>
        <color rgb="FF595959"/>
        <rFont val="Arial"/>
        <family val="0"/>
        <charset val="1"/>
      </rPr>
      <t xml:space="preserve">T</t>
    </r>
    <r>
      <rPr>
        <sz val="9"/>
        <color rgb="FF595959"/>
        <rFont val="Noto Sans CJK SC"/>
        <family val="2"/>
      </rPr>
      <t xml:space="preserve">）</t>
    </r>
    <r>
      <rPr>
        <sz val="9"/>
        <color rgb="FF595959"/>
        <rFont val="Arial"/>
        <family val="0"/>
        <charset val="1"/>
      </rPr>
      <t xml:space="preserve">× 10^6 × </t>
    </r>
    <r>
      <rPr>
        <sz val="9"/>
        <color rgb="FF595959"/>
        <rFont val="Noto Sans CJK SC"/>
        <family val="2"/>
      </rPr>
      <t xml:space="preserve">加權單位成本 </t>
    </r>
    <r>
      <rPr>
        <sz val="9"/>
        <color rgb="FF595959"/>
        <rFont val="Arial"/>
        <family val="0"/>
        <charset val="1"/>
      </rPr>
      <t xml:space="preserve">÷</t>
    </r>
    <r>
      <rPr>
        <sz val="9"/>
        <color rgb="FF595959"/>
        <rFont val="Noto Sans CJK SC"/>
        <family val="2"/>
      </rPr>
      <t xml:space="preserve">（持有成本 </t>
    </r>
    <r>
      <rPr>
        <sz val="9"/>
        <color rgb="FF595959"/>
        <rFont val="Arial"/>
        <family val="0"/>
        <charset val="1"/>
      </rPr>
      <t xml:space="preserve">× 10^9 × IF_Util × </t>
    </r>
    <r>
      <rPr>
        <sz val="9"/>
        <color rgb="FF595959"/>
        <rFont val="Noto Sans CJK SC"/>
        <family val="2"/>
      </rPr>
      <t xml:space="preserve">組合產出係數 </t>
    </r>
    <r>
      <rPr>
        <sz val="9"/>
        <color rgb="FF595959"/>
        <rFont val="Arial"/>
        <family val="0"/>
        <charset val="1"/>
      </rPr>
      <t xml:space="preserve">× </t>
    </r>
    <r>
      <rPr>
        <sz val="9"/>
        <color rgb="FF595959"/>
        <rFont val="Noto Sans CJK SC"/>
        <family val="2"/>
      </rPr>
      <t xml:space="preserve">期間比例）；國產、</t>
    </r>
    <r>
      <rPr>
        <sz val="9"/>
        <color rgb="FF595959"/>
        <rFont val="Arial"/>
        <family val="0"/>
        <charset val="1"/>
      </rPr>
      <t xml:space="preserve">H20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產出＝</t>
    </r>
    <r>
      <rPr>
        <sz val="9"/>
        <color rgb="FF595959"/>
        <rFont val="Arial"/>
        <family val="0"/>
        <charset val="1"/>
      </rPr>
      <t xml:space="preserve">Hopper × </t>
    </r>
    <r>
      <rPr>
        <sz val="9"/>
        <color rgb="FF595959"/>
        <rFont val="Noto Sans CJK SC"/>
        <family val="2"/>
      </rPr>
      <t xml:space="preserve">產出比（持有比在成本與持有成本兩端相消）</t>
    </r>
  </si>
  <si>
    <t xml:space="preserve">G54</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</si>
  <si>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換算）：免費</t>
    </r>
  </si>
  <si>
    <t xml:space="preserve">G55</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</si>
  <si>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換算）：合計</t>
    </r>
  </si>
  <si>
    <t xml:space="preserve">G56</t>
  </si>
  <si>
    <r>
      <rPr>
        <sz val="10"/>
        <color rgb="FF000000"/>
        <rFont val="Noto Sans CJK SC"/>
        <family val="2"/>
      </rPr>
      <t xml:space="preserve">其中 </t>
    </r>
    <r>
      <rPr>
        <sz val="10"/>
        <color rgb="FF000000"/>
        <rFont val="Arial"/>
        <family val="0"/>
        <charset val="1"/>
      </rPr>
      <t xml:space="preserve">Coding Plan</t>
    </r>
  </si>
  <si>
    <r>
      <rPr>
        <sz val="9"/>
        <color rgb="FF595959"/>
        <rFont val="Arial"/>
        <family val="0"/>
        <charset val="1"/>
      </rPr>
      <t xml:space="preserve">R4 </t>
    </r>
    <r>
      <rPr>
        <sz val="9"/>
        <color rgb="FF595959"/>
        <rFont val="Noto Sans CJK SC"/>
        <family val="2"/>
      </rPr>
      <t xml:space="preserve">對帳用</t>
    </r>
  </si>
  <si>
    <r>
      <rPr>
        <b val="true"/>
        <sz val="10"/>
        <rFont val="Noto Sans CJK SC"/>
        <family val="2"/>
      </rPr>
      <t xml:space="preserve">四之一、對照：舊法（</t>
    </r>
    <r>
      <rPr>
        <b val="true"/>
        <sz val="10"/>
        <rFont val="Arial"/>
        <family val="0"/>
        <charset val="1"/>
      </rPr>
      <t xml:space="preserve">Z3</t>
    </r>
    <r>
      <rPr>
        <b val="true"/>
        <sz val="10"/>
        <rFont val="Noto Sans CJK SC"/>
        <family val="2"/>
      </rPr>
      <t xml:space="preserve">）＝</t>
    </r>
    <r>
      <rPr>
        <b val="true"/>
        <sz val="10"/>
        <rFont val="Arial"/>
        <family val="0"/>
        <charset val="1"/>
      </rPr>
      <t xml:space="preserve">token ÷ </t>
    </r>
    <r>
      <rPr>
        <b val="true"/>
        <sz val="10"/>
        <rFont val="Noto Sans CJK SC"/>
        <family val="2"/>
      </rPr>
      <t xml:space="preserve">參考請求組合每 </t>
    </r>
    <r>
      <rPr>
        <b val="true"/>
        <sz val="10"/>
        <rFont val="Arial"/>
        <family val="0"/>
        <charset val="1"/>
      </rPr>
      <t xml:space="preserve">GW </t>
    </r>
    <r>
      <rPr>
        <b val="true"/>
        <sz val="10"/>
        <rFont val="Noto Sans CJK SC"/>
        <family val="2"/>
      </rPr>
      <t xml:space="preserve">年產能（</t>
    </r>
    <r>
      <rPr>
        <b val="true"/>
        <sz val="10"/>
        <rFont val="Arial"/>
        <family val="0"/>
        <charset val="1"/>
      </rPr>
      <t xml:space="preserve">TK IF_TokGW × IF_Util</t>
    </r>
    <r>
      <rPr>
        <b val="true"/>
        <sz val="10"/>
        <rFont val="Noto Sans CJK SC"/>
        <family val="2"/>
      </rPr>
      <t xml:space="preserve">；</t>
    </r>
    <r>
      <rPr>
        <b val="true"/>
        <sz val="10"/>
        <rFont val="Arial"/>
        <family val="0"/>
        <charset val="1"/>
      </rPr>
      <t xml:space="preserve">Z3b F3</t>
    </r>
    <r>
      <rPr>
        <b val="true"/>
        <sz val="10"/>
        <rFont val="Noto Sans CJK SC"/>
        <family val="2"/>
      </rPr>
      <t xml:space="preserve">：只列，不進計算鏈）</t>
    </r>
  </si>
  <si>
    <t xml:space="preserve">G57</t>
  </si>
  <si>
    <r>
      <rPr>
        <sz val="10"/>
        <color rgb="FF000000"/>
        <rFont val="Noto Sans CJK SC"/>
        <family val="2"/>
      </rPr>
      <t xml:space="preserve">舊法：付費每 </t>
    </r>
    <r>
      <rPr>
        <sz val="10"/>
        <color rgb="FF000000"/>
        <rFont val="Arial"/>
        <family val="0"/>
        <charset val="1"/>
      </rPr>
      <t xml:space="preserve">GW </t>
    </r>
    <r>
      <rPr>
        <sz val="10"/>
        <color rgb="FF000000"/>
        <rFont val="Noto Sans CJK SC"/>
        <family val="2"/>
      </rPr>
      <t xml:space="preserve">年產能：</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</si>
  <si>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t xml:space="preserve">G58</t>
  </si>
  <si>
    <r>
      <rPr>
        <sz val="10"/>
        <color rgb="FF000000"/>
        <rFont val="Noto Sans CJK SC"/>
        <family val="2"/>
      </rPr>
      <t xml:space="preserve">舊法：付費每 </t>
    </r>
    <r>
      <rPr>
        <sz val="10"/>
        <color rgb="FF000000"/>
        <rFont val="Arial"/>
        <family val="0"/>
        <charset val="1"/>
      </rPr>
      <t xml:space="preserve">GW </t>
    </r>
    <r>
      <rPr>
        <sz val="10"/>
        <color rgb="FF000000"/>
        <rFont val="Noto Sans CJK SC"/>
        <family val="2"/>
      </rPr>
      <t xml:space="preserve">年產能：</t>
    </r>
    <r>
      <rPr>
        <sz val="10"/>
        <color rgb="FF000000"/>
        <rFont val="Arial"/>
        <family val="0"/>
        <charset val="1"/>
      </rPr>
      <t xml:space="preserve">H20</t>
    </r>
  </si>
  <si>
    <t xml:space="preserve">G59</t>
  </si>
  <si>
    <r>
      <rPr>
        <sz val="10"/>
        <color rgb="FF000000"/>
        <rFont val="Noto Sans CJK SC"/>
        <family val="2"/>
      </rPr>
      <t xml:space="preserve">舊法：付費每 </t>
    </r>
    <r>
      <rPr>
        <sz val="10"/>
        <color rgb="FF000000"/>
        <rFont val="Arial"/>
        <family val="0"/>
        <charset val="1"/>
      </rPr>
      <t xml:space="preserve">GW </t>
    </r>
    <r>
      <rPr>
        <sz val="10"/>
        <color rgb="FF000000"/>
        <rFont val="Noto Sans CJK SC"/>
        <family val="2"/>
      </rPr>
      <t xml:space="preserve">年產能：國產（昇騰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</si>
  <si>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G60</t>
  </si>
  <si>
    <r>
      <rPr>
        <sz val="10"/>
        <color rgb="FF000000"/>
        <rFont val="Noto Sans CJK SC"/>
        <family val="2"/>
      </rPr>
      <t xml:space="preserve">舊法：付費每 </t>
    </r>
    <r>
      <rPr>
        <sz val="10"/>
        <color rgb="FF000000"/>
        <rFont val="Arial"/>
        <family val="0"/>
        <charset val="1"/>
      </rPr>
      <t xml:space="preserve">GW </t>
    </r>
    <r>
      <rPr>
        <sz val="10"/>
        <color rgb="FF000000"/>
        <rFont val="Noto Sans CJK SC"/>
        <family val="2"/>
      </rPr>
      <t xml:space="preserve">年產能：組合後</t>
    </r>
  </si>
  <si>
    <r>
      <rPr>
        <sz val="9"/>
        <color rgb="FF595959"/>
        <rFont val="Arial"/>
        <family val="0"/>
        <charset val="1"/>
      </rPr>
      <t xml:space="preserve">Σ </t>
    </r>
    <r>
      <rPr>
        <sz val="9"/>
        <color rgb="FF595959"/>
        <rFont val="Noto Sans CJK SC"/>
        <family val="2"/>
      </rPr>
      <t xml:space="preserve">晶片族占比 </t>
    </r>
    <r>
      <rPr>
        <sz val="9"/>
        <color rgb="FF595959"/>
        <rFont val="Arial"/>
        <family val="0"/>
        <charset val="1"/>
      </rPr>
      <t xml:space="preserve">× </t>
    </r>
    <r>
      <rPr>
        <sz val="9"/>
        <color rgb="FF595959"/>
        <rFont val="Noto Sans CJK SC"/>
        <family val="2"/>
      </rPr>
      <t xml:space="preserve">各族產能</t>
    </r>
  </si>
  <si>
    <t xml:space="preserve">G61</t>
  </si>
  <si>
    <r>
      <rPr>
        <sz val="10"/>
        <color rgb="FF000000"/>
        <rFont val="Noto Sans CJK SC"/>
        <family val="2"/>
      </rPr>
      <t xml:space="preserve">舊法：免費每 </t>
    </r>
    <r>
      <rPr>
        <sz val="10"/>
        <color rgb="FF000000"/>
        <rFont val="Arial"/>
        <family val="0"/>
        <charset val="1"/>
      </rPr>
      <t xml:space="preserve">GW </t>
    </r>
    <r>
      <rPr>
        <sz val="10"/>
        <color rgb="FF000000"/>
        <rFont val="Noto Sans CJK SC"/>
        <family val="2"/>
      </rPr>
      <t xml:space="preserve">年產能：</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</si>
  <si>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t xml:space="preserve">G62</t>
  </si>
  <si>
    <r>
      <rPr>
        <sz val="10"/>
        <color rgb="FF000000"/>
        <rFont val="Noto Sans CJK SC"/>
        <family val="2"/>
      </rPr>
      <t xml:space="preserve">舊法：免費每 </t>
    </r>
    <r>
      <rPr>
        <sz val="10"/>
        <color rgb="FF000000"/>
        <rFont val="Arial"/>
        <family val="0"/>
        <charset val="1"/>
      </rPr>
      <t xml:space="preserve">GW </t>
    </r>
    <r>
      <rPr>
        <sz val="10"/>
        <color rgb="FF000000"/>
        <rFont val="Noto Sans CJK SC"/>
        <family val="2"/>
      </rPr>
      <t xml:space="preserve">年產能：</t>
    </r>
    <r>
      <rPr>
        <sz val="10"/>
        <color rgb="FF000000"/>
        <rFont val="Arial"/>
        <family val="0"/>
        <charset val="1"/>
      </rPr>
      <t xml:space="preserve">H20</t>
    </r>
  </si>
  <si>
    <t xml:space="preserve">G63</t>
  </si>
  <si>
    <r>
      <rPr>
        <sz val="10"/>
        <color rgb="FF000000"/>
        <rFont val="Noto Sans CJK SC"/>
        <family val="2"/>
      </rPr>
      <t xml:space="preserve">舊法：免費每 </t>
    </r>
    <r>
      <rPr>
        <sz val="10"/>
        <color rgb="FF000000"/>
        <rFont val="Arial"/>
        <family val="0"/>
        <charset val="1"/>
      </rPr>
      <t xml:space="preserve">GW </t>
    </r>
    <r>
      <rPr>
        <sz val="10"/>
        <color rgb="FF000000"/>
        <rFont val="Noto Sans CJK SC"/>
        <family val="2"/>
      </rPr>
      <t xml:space="preserve">年產能：國產（昇騰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</si>
  <si>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G64</t>
  </si>
  <si>
    <r>
      <rPr>
        <sz val="10"/>
        <color rgb="FF000000"/>
        <rFont val="Noto Sans CJK SC"/>
        <family val="2"/>
      </rPr>
      <t xml:space="preserve">舊法：免費每 </t>
    </r>
    <r>
      <rPr>
        <sz val="10"/>
        <color rgb="FF000000"/>
        <rFont val="Arial"/>
        <family val="0"/>
        <charset val="1"/>
      </rPr>
      <t xml:space="preserve">GW </t>
    </r>
    <r>
      <rPr>
        <sz val="10"/>
        <color rgb="FF000000"/>
        <rFont val="Noto Sans CJK SC"/>
        <family val="2"/>
      </rPr>
      <t xml:space="preserve">年產能：組合後</t>
    </r>
  </si>
  <si>
    <t xml:space="preserve">G65</t>
  </si>
  <si>
    <r>
      <rPr>
        <sz val="10"/>
        <color rgb="FF000000"/>
        <rFont val="Noto Sans CJK SC"/>
        <family val="2"/>
      </rPr>
      <t xml:space="preserve">舊法：</t>
    </r>
    <r>
      <rPr>
        <sz val="10"/>
        <color rgb="FF000000"/>
        <rFont val="Arial"/>
        <family val="0"/>
        <charset val="1"/>
      </rPr>
      <t xml:space="preserve">token </t>
    </r>
    <r>
      <rPr>
        <sz val="10"/>
        <color rgb="FF000000"/>
        <rFont val="Noto Sans CJK SC"/>
        <family val="2"/>
      </rPr>
      <t xml:space="preserve">換算推論 </t>
    </r>
    <r>
      <rPr>
        <sz val="10"/>
        <color rgb="FF000000"/>
        <rFont val="Arial"/>
        <family val="0"/>
        <charset val="1"/>
      </rPr>
      <t xml:space="preserve">GW</t>
    </r>
    <r>
      <rPr>
        <sz val="10"/>
        <color rgb="FF000000"/>
        <rFont val="Noto Sans CJK SC"/>
        <family val="2"/>
      </rPr>
      <t xml:space="preserve">（合計）</t>
    </r>
  </si>
  <si>
    <r>
      <rPr>
        <sz val="9"/>
        <color rgb="FF595959"/>
        <rFont val="Arial"/>
        <family val="0"/>
        <charset val="1"/>
      </rPr>
      <t xml:space="preserve">Z3 </t>
    </r>
    <r>
      <rPr>
        <sz val="9"/>
        <color rgb="FF595959"/>
        <rFont val="Noto Sans CJK SC"/>
        <family val="2"/>
      </rPr>
      <t xml:space="preserve">原式</t>
    </r>
  </si>
  <si>
    <t xml:space="preserve">G66</t>
  </si>
  <si>
    <r>
      <rPr>
        <sz val="10"/>
        <color rgb="FF000000"/>
        <rFont val="Noto Sans CJK SC"/>
        <family val="2"/>
      </rPr>
      <t xml:space="preserve">新法 </t>
    </r>
    <r>
      <rPr>
        <sz val="10"/>
        <color rgb="FF000000"/>
        <rFont val="Arial"/>
        <family val="0"/>
        <charset val="1"/>
      </rPr>
      <t xml:space="preserve">÷ </t>
    </r>
    <r>
      <rPr>
        <sz val="10"/>
        <color rgb="FF000000"/>
        <rFont val="Noto Sans CJK SC"/>
        <family val="2"/>
      </rPr>
      <t xml:space="preserve">舊法</t>
    </r>
  </si>
  <si>
    <r>
      <rPr>
        <sz val="9"/>
        <color rgb="FF595959"/>
        <rFont val="Noto Sans CJK SC"/>
        <family val="2"/>
      </rPr>
      <t xml:space="preserve">類型加權使快取命中為主的流量所需 </t>
    </r>
    <r>
      <rPr>
        <sz val="9"/>
        <color rgb="FF595959"/>
        <rFont val="Arial"/>
        <family val="0"/>
        <charset val="1"/>
      </rPr>
      <t xml:space="preserve">GW </t>
    </r>
    <r>
      <rPr>
        <sz val="9"/>
        <color rgb="FF595959"/>
        <rFont val="Noto Sans CJK SC"/>
        <family val="2"/>
      </rPr>
      <t xml:space="preserve">大幅下降</t>
    </r>
  </si>
  <si>
    <r>
      <rPr>
        <b val="true"/>
        <sz val="10"/>
        <rFont val="Noto Sans CJK SC"/>
        <family val="2"/>
      </rPr>
      <t xml:space="preserve">五、算力服務費（財報推得；</t>
    </r>
    <r>
      <rPr>
        <b val="true"/>
        <sz val="10"/>
        <rFont val="Arial"/>
        <family val="0"/>
        <charset val="1"/>
      </rPr>
      <t xml:space="preserve">RMB </t>
    </r>
    <r>
      <rPr>
        <b val="true"/>
        <sz val="10"/>
        <rFont val="Noto Sans CJK SC"/>
        <family val="2"/>
      </rPr>
      <t xml:space="preserve">億；</t>
    </r>
    <r>
      <rPr>
        <b val="true"/>
        <sz val="10"/>
        <rFont val="Arial"/>
        <family val="0"/>
        <charset val="1"/>
      </rPr>
      <t xml:space="preserve">2025 </t>
    </r>
    <r>
      <rPr>
        <b val="true"/>
        <sz val="10"/>
        <rFont val="Noto Sans CJK SC"/>
        <family val="2"/>
      </rPr>
      <t xml:space="preserve">年報、</t>
    </r>
    <r>
      <rPr>
        <b val="true"/>
        <sz val="10"/>
        <rFont val="Arial"/>
        <family val="0"/>
        <charset val="1"/>
      </rPr>
      <t xml:space="preserve">1H26 </t>
    </r>
    <r>
      <rPr>
        <b val="true"/>
        <sz val="10"/>
        <rFont val="Noto Sans CJK SC"/>
        <family val="2"/>
      </rPr>
      <t xml:space="preserve">中期公告）：</t>
    </r>
    <r>
      <rPr>
        <b val="true"/>
        <sz val="10"/>
        <rFont val="Arial"/>
        <family val="0"/>
        <charset val="1"/>
      </rPr>
      <t xml:space="preserve">r2 P1</t>
    </r>
    <r>
      <rPr>
        <b val="true"/>
        <sz val="10"/>
        <rFont val="Noto Sans CJK SC"/>
        <family val="2"/>
      </rPr>
      <t xml:space="preserve">：總算力費＝營業成本中的計算服務費（推估＝開放平台及 </t>
    </r>
    <r>
      <rPr>
        <b val="true"/>
        <sz val="10"/>
        <rFont val="Arial"/>
        <family val="0"/>
        <charset val="1"/>
      </rPr>
      <t xml:space="preserve">API </t>
    </r>
    <r>
      <rPr>
        <b val="true"/>
        <sz val="10"/>
        <rFont val="Noto Sans CJK SC"/>
        <family val="2"/>
      </rPr>
      <t xml:space="preserve">銷售成本 </t>
    </r>
    <r>
      <rPr>
        <b val="true"/>
        <sz val="10"/>
        <rFont val="Arial"/>
        <family val="0"/>
        <charset val="1"/>
      </rPr>
      <t xml:space="preserve">× </t>
    </r>
    <r>
      <rPr>
        <b val="true"/>
        <sz val="10"/>
        <rFont val="Noto Sans CJK SC"/>
        <family val="2"/>
      </rPr>
      <t xml:space="preserve">占比）＋研發項下算力費（研發開支 </t>
    </r>
    <r>
      <rPr>
        <b val="true"/>
        <sz val="10"/>
        <rFont val="Arial"/>
        <family val="0"/>
        <charset val="1"/>
      </rPr>
      <t xml:space="preserve">× 1H25 </t>
    </r>
    <r>
      <rPr>
        <b val="true"/>
        <sz val="10"/>
        <rFont val="Noto Sans CJK SC"/>
        <family val="2"/>
      </rPr>
      <t xml:space="preserve">占比 </t>
    </r>
    <r>
      <rPr>
        <b val="true"/>
        <sz val="10"/>
        <rFont val="Arial"/>
        <family val="0"/>
        <charset val="1"/>
      </rPr>
      <t xml:space="preserve">71.8%</t>
    </r>
    <r>
      <rPr>
        <b val="true"/>
        <sz val="10"/>
        <rFont val="Noto Sans CJK SC"/>
        <family val="2"/>
      </rPr>
      <t xml:space="preserve">）；推論與研發不再以會計科目拆分（招股章程第 </t>
    </r>
    <r>
      <rPr>
        <b val="true"/>
        <sz val="10"/>
        <rFont val="Arial"/>
        <family val="0"/>
        <charset val="1"/>
      </rPr>
      <t xml:space="preserve">255 </t>
    </r>
    <r>
      <rPr>
        <b val="true"/>
        <sz val="10"/>
        <rFont val="Noto Sans CJK SC"/>
        <family val="2"/>
      </rPr>
      <t xml:space="preserve">頁：研發算力費涵蓋訓練、推理及持續開發）</t>
    </r>
  </si>
  <si>
    <t xml:space="preserve">G67</t>
  </si>
  <si>
    <r>
      <rPr>
        <sz val="9"/>
        <color rgb="FF595959"/>
        <rFont val="Arial"/>
        <family val="0"/>
        <charset val="1"/>
      </rPr>
      <t xml:space="preserve">SRC_ZP_197</t>
    </r>
    <r>
      <rPr>
        <sz val="9"/>
        <color rgb="FF595959"/>
        <rFont val="Noto Sans CJK SC"/>
        <family val="2"/>
      </rPr>
      <t xml:space="preserve">、</t>
    </r>
    <r>
      <rPr>
        <sz val="9"/>
        <color rgb="FF595959"/>
        <rFont val="Arial"/>
        <family val="0"/>
        <charset val="1"/>
      </rPr>
      <t xml:space="preserve">195</t>
    </r>
    <r>
      <rPr>
        <sz val="9"/>
        <color rgb="FF595959"/>
        <rFont val="Noto Sans CJK SC"/>
        <family val="2"/>
      </rPr>
      <t xml:space="preserve">（</t>
    </r>
    <r>
      <rPr>
        <sz val="9"/>
        <color rgb="FF595959"/>
        <rFont val="Arial"/>
        <family val="0"/>
        <charset val="1"/>
      </rPr>
      <t xml:space="preserve">Derived</t>
    </r>
    <r>
      <rPr>
        <sz val="9"/>
        <color rgb="FF595959"/>
        <rFont val="Noto Sans CJK SC"/>
        <family val="2"/>
      </rPr>
      <t xml:space="preserve">：毛利 − 收入）</t>
    </r>
  </si>
  <si>
    <t xml:space="preserve">G68</t>
  </si>
  <si>
    <r>
      <rPr>
        <sz val="10"/>
        <color rgb="FF000000"/>
        <rFont val="Noto Sans CJK SC"/>
        <family val="2"/>
      </rPr>
      <t xml:space="preserve">營業成本中的計算服務費（推估）＝</t>
    </r>
    <r>
      <rPr>
        <sz val="10"/>
        <color rgb="FF000000"/>
        <rFont val="Arial"/>
        <family val="0"/>
        <charset val="1"/>
      </rPr>
      <t xml:space="preserve">API </t>
    </r>
    <r>
      <rPr>
        <sz val="10"/>
        <color rgb="FF000000"/>
        <rFont val="Noto Sans CJK SC"/>
        <family val="2"/>
      </rPr>
      <t xml:space="preserve">銷售成本 </t>
    </r>
    <r>
      <rPr>
        <sz val="10"/>
        <color rgb="FF000000"/>
        <rFont val="Arial"/>
        <family val="0"/>
        <charset val="1"/>
      </rPr>
      <t xml:space="preserve">× </t>
    </r>
    <r>
      <rPr>
        <sz val="10"/>
        <color rgb="FF000000"/>
        <rFont val="Noto Sans CJK SC"/>
        <family val="2"/>
      </rPr>
      <t xml:space="preserve">算力費占比</t>
    </r>
  </si>
  <si>
    <r>
      <rPr>
        <sz val="9"/>
        <color rgb="FF595959"/>
        <rFont val="Arial"/>
        <family val="0"/>
        <charset val="1"/>
      </rPr>
      <t xml:space="preserve">Inputs</t>
    </r>
    <r>
      <rPr>
        <sz val="9"/>
        <color rgb="FF595959"/>
        <rFont val="Noto Sans CJK SC"/>
        <family val="2"/>
      </rPr>
      <t xml:space="preserve">（基準 </t>
    </r>
    <r>
      <rPr>
        <sz val="9"/>
        <color rgb="FF595959"/>
        <rFont val="Arial"/>
        <family val="0"/>
        <charset val="1"/>
      </rPr>
      <t xml:space="preserve">1</t>
    </r>
    <r>
      <rPr>
        <sz val="9"/>
        <color rgb="FF595959"/>
        <rFont val="Noto Sans CJK SC"/>
        <family val="2"/>
      </rPr>
      <t xml:space="preserve">＝上限；下限 </t>
    </r>
    <r>
      <rPr>
        <sz val="9"/>
        <color rgb="FF595959"/>
        <rFont val="Arial"/>
        <family val="0"/>
        <charset val="1"/>
      </rPr>
      <t xml:space="preserve">0.22</t>
    </r>
    <r>
      <rPr>
        <sz val="9"/>
        <color rgb="FF595959"/>
        <rFont val="Noto Sans CJK SC"/>
        <family val="2"/>
      </rPr>
      <t xml:space="preserve">＝</t>
    </r>
    <r>
      <rPr>
        <sz val="9"/>
        <color rgb="FF595959"/>
        <rFont val="Arial"/>
        <family val="0"/>
        <charset val="1"/>
      </rPr>
      <t xml:space="preserve">FY2024 </t>
    </r>
    <r>
      <rPr>
        <sz val="9"/>
        <color rgb="FF595959"/>
        <rFont val="Noto Sans CJK SC"/>
        <family val="2"/>
      </rPr>
      <t xml:space="preserve">銷售成本中算力費占比）。</t>
    </r>
    <r>
      <rPr>
        <sz val="9"/>
        <color rgb="FF595959"/>
        <rFont val="Arial"/>
        <family val="0"/>
        <charset val="1"/>
      </rPr>
      <t xml:space="preserve">r2 P1</t>
    </r>
    <r>
      <rPr>
        <sz val="9"/>
        <color rgb="FF595959"/>
        <rFont val="Noto Sans CJK SC"/>
        <family val="2"/>
      </rPr>
      <t xml:space="preserve">：只是總算力費的一部分（招股章程期間占 </t>
    </r>
    <r>
      <rPr>
        <sz val="9"/>
        <color rgb="FF595959"/>
        <rFont val="Arial"/>
        <family val="0"/>
        <charset val="1"/>
      </rPr>
      <t xml:space="preserve">2–3%</t>
    </r>
    <r>
      <rPr>
        <sz val="9"/>
        <color rgb="FF595959"/>
        <rFont val="Noto Sans CJK SC"/>
        <family val="2"/>
      </rPr>
      <t xml:space="preserve">），不再等於推論支出；舊法（</t>
    </r>
    <r>
      <rPr>
        <sz val="9"/>
        <color rgb="FF595959"/>
        <rFont val="Arial"/>
        <family val="0"/>
        <charset val="1"/>
      </rPr>
      <t xml:space="preserve">D8r</t>
    </r>
    <r>
      <rPr>
        <sz val="9"/>
        <color rgb="FF595959"/>
        <rFont val="Noto Sans CJK SC"/>
        <family val="2"/>
      </rPr>
      <t xml:space="preserve">）以本列為推論支出，見第七節對照與第十五節</t>
    </r>
  </si>
  <si>
    <t xml:space="preserve">G69</t>
  </si>
  <si>
    <r>
      <rPr>
        <sz val="9"/>
        <color rgb="FF595959"/>
        <rFont val="Arial"/>
        <family val="0"/>
        <charset val="1"/>
      </rPr>
      <t xml:space="preserve">SRC_ZP_139</t>
    </r>
    <r>
      <rPr>
        <sz val="9"/>
        <color rgb="FF595959"/>
        <rFont val="Noto Sans CJK SC"/>
        <family val="2"/>
      </rPr>
      <t xml:space="preserve">、</t>
    </r>
    <r>
      <rPr>
        <sz val="9"/>
        <color rgb="FF595959"/>
        <rFont val="Arial"/>
        <family val="0"/>
        <charset val="1"/>
      </rPr>
      <t xml:space="preserve">199</t>
    </r>
  </si>
  <si>
    <t xml:space="preserve">G70</t>
  </si>
  <si>
    <t xml:space="preserve">股權報酬（總額）</t>
  </si>
  <si>
    <r>
      <rPr>
        <sz val="9"/>
        <color rgb="FF595959"/>
        <rFont val="Arial"/>
        <family val="0"/>
        <charset val="1"/>
      </rPr>
      <t xml:space="preserve">SRC_ZP_142</t>
    </r>
    <r>
      <rPr>
        <sz val="9"/>
        <color rgb="FF595959"/>
        <rFont val="Noto Sans CJK SC"/>
        <family val="2"/>
      </rPr>
      <t xml:space="preserve">、</t>
    </r>
    <r>
      <rPr>
        <sz val="9"/>
        <color rgb="FF595959"/>
        <rFont val="Arial"/>
        <family val="0"/>
        <charset val="1"/>
      </rPr>
      <t xml:space="preserve">202</t>
    </r>
  </si>
  <si>
    <t xml:space="preserve">G71</t>
  </si>
  <si>
    <t xml:space="preserve">研發開支（扣股權報酬中研發部分）</t>
  </si>
  <si>
    <r>
      <rPr>
        <sz val="9"/>
        <color rgb="FF595959"/>
        <rFont val="Noto Sans CJK SC"/>
        <family val="2"/>
      </rPr>
      <t xml:space="preserve">股權報酬 </t>
    </r>
    <r>
      <rPr>
        <sz val="9"/>
        <color rgb="FF595959"/>
        <rFont val="Arial"/>
        <family val="0"/>
        <charset val="1"/>
      </rPr>
      <t xml:space="preserve">× </t>
    </r>
    <r>
      <rPr>
        <sz val="9"/>
        <color rgb="FF595959"/>
        <rFont val="Noto Sans CJK SC"/>
        <family val="2"/>
      </rPr>
      <t xml:space="preserve">研發比例（</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Analogy</t>
    </r>
    <r>
      <rPr>
        <sz val="9"/>
        <color rgb="FF595959"/>
        <rFont val="Noto Sans CJK SC"/>
        <family val="2"/>
      </rPr>
      <t xml:space="preserve">：研發人員占比 </t>
    </r>
    <r>
      <rPr>
        <sz val="9"/>
        <color rgb="FF595959"/>
        <rFont val="Arial"/>
        <family val="0"/>
        <charset val="1"/>
      </rPr>
      <t xml:space="preserve">74.4%</t>
    </r>
    <r>
      <rPr>
        <sz val="9"/>
        <color rgb="FF595959"/>
        <rFont val="Noto Sans CJK SC"/>
        <family val="2"/>
      </rPr>
      <t xml:space="preserve">）</t>
    </r>
  </si>
  <si>
    <t xml:space="preserve">G72</t>
  </si>
  <si>
    <r>
      <rPr>
        <sz val="10"/>
        <color rgb="FF000000"/>
        <rFont val="Noto Sans CJK SC"/>
        <family val="2"/>
      </rPr>
      <t xml:space="preserve">研發項下算力服務費（基準：</t>
    </r>
    <r>
      <rPr>
        <sz val="10"/>
        <color rgb="FF000000"/>
        <rFont val="Arial"/>
        <family val="0"/>
        <charset val="1"/>
      </rPr>
      <t xml:space="preserve">P1</t>
    </r>
    <r>
      <rPr>
        <sz val="10"/>
        <color rgb="FF000000"/>
        <rFont val="Noto Sans CJK SC"/>
        <family val="2"/>
      </rPr>
      <t xml:space="preserve">）＝研發開支 </t>
    </r>
    <r>
      <rPr>
        <sz val="10"/>
        <color rgb="FF000000"/>
        <rFont val="Arial"/>
        <family val="0"/>
        <charset val="1"/>
      </rPr>
      <t xml:space="preserve">× 1H25 </t>
    </r>
    <r>
      <rPr>
        <sz val="10"/>
        <color rgb="FF000000"/>
        <rFont val="Noto Sans CJK SC"/>
        <family val="2"/>
      </rPr>
      <t xml:space="preserve">占比</t>
    </r>
  </si>
  <si>
    <r>
      <rPr>
        <sz val="9"/>
        <color rgb="FF595959"/>
        <rFont val="Arial"/>
        <family val="0"/>
        <charset val="1"/>
      </rPr>
      <t xml:space="preserve">r2 P1</t>
    </r>
    <r>
      <rPr>
        <sz val="9"/>
        <color rgb="FF595959"/>
        <rFont val="Noto Sans CJK SC"/>
        <family val="2"/>
      </rPr>
      <t xml:space="preserve">：占比 </t>
    </r>
    <r>
      <rPr>
        <sz val="9"/>
        <color rgb="FF595959"/>
        <rFont val="Arial"/>
        <family val="0"/>
        <charset val="1"/>
      </rPr>
      <t xml:space="preserve">Inputs</t>
    </r>
    <r>
      <rPr>
        <sz val="9"/>
        <color rgb="FF595959"/>
        <rFont val="Noto Sans CJK SC"/>
        <family val="2"/>
      </rPr>
      <t xml:space="preserve">（招股章程 </t>
    </r>
    <r>
      <rPr>
        <sz val="9"/>
        <color rgb="FF595959"/>
        <rFont val="Arial"/>
        <family val="0"/>
        <charset val="1"/>
      </rPr>
      <t xml:space="preserve">1H25 71.8%</t>
    </r>
    <r>
      <rPr>
        <sz val="9"/>
        <color rgb="FF595959"/>
        <rFont val="Noto Sans CJK SC"/>
        <family val="2"/>
      </rPr>
      <t xml:space="preserve">，</t>
    </r>
    <r>
      <rPr>
        <sz val="9"/>
        <color rgb="FF595959"/>
        <rFont val="Arial"/>
        <family val="0"/>
        <charset val="1"/>
      </rPr>
      <t xml:space="preserve">SRC_ZP_640</t>
    </r>
    <r>
      <rPr>
        <sz val="9"/>
        <color rgb="FF595959"/>
        <rFont val="Noto Sans CJK SC"/>
        <family val="2"/>
      </rPr>
      <t xml:space="preserve">；</t>
    </r>
    <r>
      <rPr>
        <sz val="9"/>
        <color rgb="FF595959"/>
        <rFont val="Arial"/>
        <family val="0"/>
        <charset val="1"/>
      </rPr>
      <t xml:space="preserve">Analogy 60–80%</t>
    </r>
    <r>
      <rPr>
        <sz val="9"/>
        <color rgb="FF595959"/>
        <rFont val="Noto Sans CJK SC"/>
        <family val="2"/>
      </rPr>
      <t xml:space="preserve">）；分母為研發開支總額（同招股章程）</t>
    </r>
  </si>
  <si>
    <t xml:space="preserve">G73</t>
  </si>
  <si>
    <r>
      <rPr>
        <sz val="10"/>
        <color rgb="FF000000"/>
        <rFont val="Noto Sans CJK SC"/>
        <family val="2"/>
      </rPr>
      <t xml:space="preserve">研發算力支出（對照：扣除法）＝研發（扣股權報酬）−（薪酬總額 − 股權報酬）</t>
    </r>
    <r>
      <rPr>
        <sz val="10"/>
        <color rgb="FF000000"/>
        <rFont val="Arial"/>
        <family val="0"/>
        <charset val="1"/>
      </rPr>
      <t xml:space="preserve">× </t>
    </r>
    <r>
      <rPr>
        <sz val="10"/>
        <color rgb="FF000000"/>
        <rFont val="Noto Sans CJK SC"/>
        <family val="2"/>
      </rPr>
      <t xml:space="preserve">研發人員占比</t>
    </r>
  </si>
  <si>
    <r>
      <rPr>
        <sz val="9"/>
        <color rgb="FF595959"/>
        <rFont val="Arial"/>
        <family val="0"/>
        <charset val="1"/>
      </rPr>
      <t xml:space="preserve">D10r </t>
    </r>
    <r>
      <rPr>
        <sz val="9"/>
        <color rgb="FF595959"/>
        <rFont val="Noto Sans CJK SC"/>
        <family val="2"/>
      </rPr>
      <t xml:space="preserve">第一法；薪酬 </t>
    </r>
    <r>
      <rPr>
        <sz val="9"/>
        <color rgb="FF595959"/>
        <rFont val="Arial"/>
        <family val="0"/>
        <charset val="1"/>
      </rPr>
      <t xml:space="preserve">SRC_ZP_163</t>
    </r>
    <r>
      <rPr>
        <sz val="9"/>
        <color rgb="FF595959"/>
        <rFont val="Noto Sans CJK SC"/>
        <family val="2"/>
      </rPr>
      <t xml:space="preserve">、</t>
    </r>
    <r>
      <rPr>
        <sz val="9"/>
        <color rgb="FF595959"/>
        <rFont val="Arial"/>
        <family val="0"/>
        <charset val="1"/>
      </rPr>
      <t xml:space="preserve">224</t>
    </r>
    <r>
      <rPr>
        <sz val="9"/>
        <color rgb="FF595959"/>
        <rFont val="Noto Sans CJK SC"/>
        <family val="2"/>
      </rPr>
      <t xml:space="preserve">；研發人員占比 </t>
    </r>
    <r>
      <rPr>
        <sz val="9"/>
        <color rgb="FF595959"/>
        <rFont val="Arial"/>
        <family val="0"/>
        <charset val="1"/>
      </rPr>
      <t xml:space="preserve">SRC_ZP_848</t>
    </r>
    <r>
      <rPr>
        <sz val="9"/>
        <color rgb="FF595959"/>
        <rFont val="Noto Sans CJK SC"/>
        <family val="2"/>
      </rPr>
      <t xml:space="preserve">（招股章程第 </t>
    </r>
    <r>
      <rPr>
        <sz val="9"/>
        <color rgb="FF595959"/>
        <rFont val="Arial"/>
        <family val="0"/>
        <charset val="1"/>
      </rPr>
      <t xml:space="preserve">221 </t>
    </r>
    <r>
      <rPr>
        <sz val="9"/>
        <color rgb="FF595959"/>
        <rFont val="Noto Sans CJK SC"/>
        <family val="2"/>
      </rPr>
      <t xml:space="preserve">頁 </t>
    </r>
    <r>
      <rPr>
        <sz val="9"/>
        <color rgb="FF595959"/>
        <rFont val="Arial"/>
        <family val="0"/>
        <charset val="1"/>
      </rPr>
      <t xml:space="preserve">657</t>
    </r>
    <r>
      <rPr>
        <sz val="9"/>
        <color rgb="FF595959"/>
        <rFont val="Noto Sans CJK SC"/>
        <family val="2"/>
      </rPr>
      <t xml:space="preserve">／</t>
    </r>
    <r>
      <rPr>
        <sz val="9"/>
        <color rgb="FF595959"/>
        <rFont val="Arial"/>
        <family val="0"/>
        <charset val="1"/>
      </rPr>
      <t xml:space="preserve">883</t>
    </r>
    <r>
      <rPr>
        <sz val="9"/>
        <color rgb="FF595959"/>
        <rFont val="Noto Sans CJK SC"/>
        <family val="2"/>
      </rPr>
      <t xml:space="preserve">；</t>
    </r>
    <r>
      <rPr>
        <sz val="9"/>
        <color rgb="FF595959"/>
        <rFont val="Arial"/>
        <family val="0"/>
        <charset val="1"/>
      </rPr>
      <t xml:space="preserve">r2 P2 </t>
    </r>
    <r>
      <rPr>
        <sz val="9"/>
        <color rgb="FF595959"/>
        <rFont val="Noto Sans CJK SC"/>
        <family val="2"/>
      </rPr>
      <t xml:space="preserve">改引用一手列）；扣除法把研發中的非人事非算力費用也算成算力（上限）</t>
    </r>
  </si>
  <si>
    <t xml:space="preserve">G74</t>
  </si>
  <si>
    <r>
      <rPr>
        <sz val="10"/>
        <color rgb="FF000000"/>
        <rFont val="Noto Sans CJK SC"/>
        <family val="2"/>
      </rPr>
      <t xml:space="preserve">對照：</t>
    </r>
    <r>
      <rPr>
        <sz val="10"/>
        <color rgb="FF000000"/>
        <rFont val="Arial"/>
        <family val="0"/>
        <charset val="1"/>
      </rPr>
      <t xml:space="preserve">FY2024 </t>
    </r>
    <r>
      <rPr>
        <sz val="10"/>
        <color rgb="FF000000"/>
        <rFont val="Noto Sans CJK SC"/>
        <family val="2"/>
      </rPr>
      <t xml:space="preserve">研發算力占研發開支（</t>
    </r>
    <r>
      <rPr>
        <sz val="10"/>
        <color rgb="FF000000"/>
        <rFont val="Arial"/>
        <family val="0"/>
        <charset val="1"/>
      </rPr>
      <t xml:space="preserve">SRC</t>
    </r>
    <r>
      <rPr>
        <sz val="10"/>
        <color rgb="FF000000"/>
        <rFont val="Noto Sans CJK SC"/>
        <family val="2"/>
      </rPr>
      <t xml:space="preserve">）</t>
    </r>
  </si>
  <si>
    <r>
      <rPr>
        <sz val="9"/>
        <color rgb="FF595959"/>
        <rFont val="Arial"/>
        <family val="0"/>
        <charset val="1"/>
      </rPr>
      <t xml:space="preserve">SRC_ZP_613</t>
    </r>
    <r>
      <rPr>
        <sz val="9"/>
        <color rgb="FF595959"/>
        <rFont val="Noto Sans CJK SC"/>
        <family val="2"/>
      </rPr>
      <t xml:space="preserve">（招股章程一手；</t>
    </r>
    <r>
      <rPr>
        <sz val="9"/>
        <color rgb="FF595959"/>
        <rFont val="Arial"/>
        <family val="0"/>
        <charset val="1"/>
      </rPr>
      <t xml:space="preserve">r2 P2 </t>
    </r>
    <r>
      <rPr>
        <sz val="9"/>
        <color rgb="FF595959"/>
        <rFont val="Noto Sans CJK SC"/>
        <family val="2"/>
      </rPr>
      <t xml:space="preserve">取代媒體 </t>
    </r>
    <r>
      <rPr>
        <sz val="9"/>
        <color rgb="FF595959"/>
        <rFont val="Arial"/>
        <family val="0"/>
        <charset val="1"/>
      </rPr>
      <t xml:space="preserve">SRC_ZP_232</t>
    </r>
    <r>
      <rPr>
        <sz val="9"/>
        <color rgb="FF595959"/>
        <rFont val="Noto Sans CJK SC"/>
        <family val="2"/>
      </rPr>
      <t xml:space="preserve">）</t>
    </r>
    <r>
      <rPr>
        <sz val="9"/>
        <color rgb="FF595959"/>
        <rFont val="Arial"/>
        <family val="0"/>
        <charset val="1"/>
      </rPr>
      <t xml:space="preserve">÷ SRC_ZP_048</t>
    </r>
  </si>
  <si>
    <t xml:space="preserve">G75</t>
  </si>
  <si>
    <t xml:space="preserve">總算力費＝營業成本計算服務費＋研發項下算力費</t>
  </si>
  <si>
    <r>
      <rPr>
        <sz val="9"/>
        <color rgb="FF595959"/>
        <rFont val="Arial"/>
        <family val="0"/>
        <charset val="1"/>
      </rPr>
      <t xml:space="preserve">r2 P1</t>
    </r>
    <r>
      <rPr>
        <sz val="9"/>
        <color rgb="FF595959"/>
        <rFont val="Noto Sans CJK SC"/>
        <family val="2"/>
      </rPr>
      <t xml:space="preserve">；銷售及營銷項下算力費未揭露（招股章程期間占總算力費 </t>
    </r>
    <r>
      <rPr>
        <sz val="9"/>
        <color rgb="FF595959"/>
        <rFont val="Arial"/>
        <family val="0"/>
        <charset val="1"/>
      </rPr>
      <t xml:space="preserve">0–1.7%</t>
    </r>
    <r>
      <rPr>
        <sz val="9"/>
        <color rgb="FF595959"/>
        <rFont val="Noto Sans CJK SC"/>
        <family val="2"/>
      </rPr>
      <t xml:space="preserve">），不另估（見報告）</t>
    </r>
  </si>
  <si>
    <t xml:space="preserve">G76</t>
  </si>
  <si>
    <t xml:space="preserve">研發科目占總算力費（會計科目；只列）</t>
  </si>
  <si>
    <r>
      <rPr>
        <sz val="9"/>
        <color rgb="FF595959"/>
        <rFont val="Arial"/>
        <family val="0"/>
        <charset val="1"/>
      </rPr>
      <t xml:space="preserve">Z3–Z5b </t>
    </r>
    <r>
      <rPr>
        <sz val="9"/>
        <color rgb="FF595959"/>
        <rFont val="Noto Sans CJK SC"/>
        <family val="2"/>
      </rPr>
      <t xml:space="preserve">以本列為研發占比起點；</t>
    </r>
    <r>
      <rPr>
        <sz val="9"/>
        <color rgb="FF595959"/>
        <rFont val="Arial"/>
        <family val="0"/>
        <charset val="1"/>
      </rPr>
      <t xml:space="preserve">r2 P1 </t>
    </r>
    <r>
      <rPr>
        <sz val="9"/>
        <color rgb="FF595959"/>
        <rFont val="Noto Sans CJK SC"/>
        <family val="2"/>
      </rPr>
      <t xml:space="preserve">起改用研發 </t>
    </r>
    <r>
      <rPr>
        <sz val="9"/>
        <color rgb="FF595959"/>
        <rFont val="Arial"/>
        <family val="0"/>
        <charset val="1"/>
      </rPr>
      <t xml:space="preserve">GW </t>
    </r>
    <r>
      <rPr>
        <sz val="9"/>
        <color rgb="FF595959"/>
        <rFont val="Noto Sans CJK SC"/>
        <family val="2"/>
      </rPr>
      <t xml:space="preserve">殘差占比（第八節）</t>
    </r>
  </si>
  <si>
    <r>
      <rPr>
        <b val="true"/>
        <sz val="10"/>
        <rFont val="Noto Sans CJK SC"/>
        <family val="2"/>
      </rPr>
      <t xml:space="preserve">六、每 </t>
    </r>
    <r>
      <rPr>
        <b val="true"/>
        <sz val="10"/>
        <rFont val="Arial"/>
        <family val="0"/>
        <charset val="1"/>
      </rPr>
      <t xml:space="preserve">GW </t>
    </r>
    <r>
      <rPr>
        <b val="true"/>
        <sz val="10"/>
        <rFont val="Noto Sans CJK SC"/>
        <family val="2"/>
      </rPr>
      <t xml:space="preserve">年算力價格（租用；</t>
    </r>
    <r>
      <rPr>
        <b val="true"/>
        <sz val="10"/>
        <rFont val="Arial"/>
        <family val="0"/>
        <charset val="1"/>
      </rPr>
      <t xml:space="preserve">D9r</t>
    </r>
    <r>
      <rPr>
        <b val="true"/>
        <sz val="10"/>
        <rFont val="Noto Sans CJK SC"/>
        <family val="2"/>
      </rPr>
      <t xml:space="preserve">）＝卡時租價 </t>
    </r>
    <r>
      <rPr>
        <b val="true"/>
        <sz val="10"/>
        <rFont val="Arial"/>
        <family val="0"/>
        <charset val="1"/>
      </rPr>
      <t xml:space="preserve">× </t>
    </r>
    <r>
      <rPr>
        <b val="true"/>
        <sz val="10"/>
        <rFont val="Noto Sans CJK SC"/>
        <family val="2"/>
      </rPr>
      <t xml:space="preserve">每 </t>
    </r>
    <r>
      <rPr>
        <b val="true"/>
        <sz val="10"/>
        <rFont val="Arial"/>
        <family val="0"/>
        <charset val="1"/>
      </rPr>
      <t xml:space="preserve">GW </t>
    </r>
    <r>
      <rPr>
        <b val="true"/>
        <sz val="10"/>
        <rFont val="Noto Sans CJK SC"/>
        <family val="2"/>
      </rPr>
      <t xml:space="preserve">卡數 </t>
    </r>
    <r>
      <rPr>
        <b val="true"/>
        <sz val="10"/>
        <rFont val="Arial"/>
        <family val="0"/>
        <charset val="1"/>
      </rPr>
      <t xml:space="preserve">× </t>
    </r>
    <r>
      <rPr>
        <b val="true"/>
        <sz val="10"/>
        <rFont val="Noto Sans CJK SC"/>
        <family val="2"/>
      </rPr>
      <t xml:space="preserve">每年小時 </t>
    </r>
    <r>
      <rPr>
        <b val="true"/>
        <sz val="10"/>
        <rFont val="Arial"/>
        <family val="0"/>
        <charset val="1"/>
      </rPr>
      <t xml:space="preserve">÷ 10^8</t>
    </r>
    <r>
      <rPr>
        <b val="true"/>
        <sz val="10"/>
        <rFont val="Noto Sans CJK SC"/>
        <family val="2"/>
      </rPr>
      <t xml:space="preserve">（元→億）；</t>
    </r>
    <r>
      <rPr>
        <b val="true"/>
        <sz val="10"/>
        <rFont val="Arial"/>
        <family val="0"/>
        <charset val="1"/>
      </rPr>
      <t xml:space="preserve">2H26 </t>
    </r>
    <r>
      <rPr>
        <b val="true"/>
        <sz val="10"/>
        <rFont val="Noto Sans CJK SC"/>
        <family val="2"/>
      </rPr>
      <t xml:space="preserve">起 </t>
    </r>
    <r>
      <rPr>
        <b val="true"/>
        <sz val="10"/>
        <rFont val="Arial"/>
        <family val="0"/>
        <charset val="1"/>
      </rPr>
      <t xml:space="preserve">×</t>
    </r>
    <r>
      <rPr>
        <b val="true"/>
        <sz val="10"/>
        <rFont val="Noto Sans CJK SC"/>
        <family val="2"/>
      </rPr>
      <t xml:space="preserve">（</t>
    </r>
    <r>
      <rPr>
        <b val="true"/>
        <sz val="10"/>
        <rFont val="Arial"/>
        <family val="0"/>
        <charset val="1"/>
      </rPr>
      <t xml:space="preserve">1</t>
    </r>
    <r>
      <rPr>
        <b val="true"/>
        <sz val="10"/>
        <rFont val="Noto Sans CJK SC"/>
        <family val="2"/>
      </rPr>
      <t xml:space="preserve">＋年變動率），</t>
    </r>
    <r>
      <rPr>
        <b val="true"/>
        <sz val="10"/>
        <rFont val="Arial"/>
        <family val="0"/>
        <charset val="1"/>
      </rPr>
      <t xml:space="preserve">2H26 </t>
    </r>
    <r>
      <rPr>
        <b val="true"/>
        <sz val="10"/>
        <rFont val="Noto Sans CJK SC"/>
        <family val="2"/>
      </rPr>
      <t xml:space="preserve">以半年計</t>
    </r>
  </si>
  <si>
    <t xml:space="preserve">G77</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</si>
  <si>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</si>
  <si>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Analogy</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依 </t>
    </r>
    <r>
      <rPr>
        <sz val="9"/>
        <color rgb="FF595959"/>
        <rFont val="Arial"/>
        <family val="0"/>
        <charset val="1"/>
      </rPr>
      <t xml:space="preserve">TK DC_Cost </t>
    </r>
    <r>
      <rPr>
        <sz val="9"/>
        <color rgb="FF595959"/>
        <rFont val="Noto Sans CJK SC"/>
        <family val="2"/>
      </rPr>
      <t xml:space="preserve">每 </t>
    </r>
    <r>
      <rPr>
        <sz val="9"/>
        <color rgb="FF595959"/>
        <rFont val="Arial"/>
        <family val="0"/>
        <charset val="1"/>
      </rPr>
      <t xml:space="preserve">GW GPU </t>
    </r>
    <r>
      <rPr>
        <sz val="9"/>
        <color rgb="FF595959"/>
        <rFont val="Noto Sans CJK SC"/>
        <family val="2"/>
      </rPr>
      <t xml:space="preserve">數換算）</t>
    </r>
  </si>
  <si>
    <t xml:space="preserve">G78</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</si>
  <si>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</si>
  <si>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10"/>
        <color rgb="FF000000"/>
        <rFont val="Noto Sans CJK SC"/>
        <family val="2"/>
      </rPr>
      <t xml:space="preserve">卡／</t>
    </r>
    <r>
      <rPr>
        <sz val="10"/>
        <color rgb="FF000000"/>
        <rFont val="Arial"/>
        <family val="0"/>
        <charset val="1"/>
      </rPr>
      <t xml:space="preserve">GW</t>
    </r>
  </si>
  <si>
    <r>
      <rPr>
        <sz val="9"/>
        <color rgb="FF595959"/>
        <rFont val="Arial"/>
        <family val="0"/>
        <charset val="1"/>
      </rPr>
      <t xml:space="preserve">10^6 kW ÷ </t>
    </r>
    <r>
      <rPr>
        <sz val="9"/>
        <color rgb="FF595959"/>
        <rFont val="Noto Sans CJK SC"/>
        <family val="2"/>
      </rPr>
      <t xml:space="preserve">每卡 </t>
    </r>
    <r>
      <rPr>
        <sz val="9"/>
        <color rgb="FF595959"/>
        <rFont val="Arial"/>
        <family val="0"/>
        <charset val="1"/>
      </rPr>
      <t xml:space="preserve">kW</t>
    </r>
  </si>
  <si>
    <t xml:space="preserve">G79</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</si>
  <si>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t>
    </r>
    <r>
      <rPr>
        <sz val="10"/>
        <color rgb="FF000000"/>
        <rFont val="Arial"/>
        <family val="0"/>
        <charset val="1"/>
      </rPr>
      <t xml:space="preserve">H20</t>
    </r>
  </si>
  <si>
    <t xml:space="preserve">G80</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</si>
  <si>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t>
    </r>
    <r>
      <rPr>
        <sz val="10"/>
        <color rgb="FF000000"/>
        <rFont val="Arial"/>
        <family val="0"/>
        <charset val="1"/>
      </rPr>
      <t xml:space="preserve">H20</t>
    </r>
  </si>
  <si>
    <t xml:space="preserve">G81</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</si>
  <si>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</si>
  <si>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G82</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</si>
  <si>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</si>
  <si>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G83</t>
  </si>
  <si>
    <r>
      <rPr>
        <sz val="10"/>
        <color rgb="FF000000"/>
        <rFont val="Noto Sans CJK SC"/>
        <family val="2"/>
      </rPr>
      <t xml:space="preserve">卡時租價：</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</si>
  <si>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t xml:space="preserve">元／卡／時</t>
  </si>
  <si>
    <r>
      <rPr>
        <sz val="9"/>
        <color rgb="FF595959"/>
        <rFont val="Arial"/>
        <family val="0"/>
        <charset val="1"/>
      </rPr>
      <t xml:space="preserve">SRC_ZP_474 H800</t>
    </r>
    <r>
      <rPr>
        <sz val="9"/>
        <color rgb="FF595959"/>
        <rFont val="Noto Sans CJK SC"/>
        <family val="2"/>
      </rPr>
      <t xml:space="preserve">（</t>
    </r>
    <r>
      <rPr>
        <sz val="9"/>
        <color rgb="FF595959"/>
        <rFont val="Arial"/>
        <family val="0"/>
        <charset val="1"/>
      </rPr>
      <t xml:space="preserve">SMM </t>
    </r>
    <r>
      <rPr>
        <sz val="9"/>
        <color rgb="FF595959"/>
        <rFont val="Noto Sans CJK SC"/>
        <family val="2"/>
      </rPr>
      <t xml:space="preserve">兩年約折算 </t>
    </r>
    <r>
      <rPr>
        <sz val="9"/>
        <color rgb="FF595959"/>
        <rFont val="Arial"/>
        <family val="0"/>
        <charset val="1"/>
      </rPr>
      <t xml:space="preserve">13.36</t>
    </r>
    <r>
      <rPr>
        <sz val="9"/>
        <color rgb="FF595959"/>
        <rFont val="Noto Sans CJK SC"/>
        <family val="2"/>
      </rPr>
      <t xml:space="preserve">；阿里雲 </t>
    </r>
    <r>
      <rPr>
        <sz val="9"/>
        <color rgb="FF595959"/>
        <rFont val="Arial"/>
        <family val="0"/>
        <charset val="1"/>
      </rPr>
      <t xml:space="preserve">18.75</t>
    </r>
    <r>
      <rPr>
        <sz val="9"/>
        <color rgb="FF595959"/>
        <rFont val="Noto Sans CJK SC"/>
        <family val="2"/>
      </rPr>
      <t xml:space="preserve">／圖靈 </t>
    </r>
    <r>
      <rPr>
        <sz val="9"/>
        <color rgb="FF595959"/>
        <rFont val="Arial"/>
        <family val="0"/>
        <charset val="1"/>
      </rPr>
      <t xml:space="preserve">11.83 </t>
    </r>
    <r>
      <rPr>
        <sz val="9"/>
        <color rgb="FF595959"/>
        <rFont val="Noto Sans CJK SC"/>
        <family val="2"/>
      </rPr>
      <t xml:space="preserve">為區間 </t>
    </r>
    <r>
      <rPr>
        <sz val="9"/>
        <color rgb="FF595959"/>
        <rFont val="Arial"/>
        <family val="0"/>
        <charset val="1"/>
      </rPr>
      <t xml:space="preserve">SRC_ZP_472–473</t>
    </r>
    <r>
      <rPr>
        <sz val="9"/>
        <color rgb="FF595959"/>
        <rFont val="Noto Sans CJK SC"/>
        <family val="2"/>
      </rPr>
      <t xml:space="preserve">）；</t>
    </r>
    <r>
      <rPr>
        <sz val="9"/>
        <color rgb="FF595959"/>
        <rFont val="Arial"/>
        <family val="0"/>
        <charset val="1"/>
      </rPr>
      <t xml:space="preserve">2025 </t>
    </r>
    <r>
      <rPr>
        <sz val="9"/>
        <color rgb="FF595959"/>
        <rFont val="Noto Sans CJK SC"/>
        <family val="2"/>
      </rPr>
      <t xml:space="preserve">以 </t>
    </r>
    <r>
      <rPr>
        <sz val="9"/>
        <color rgb="FF595959"/>
        <rFont val="Arial"/>
        <family val="0"/>
        <charset val="1"/>
      </rPr>
      <t xml:space="preserve">2026 </t>
    </r>
    <r>
      <rPr>
        <sz val="9"/>
        <color rgb="FF595959"/>
        <rFont val="Noto Sans CJK SC"/>
        <family val="2"/>
      </rPr>
      <t xml:space="preserve">觀察值計（</t>
    </r>
    <r>
      <rPr>
        <sz val="9"/>
        <color rgb="FF595959"/>
        <rFont val="Arial"/>
        <family val="0"/>
        <charset val="1"/>
      </rPr>
      <t xml:space="preserve">2025 </t>
    </r>
    <r>
      <rPr>
        <sz val="9"/>
        <color rgb="FF595959"/>
        <rFont val="Noto Sans CJK SC"/>
        <family val="2"/>
      </rPr>
      <t xml:space="preserve">租價找不到）</t>
    </r>
  </si>
  <si>
    <t xml:space="preserve">G84</t>
  </si>
  <si>
    <r>
      <rPr>
        <sz val="10"/>
        <color rgb="FF000000"/>
        <rFont val="Noto Sans CJK SC"/>
        <family val="2"/>
      </rPr>
      <t xml:space="preserve">卡時租價：</t>
    </r>
    <r>
      <rPr>
        <sz val="10"/>
        <color rgb="FF000000"/>
        <rFont val="Arial"/>
        <family val="0"/>
        <charset val="1"/>
      </rPr>
      <t xml:space="preserve">H20</t>
    </r>
  </si>
  <si>
    <r>
      <rPr>
        <sz val="9"/>
        <color rgb="FF595959"/>
        <rFont val="Arial"/>
        <family val="0"/>
        <charset val="1"/>
      </rPr>
      <t xml:space="preserve">SRC_ZP_462 H20 </t>
    </r>
    <r>
      <rPr>
        <sz val="9"/>
        <color rgb="FF595959"/>
        <rFont val="Noto Sans CJK SC"/>
        <family val="2"/>
      </rPr>
      <t xml:space="preserve">京津冀均價 </t>
    </r>
    <r>
      <rPr>
        <sz val="9"/>
        <color rgb="FF595959"/>
        <rFont val="Arial"/>
        <family val="0"/>
        <charset val="1"/>
      </rPr>
      <t xml:space="preserve">7.47</t>
    </r>
    <r>
      <rPr>
        <sz val="9"/>
        <color rgb="FF595959"/>
        <rFont val="Noto Sans CJK SC"/>
        <family val="2"/>
      </rPr>
      <t xml:space="preserve">（</t>
    </r>
    <r>
      <rPr>
        <sz val="9"/>
        <color rgb="FF595959"/>
        <rFont val="Arial"/>
        <family val="0"/>
        <charset val="1"/>
      </rPr>
      <t xml:space="preserve">7.03–8.16</t>
    </r>
    <r>
      <rPr>
        <sz val="9"/>
        <color rgb="FF595959"/>
        <rFont val="Noto Sans CJK SC"/>
        <family val="2"/>
      </rPr>
      <t xml:space="preserve">）；</t>
    </r>
    <r>
      <rPr>
        <sz val="9"/>
        <color rgb="FF595959"/>
        <rFont val="Arial"/>
        <family val="0"/>
        <charset val="1"/>
      </rPr>
      <t xml:space="preserve">2025 </t>
    </r>
    <r>
      <rPr>
        <sz val="9"/>
        <color rgb="FF595959"/>
        <rFont val="Noto Sans CJK SC"/>
        <family val="2"/>
      </rPr>
      <t xml:space="preserve">以 </t>
    </r>
    <r>
      <rPr>
        <sz val="9"/>
        <color rgb="FF595959"/>
        <rFont val="Arial"/>
        <family val="0"/>
        <charset val="1"/>
      </rPr>
      <t xml:space="preserve">2026 </t>
    </r>
    <r>
      <rPr>
        <sz val="9"/>
        <color rgb="FF595959"/>
        <rFont val="Noto Sans CJK SC"/>
        <family val="2"/>
      </rPr>
      <t xml:space="preserve">觀察值計（</t>
    </r>
    <r>
      <rPr>
        <sz val="9"/>
        <color rgb="FF595959"/>
        <rFont val="Arial"/>
        <family val="0"/>
        <charset val="1"/>
      </rPr>
      <t xml:space="preserve">2025 </t>
    </r>
    <r>
      <rPr>
        <sz val="9"/>
        <color rgb="FF595959"/>
        <rFont val="Noto Sans CJK SC"/>
        <family val="2"/>
      </rPr>
      <t xml:space="preserve">租價找不到）</t>
    </r>
  </si>
  <si>
    <t xml:space="preserve">G85</t>
  </si>
  <si>
    <r>
      <rPr>
        <sz val="10"/>
        <color rgb="FF000000"/>
        <rFont val="Noto Sans CJK SC"/>
        <family val="2"/>
      </rPr>
      <t xml:space="preserve">卡時租價：國產（昇騰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</si>
  <si>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r>
      <rPr>
        <sz val="9"/>
        <color rgb="FF595959"/>
        <rFont val="Noto Sans CJK SC"/>
        <family val="2"/>
      </rPr>
      <t xml:space="preserve">昇騰 </t>
    </r>
    <r>
      <rPr>
        <sz val="9"/>
        <color rgb="FF595959"/>
        <rFont val="Arial"/>
        <family val="0"/>
        <charset val="1"/>
      </rPr>
      <t xml:space="preserve">910B </t>
    </r>
    <r>
      <rPr>
        <sz val="9"/>
        <color rgb="FF595959"/>
        <rFont val="Noto Sans CJK SC"/>
        <family val="2"/>
      </rPr>
      <t xml:space="preserve">折算卡時價 </t>
    </r>
    <r>
      <rPr>
        <sz val="9"/>
        <color rgb="FF595959"/>
        <rFont val="Arial"/>
        <family val="0"/>
        <charset val="1"/>
      </rPr>
      <t xml:space="preserve">2.74</t>
    </r>
    <r>
      <rPr>
        <sz val="9"/>
        <color rgb="FF595959"/>
        <rFont val="Noto Sans CJK SC"/>
        <family val="2"/>
      </rPr>
      <t xml:space="preserve">／</t>
    </r>
    <r>
      <rPr>
        <sz val="9"/>
        <color rgb="FF595959"/>
        <rFont val="Arial"/>
        <family val="0"/>
        <charset val="1"/>
      </rPr>
      <t xml:space="preserve">4.28 </t>
    </r>
    <r>
      <rPr>
        <sz val="9"/>
        <color rgb="FF595959"/>
        <rFont val="Noto Sans CJK SC"/>
        <family val="2"/>
      </rPr>
      <t xml:space="preserve">的平均（</t>
    </r>
    <r>
      <rPr>
        <sz val="9"/>
        <color rgb="FF595959"/>
        <rFont val="Arial"/>
        <family val="0"/>
        <charset val="1"/>
      </rPr>
      <t xml:space="preserve">SRC_ZP_478</t>
    </r>
    <r>
      <rPr>
        <sz val="9"/>
        <color rgb="FF595959"/>
        <rFont val="Noto Sans CJK SC"/>
        <family val="2"/>
      </rPr>
      <t xml:space="preserve">、</t>
    </r>
    <r>
      <rPr>
        <sz val="9"/>
        <color rgb="FF595959"/>
        <rFont val="Arial"/>
        <family val="0"/>
        <charset val="1"/>
      </rPr>
      <t xml:space="preserve">479</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國產卡別倍數（</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910C </t>
    </r>
    <r>
      <rPr>
        <sz val="9"/>
        <color rgb="FF595959"/>
        <rFont val="Noto Sans CJK SC"/>
        <family val="2"/>
      </rPr>
      <t xml:space="preserve">租價找不到）；</t>
    </r>
    <r>
      <rPr>
        <sz val="9"/>
        <color rgb="FF595959"/>
        <rFont val="Arial"/>
        <family val="0"/>
        <charset val="1"/>
      </rPr>
      <t xml:space="preserve">2025 </t>
    </r>
    <r>
      <rPr>
        <sz val="9"/>
        <color rgb="FF595959"/>
        <rFont val="Noto Sans CJK SC"/>
        <family val="2"/>
      </rPr>
      <t xml:space="preserve">以 </t>
    </r>
    <r>
      <rPr>
        <sz val="9"/>
        <color rgb="FF595959"/>
        <rFont val="Arial"/>
        <family val="0"/>
        <charset val="1"/>
      </rPr>
      <t xml:space="preserve">2026 </t>
    </r>
    <r>
      <rPr>
        <sz val="9"/>
        <color rgb="FF595959"/>
        <rFont val="Noto Sans CJK SC"/>
        <family val="2"/>
      </rPr>
      <t xml:space="preserve">觀察值計（</t>
    </r>
    <r>
      <rPr>
        <sz val="9"/>
        <color rgb="FF595959"/>
        <rFont val="Arial"/>
        <family val="0"/>
        <charset val="1"/>
      </rPr>
      <t xml:space="preserve">2025 </t>
    </r>
    <r>
      <rPr>
        <sz val="9"/>
        <color rgb="FF595959"/>
        <rFont val="Noto Sans CJK SC"/>
        <family val="2"/>
      </rPr>
      <t xml:space="preserve">租價找不到）</t>
    </r>
  </si>
  <si>
    <t xml:space="preserve">G86</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</si>
  <si>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</si>
  <si>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10"/>
        <color rgb="FF000000"/>
        <rFont val="Arial"/>
        <family val="0"/>
        <charset val="1"/>
      </rPr>
      <t xml:space="preserve">RMB </t>
    </r>
    <r>
      <rPr>
        <sz val="10"/>
        <color rgb="FF000000"/>
        <rFont val="Noto Sans CJK SC"/>
        <family val="2"/>
      </rPr>
      <t xml:space="preserve">億／</t>
    </r>
    <r>
      <rPr>
        <sz val="10"/>
        <color rgb="FF000000"/>
        <rFont val="Arial"/>
        <family val="0"/>
        <charset val="1"/>
      </rPr>
      <t xml:space="preserve">GW</t>
    </r>
    <r>
      <rPr>
        <sz val="10"/>
        <color rgb="FF000000"/>
        <rFont val="Noto Sans CJK SC"/>
        <family val="2"/>
      </rPr>
      <t xml:space="preserve">／年</t>
    </r>
  </si>
  <si>
    <r>
      <rPr>
        <sz val="9"/>
        <color rgb="FF595959"/>
        <rFont val="Arial"/>
        <family val="0"/>
        <charset val="1"/>
      </rPr>
      <t xml:space="preserve">Z5b V1</t>
    </r>
    <r>
      <rPr>
        <sz val="9"/>
        <color rgb="FF595959"/>
        <rFont val="Noto Sans CJK SC"/>
        <family val="2"/>
      </rPr>
      <t xml:space="preserve">：</t>
    </r>
    <r>
      <rPr>
        <sz val="9"/>
        <color rgb="FF595959"/>
        <rFont val="Arial"/>
        <family val="0"/>
        <charset val="1"/>
      </rPr>
      <t xml:space="preserve">2H26 </t>
    </r>
    <r>
      <rPr>
        <sz val="9"/>
        <color rgb="FF595959"/>
        <rFont val="Noto Sans CJK SC"/>
        <family val="2"/>
      </rPr>
      <t xml:space="preserve">起＝</t>
    </r>
    <r>
      <rPr>
        <sz val="9"/>
        <color rgb="FF595959"/>
        <rFont val="Arial"/>
        <family val="0"/>
        <charset val="1"/>
      </rPr>
      <t xml:space="preserve">MAX</t>
    </r>
    <r>
      <rPr>
        <sz val="9"/>
        <color rgb="FF595959"/>
        <rFont val="Noto Sans CJK SC"/>
        <family val="2"/>
      </rPr>
      <t xml:space="preserve">（觀察租價換算，供應商持有成本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＋最低毛利））（第十四節）；</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＝觀察值</t>
    </r>
  </si>
  <si>
    <t xml:space="preserve">G87</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</si>
  <si>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t>
    </r>
    <r>
      <rPr>
        <sz val="10"/>
        <color rgb="FF000000"/>
        <rFont val="Arial"/>
        <family val="0"/>
        <charset val="1"/>
      </rPr>
      <t xml:space="preserve">H20</t>
    </r>
  </si>
  <si>
    <t xml:space="preserve">G88</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</si>
  <si>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</si>
  <si>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G89</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</si>
  <si>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年價格：組合後（</t>
    </r>
    <r>
      <rPr>
        <sz val="10"/>
        <color rgb="FF000000"/>
        <rFont val="Arial"/>
        <family val="0"/>
        <charset val="1"/>
      </rPr>
      <t xml:space="preserve">Σ </t>
    </r>
    <r>
      <rPr>
        <sz val="10"/>
        <color rgb="FF000000"/>
        <rFont val="Noto Sans CJK SC"/>
        <family val="2"/>
      </rPr>
      <t xml:space="preserve">占比 </t>
    </r>
    <r>
      <rPr>
        <sz val="10"/>
        <color rgb="FF000000"/>
        <rFont val="Arial"/>
        <family val="0"/>
        <charset val="1"/>
      </rPr>
      <t xml:space="preserve">× </t>
    </r>
    <r>
      <rPr>
        <sz val="10"/>
        <color rgb="FF000000"/>
        <rFont val="Noto Sans CJK SC"/>
        <family val="2"/>
      </rPr>
      <t xml:space="preserve">各族價格）</t>
    </r>
  </si>
  <si>
    <r>
      <rPr>
        <sz val="9"/>
        <color rgb="FF595959"/>
        <rFont val="Noto Sans CJK SC"/>
        <family val="2"/>
      </rPr>
      <t xml:space="preserve">供給 </t>
    </r>
    <r>
      <rPr>
        <sz val="9"/>
        <color rgb="FF595959"/>
        <rFont val="Arial"/>
        <family val="0"/>
        <charset val="1"/>
      </rPr>
      <t xml:space="preserve">GW </t>
    </r>
    <r>
      <rPr>
        <sz val="9"/>
        <color rgb="FF595959"/>
        <rFont val="Noto Sans CJK SC"/>
        <family val="2"/>
      </rPr>
      <t xml:space="preserve">換算與 </t>
    </r>
    <r>
      <rPr>
        <sz val="9"/>
        <color rgb="FF595959"/>
        <rFont val="Arial"/>
        <family val="0"/>
        <charset val="1"/>
      </rPr>
      <t xml:space="preserve">2H26 </t>
    </r>
    <r>
      <rPr>
        <sz val="9"/>
        <color rgb="FF595959"/>
        <rFont val="Noto Sans CJK SC"/>
        <family val="2"/>
      </rPr>
      <t xml:space="preserve">起算力成本用</t>
    </r>
  </si>
  <si>
    <t xml:space="preserve">G90</t>
  </si>
  <si>
    <r>
      <rPr>
        <sz val="10"/>
        <color rgb="FF000000"/>
        <rFont val="Noto Sans CJK SC"/>
        <family val="2"/>
      </rPr>
      <t xml:space="preserve">對照：組合後每 </t>
    </r>
    <r>
      <rPr>
        <sz val="10"/>
        <color rgb="FF000000"/>
        <rFont val="Arial"/>
        <family val="0"/>
        <charset val="1"/>
      </rPr>
      <t xml:space="preserve">GW </t>
    </r>
    <r>
      <rPr>
        <sz val="10"/>
        <color rgb="FF000000"/>
        <rFont val="Noto Sans CJK SC"/>
        <family val="2"/>
      </rPr>
      <t xml:space="preserve">年價格（美元）</t>
    </r>
  </si>
  <si>
    <r>
      <rPr>
        <sz val="9"/>
        <color rgb="FF595959"/>
        <rFont val="Arial"/>
        <family val="0"/>
        <charset val="1"/>
      </rPr>
      <t xml:space="preserve">÷ USD/CNY ÷ 10</t>
    </r>
    <r>
      <rPr>
        <sz val="9"/>
        <color rgb="FF595959"/>
        <rFont val="Noto Sans CJK SC"/>
        <family val="2"/>
      </rPr>
      <t xml:space="preserve">（億→十億）；</t>
    </r>
    <r>
      <rPr>
        <sz val="9"/>
        <color rgb="FF595959"/>
        <rFont val="Arial"/>
        <family val="0"/>
        <charset val="1"/>
      </rPr>
      <t xml:space="preserve">OpenAI v0.6 </t>
    </r>
    <r>
      <rPr>
        <sz val="9"/>
        <color rgb="FF595959"/>
        <rFont val="Noto Sans CJK SC"/>
        <family val="2"/>
      </rPr>
      <t xml:space="preserve">合約價 </t>
    </r>
    <r>
      <rPr>
        <sz val="9"/>
        <color rgb="FF595959"/>
        <rFont val="Arial"/>
        <family val="0"/>
        <charset val="1"/>
      </rPr>
      <t xml:space="preserve">12</t>
    </r>
    <r>
      <rPr>
        <sz val="9"/>
        <color rgb="FF595959"/>
        <rFont val="Noto Sans CJK SC"/>
        <family val="2"/>
      </rPr>
      <t xml:space="preserve">（</t>
    </r>
    <r>
      <rPr>
        <sz val="9"/>
        <color rgb="FF595959"/>
        <rFont val="Arial"/>
        <family val="0"/>
        <charset val="1"/>
      </rPr>
      <t xml:space="preserve">INP_229</t>
    </r>
    <r>
      <rPr>
        <sz val="9"/>
        <color rgb="FF595959"/>
        <rFont val="Noto Sans CJK SC"/>
        <family val="2"/>
      </rPr>
      <t xml:space="preserve">，</t>
    </r>
    <r>
      <rPr>
        <sz val="9"/>
        <color rgb="FF595959"/>
        <rFont val="Arial"/>
        <family val="0"/>
        <charset val="1"/>
      </rPr>
      <t xml:space="preserve">8–20</t>
    </r>
    <r>
      <rPr>
        <sz val="9"/>
        <color rgb="FF595959"/>
        <rFont val="Noto Sans CJK SC"/>
        <family val="2"/>
      </rPr>
      <t xml:space="preserve">）</t>
    </r>
  </si>
  <si>
    <r>
      <rPr>
        <b val="true"/>
        <sz val="10"/>
        <rFont val="Noto Sans CJK SC"/>
        <family val="2"/>
      </rPr>
      <t xml:space="preserve">七、</t>
    </r>
    <r>
      <rPr>
        <b val="true"/>
        <sz val="10"/>
        <rFont val="Arial"/>
        <family val="0"/>
        <charset val="1"/>
      </rPr>
      <t xml:space="preserve">η</t>
    </r>
    <r>
      <rPr>
        <b val="true"/>
        <sz val="10"/>
        <rFont val="Noto Sans CJK SC"/>
        <family val="2"/>
      </rPr>
      <t xml:space="preserve">（有效產出係數）：</t>
    </r>
    <r>
      <rPr>
        <b val="true"/>
        <sz val="10"/>
        <rFont val="Arial"/>
        <family val="0"/>
        <charset val="1"/>
      </rPr>
      <t xml:space="preserve">r2 P1 </t>
    </r>
    <r>
      <rPr>
        <b val="true"/>
        <sz val="10"/>
        <rFont val="Noto Sans CJK SC"/>
        <family val="2"/>
      </rPr>
      <t xml:space="preserve">基準＝</t>
    </r>
    <r>
      <rPr>
        <b val="true"/>
        <sz val="10"/>
        <rFont val="Arial"/>
        <family val="0"/>
        <charset val="1"/>
      </rPr>
      <t xml:space="preserve">1</t>
    </r>
    <r>
      <rPr>
        <b val="true"/>
        <sz val="10"/>
        <rFont val="Noto Sans CJK SC"/>
        <family val="2"/>
      </rPr>
      <t xml:space="preserve">（信任 </t>
    </r>
    <r>
      <rPr>
        <b val="true"/>
        <sz val="10"/>
        <rFont val="Arial"/>
        <family val="0"/>
        <charset val="1"/>
      </rPr>
      <t xml:space="preserve">TK </t>
    </r>
    <r>
      <rPr>
        <b val="true"/>
        <sz val="10"/>
        <rFont val="Noto Sans CJK SC"/>
        <family val="2"/>
      </rPr>
      <t xml:space="preserve">物理）；校準期研發殘差 </t>
    </r>
    <r>
      <rPr>
        <b val="true"/>
        <sz val="10"/>
        <rFont val="Arial"/>
        <family val="0"/>
        <charset val="1"/>
      </rPr>
      <t xml:space="preserve">&lt; </t>
    </r>
    <r>
      <rPr>
        <b val="true"/>
        <sz val="10"/>
        <rFont val="Noto Sans CJK SC"/>
        <family val="2"/>
      </rPr>
      <t xml:space="preserve">訓練最低占比 </t>
    </r>
    <r>
      <rPr>
        <b val="true"/>
        <sz val="10"/>
        <rFont val="Arial"/>
        <family val="0"/>
        <charset val="1"/>
      </rPr>
      <t xml:space="preserve">× </t>
    </r>
    <r>
      <rPr>
        <b val="true"/>
        <sz val="10"/>
        <rFont val="Noto Sans CJK SC"/>
        <family val="2"/>
      </rPr>
      <t xml:space="preserve">供給時，上調為使殘差＝最低占比的值（</t>
    </r>
    <r>
      <rPr>
        <b val="true"/>
        <sz val="10"/>
        <rFont val="Arial"/>
        <family val="0"/>
        <charset val="1"/>
      </rPr>
      <t xml:space="preserve">WARN</t>
    </r>
    <r>
      <rPr>
        <b val="true"/>
        <sz val="10"/>
        <rFont val="Noto Sans CJK SC"/>
        <family val="2"/>
      </rPr>
      <t xml:space="preserve">）；舊法（</t>
    </r>
    <r>
      <rPr>
        <b val="true"/>
        <sz val="10"/>
        <rFont val="Arial"/>
        <family val="0"/>
        <charset val="1"/>
      </rPr>
      <t xml:space="preserve">D8r</t>
    </r>
    <r>
      <rPr>
        <b val="true"/>
        <sz val="10"/>
        <rFont val="Noto Sans CJK SC"/>
        <family val="2"/>
      </rPr>
      <t xml:space="preserve">：</t>
    </r>
    <r>
      <rPr>
        <b val="true"/>
        <sz val="10"/>
        <rFont val="Arial"/>
        <family val="0"/>
        <charset val="1"/>
      </rPr>
      <t xml:space="preserve">token GW ÷ API </t>
    </r>
    <r>
      <rPr>
        <b val="true"/>
        <sz val="10"/>
        <rFont val="Noto Sans CJK SC"/>
        <family val="2"/>
      </rPr>
      <t xml:space="preserve">銷售成本換算 </t>
    </r>
    <r>
      <rPr>
        <b val="true"/>
        <sz val="10"/>
        <rFont val="Arial"/>
        <family val="0"/>
        <charset val="1"/>
      </rPr>
      <t xml:space="preserve">GW</t>
    </r>
    <r>
      <rPr>
        <b val="true"/>
        <sz val="10"/>
        <rFont val="Noto Sans CJK SC"/>
        <family val="2"/>
      </rPr>
      <t xml:space="preserve">）以開關保留；</t>
    </r>
    <r>
      <rPr>
        <b val="true"/>
        <sz val="10"/>
        <rFont val="Arial"/>
        <family val="0"/>
        <charset val="1"/>
      </rPr>
      <t xml:space="preserve">2H26 </t>
    </r>
    <r>
      <rPr>
        <b val="true"/>
        <sz val="10"/>
        <rFont val="Noto Sans CJK SC"/>
        <family val="2"/>
      </rPr>
      <t xml:space="preserve">起依 </t>
    </r>
    <r>
      <rPr>
        <b val="true"/>
        <sz val="10"/>
        <rFont val="Arial"/>
        <family val="0"/>
        <charset val="1"/>
      </rPr>
      <t xml:space="preserve">Inputs </t>
    </r>
    <r>
      <rPr>
        <b val="true"/>
        <sz val="10"/>
        <rFont val="Noto Sans CJK SC"/>
        <family val="2"/>
      </rPr>
      <t xml:space="preserve">路徑，基準沿用 </t>
    </r>
    <r>
      <rPr>
        <b val="true"/>
        <sz val="10"/>
        <rFont val="Arial"/>
        <family val="0"/>
        <charset val="1"/>
      </rPr>
      <t xml:space="preserve">1H26</t>
    </r>
  </si>
  <si>
    <t xml:space="preserve">G91</t>
  </si>
  <si>
    <r>
      <rPr>
        <sz val="10"/>
        <color rgb="FF000000"/>
        <rFont val="Noto Sans CJK SC"/>
        <family val="2"/>
      </rPr>
      <t xml:space="preserve">對照（舊法 </t>
    </r>
    <r>
      <rPr>
        <sz val="10"/>
        <color rgb="FF000000"/>
        <rFont val="Arial"/>
        <family val="0"/>
        <charset val="1"/>
      </rPr>
      <t xml:space="preserve">D8r</t>
    </r>
    <r>
      <rPr>
        <sz val="10"/>
        <color rgb="FF000000"/>
        <rFont val="Noto Sans CJK SC"/>
        <family val="2"/>
      </rPr>
      <t xml:space="preserve">）：</t>
    </r>
    <r>
      <rPr>
        <sz val="10"/>
        <color rgb="FF000000"/>
        <rFont val="Arial"/>
        <family val="0"/>
        <charset val="1"/>
      </rPr>
      <t xml:space="preserve">API </t>
    </r>
    <r>
      <rPr>
        <sz val="10"/>
        <color rgb="FF000000"/>
        <rFont val="Noto Sans CJK SC"/>
        <family val="2"/>
      </rPr>
      <t xml:space="preserve">銷售成本換算推論 </t>
    </r>
    <r>
      <rPr>
        <sz val="10"/>
        <color rgb="FF000000"/>
        <rFont val="Arial"/>
        <family val="0"/>
        <charset val="1"/>
      </rPr>
      <t xml:space="preserve">GW</t>
    </r>
    <r>
      <rPr>
        <sz val="10"/>
        <color rgb="FF000000"/>
        <rFont val="Noto Sans CJK SC"/>
        <family val="2"/>
      </rPr>
      <t xml:space="preserve">＝營業成本計算服務費 </t>
    </r>
    <r>
      <rPr>
        <sz val="10"/>
        <color rgb="FF000000"/>
        <rFont val="Arial"/>
        <family val="0"/>
        <charset val="1"/>
      </rPr>
      <t xml:space="preserve">÷</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 </t>
    </r>
    <r>
      <rPr>
        <sz val="10"/>
        <color rgb="FF000000"/>
        <rFont val="Arial"/>
        <family val="0"/>
        <charset val="1"/>
      </rPr>
      <t xml:space="preserve">× </t>
    </r>
    <r>
      <rPr>
        <sz val="10"/>
        <color rgb="FF000000"/>
        <rFont val="Noto Sans CJK SC"/>
        <family val="2"/>
      </rPr>
      <t xml:space="preserve">期間比例）</t>
    </r>
  </si>
  <si>
    <r>
      <rPr>
        <sz val="9"/>
        <color rgb="FF595959"/>
        <rFont val="Arial"/>
        <family val="0"/>
        <charset val="1"/>
      </rPr>
      <t xml:space="preserve">Z3–Z5b </t>
    </r>
    <r>
      <rPr>
        <sz val="9"/>
        <color rgb="FF595959"/>
        <rFont val="Noto Sans CJK SC"/>
        <family val="2"/>
      </rPr>
      <t xml:space="preserve">的推論支出口徑；</t>
    </r>
    <r>
      <rPr>
        <sz val="9"/>
        <color rgb="FF595959"/>
        <rFont val="Arial"/>
        <family val="0"/>
        <charset val="1"/>
      </rPr>
      <t xml:space="preserve">r2 P1 </t>
    </r>
    <r>
      <rPr>
        <sz val="9"/>
        <color rgb="FF595959"/>
        <rFont val="Noto Sans CJK SC"/>
        <family val="2"/>
      </rPr>
      <t xml:space="preserve">起只用於舊法 </t>
    </r>
    <r>
      <rPr>
        <sz val="9"/>
        <color rgb="FF595959"/>
        <rFont val="Arial"/>
        <family val="0"/>
        <charset val="1"/>
      </rPr>
      <t xml:space="preserve">η </t>
    </r>
    <r>
      <rPr>
        <sz val="9"/>
        <color rgb="FF595959"/>
        <rFont val="Noto Sans CJK SC"/>
        <family val="2"/>
      </rPr>
      <t xml:space="preserve">與 </t>
    </r>
    <r>
      <rPr>
        <sz val="9"/>
        <color rgb="FF595959"/>
        <rFont val="Arial"/>
        <family val="0"/>
        <charset val="1"/>
      </rPr>
      <t xml:space="preserve">R4 </t>
    </r>
    <r>
      <rPr>
        <sz val="9"/>
        <color rgb="FF595959"/>
        <rFont val="Noto Sans CJK SC"/>
        <family val="2"/>
      </rPr>
      <t xml:space="preserve">對照</t>
    </r>
  </si>
  <si>
    <t xml:space="preserve">G92</t>
  </si>
  <si>
    <r>
      <rPr>
        <sz val="10"/>
        <color rgb="FF000000"/>
        <rFont val="Arial"/>
        <family val="0"/>
        <charset val="1"/>
      </rPr>
      <t xml:space="preserve">η</t>
    </r>
    <r>
      <rPr>
        <sz val="10"/>
        <color rgb="FF000000"/>
        <rFont val="Noto Sans CJK SC"/>
        <family val="2"/>
      </rPr>
      <t xml:space="preserve">（校準值）</t>
    </r>
  </si>
  <si>
    <r>
      <rPr>
        <sz val="9"/>
        <color rgb="FF595959"/>
        <rFont val="Arial"/>
        <family val="0"/>
        <charset val="1"/>
      </rPr>
      <t xml:space="preserve">r2 P1</t>
    </r>
    <r>
      <rPr>
        <sz val="9"/>
        <color rgb="FF595959"/>
        <rFont val="Noto Sans CJK SC"/>
        <family val="2"/>
      </rPr>
      <t xml:space="preserve">：＝</t>
    </r>
    <r>
      <rPr>
        <sz val="9"/>
        <color rgb="FF595959"/>
        <rFont val="Arial"/>
        <family val="0"/>
        <charset val="1"/>
      </rPr>
      <t xml:space="preserve">MAX</t>
    </r>
    <r>
      <rPr>
        <sz val="9"/>
        <color rgb="FF595959"/>
        <rFont val="Noto Sans CJK SC"/>
        <family val="2"/>
      </rPr>
      <t xml:space="preserve">（基準 </t>
    </r>
    <r>
      <rPr>
        <sz val="9"/>
        <color rgb="FF595959"/>
        <rFont val="Arial"/>
        <family val="0"/>
        <charset val="1"/>
      </rPr>
      <t xml:space="preserve">1, token </t>
    </r>
    <r>
      <rPr>
        <sz val="9"/>
        <color rgb="FF595959"/>
        <rFont val="Noto Sans CJK SC"/>
        <family val="2"/>
      </rPr>
      <t xml:space="preserve">換算 </t>
    </r>
    <r>
      <rPr>
        <sz val="9"/>
        <color rgb="FF595959"/>
        <rFont val="Arial"/>
        <family val="0"/>
        <charset val="1"/>
      </rPr>
      <t xml:space="preserve">GW ÷</t>
    </r>
    <r>
      <rPr>
        <sz val="9"/>
        <color rgb="FF595959"/>
        <rFont val="Noto Sans CJK SC"/>
        <family val="2"/>
      </rPr>
      <t xml:space="preserve">［供給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訓練最低占比）］）；開關＝</t>
    </r>
    <r>
      <rPr>
        <sz val="9"/>
        <color rgb="FF595959"/>
        <rFont val="Arial"/>
        <family val="0"/>
        <charset val="1"/>
      </rPr>
      <t xml:space="preserve">1 </t>
    </r>
    <r>
      <rPr>
        <sz val="9"/>
        <color rgb="FF595959"/>
        <rFont val="Noto Sans CJK SC"/>
        <family val="2"/>
      </rPr>
      <t xml:space="preserve">時為舊法（</t>
    </r>
    <r>
      <rPr>
        <sz val="9"/>
        <color rgb="FF595959"/>
        <rFont val="Arial"/>
        <family val="0"/>
        <charset val="1"/>
      </rPr>
      <t xml:space="preserve">token GW ÷ API </t>
    </r>
    <r>
      <rPr>
        <sz val="9"/>
        <color rgb="FF595959"/>
        <rFont val="Noto Sans CJK SC"/>
        <family val="2"/>
      </rPr>
      <t xml:space="preserve">銷售成本換算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D </t>
    </r>
    <r>
      <rPr>
        <sz val="9"/>
        <color rgb="FF595959"/>
        <rFont val="Noto Sans CJK SC"/>
        <family val="2"/>
      </rPr>
      <t xml:space="preserve">欄＝</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K </t>
    </r>
    <r>
      <rPr>
        <sz val="9"/>
        <color rgb="FF595959"/>
        <rFont val="Noto Sans CJK SC"/>
        <family val="2"/>
      </rPr>
      <t xml:space="preserve">欄＝</t>
    </r>
    <r>
      <rPr>
        <sz val="9"/>
        <color rgb="FF595959"/>
        <rFont val="Arial"/>
        <family val="0"/>
        <charset val="1"/>
      </rPr>
      <t xml:space="preserve">1H26</t>
    </r>
  </si>
  <si>
    <t xml:space="preserve">G93</t>
  </si>
  <si>
    <t xml:space="preserve">η 2025</t>
  </si>
  <si>
    <t xml:space="preserve">G94</t>
  </si>
  <si>
    <t xml:space="preserve">η 1H26</t>
  </si>
  <si>
    <t xml:space="preserve">G95</t>
  </si>
  <si>
    <r>
      <rPr>
        <sz val="10"/>
        <color rgb="FF000000"/>
        <rFont val="Noto Sans CJK SC"/>
        <family val="2"/>
      </rPr>
      <t xml:space="preserve">對照：</t>
    </r>
    <r>
      <rPr>
        <sz val="10"/>
        <color rgb="FF000000"/>
        <rFont val="Arial"/>
        <family val="0"/>
        <charset val="1"/>
      </rPr>
      <t xml:space="preserve">Z3 </t>
    </r>
    <r>
      <rPr>
        <sz val="10"/>
        <color rgb="FF000000"/>
        <rFont val="Noto Sans CJK SC"/>
        <family val="2"/>
      </rPr>
      <t xml:space="preserve">舊法 </t>
    </r>
    <r>
      <rPr>
        <sz val="10"/>
        <color rgb="FF000000"/>
        <rFont val="Arial"/>
        <family val="0"/>
        <charset val="1"/>
      </rPr>
      <t xml:space="preserve">η</t>
    </r>
    <r>
      <rPr>
        <sz val="10"/>
        <color rgb="FF000000"/>
        <rFont val="Noto Sans CJK SC"/>
        <family val="2"/>
      </rPr>
      <t xml:space="preserve">（參考組合 </t>
    </r>
    <r>
      <rPr>
        <sz val="10"/>
        <color rgb="FF000000"/>
        <rFont val="Arial"/>
        <family val="0"/>
        <charset val="1"/>
      </rPr>
      <t xml:space="preserve">token GW ÷ API </t>
    </r>
    <r>
      <rPr>
        <sz val="10"/>
        <color rgb="FF000000"/>
        <rFont val="Noto Sans CJK SC"/>
        <family val="2"/>
      </rPr>
      <t xml:space="preserve">銷售成本換算 </t>
    </r>
    <r>
      <rPr>
        <sz val="10"/>
        <color rgb="FF000000"/>
        <rFont val="Arial"/>
        <family val="0"/>
        <charset val="1"/>
      </rPr>
      <t xml:space="preserve">GW</t>
    </r>
    <r>
      <rPr>
        <sz val="10"/>
        <color rgb="FF000000"/>
        <rFont val="Noto Sans CJK SC"/>
        <family val="2"/>
      </rPr>
      <t xml:space="preserve">）</t>
    </r>
  </si>
  <si>
    <r>
      <rPr>
        <sz val="9"/>
        <color rgb="FF595959"/>
        <rFont val="Arial"/>
        <family val="0"/>
        <charset val="1"/>
      </rPr>
      <t xml:space="preserve">Z3b F3</t>
    </r>
    <r>
      <rPr>
        <sz val="9"/>
        <color rgb="FF595959"/>
        <rFont val="Noto Sans CJK SC"/>
        <family val="2"/>
      </rPr>
      <t xml:space="preserve">：只列</t>
    </r>
  </si>
  <si>
    <t xml:space="preserve">G96</t>
  </si>
  <si>
    <r>
      <rPr>
        <sz val="10"/>
        <color rgb="FF000000"/>
        <rFont val="Arial"/>
        <family val="0"/>
        <charset val="1"/>
      </rPr>
      <t xml:space="preserve">η</t>
    </r>
    <r>
      <rPr>
        <sz val="10"/>
        <color rgb="FF000000"/>
        <rFont val="Noto Sans CJK SC"/>
        <family val="2"/>
      </rPr>
      <t xml:space="preserve">（逐年）</t>
    </r>
  </si>
  <si>
    <r>
      <rPr>
        <sz val="9"/>
        <color rgb="FF595959"/>
        <rFont val="Arial"/>
        <family val="0"/>
        <charset val="1"/>
      </rPr>
      <t xml:space="preserve">Z3b F2</t>
    </r>
    <r>
      <rPr>
        <sz val="9"/>
        <color rgb="FF595959"/>
        <rFont val="Noto Sans CJK SC"/>
        <family val="2"/>
      </rPr>
      <t xml:space="preserve">：</t>
    </r>
    <r>
      <rPr>
        <sz val="9"/>
        <color rgb="FF595959"/>
        <rFont val="Arial"/>
        <family val="0"/>
        <charset val="1"/>
      </rPr>
      <t xml:space="preserve">2H26 </t>
    </r>
    <r>
      <rPr>
        <sz val="9"/>
        <color rgb="FF595959"/>
        <rFont val="Noto Sans CJK SC"/>
        <family val="2"/>
      </rPr>
      <t xml:space="preserve">起＝</t>
    </r>
    <r>
      <rPr>
        <sz val="9"/>
        <color rgb="FF595959"/>
        <rFont val="Arial"/>
        <family val="0"/>
        <charset val="1"/>
      </rPr>
      <t xml:space="preserve">η₁H₂₆</t>
    </r>
    <r>
      <rPr>
        <sz val="9"/>
        <color rgb="FF595959"/>
        <rFont val="Noto Sans CJK SC"/>
        <family val="2"/>
      </rPr>
      <t xml:space="preserve">＋開關 </t>
    </r>
    <r>
      <rPr>
        <sz val="9"/>
        <color rgb="FF595959"/>
        <rFont val="Arial"/>
        <family val="0"/>
        <charset val="1"/>
      </rPr>
      <t xml:space="preserve">×</t>
    </r>
    <r>
      <rPr>
        <sz val="9"/>
        <color rgb="FF595959"/>
        <rFont val="Noto Sans CJK SC"/>
        <family val="2"/>
      </rPr>
      <t xml:space="preserve">（目標 </t>
    </r>
    <r>
      <rPr>
        <sz val="9"/>
        <color rgb="FF595959"/>
        <rFont val="Arial"/>
        <family val="0"/>
        <charset val="1"/>
      </rPr>
      <t xml:space="preserve">1 − η₁H₂₆</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進度；開關＝</t>
    </r>
    <r>
      <rPr>
        <sz val="9"/>
        <color rgb="FF595959"/>
        <rFont val="Arial"/>
        <family val="0"/>
        <charset val="1"/>
      </rPr>
      <t xml:space="preserve">η₁H₂₆≤1 </t>
    </r>
    <r>
      <rPr>
        <sz val="9"/>
        <color rgb="FF595959"/>
        <rFont val="Noto Sans CJK SC"/>
        <family val="2"/>
      </rPr>
      <t xml:space="preserve">時 </t>
    </r>
    <r>
      <rPr>
        <sz val="9"/>
        <color rgb="FF595959"/>
        <rFont val="Arial"/>
        <family val="0"/>
        <charset val="1"/>
      </rPr>
      <t xml:space="preserve">INP</t>
    </r>
    <r>
      <rPr>
        <sz val="9"/>
        <color rgb="FF595959"/>
        <rFont val="Noto Sans CJK SC"/>
        <family val="2"/>
      </rPr>
      <t xml:space="preserve">（回升，同 </t>
    </r>
    <r>
      <rPr>
        <sz val="9"/>
        <color rgb="FF595959"/>
        <rFont val="Arial"/>
        <family val="0"/>
        <charset val="1"/>
      </rPr>
      <t xml:space="preserve">OpenAI</t>
    </r>
    <r>
      <rPr>
        <sz val="9"/>
        <color rgb="FF595959"/>
        <rFont val="Noto Sans CJK SC"/>
        <family val="2"/>
      </rPr>
      <t xml:space="preserve">），</t>
    </r>
    <r>
      <rPr>
        <sz val="9"/>
        <color rgb="FF595959"/>
        <rFont val="Arial"/>
        <family val="0"/>
        <charset val="1"/>
      </rPr>
      <t xml:space="preserve">&gt;1 </t>
    </r>
    <r>
      <rPr>
        <sz val="9"/>
        <color rgb="FF595959"/>
        <rFont val="Noto Sans CJK SC"/>
        <family val="2"/>
      </rPr>
      <t xml:space="preserve">時 </t>
    </r>
    <r>
      <rPr>
        <sz val="9"/>
        <color rgb="FF595959"/>
        <rFont val="Arial"/>
        <family val="0"/>
        <charset val="1"/>
      </rPr>
      <t xml:space="preserve">INP</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＝沿用 </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＝收斂至 </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E </t>
    </r>
    <r>
      <rPr>
        <sz val="9"/>
        <color rgb="FF595959"/>
        <rFont val="Noto Sans CJK SC"/>
        <family val="2"/>
      </rPr>
      <t xml:space="preserve">欄＝</t>
    </r>
    <r>
      <rPr>
        <sz val="9"/>
        <color rgb="FF595959"/>
        <rFont val="Arial"/>
        <family val="0"/>
        <charset val="1"/>
      </rPr>
      <t xml:space="preserve">token GW ÷ </t>
    </r>
    <r>
      <rPr>
        <sz val="9"/>
        <color rgb="FF595959"/>
        <rFont val="Noto Sans CJK SC"/>
        <family val="2"/>
      </rPr>
      <t xml:space="preserve">有效 </t>
    </r>
    <r>
      <rPr>
        <sz val="9"/>
        <color rgb="FF595959"/>
        <rFont val="Arial"/>
        <family val="0"/>
        <charset val="1"/>
      </rPr>
      <t xml:space="preserve">GW</t>
    </r>
  </si>
  <si>
    <t xml:space="preserve">G97</t>
  </si>
  <si>
    <r>
      <rPr>
        <sz val="10"/>
        <color rgb="FF000000"/>
        <rFont val="Noto Sans CJK SC"/>
        <family val="2"/>
      </rPr>
      <t xml:space="preserve">有效推論 </t>
    </r>
    <r>
      <rPr>
        <sz val="10"/>
        <color rgb="FF000000"/>
        <rFont val="Arial"/>
        <family val="0"/>
        <charset val="1"/>
      </rPr>
      <t xml:space="preserve">GW</t>
    </r>
    <r>
      <rPr>
        <sz val="10"/>
        <color rgb="FF000000"/>
        <rFont val="Noto Sans CJK SC"/>
        <family val="2"/>
      </rPr>
      <t xml:space="preserve">（未截頂）＝</t>
    </r>
    <r>
      <rPr>
        <sz val="10"/>
        <color rgb="FF000000"/>
        <rFont val="Arial"/>
        <family val="0"/>
        <charset val="1"/>
      </rPr>
      <t xml:space="preserve">token </t>
    </r>
    <r>
      <rPr>
        <sz val="10"/>
        <color rgb="FF000000"/>
        <rFont val="Noto Sans CJK SC"/>
        <family val="2"/>
      </rPr>
      <t xml:space="preserve">換算 </t>
    </r>
    <r>
      <rPr>
        <sz val="10"/>
        <color rgb="FF000000"/>
        <rFont val="Arial"/>
        <family val="0"/>
        <charset val="1"/>
      </rPr>
      <t xml:space="preserve">GW ÷ η</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</si>
  <si>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＝支出換算 </t>
    </r>
    <r>
      <rPr>
        <sz val="9"/>
        <color rgb="FF595959"/>
        <rFont val="Arial"/>
        <family val="0"/>
        <charset val="1"/>
      </rPr>
      <t xml:space="preserve">GW</t>
    </r>
    <r>
      <rPr>
        <sz val="9"/>
        <color rgb="FF595959"/>
        <rFont val="Noto Sans CJK SC"/>
        <family val="2"/>
      </rPr>
      <t xml:space="preserve">（校準恆等式）</t>
    </r>
  </si>
  <si>
    <r>
      <rPr>
        <b val="true"/>
        <sz val="10"/>
        <rFont val="Noto Sans CJK SC"/>
        <family val="2"/>
      </rPr>
      <t xml:space="preserve">八、供給 </t>
    </r>
    <r>
      <rPr>
        <b val="true"/>
        <sz val="10"/>
        <rFont val="Arial"/>
        <family val="0"/>
        <charset val="1"/>
      </rPr>
      <t xml:space="preserve">GW</t>
    </r>
    <r>
      <rPr>
        <b val="true"/>
        <sz val="10"/>
        <rFont val="Noto Sans CJK SC"/>
        <family val="2"/>
      </rPr>
      <t xml:space="preserve">：</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＝算力服務費 </t>
    </r>
    <r>
      <rPr>
        <b val="true"/>
        <sz val="10"/>
        <rFont val="Arial"/>
        <family val="0"/>
        <charset val="1"/>
      </rPr>
      <t xml:space="preserve">÷ </t>
    </r>
    <r>
      <rPr>
        <b val="true"/>
        <sz val="10"/>
        <rFont val="Noto Sans CJK SC"/>
        <family val="2"/>
      </rPr>
      <t xml:space="preserve">每 </t>
    </r>
    <r>
      <rPr>
        <b val="true"/>
        <sz val="10"/>
        <rFont val="Arial"/>
        <family val="0"/>
        <charset val="1"/>
      </rPr>
      <t xml:space="preserve">GW </t>
    </r>
    <r>
      <rPr>
        <b val="true"/>
        <sz val="10"/>
        <rFont val="Noto Sans CJK SC"/>
        <family val="2"/>
      </rPr>
      <t xml:space="preserve">價格（租用）；</t>
    </r>
    <r>
      <rPr>
        <b val="true"/>
        <sz val="10"/>
        <rFont val="Arial"/>
        <family val="0"/>
        <charset val="1"/>
      </rPr>
      <t xml:space="preserve">2H26 </t>
    </r>
    <r>
      <rPr>
        <b val="true"/>
        <sz val="10"/>
        <rFont val="Noto Sans CJK SC"/>
        <family val="2"/>
      </rPr>
      <t xml:space="preserve">起＝有效推論 </t>
    </r>
    <r>
      <rPr>
        <b val="true"/>
        <sz val="10"/>
        <rFont val="Arial"/>
        <family val="0"/>
        <charset val="1"/>
      </rPr>
      <t xml:space="preserve">GW ÷</t>
    </r>
    <r>
      <rPr>
        <b val="true"/>
        <sz val="10"/>
        <rFont val="Noto Sans CJK SC"/>
        <family val="2"/>
      </rPr>
      <t xml:space="preserve">［</t>
    </r>
    <r>
      <rPr>
        <b val="true"/>
        <sz val="10"/>
        <rFont val="Arial"/>
        <family val="0"/>
        <charset val="1"/>
      </rPr>
      <t xml:space="preserve">(1−</t>
    </r>
    <r>
      <rPr>
        <b val="true"/>
        <sz val="10"/>
        <rFont val="Noto Sans CJK SC"/>
        <family val="2"/>
      </rPr>
      <t xml:space="preserve">閒置</t>
    </r>
    <r>
      <rPr>
        <b val="true"/>
        <sz val="10"/>
        <rFont val="Arial"/>
        <family val="0"/>
        <charset val="1"/>
      </rPr>
      <t xml:space="preserve">)×(1−</t>
    </r>
    <r>
      <rPr>
        <b val="true"/>
        <sz val="10"/>
        <rFont val="Noto Sans CJK SC"/>
        <family val="2"/>
      </rPr>
      <t xml:space="preserve">研發占比</t>
    </r>
    <r>
      <rPr>
        <b val="true"/>
        <sz val="10"/>
        <rFont val="Arial"/>
        <family val="0"/>
        <charset val="1"/>
      </rPr>
      <t xml:space="preserve">)</t>
    </r>
    <r>
      <rPr>
        <b val="true"/>
        <sz val="10"/>
        <rFont val="Noto Sans CJK SC"/>
        <family val="2"/>
      </rPr>
      <t xml:space="preserve">］（依需求配置）；自有 </t>
    </r>
    <r>
      <rPr>
        <b val="true"/>
        <sz val="10"/>
        <rFont val="Arial"/>
        <family val="0"/>
        <charset val="1"/>
      </rPr>
      <t xml:space="preserve">GW </t>
    </r>
    <r>
      <rPr>
        <b val="true"/>
        <sz val="10"/>
        <rFont val="Noto Sans CJK SC"/>
        <family val="2"/>
      </rPr>
      <t xml:space="preserve">依資本支出（</t>
    </r>
    <r>
      <rPr>
        <b val="true"/>
        <sz val="10"/>
        <rFont val="Arial"/>
        <family val="0"/>
        <charset val="1"/>
      </rPr>
      <t xml:space="preserve">D11r </t>
    </r>
    <r>
      <rPr>
        <b val="true"/>
        <sz val="10"/>
        <rFont val="Noto Sans CJK SC"/>
        <family val="2"/>
      </rPr>
      <t xml:space="preserve">基準 </t>
    </r>
    <r>
      <rPr>
        <b val="true"/>
        <sz val="10"/>
        <rFont val="Arial"/>
        <family val="0"/>
        <charset val="1"/>
      </rPr>
      <t xml:space="preserve">0</t>
    </r>
    <r>
      <rPr>
        <b val="true"/>
        <sz val="10"/>
        <rFont val="Noto Sans CJK SC"/>
        <family val="2"/>
      </rPr>
      <t xml:space="preserve">）</t>
    </r>
  </si>
  <si>
    <t xml:space="preserve">G98</t>
  </si>
  <si>
    <t xml:space="preserve">研發占非閒置供給比例（路徑）</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</si>
  <si>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＝研發 </t>
    </r>
    <r>
      <rPr>
        <sz val="9"/>
        <color rgb="FF595959"/>
        <rFont val="Arial"/>
        <family val="0"/>
        <charset val="1"/>
      </rPr>
      <t xml:space="preserve">GW </t>
    </r>
    <r>
      <rPr>
        <sz val="9"/>
        <color rgb="FF595959"/>
        <rFont val="Noto Sans CJK SC"/>
        <family val="2"/>
      </rPr>
      <t xml:space="preserve">殘差 </t>
    </r>
    <r>
      <rPr>
        <sz val="9"/>
        <color rgb="FF595959"/>
        <rFont val="Arial"/>
        <family val="0"/>
        <charset val="1"/>
      </rPr>
      <t xml:space="preserve">÷ </t>
    </r>
    <r>
      <rPr>
        <sz val="9"/>
        <color rgb="FF595959"/>
        <rFont val="Noto Sans CJK SC"/>
        <family val="2"/>
      </rPr>
      <t xml:space="preserve">供給（</t>
    </r>
    <r>
      <rPr>
        <sz val="9"/>
        <color rgb="FF595959"/>
        <rFont val="Arial"/>
        <family val="0"/>
        <charset val="1"/>
      </rPr>
      <t xml:space="preserve">r2 P1</t>
    </r>
    <r>
      <rPr>
        <sz val="9"/>
        <color rgb="FF595959"/>
        <rFont val="Noto Sans CJK SC"/>
        <family val="2"/>
      </rPr>
      <t xml:space="preserve">；</t>
    </r>
    <r>
      <rPr>
        <sz val="9"/>
        <color rgb="FF595959"/>
        <rFont val="Arial"/>
        <family val="0"/>
        <charset val="1"/>
      </rPr>
      <t xml:space="preserve">η </t>
    </r>
    <r>
      <rPr>
        <sz val="9"/>
        <color rgb="FF595959"/>
        <rFont val="Noto Sans CJK SC"/>
        <family val="2"/>
      </rPr>
      <t xml:space="preserve">上調時＝訓練最低占比；</t>
    </r>
    <r>
      <rPr>
        <sz val="9"/>
        <color rgb="FF595959"/>
        <rFont val="Arial"/>
        <family val="0"/>
        <charset val="1"/>
      </rPr>
      <t xml:space="preserve">Z3–Z5b </t>
    </r>
    <r>
      <rPr>
        <sz val="9"/>
        <color rgb="FF595959"/>
        <rFont val="Noto Sans CJK SC"/>
        <family val="2"/>
      </rPr>
      <t xml:space="preserve">為會計科目占比）；</t>
    </r>
    <r>
      <rPr>
        <sz val="9"/>
        <color rgb="FF595959"/>
        <rFont val="Arial"/>
        <family val="0"/>
        <charset val="1"/>
      </rPr>
      <t xml:space="preserve">2H26 </t>
    </r>
    <r>
      <rPr>
        <sz val="9"/>
        <color rgb="FF595959"/>
        <rFont val="Noto Sans CJK SC"/>
        <family val="2"/>
      </rPr>
      <t xml:space="preserve">起＝</t>
    </r>
    <r>
      <rPr>
        <sz val="9"/>
        <color rgb="FF595959"/>
        <rFont val="Arial"/>
        <family val="0"/>
        <charset val="1"/>
      </rPr>
      <t xml:space="preserve">1H26 </t>
    </r>
    <r>
      <rPr>
        <sz val="9"/>
        <color rgb="FF595959"/>
        <rFont val="Noto Sans CJK SC"/>
        <family val="2"/>
      </rPr>
      <t xml:space="preserve">值＋開關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2030 </t>
    </r>
    <r>
      <rPr>
        <sz val="9"/>
        <color rgb="FF595959"/>
        <rFont val="Noto Sans CJK SC"/>
        <family val="2"/>
      </rPr>
      <t xml:space="preserve">目標 − </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進度；開關 </t>
    </r>
    <r>
      <rPr>
        <sz val="9"/>
        <color rgb="FF595959"/>
        <rFont val="Arial"/>
        <family val="0"/>
        <charset val="1"/>
      </rPr>
      <t xml:space="preserve">0</t>
    </r>
    <r>
      <rPr>
        <sz val="9"/>
        <color rgb="FF595959"/>
        <rFont val="Noto Sans CJK SC"/>
        <family val="2"/>
      </rPr>
      <t xml:space="preserve">（基準）＝沿用 </t>
    </r>
    <r>
      <rPr>
        <sz val="9"/>
        <color rgb="FF595959"/>
        <rFont val="Arial"/>
        <family val="0"/>
        <charset val="1"/>
      </rPr>
      <t xml:space="preserve">1H26</t>
    </r>
  </si>
  <si>
    <t xml:space="preserve">G99</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</si>
  <si>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資本支出（國產；</t>
    </r>
    <r>
      <rPr>
        <sz val="10"/>
        <color rgb="FF000000"/>
        <rFont val="Arial"/>
        <family val="0"/>
        <charset val="1"/>
      </rPr>
      <t xml:space="preserve">IT</t>
    </r>
    <r>
      <rPr>
        <sz val="10"/>
        <color rgb="FF000000"/>
        <rFont val="Noto Sans CJK SC"/>
        <family val="2"/>
      </rPr>
      <t xml:space="preserve">＋廠房）</t>
    </r>
  </si>
  <si>
    <r>
      <rPr>
        <sz val="10"/>
        <color rgb="FF000000"/>
        <rFont val="Arial"/>
        <family val="0"/>
        <charset val="1"/>
      </rPr>
      <t xml:space="preserve">RMB </t>
    </r>
    <r>
      <rPr>
        <sz val="10"/>
        <color rgb="FF000000"/>
        <rFont val="Noto Sans CJK SC"/>
        <family val="2"/>
      </rPr>
      <t xml:space="preserve">億／</t>
    </r>
    <r>
      <rPr>
        <sz val="10"/>
        <color rgb="FF000000"/>
        <rFont val="Arial"/>
        <family val="0"/>
        <charset val="1"/>
      </rPr>
      <t xml:space="preserve">GW</t>
    </r>
  </si>
  <si>
    <r>
      <rPr>
        <sz val="9"/>
        <color rgb="FF595959"/>
        <rFont val="Arial"/>
        <family val="0"/>
        <charset val="1"/>
      </rPr>
      <t xml:space="preserve">TK IF_CapexTotal</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t>
    </r>
    <r>
      <rPr>
        <sz val="9"/>
        <color rgb="FF595959"/>
        <rFont val="Arial"/>
        <family val="0"/>
        <charset val="1"/>
      </rPr>
      <t xml:space="preserve">$B/GW</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國產持有比 </t>
    </r>
    <r>
      <rPr>
        <sz val="9"/>
        <color rgb="FF595959"/>
        <rFont val="Arial"/>
        <family val="0"/>
        <charset val="1"/>
      </rPr>
      <t xml:space="preserve">× USD/CNY × 10</t>
    </r>
    <r>
      <rPr>
        <sz val="9"/>
        <color rgb="FF595959"/>
        <rFont val="Noto Sans CJK SC"/>
        <family val="2"/>
      </rPr>
      <t xml:space="preserve">（</t>
    </r>
    <r>
      <rPr>
        <sz val="9"/>
        <color rgb="FF595959"/>
        <rFont val="Arial"/>
        <family val="0"/>
        <charset val="1"/>
      </rPr>
      <t xml:space="preserve">D11</t>
    </r>
    <r>
      <rPr>
        <sz val="9"/>
        <color rgb="FF595959"/>
        <rFont val="Noto Sans CJK SC"/>
        <family val="2"/>
      </rPr>
      <t xml:space="preserve">）</t>
    </r>
  </si>
  <si>
    <t xml:space="preserve">G100</t>
  </si>
  <si>
    <r>
      <rPr>
        <sz val="10"/>
        <color rgb="FF000000"/>
        <rFont val="Noto Sans CJK SC"/>
        <family val="2"/>
      </rPr>
      <t xml:space="preserve">自有資本支出：</t>
    </r>
    <r>
      <rPr>
        <sz val="10"/>
        <color rgb="FF000000"/>
        <rFont val="Arial"/>
        <family val="0"/>
        <charset val="1"/>
      </rPr>
      <t xml:space="preserve">1 GW </t>
    </r>
    <r>
      <rPr>
        <sz val="10"/>
        <color rgb="FF000000"/>
        <rFont val="Noto Sans CJK SC"/>
        <family val="2"/>
      </rPr>
      <t xml:space="preserve">資料中心情境</t>
    </r>
  </si>
  <si>
    <r>
      <rPr>
        <sz val="9"/>
        <color rgb="FF595959"/>
        <rFont val="Noto Sans CJK SC"/>
        <family val="2"/>
      </rPr>
      <t xml:space="preserve">開關 </t>
    </r>
    <r>
      <rPr>
        <sz val="9"/>
        <color rgb="FF595959"/>
        <rFont val="Arial"/>
        <family val="0"/>
        <charset val="1"/>
      </rPr>
      <t xml:space="preserve">× 1 GW</t>
    </r>
    <r>
      <rPr>
        <sz val="9"/>
        <color rgb="FF595959"/>
        <rFont val="Noto Sans CJK SC"/>
        <family val="2"/>
      </rPr>
      <t xml:space="preserve">（</t>
    </r>
    <r>
      <rPr>
        <sz val="9"/>
        <color rgb="FF595959"/>
        <rFont val="Arial"/>
        <family val="0"/>
        <charset val="1"/>
      </rPr>
      <t xml:space="preserve">SRC_ZP_458</t>
    </r>
    <r>
      <rPr>
        <sz val="9"/>
        <color rgb="FF595959"/>
        <rFont val="Noto Sans CJK SC"/>
        <family val="2"/>
      </rPr>
      <t xml:space="preserve">，口徑未明→視為設施）</t>
    </r>
    <r>
      <rPr>
        <sz val="9"/>
        <color rgb="FF595959"/>
        <rFont val="Arial"/>
        <family val="0"/>
        <charset val="1"/>
      </rPr>
      <t xml:space="preserve">÷ PUE ×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資本支出；計入投產前一年（</t>
    </r>
    <r>
      <rPr>
        <sz val="9"/>
        <color rgb="FF595959"/>
        <rFont val="Arial"/>
        <family val="0"/>
        <charset val="1"/>
      </rPr>
      <t xml:space="preserve">D11r</t>
    </r>
    <r>
      <rPr>
        <sz val="9"/>
        <color rgb="FF595959"/>
        <rFont val="Noto Sans CJK SC"/>
        <family val="2"/>
      </rPr>
      <t xml:space="preserve">：基準關）</t>
    </r>
  </si>
  <si>
    <t xml:space="preserve">G101</t>
  </si>
  <si>
    <t xml:space="preserve">自有資本支出：其他</t>
  </si>
  <si>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D11r</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t>
    </r>
  </si>
  <si>
    <t xml:space="preserve">G102</t>
  </si>
  <si>
    <t xml:space="preserve">自有資本支出合計</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</si>
  <si>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無（</t>
    </r>
    <r>
      <rPr>
        <sz val="9"/>
        <color rgb="FF595959"/>
        <rFont val="Arial"/>
        <family val="0"/>
        <charset val="1"/>
      </rPr>
      <t xml:space="preserve">1H26 </t>
    </r>
    <r>
      <rPr>
        <sz val="9"/>
        <color rgb="FF595959"/>
        <rFont val="Noto Sans CJK SC"/>
        <family val="2"/>
      </rPr>
      <t xml:space="preserve">資本開支為辦公樓，</t>
    </r>
    <r>
      <rPr>
        <sz val="9"/>
        <color rgb="FF595959"/>
        <rFont val="Arial"/>
        <family val="0"/>
        <charset val="1"/>
      </rPr>
      <t xml:space="preserve">D11r</t>
    </r>
    <r>
      <rPr>
        <sz val="9"/>
        <color rgb="FF595959"/>
        <rFont val="Noto Sans CJK SC"/>
        <family val="2"/>
      </rPr>
      <t xml:space="preserve">）</t>
    </r>
  </si>
  <si>
    <t xml:space="preserve">G103</t>
  </si>
  <si>
    <r>
      <rPr>
        <sz val="10"/>
        <color rgb="FF000000"/>
        <rFont val="Noto Sans CJK SC"/>
        <family val="2"/>
      </rPr>
      <t xml:space="preserve">自有 </t>
    </r>
    <r>
      <rPr>
        <sz val="10"/>
        <color rgb="FF000000"/>
        <rFont val="Arial"/>
        <family val="0"/>
        <charset val="1"/>
      </rPr>
      <t xml:space="preserve">GW</t>
    </r>
    <r>
      <rPr>
        <sz val="10"/>
        <color rgb="FF000000"/>
        <rFont val="Noto Sans CJK SC"/>
        <family val="2"/>
      </rPr>
      <t xml:space="preserve">＝至前一年累計自有資本支出 </t>
    </r>
    <r>
      <rPr>
        <sz val="10"/>
        <color rgb="FF000000"/>
        <rFont val="Arial"/>
        <family val="0"/>
        <charset val="1"/>
      </rPr>
      <t xml:space="preserve">÷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資本支出</t>
    </r>
  </si>
  <si>
    <r>
      <rPr>
        <sz val="9"/>
        <color rgb="FF595959"/>
        <rFont val="Noto Sans CJK SC"/>
        <family val="2"/>
      </rPr>
      <t xml:space="preserve">落後一年投產（同 </t>
    </r>
    <r>
      <rPr>
        <sz val="9"/>
        <color rgb="FF595959"/>
        <rFont val="Arial"/>
        <family val="0"/>
        <charset val="1"/>
      </rPr>
      <t xml:space="preserve">OpenAI v0.6 </t>
    </r>
    <r>
      <rPr>
        <sz val="9"/>
        <color rgb="FF595959"/>
        <rFont val="Noto Sans CJK SC"/>
        <family val="2"/>
      </rPr>
      <t xml:space="preserve">第十三節）</t>
    </r>
  </si>
  <si>
    <t xml:space="preserve">G104</t>
  </si>
  <si>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（租用＋自有）</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</si>
  <si>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：算力服務費 </t>
    </r>
    <r>
      <rPr>
        <sz val="9"/>
        <color rgb="FF595959"/>
        <rFont val="Arial"/>
        <family val="0"/>
        <charset val="1"/>
      </rPr>
      <t xml:space="preserve">÷</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價格 </t>
    </r>
    <r>
      <rPr>
        <sz val="9"/>
        <color rgb="FF595959"/>
        <rFont val="Arial"/>
        <family val="0"/>
        <charset val="1"/>
      </rPr>
      <t xml:space="preserve">× </t>
    </r>
    <r>
      <rPr>
        <sz val="9"/>
        <color rgb="FF595959"/>
        <rFont val="Noto Sans CJK SC"/>
        <family val="2"/>
      </rPr>
      <t xml:space="preserve">期間比例）；之後：有效推論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閒置</t>
    </r>
    <r>
      <rPr>
        <sz val="9"/>
        <color rgb="FF595959"/>
        <rFont val="Arial"/>
        <family val="0"/>
        <charset val="1"/>
      </rPr>
      <t xml:space="preserve">)(1−</t>
    </r>
    <r>
      <rPr>
        <sz val="9"/>
        <color rgb="FF595959"/>
        <rFont val="Noto Sans CJK SC"/>
        <family val="2"/>
      </rPr>
      <t xml:space="preserve">研發占比</t>
    </r>
    <r>
      <rPr>
        <sz val="9"/>
        <color rgb="FF595959"/>
        <rFont val="Arial"/>
        <family val="0"/>
        <charset val="1"/>
      </rPr>
      <t xml:space="preserve">)</t>
    </r>
    <r>
      <rPr>
        <sz val="9"/>
        <color rgb="FF595959"/>
        <rFont val="Noto Sans CJK SC"/>
        <family val="2"/>
      </rPr>
      <t xml:space="preserve">］，且不低於自有 </t>
    </r>
    <r>
      <rPr>
        <sz val="9"/>
        <color rgb="FF595959"/>
        <rFont val="Arial"/>
        <family val="0"/>
        <charset val="1"/>
      </rPr>
      <t xml:space="preserve">GW</t>
    </r>
  </si>
  <si>
    <t xml:space="preserve">G105</t>
  </si>
  <si>
    <r>
      <rPr>
        <sz val="10"/>
        <color rgb="FF000000"/>
        <rFont val="Noto Sans CJK SC"/>
        <family val="2"/>
      </rPr>
      <t xml:space="preserve">租用 </t>
    </r>
    <r>
      <rPr>
        <sz val="10"/>
        <color rgb="FF000000"/>
        <rFont val="Arial"/>
        <family val="0"/>
        <charset val="1"/>
      </rPr>
      <t xml:space="preserve">GW</t>
    </r>
    <r>
      <rPr>
        <sz val="10"/>
        <color rgb="FF000000"/>
        <rFont val="Noto Sans CJK SC"/>
        <family val="2"/>
      </rPr>
      <t xml:space="preserve">＝供給 − 自有</t>
    </r>
  </si>
  <si>
    <t xml:space="preserve">G106</t>
  </si>
  <si>
    <r>
      <rPr>
        <sz val="10"/>
        <color rgb="FF000000"/>
        <rFont val="Noto Sans CJK SC"/>
        <family val="2"/>
      </rPr>
      <t xml:space="preserve">閒置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起）</t>
    </r>
  </si>
  <si>
    <r>
      <rPr>
        <sz val="9"/>
        <color rgb="FF595959"/>
        <rFont val="Arial"/>
        <family val="0"/>
        <charset val="1"/>
      </rPr>
      <t xml:space="preserve">OpenAI v0.6</t>
    </r>
    <r>
      <rPr>
        <sz val="9"/>
        <color rgb="FF595959"/>
        <rFont val="Noto Sans CJK SC"/>
        <family val="2"/>
      </rPr>
      <t xml:space="preserve">：閒置保留自校準期後起算；校準期的閒置含在研發殘差內</t>
    </r>
  </si>
  <si>
    <r>
      <rPr>
        <b val="true"/>
        <sz val="10"/>
        <rFont val="Noto Sans CJK SC"/>
        <family val="2"/>
      </rPr>
      <t xml:space="preserve">九、容量上限（</t>
    </r>
    <r>
      <rPr>
        <b val="true"/>
        <sz val="10"/>
        <rFont val="Arial"/>
        <family val="0"/>
        <charset val="1"/>
      </rPr>
      <t xml:space="preserve">V1a </t>
    </r>
    <r>
      <rPr>
        <b val="true"/>
        <sz val="10"/>
        <rFont val="Noto Sans CJK SC"/>
        <family val="2"/>
      </rPr>
      <t xml:space="preserve">同式）、研發 </t>
    </r>
    <r>
      <rPr>
        <b val="true"/>
        <sz val="10"/>
        <rFont val="Arial"/>
        <family val="0"/>
        <charset val="1"/>
      </rPr>
      <t xml:space="preserve">GW</t>
    </r>
    <r>
      <rPr>
        <b val="true"/>
        <sz val="10"/>
        <rFont val="Noto Sans CJK SC"/>
        <family val="2"/>
      </rPr>
      <t xml:space="preserve">（殘差，</t>
    </r>
    <r>
      <rPr>
        <b val="true"/>
        <sz val="10"/>
        <rFont val="Arial"/>
        <family val="0"/>
        <charset val="1"/>
      </rPr>
      <t xml:space="preserve">D12</t>
    </r>
    <r>
      <rPr>
        <b val="true"/>
        <sz val="10"/>
        <rFont val="Noto Sans CJK SC"/>
        <family val="2"/>
      </rPr>
      <t xml:space="preserve">）與總需求 </t>
    </r>
    <r>
      <rPr>
        <b val="true"/>
        <sz val="10"/>
        <rFont val="Arial"/>
        <family val="0"/>
        <charset val="1"/>
      </rPr>
      <t xml:space="preserve">GW</t>
    </r>
  </si>
  <si>
    <t xml:space="preserve">G107</t>
  </si>
  <si>
    <r>
      <rPr>
        <sz val="10"/>
        <color rgb="FF000000"/>
        <rFont val="Noto Sans CJK SC"/>
        <family val="2"/>
      </rPr>
      <t xml:space="preserve">推論可用 </t>
    </r>
    <r>
      <rPr>
        <sz val="10"/>
        <color rgb="FF000000"/>
        <rFont val="Arial"/>
        <family val="0"/>
        <charset val="1"/>
      </rPr>
      <t xml:space="preserve">GW</t>
    </r>
    <r>
      <rPr>
        <sz val="10"/>
        <color rgb="FF000000"/>
        <rFont val="Noto Sans CJK SC"/>
        <family val="2"/>
      </rPr>
      <t xml:space="preserve">＝供給 </t>
    </r>
    <r>
      <rPr>
        <sz val="10"/>
        <color rgb="FF000000"/>
        <rFont val="Arial"/>
        <family val="0"/>
        <charset val="1"/>
      </rPr>
      <t xml:space="preserve">×</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閒置）</t>
    </r>
    <r>
      <rPr>
        <sz val="10"/>
        <color rgb="FF000000"/>
        <rFont val="Arial"/>
        <family val="0"/>
        <charset val="1"/>
      </rPr>
      <t xml:space="preserve">×</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訓練最低占比）</t>
    </r>
  </si>
  <si>
    <t xml:space="preserve">G108</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</si>
  <si>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（截頂後）</t>
    </r>
  </si>
  <si>
    <r>
      <rPr>
        <sz val="9"/>
        <color rgb="FF595959"/>
        <rFont val="Noto Sans CJK SC"/>
        <family val="2"/>
      </rPr>
      <t xml:space="preserve">校準期＝有效推論（營收＝實際）；之後＝</t>
    </r>
    <r>
      <rPr>
        <sz val="9"/>
        <color rgb="FF595959"/>
        <rFont val="Arial"/>
        <family val="0"/>
        <charset val="1"/>
      </rPr>
      <t xml:space="preserve">MIN</t>
    </r>
    <r>
      <rPr>
        <sz val="9"/>
        <color rgb="FF595959"/>
        <rFont val="Noto Sans CJK SC"/>
        <family val="2"/>
      </rPr>
      <t xml:space="preserve">（可用</t>
    </r>
    <r>
      <rPr>
        <sz val="9"/>
        <color rgb="FF595959"/>
        <rFont val="Arial"/>
        <family val="0"/>
        <charset val="1"/>
      </rPr>
      <t xml:space="preserve">, </t>
    </r>
    <r>
      <rPr>
        <sz val="9"/>
        <color rgb="FF595959"/>
        <rFont val="Noto Sans CJK SC"/>
        <family val="2"/>
      </rPr>
      <t xml:space="preserve">有效）；研發占比 ≥ 訓練最低占比時供給依需求配置、必然足夠，直接取有效推論（</t>
    </r>
    <r>
      <rPr>
        <sz val="9"/>
        <color rgb="FF595959"/>
        <rFont val="Arial"/>
        <family val="0"/>
        <charset val="1"/>
      </rPr>
      <t xml:space="preserve">r2</t>
    </r>
    <r>
      <rPr>
        <sz val="9"/>
        <color rgb="FF595959"/>
        <rFont val="Noto Sans CJK SC"/>
        <family val="2"/>
      </rPr>
      <t xml:space="preserve">：避免浮點誤差翻轉缺口旗標）</t>
    </r>
  </si>
  <si>
    <t xml:space="preserve">G109</t>
  </si>
  <si>
    <r>
      <rPr>
        <sz val="10"/>
        <color rgb="FF000000"/>
        <rFont val="Noto Sans CJK SC"/>
        <family val="2"/>
      </rPr>
      <t xml:space="preserve">容量上限係數（</t>
    </r>
    <r>
      <rPr>
        <sz val="10"/>
        <color rgb="FF000000"/>
        <rFont val="Arial"/>
        <family val="0"/>
        <charset val="1"/>
      </rPr>
      <t xml:space="preserve">1</t>
    </r>
    <r>
      <rPr>
        <sz val="10"/>
        <color rgb="FF000000"/>
        <rFont val="Noto Sans CJK SC"/>
        <family val="2"/>
      </rPr>
      <t xml:space="preserve">＝未受限）</t>
    </r>
  </si>
  <si>
    <r>
      <rPr>
        <sz val="9"/>
        <color rgb="FF595959"/>
        <rFont val="Arial"/>
        <family val="0"/>
        <charset val="1"/>
      </rPr>
      <t xml:space="preserve">Revenue </t>
    </r>
    <r>
      <rPr>
        <sz val="9"/>
        <color rgb="FF595959"/>
        <rFont val="Noto Sans CJK SC"/>
        <family val="2"/>
      </rPr>
      <t xml:space="preserve">容量上限列引用（只回乘雲端營收）</t>
    </r>
  </si>
  <si>
    <t xml:space="preserve">G110</t>
  </si>
  <si>
    <r>
      <rPr>
        <sz val="10"/>
        <color rgb="FF000000"/>
        <rFont val="Noto Sans CJK SC"/>
        <family val="2"/>
      </rPr>
      <t xml:space="preserve">缺口旗標（</t>
    </r>
    <r>
      <rPr>
        <sz val="10"/>
        <color rgb="FF000000"/>
        <rFont val="Arial"/>
        <family val="0"/>
        <charset val="1"/>
      </rPr>
      <t xml:space="preserve">1</t>
    </r>
    <r>
      <rPr>
        <sz val="10"/>
        <color rgb="FF000000"/>
        <rFont val="Noto Sans CJK SC"/>
        <family val="2"/>
      </rPr>
      <t xml:space="preserve">＝需求超過可用 </t>
    </r>
    <r>
      <rPr>
        <sz val="10"/>
        <color rgb="FF000000"/>
        <rFont val="Arial"/>
        <family val="0"/>
        <charset val="1"/>
      </rPr>
      <t xml:space="preserve">GW</t>
    </r>
    <r>
      <rPr>
        <sz val="10"/>
        <color rgb="FF000000"/>
        <rFont val="Noto Sans CJK SC"/>
        <family val="2"/>
      </rPr>
      <t xml:space="preserve">）</t>
    </r>
  </si>
  <si>
    <t xml:space="preserve">旗標</t>
  </si>
  <si>
    <t xml:space="preserve">不自動假設新增算力</t>
  </si>
  <si>
    <t xml:space="preserve">G111</t>
  </si>
  <si>
    <r>
      <rPr>
        <sz val="10"/>
        <color rgb="FF000000"/>
        <rFont val="Noto Sans CJK SC"/>
        <family val="2"/>
      </rPr>
      <t xml:space="preserve">研發 </t>
    </r>
    <r>
      <rPr>
        <sz val="10"/>
        <color rgb="FF000000"/>
        <rFont val="Arial"/>
        <family val="0"/>
        <charset val="1"/>
      </rPr>
      <t xml:space="preserve">GW</t>
    </r>
    <r>
      <rPr>
        <sz val="10"/>
        <color rgb="FF000000"/>
        <rFont val="Noto Sans CJK SC"/>
        <family val="2"/>
      </rPr>
      <t xml:space="preserve">（殘差）</t>
    </r>
  </si>
  <si>
    <r>
      <rPr>
        <sz val="9"/>
        <color rgb="FF595959"/>
        <rFont val="Noto Sans CJK SC"/>
        <family val="2"/>
      </rPr>
      <t xml:space="preserve">校準期＝供給 − 推論（</t>
    </r>
    <r>
      <rPr>
        <sz val="9"/>
        <color rgb="FF595959"/>
        <rFont val="Arial"/>
        <family val="0"/>
        <charset val="1"/>
      </rPr>
      <t xml:space="preserve">r2 P1</t>
    </r>
    <r>
      <rPr>
        <sz val="9"/>
        <color rgb="FF595959"/>
        <rFont val="Noto Sans CJK SC"/>
        <family val="2"/>
      </rPr>
      <t xml:space="preserve">：殘差，同 </t>
    </r>
    <r>
      <rPr>
        <sz val="9"/>
        <color rgb="FF595959"/>
        <rFont val="Arial"/>
        <family val="0"/>
        <charset val="1"/>
      </rPr>
      <t xml:space="preserve">OpenAI</t>
    </r>
    <r>
      <rPr>
        <sz val="9"/>
        <color rgb="FF595959"/>
        <rFont val="Noto Sans CJK SC"/>
        <family val="2"/>
      </rPr>
      <t xml:space="preserve">；不再等於研發算力費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價格）；之後＝供給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閒置）− 推論（截頂後）</t>
    </r>
  </si>
  <si>
    <t xml:space="preserve">G112</t>
  </si>
  <si>
    <r>
      <rPr>
        <sz val="10"/>
        <color rgb="FF000000"/>
        <rFont val="Noto Sans CJK SC"/>
        <family val="2"/>
      </rPr>
      <t xml:space="preserve">總需求 </t>
    </r>
    <r>
      <rPr>
        <sz val="10"/>
        <color rgb="FF000000"/>
        <rFont val="Arial"/>
        <family val="0"/>
        <charset val="1"/>
      </rPr>
      <t xml:space="preserve">GW</t>
    </r>
    <r>
      <rPr>
        <sz val="10"/>
        <color rgb="FF000000"/>
        <rFont val="Noto Sans CJK SC"/>
        <family val="2"/>
      </rPr>
      <t xml:space="preserve">＝有效推論（未截頂）＋研發</t>
    </r>
  </si>
  <si>
    <t xml:space="preserve">G113</t>
  </si>
  <si>
    <t xml:space="preserve">檢查：推論（截頂後）＋研發＋閒置 − 供給</t>
  </si>
  <si>
    <r>
      <rPr>
        <sz val="9"/>
        <color rgb="FF595959"/>
        <rFont val="Noto Sans CJK SC"/>
        <family val="2"/>
      </rPr>
      <t xml:space="preserve">各期應為 </t>
    </r>
    <r>
      <rPr>
        <sz val="9"/>
        <color rgb="FF595959"/>
        <rFont val="Arial"/>
        <family val="0"/>
        <charset val="1"/>
      </rPr>
      <t xml:space="preserve">0</t>
    </r>
  </si>
  <si>
    <t xml:space="preserve">G114</t>
  </si>
  <si>
    <r>
      <rPr>
        <sz val="10"/>
        <color rgb="FF000000"/>
        <rFont val="Noto Sans CJK SC"/>
        <family val="2"/>
      </rPr>
      <t xml:space="preserve">對照：研發 </t>
    </r>
    <r>
      <rPr>
        <sz val="10"/>
        <color rgb="FF000000"/>
        <rFont val="Arial"/>
        <family val="0"/>
        <charset val="1"/>
      </rPr>
      <t xml:space="preserve">GW</t>
    </r>
    <r>
      <rPr>
        <sz val="10"/>
        <color rgb="FF000000"/>
        <rFont val="Noto Sans CJK SC"/>
        <family val="2"/>
      </rPr>
      <t xml:space="preserve">（扣除法研發算力費 </t>
    </r>
    <r>
      <rPr>
        <sz val="10"/>
        <color rgb="FF000000"/>
        <rFont val="Arial"/>
        <family val="0"/>
        <charset val="1"/>
      </rPr>
      <t xml:space="preserve">÷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t>
    </r>
  </si>
  <si>
    <r>
      <rPr>
        <sz val="9"/>
        <color rgb="FF595959"/>
        <rFont val="Arial"/>
        <family val="0"/>
        <charset val="1"/>
      </rPr>
      <t xml:space="preserve">D12</t>
    </r>
    <r>
      <rPr>
        <sz val="9"/>
        <color rgb="FF595959"/>
        <rFont val="Noto Sans CJK SC"/>
        <family val="2"/>
      </rPr>
      <t xml:space="preserve">：智譜揭露研發算力費，可作獨立對照（</t>
    </r>
    <r>
      <rPr>
        <sz val="9"/>
        <color rgb="FF595959"/>
        <rFont val="Arial"/>
        <family val="0"/>
        <charset val="1"/>
      </rPr>
      <t xml:space="preserve">D10r </t>
    </r>
    <r>
      <rPr>
        <sz val="9"/>
        <color rgb="FF595959"/>
        <rFont val="Noto Sans CJK SC"/>
        <family val="2"/>
      </rPr>
      <t xml:space="preserve">第一法）</t>
    </r>
  </si>
  <si>
    <t xml:space="preserve">G115</t>
  </si>
  <si>
    <r>
      <rPr>
        <sz val="10"/>
        <color rgb="FF000000"/>
        <rFont val="Noto Sans CJK SC"/>
        <family val="2"/>
      </rPr>
      <t xml:space="preserve">對照：</t>
    </r>
    <r>
      <rPr>
        <sz val="10"/>
        <color rgb="FF000000"/>
        <rFont val="Arial"/>
        <family val="0"/>
        <charset val="1"/>
      </rPr>
      <t xml:space="preserve">TK IF_AllocRDGW</t>
    </r>
    <r>
      <rPr>
        <sz val="10"/>
        <color rgb="FF000000"/>
        <rFont val="Noto Sans CJK SC"/>
        <family val="2"/>
      </rPr>
      <t xml:space="preserve">（</t>
    </r>
    <r>
      <rPr>
        <sz val="10"/>
        <color rgb="FF000000"/>
        <rFont val="Arial"/>
        <family val="0"/>
        <charset val="1"/>
      </rPr>
      <t xml:space="preserve">OpenAI </t>
    </r>
    <r>
      <rPr>
        <sz val="10"/>
        <color rgb="FF000000"/>
        <rFont val="Noto Sans CJK SC"/>
        <family val="2"/>
      </rPr>
      <t xml:space="preserve">規模研發 </t>
    </r>
    <r>
      <rPr>
        <sz val="10"/>
        <color rgb="FF000000"/>
        <rFont val="Arial"/>
        <family val="0"/>
        <charset val="1"/>
      </rPr>
      <t xml:space="preserve">GW·</t>
    </r>
    <r>
      <rPr>
        <sz val="10"/>
        <color rgb="FF000000"/>
        <rFont val="Noto Sans CJK SC"/>
        <family val="2"/>
      </rPr>
      <t xml:space="preserve">年）</t>
    </r>
  </si>
  <si>
    <r>
      <rPr>
        <sz val="9"/>
        <color rgb="FF595959"/>
        <rFont val="Arial"/>
        <family val="0"/>
        <charset val="1"/>
      </rPr>
      <t xml:space="preserve">Tokenomics Alloc</t>
    </r>
    <r>
      <rPr>
        <sz val="9"/>
        <color rgb="FF595959"/>
        <rFont val="Noto Sans CJK SC"/>
        <family val="2"/>
      </rPr>
      <t xml:space="preserve">（</t>
    </r>
    <r>
      <rPr>
        <sz val="9"/>
        <color rgb="FF595959"/>
        <rFont val="Arial"/>
        <family val="0"/>
        <charset val="1"/>
      </rPr>
      <t xml:space="preserve">k ×</t>
    </r>
    <r>
      <rPr>
        <sz val="9"/>
        <color rgb="FF595959"/>
        <rFont val="Noto Sans CJK SC"/>
        <family val="2"/>
      </rPr>
      <t xml:space="preserve">（</t>
    </r>
    <r>
      <rPr>
        <sz val="9"/>
        <color rgb="FF595959"/>
        <rFont val="Arial"/>
        <family val="0"/>
        <charset val="1"/>
      </rPr>
      <t xml:space="preserve">N_major × </t>
    </r>
    <r>
      <rPr>
        <sz val="9"/>
        <color rgb="FF595959"/>
        <rFont val="Noto Sans CJK SC"/>
        <family val="2"/>
      </rPr>
      <t xml:space="preserve">家族＋</t>
    </r>
    <r>
      <rPr>
        <sz val="9"/>
        <color rgb="FF595959"/>
        <rFont val="Arial"/>
        <family val="0"/>
        <charset val="1"/>
      </rPr>
      <t xml:space="preserve">N_refresh × </t>
    </r>
    <r>
      <rPr>
        <sz val="9"/>
        <color rgb="FF595959"/>
        <rFont val="Noto Sans CJK SC"/>
        <family val="2"/>
      </rPr>
      <t xml:space="preserve">改版））；只並列</t>
    </r>
  </si>
  <si>
    <r>
      <rPr>
        <b val="true"/>
        <sz val="10"/>
        <rFont val="Noto Sans CJK SC"/>
        <family val="2"/>
      </rPr>
      <t xml:space="preserve">十、</t>
    </r>
    <r>
      <rPr>
        <b val="true"/>
        <sz val="10"/>
        <rFont val="Arial"/>
        <family val="0"/>
        <charset val="1"/>
      </rPr>
      <t xml:space="preserve">VR </t>
    </r>
    <r>
      <rPr>
        <b val="true"/>
        <sz val="10"/>
        <rFont val="Noto Sans CJK SC"/>
        <family val="2"/>
      </rPr>
      <t xml:space="preserve">等值換算（各族 </t>
    </r>
    <r>
      <rPr>
        <b val="true"/>
        <sz val="10"/>
        <rFont val="Arial"/>
        <family val="0"/>
        <charset val="1"/>
      </rPr>
      <t xml:space="preserve">Sol </t>
    </r>
    <r>
      <rPr>
        <b val="true"/>
        <sz val="10"/>
        <rFont val="Noto Sans CJK SC"/>
        <family val="2"/>
      </rPr>
      <t xml:space="preserve">層級每 </t>
    </r>
    <r>
      <rPr>
        <b val="true"/>
        <sz val="10"/>
        <rFont val="Arial"/>
        <family val="0"/>
        <charset val="1"/>
      </rPr>
      <t xml:space="preserve">GW </t>
    </r>
    <r>
      <rPr>
        <b val="true"/>
        <sz val="10"/>
        <rFont val="Noto Sans CJK SC"/>
        <family val="2"/>
      </rPr>
      <t xml:space="preserve">產能 </t>
    </r>
    <r>
      <rPr>
        <b val="true"/>
        <sz val="10"/>
        <rFont val="Arial"/>
        <family val="0"/>
        <charset val="1"/>
      </rPr>
      <t xml:space="preserve">÷ VR200 Sol</t>
    </r>
    <r>
      <rPr>
        <b val="true"/>
        <sz val="10"/>
        <rFont val="Noto Sans CJK SC"/>
        <family val="2"/>
      </rPr>
      <t xml:space="preserve">；同 </t>
    </r>
    <r>
      <rPr>
        <b val="true"/>
        <sz val="10"/>
        <rFont val="Arial"/>
        <family val="0"/>
        <charset val="1"/>
      </rPr>
      <t xml:space="preserve">OpenAI v0.6</t>
    </r>
    <r>
      <rPr>
        <b val="true"/>
        <sz val="10"/>
        <rFont val="Noto Sans CJK SC"/>
        <family val="2"/>
      </rPr>
      <t xml:space="preserve">）</t>
    </r>
  </si>
  <si>
    <t xml:space="preserve">G116</t>
  </si>
  <si>
    <r>
      <rPr>
        <sz val="10"/>
        <color rgb="FF000000"/>
        <rFont val="Arial"/>
        <family val="0"/>
        <charset val="1"/>
      </rPr>
      <t xml:space="preserve">VR200 </t>
    </r>
    <r>
      <rPr>
        <sz val="10"/>
        <color rgb="FF000000"/>
        <rFont val="Noto Sans CJK SC"/>
        <family val="2"/>
      </rPr>
      <t xml:space="preserve">等值係數：</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</si>
  <si>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t xml:space="preserve">G117</t>
  </si>
  <si>
    <r>
      <rPr>
        <sz val="10"/>
        <color rgb="FF000000"/>
        <rFont val="Arial"/>
        <family val="0"/>
        <charset val="1"/>
      </rPr>
      <t xml:space="preserve">VR200 </t>
    </r>
    <r>
      <rPr>
        <sz val="10"/>
        <color rgb="FF000000"/>
        <rFont val="Noto Sans CJK SC"/>
        <family val="2"/>
      </rPr>
      <t xml:space="preserve">等值係數：</t>
    </r>
    <r>
      <rPr>
        <sz val="10"/>
        <color rgb="FF000000"/>
        <rFont val="Arial"/>
        <family val="0"/>
        <charset val="1"/>
      </rPr>
      <t xml:space="preserve">H20</t>
    </r>
  </si>
  <si>
    <t xml:space="preserve">G118</t>
  </si>
  <si>
    <r>
      <rPr>
        <sz val="10"/>
        <color rgb="FF000000"/>
        <rFont val="Arial"/>
        <family val="0"/>
        <charset val="1"/>
      </rPr>
      <t xml:space="preserve">VR200 </t>
    </r>
    <r>
      <rPr>
        <sz val="10"/>
        <color rgb="FF000000"/>
        <rFont val="Noto Sans CJK SC"/>
        <family val="2"/>
      </rPr>
      <t xml:space="preserve">等值係數：國產（昇騰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</si>
  <si>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G119</t>
  </si>
  <si>
    <r>
      <rPr>
        <sz val="10"/>
        <color rgb="FF000000"/>
        <rFont val="Noto Sans CJK SC"/>
        <family val="2"/>
      </rPr>
      <t xml:space="preserve">機隊 </t>
    </r>
    <r>
      <rPr>
        <sz val="10"/>
        <color rgb="FF000000"/>
        <rFont val="Arial"/>
        <family val="0"/>
        <charset val="1"/>
      </rPr>
      <t xml:space="preserve">VR </t>
    </r>
    <r>
      <rPr>
        <sz val="10"/>
        <color rgb="FF000000"/>
        <rFont val="Noto Sans CJK SC"/>
        <family val="2"/>
      </rPr>
      <t xml:space="preserve">等值係數＝</t>
    </r>
    <r>
      <rPr>
        <sz val="10"/>
        <color rgb="FF000000"/>
        <rFont val="Arial"/>
        <family val="0"/>
        <charset val="1"/>
      </rPr>
      <t xml:space="preserve">Σ </t>
    </r>
    <r>
      <rPr>
        <sz val="10"/>
        <color rgb="FF000000"/>
        <rFont val="Noto Sans CJK SC"/>
        <family val="2"/>
      </rPr>
      <t xml:space="preserve">占比 </t>
    </r>
    <r>
      <rPr>
        <sz val="10"/>
        <color rgb="FF000000"/>
        <rFont val="Arial"/>
        <family val="0"/>
        <charset val="1"/>
      </rPr>
      <t xml:space="preserve">× </t>
    </r>
    <r>
      <rPr>
        <sz val="10"/>
        <color rgb="FF000000"/>
        <rFont val="Noto Sans CJK SC"/>
        <family val="2"/>
      </rPr>
      <t xml:space="preserve">係數</t>
    </r>
  </si>
  <si>
    <t xml:space="preserve">G120</t>
  </si>
  <si>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（命題分母）</t>
    </r>
  </si>
  <si>
    <t xml:space="preserve">G121</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</si>
  <si>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（截頂後）</t>
    </r>
    <r>
      <rPr>
        <sz val="10"/>
        <color rgb="FF000000"/>
        <rFont val="Arial"/>
        <family val="0"/>
        <charset val="1"/>
      </rPr>
      <t xml:space="preserve">VR </t>
    </r>
    <r>
      <rPr>
        <sz val="10"/>
        <color rgb="FF000000"/>
        <rFont val="Noto Sans CJK SC"/>
        <family val="2"/>
      </rPr>
      <t xml:space="preserve">等值</t>
    </r>
  </si>
  <si>
    <t xml:space="preserve">G122</t>
  </si>
  <si>
    <r>
      <rPr>
        <sz val="10"/>
        <color rgb="FF000000"/>
        <rFont val="Noto Sans CJK SC"/>
        <family val="2"/>
      </rPr>
      <t xml:space="preserve">研發 </t>
    </r>
    <r>
      <rPr>
        <sz val="10"/>
        <color rgb="FF000000"/>
        <rFont val="Arial"/>
        <family val="0"/>
        <charset val="1"/>
      </rPr>
      <t xml:space="preserve">GW VR </t>
    </r>
    <r>
      <rPr>
        <sz val="10"/>
        <color rgb="FF000000"/>
        <rFont val="Noto Sans CJK SC"/>
        <family val="2"/>
      </rPr>
      <t xml:space="preserve">等值</t>
    </r>
  </si>
  <si>
    <r>
      <rPr>
        <b val="true"/>
        <sz val="10"/>
        <rFont val="Noto Sans CJK SC"/>
        <family val="2"/>
      </rPr>
      <t xml:space="preserve">十一、對照：『</t>
    </r>
    <r>
      <rPr>
        <b val="true"/>
        <sz val="10"/>
        <rFont val="Arial"/>
        <family val="0"/>
        <charset val="1"/>
      </rPr>
      <t xml:space="preserve">10 </t>
    </r>
    <r>
      <rPr>
        <b val="true"/>
        <sz val="10"/>
        <rFont val="Noto Sans CJK SC"/>
        <family val="2"/>
      </rPr>
      <t xml:space="preserve">萬級國產晶片』換算 </t>
    </r>
    <r>
      <rPr>
        <b val="true"/>
        <sz val="10"/>
        <rFont val="Arial"/>
        <family val="0"/>
        <charset val="1"/>
      </rPr>
      <t xml:space="preserve">GW</t>
    </r>
    <r>
      <rPr>
        <b val="true"/>
        <sz val="10"/>
        <rFont val="Noto Sans CJK SC"/>
        <family val="2"/>
      </rPr>
      <t xml:space="preserve">（卡數 </t>
    </r>
    <r>
      <rPr>
        <b val="true"/>
        <sz val="10"/>
        <rFont val="Arial"/>
        <family val="0"/>
        <charset val="1"/>
      </rPr>
      <t xml:space="preserve">× </t>
    </r>
    <r>
      <rPr>
        <b val="true"/>
        <sz val="10"/>
        <rFont val="Noto Sans CJK SC"/>
        <family val="2"/>
      </rPr>
      <t xml:space="preserve">每卡 </t>
    </r>
    <r>
      <rPr>
        <b val="true"/>
        <sz val="10"/>
        <rFont val="Arial"/>
        <family val="0"/>
        <charset val="1"/>
      </rPr>
      <t xml:space="preserve">IT </t>
    </r>
    <r>
      <rPr>
        <b val="true"/>
        <sz val="10"/>
        <rFont val="Noto Sans CJK SC"/>
        <family val="2"/>
      </rPr>
      <t xml:space="preserve">功耗）與『</t>
    </r>
    <r>
      <rPr>
        <b val="true"/>
        <sz val="10"/>
        <rFont val="Arial"/>
        <family val="0"/>
        <charset val="1"/>
      </rPr>
      <t xml:space="preserve">1 GW </t>
    </r>
    <r>
      <rPr>
        <b val="true"/>
        <sz val="10"/>
        <rFont val="Noto Sans CJK SC"/>
        <family val="2"/>
      </rPr>
      <t xml:space="preserve">國產算力資料中心』（只列差距，不校準）</t>
    </r>
  </si>
  <si>
    <t xml:space="preserve">G123</t>
  </si>
  <si>
    <t xml:space="preserve">公司揭露：推論用國產晶片（張）</t>
  </si>
  <si>
    <t xml:space="preserve">張</t>
  </si>
  <si>
    <r>
      <rPr>
        <sz val="9"/>
        <color rgb="FF595959"/>
        <rFont val="Arial"/>
        <family val="0"/>
        <charset val="1"/>
      </rPr>
      <t xml:space="preserve">SRC_ZP_452</t>
    </r>
    <r>
      <rPr>
        <sz val="9"/>
        <color rgb="FF595959"/>
        <rFont val="Noto Sans CJK SC"/>
        <family val="2"/>
      </rPr>
      <t xml:space="preserve">（截至 </t>
    </r>
    <r>
      <rPr>
        <sz val="9"/>
        <color rgb="FF595959"/>
        <rFont val="Arial"/>
        <family val="0"/>
        <charset val="1"/>
      </rPr>
      <t xml:space="preserve">2026-08-31</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；下限）</t>
    </r>
  </si>
  <si>
    <t xml:space="preserve">G124</t>
  </si>
  <si>
    <r>
      <rPr>
        <sz val="10"/>
        <color rgb="FF000000"/>
        <rFont val="Noto Sans CJK SC"/>
        <family val="2"/>
      </rPr>
      <t xml:space="preserve">換算 </t>
    </r>
    <r>
      <rPr>
        <sz val="10"/>
        <color rgb="FF000000"/>
        <rFont val="Arial"/>
        <family val="0"/>
        <charset val="1"/>
      </rPr>
      <t xml:space="preserve">IT GW</t>
    </r>
    <r>
      <rPr>
        <sz val="10"/>
        <color rgb="FF000000"/>
        <rFont val="Noto Sans CJK SC"/>
        <family val="2"/>
      </rPr>
      <t xml:space="preserve">＝卡數 </t>
    </r>
    <r>
      <rPr>
        <sz val="10"/>
        <color rgb="FF000000"/>
        <rFont val="Arial"/>
        <family val="0"/>
        <charset val="1"/>
      </rPr>
      <t xml:space="preserve">× </t>
    </r>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 </t>
    </r>
    <r>
      <rPr>
        <sz val="10"/>
        <color rgb="FF000000"/>
        <rFont val="Arial"/>
        <family val="0"/>
        <charset val="1"/>
      </rPr>
      <t xml:space="preserve">÷ 10^6</t>
    </r>
  </si>
  <si>
    <r>
      <rPr>
        <sz val="9"/>
        <color rgb="FF595959"/>
        <rFont val="Noto Sans CJK SC"/>
        <family val="2"/>
      </rPr>
      <t xml:space="preserve">每卡 </t>
    </r>
    <r>
      <rPr>
        <sz val="9"/>
        <color rgb="FF595959"/>
        <rFont val="Arial"/>
        <family val="0"/>
        <charset val="1"/>
      </rPr>
      <t xml:space="preserve">IT </t>
    </r>
    <r>
      <rPr>
        <sz val="9"/>
        <color rgb="FF595959"/>
        <rFont val="Noto Sans CJK SC"/>
        <family val="2"/>
      </rPr>
      <t xml:space="preserve">功耗 </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0.65–1.4 kW</t>
    </r>
    <r>
      <rPr>
        <sz val="9"/>
        <color rgb="FF595959"/>
        <rFont val="Noto Sans CJK SC"/>
        <family val="2"/>
      </rPr>
      <t xml:space="preserve">）</t>
    </r>
  </si>
  <si>
    <t xml:space="preserve">G125</t>
  </si>
  <si>
    <r>
      <rPr>
        <sz val="10"/>
        <color rgb="FF000000"/>
        <rFont val="Noto Sans CJK SC"/>
        <family val="2"/>
      </rPr>
      <t xml:space="preserve">換算設施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 PUE</t>
    </r>
    <r>
      <rPr>
        <sz val="10"/>
        <color rgb="FF000000"/>
        <rFont val="Noto Sans CJK SC"/>
        <family val="2"/>
      </rPr>
      <t xml:space="preserve">）</t>
    </r>
  </si>
  <si>
    <t xml:space="preserve">G126</t>
  </si>
  <si>
    <r>
      <rPr>
        <sz val="10"/>
        <color rgb="FF000000"/>
        <rFont val="Noto Sans CJK SC"/>
        <family val="2"/>
      </rPr>
      <t xml:space="preserve">模型：</t>
    </r>
    <r>
      <rPr>
        <sz val="10"/>
        <color rgb="FF000000"/>
        <rFont val="Arial"/>
        <family val="0"/>
        <charset val="1"/>
      </rPr>
      <t xml:space="preserve">2H26 </t>
    </r>
    <r>
      <rPr>
        <sz val="10"/>
        <color rgb="FF000000"/>
        <rFont val="Noto Sans CJK SC"/>
        <family val="2"/>
      </rPr>
      <t xml:space="preserve">國產供給 </t>
    </r>
    <r>
      <rPr>
        <sz val="10"/>
        <color rgb="FF000000"/>
        <rFont val="Arial"/>
        <family val="0"/>
        <charset val="1"/>
      </rPr>
      <t xml:space="preserve">GW</t>
    </r>
    <r>
      <rPr>
        <sz val="10"/>
        <color rgb="FF000000"/>
        <rFont val="Noto Sans CJK SC"/>
        <family val="2"/>
      </rPr>
      <t xml:space="preserve">＝供給 </t>
    </r>
    <r>
      <rPr>
        <sz val="10"/>
        <color rgb="FF000000"/>
        <rFont val="Arial"/>
        <family val="0"/>
        <charset val="1"/>
      </rPr>
      <t xml:space="preserve">× </t>
    </r>
    <r>
      <rPr>
        <sz val="10"/>
        <color rgb="FF000000"/>
        <rFont val="Noto Sans CJK SC"/>
        <family val="2"/>
      </rPr>
      <t xml:space="preserve">國產占比</t>
    </r>
  </si>
  <si>
    <t xml:space="preserve">G127</t>
  </si>
  <si>
    <r>
      <rPr>
        <sz val="10"/>
        <color rgb="FF000000"/>
        <rFont val="Noto Sans CJK SC"/>
        <family val="2"/>
      </rPr>
      <t xml:space="preserve">模型：</t>
    </r>
    <r>
      <rPr>
        <sz val="10"/>
        <color rgb="FF000000"/>
        <rFont val="Arial"/>
        <family val="0"/>
        <charset val="1"/>
      </rPr>
      <t xml:space="preserve">2H26 </t>
    </r>
    <r>
      <rPr>
        <sz val="10"/>
        <color rgb="FF000000"/>
        <rFont val="Noto Sans CJK SC"/>
        <family val="2"/>
      </rPr>
      <t xml:space="preserve">國產推論 </t>
    </r>
    <r>
      <rPr>
        <sz val="10"/>
        <color rgb="FF000000"/>
        <rFont val="Arial"/>
        <family val="0"/>
        <charset val="1"/>
      </rPr>
      <t xml:space="preserve">GW</t>
    </r>
    <r>
      <rPr>
        <sz val="10"/>
        <color rgb="FF000000"/>
        <rFont val="Noto Sans CJK SC"/>
        <family val="2"/>
      </rPr>
      <t xml:space="preserve">＝推論（截頂後）</t>
    </r>
    <r>
      <rPr>
        <sz val="10"/>
        <color rgb="FF000000"/>
        <rFont val="Arial"/>
        <family val="0"/>
        <charset val="1"/>
      </rPr>
      <t xml:space="preserve">× </t>
    </r>
    <r>
      <rPr>
        <sz val="10"/>
        <color rgb="FF000000"/>
        <rFont val="Noto Sans CJK SC"/>
        <family val="2"/>
      </rPr>
      <t xml:space="preserve">國產占比</t>
    </r>
  </si>
  <si>
    <t xml:space="preserve">國產晶片用於推論（公司說法）</t>
  </si>
  <si>
    <t xml:space="preserve">G128</t>
  </si>
  <si>
    <r>
      <rPr>
        <sz val="10"/>
        <color rgb="FF000000"/>
        <rFont val="Noto Sans CJK SC"/>
        <family val="2"/>
      </rPr>
      <t xml:space="preserve">差距：模型 </t>
    </r>
    <r>
      <rPr>
        <sz val="10"/>
        <color rgb="FF000000"/>
        <rFont val="Arial"/>
        <family val="0"/>
        <charset val="1"/>
      </rPr>
      <t xml:space="preserve">2H26 </t>
    </r>
    <r>
      <rPr>
        <sz val="10"/>
        <color rgb="FF000000"/>
        <rFont val="Noto Sans CJK SC"/>
        <family val="2"/>
      </rPr>
      <t xml:space="preserve">國產供給 </t>
    </r>
    <r>
      <rPr>
        <sz val="10"/>
        <color rgb="FF000000"/>
        <rFont val="Arial"/>
        <family val="0"/>
        <charset val="1"/>
      </rPr>
      <t xml:space="preserve">GW ÷ </t>
    </r>
    <r>
      <rPr>
        <sz val="10"/>
        <color rgb="FF000000"/>
        <rFont val="Noto Sans CJK SC"/>
        <family val="2"/>
      </rPr>
      <t xml:space="preserve">換算 </t>
    </r>
    <r>
      <rPr>
        <sz val="10"/>
        <color rgb="FF000000"/>
        <rFont val="Arial"/>
        <family val="0"/>
        <charset val="1"/>
      </rPr>
      <t xml:space="preserve">GW − 1</t>
    </r>
  </si>
  <si>
    <r>
      <rPr>
        <sz val="9"/>
        <color rgb="FF595959"/>
        <rFont val="Arial"/>
        <family val="0"/>
        <charset val="1"/>
      </rPr>
      <t xml:space="preserve">Checks WARN </t>
    </r>
    <r>
      <rPr>
        <sz val="9"/>
        <color rgb="FF595959"/>
        <rFont val="Noto Sans CJK SC"/>
        <family val="2"/>
      </rPr>
      <t xml:space="preserve">門檻 </t>
    </r>
    <r>
      <rPr>
        <sz val="9"/>
        <color rgb="FF595959"/>
        <rFont val="Arial"/>
        <family val="0"/>
        <charset val="1"/>
      </rPr>
      <t xml:space="preserve">50%</t>
    </r>
  </si>
  <si>
    <t xml:space="preserve">G129</t>
  </si>
  <si>
    <r>
      <rPr>
        <sz val="10"/>
        <color rgb="FF000000"/>
        <rFont val="Noto Sans CJK SC"/>
        <family val="2"/>
      </rPr>
      <t xml:space="preserve">差距：模型 </t>
    </r>
    <r>
      <rPr>
        <sz val="10"/>
        <color rgb="FF000000"/>
        <rFont val="Arial"/>
        <family val="0"/>
        <charset val="1"/>
      </rPr>
      <t xml:space="preserve">2H26 </t>
    </r>
    <r>
      <rPr>
        <sz val="10"/>
        <color rgb="FF000000"/>
        <rFont val="Noto Sans CJK SC"/>
        <family val="2"/>
      </rPr>
      <t xml:space="preserve">國產推論 </t>
    </r>
    <r>
      <rPr>
        <sz val="10"/>
        <color rgb="FF000000"/>
        <rFont val="Arial"/>
        <family val="0"/>
        <charset val="1"/>
      </rPr>
      <t xml:space="preserve">GW ÷ </t>
    </r>
    <r>
      <rPr>
        <sz val="10"/>
        <color rgb="FF000000"/>
        <rFont val="Noto Sans CJK SC"/>
        <family val="2"/>
      </rPr>
      <t xml:space="preserve">換算 </t>
    </r>
    <r>
      <rPr>
        <sz val="10"/>
        <color rgb="FF000000"/>
        <rFont val="Arial"/>
        <family val="0"/>
        <charset val="1"/>
      </rPr>
      <t xml:space="preserve">GW − 1</t>
    </r>
  </si>
  <si>
    <t xml:space="preserve">只列</t>
  </si>
  <si>
    <t xml:space="preserve">G130</t>
  </si>
  <si>
    <r>
      <rPr>
        <sz val="10"/>
        <color rgb="FF000000"/>
        <rFont val="Noto Sans CJK SC"/>
        <family val="2"/>
      </rPr>
      <t xml:space="preserve">公司說法：</t>
    </r>
    <r>
      <rPr>
        <sz val="10"/>
        <color rgb="FF000000"/>
        <rFont val="Arial"/>
        <family val="0"/>
        <charset val="1"/>
      </rPr>
      <t xml:space="preserve">1 GW </t>
    </r>
    <r>
      <rPr>
        <sz val="10"/>
        <color rgb="FF000000"/>
        <rFont val="Noto Sans CJK SC"/>
        <family val="2"/>
      </rPr>
      <t xml:space="preserve">國產算力資料中心 </t>
    </r>
    <r>
      <rPr>
        <sz val="10"/>
        <color rgb="FF000000"/>
        <rFont val="Arial"/>
        <family val="0"/>
        <charset val="1"/>
      </rPr>
      <t xml:space="preserve">÷ PUE</t>
    </r>
    <r>
      <rPr>
        <sz val="10"/>
        <color rgb="FF000000"/>
        <rFont val="Noto Sans CJK SC"/>
        <family val="2"/>
      </rPr>
      <t xml:space="preserve">（</t>
    </r>
    <r>
      <rPr>
        <sz val="10"/>
        <color rgb="FF000000"/>
        <rFont val="Arial"/>
        <family val="0"/>
        <charset val="1"/>
      </rPr>
      <t xml:space="preserve">IT GW</t>
    </r>
    <r>
      <rPr>
        <sz val="10"/>
        <color rgb="FF000000"/>
        <rFont val="Noto Sans CJK SC"/>
        <family val="2"/>
      </rPr>
      <t xml:space="preserve">）</t>
    </r>
  </si>
  <si>
    <r>
      <rPr>
        <sz val="9"/>
        <color rgb="FF595959"/>
        <rFont val="Arial"/>
        <family val="0"/>
        <charset val="1"/>
      </rPr>
      <t xml:space="preserve">SRC_ZP_458</t>
    </r>
    <r>
      <rPr>
        <sz val="9"/>
        <color rgb="FF595959"/>
        <rFont val="Noto Sans CJK SC"/>
        <family val="2"/>
      </rPr>
      <t xml:space="preserve">（口徑未明，視為設施）；</t>
    </r>
    <r>
      <rPr>
        <sz val="9"/>
        <color rgb="FF595959"/>
        <rFont val="Arial"/>
        <family val="0"/>
        <charset val="1"/>
      </rPr>
      <t xml:space="preserve">D11r </t>
    </r>
    <r>
      <rPr>
        <sz val="9"/>
        <color rgb="FF595959"/>
        <rFont val="Noto Sans CJK SC"/>
        <family val="2"/>
      </rPr>
      <t xml:space="preserve">只列情境</t>
    </r>
  </si>
  <si>
    <r>
      <rPr>
        <b val="true"/>
        <sz val="10"/>
        <rFont val="Noto Sans CJK SC"/>
        <family val="2"/>
      </rPr>
      <t xml:space="preserve">十二、</t>
    </r>
    <r>
      <rPr>
        <b val="true"/>
        <sz val="10"/>
        <rFont val="Arial"/>
        <family val="0"/>
        <charset val="1"/>
      </rPr>
      <t xml:space="preserve">R4 </t>
    </r>
    <r>
      <rPr>
        <b val="true"/>
        <sz val="10"/>
        <rFont val="Noto Sans CJK SC"/>
        <family val="2"/>
      </rPr>
      <t xml:space="preserve">對帳：</t>
    </r>
    <r>
      <rPr>
        <b val="true"/>
        <sz val="10"/>
        <rFont val="Arial"/>
        <family val="0"/>
        <charset val="1"/>
      </rPr>
      <t xml:space="preserve">Coding Plan token </t>
    </r>
    <r>
      <rPr>
        <b val="true"/>
        <sz val="10"/>
        <rFont val="Noto Sans CJK SC"/>
        <family val="2"/>
      </rPr>
      <t xml:space="preserve">換算 </t>
    </r>
    <r>
      <rPr>
        <b val="true"/>
        <sz val="10"/>
        <rFont val="Arial"/>
        <family val="0"/>
        <charset val="1"/>
      </rPr>
      <t xml:space="preserve">GW </t>
    </r>
    <r>
      <rPr>
        <b val="true"/>
        <sz val="10"/>
        <rFont val="Noto Sans CJK SC"/>
        <family val="2"/>
      </rPr>
      <t xml:space="preserve">與 </t>
    </r>
    <r>
      <rPr>
        <b val="true"/>
        <sz val="10"/>
        <rFont val="Arial"/>
        <family val="0"/>
        <charset val="1"/>
      </rPr>
      <t xml:space="preserve">API </t>
    </r>
    <r>
      <rPr>
        <b val="true"/>
        <sz val="10"/>
        <rFont val="Noto Sans CJK SC"/>
        <family val="2"/>
      </rPr>
      <t xml:space="preserve">銷售成本推得的推論 </t>
    </r>
    <r>
      <rPr>
        <b val="true"/>
        <sz val="10"/>
        <rFont val="Arial"/>
        <family val="0"/>
        <charset val="1"/>
      </rPr>
      <t xml:space="preserve">GW</t>
    </r>
    <r>
      <rPr>
        <b val="true"/>
        <sz val="10"/>
        <rFont val="Noto Sans CJK SC"/>
        <family val="2"/>
      </rPr>
      <t xml:space="preserve">（</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；不自動調整，見報告）</t>
    </r>
  </si>
  <si>
    <t xml:space="preserve">G131</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</si>
  <si>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T</t>
    </r>
    <r>
      <rPr>
        <sz val="10"/>
        <color rgb="FF000000"/>
        <rFont val="Noto Sans CJK SC"/>
        <family val="2"/>
      </rPr>
      <t xml:space="preserve">）</t>
    </r>
  </si>
  <si>
    <t xml:space="preserve">Demand DEM_Tok_CP</t>
  </si>
  <si>
    <t xml:space="preserve">G132</t>
  </si>
  <si>
    <r>
      <rPr>
        <sz val="10"/>
        <color rgb="FF000000"/>
        <rFont val="Arial"/>
        <family val="0"/>
        <charset val="1"/>
      </rPr>
      <t xml:space="preserve">Coding Plan token </t>
    </r>
    <r>
      <rPr>
        <sz val="10"/>
        <color rgb="FF000000"/>
        <rFont val="Noto Sans CJK SC"/>
        <family val="2"/>
      </rPr>
      <t xml:space="preserve">換算 </t>
    </r>
    <r>
      <rPr>
        <sz val="10"/>
        <color rgb="FF000000"/>
        <rFont val="Arial"/>
        <family val="0"/>
        <charset val="1"/>
      </rPr>
      <t xml:space="preserve">GW</t>
    </r>
    <r>
      <rPr>
        <sz val="10"/>
        <color rgb="FF000000"/>
        <rFont val="Noto Sans CJK SC"/>
        <family val="2"/>
      </rPr>
      <t xml:space="preserve">（類型加權，第四節）</t>
    </r>
  </si>
  <si>
    <t xml:space="preserve">G133</t>
  </si>
  <si>
    <r>
      <rPr>
        <sz val="10"/>
        <color rgb="FF000000"/>
        <rFont val="Noto Sans CJK SC"/>
        <family val="2"/>
      </rPr>
      <t xml:space="preserve">對照：舊法 </t>
    </r>
    <r>
      <rPr>
        <sz val="10"/>
        <color rgb="FF000000"/>
        <rFont val="Arial"/>
        <family val="0"/>
        <charset val="1"/>
      </rPr>
      <t xml:space="preserve">Coding Plan token </t>
    </r>
    <r>
      <rPr>
        <sz val="10"/>
        <color rgb="FF000000"/>
        <rFont val="Noto Sans CJK SC"/>
        <family val="2"/>
      </rPr>
      <t xml:space="preserve">換算 </t>
    </r>
    <r>
      <rPr>
        <sz val="10"/>
        <color rgb="FF000000"/>
        <rFont val="Arial"/>
        <family val="0"/>
        <charset val="1"/>
      </rPr>
      <t xml:space="preserve">GW</t>
    </r>
    <r>
      <rPr>
        <sz val="10"/>
        <color rgb="FF000000"/>
        <rFont val="Noto Sans CJK SC"/>
        <family val="2"/>
      </rPr>
      <t xml:space="preserve">（參考組合產能）</t>
    </r>
  </si>
  <si>
    <t xml:space="preserve">G134</t>
  </si>
  <si>
    <r>
      <rPr>
        <sz val="10"/>
        <color rgb="FF000000"/>
        <rFont val="Arial"/>
        <family val="0"/>
        <charset val="1"/>
      </rPr>
      <t xml:space="preserve">Coding Plan </t>
    </r>
    <r>
      <rPr>
        <sz val="10"/>
        <color rgb="FF000000"/>
        <rFont val="Noto Sans CJK SC"/>
        <family val="2"/>
      </rPr>
      <t xml:space="preserve">占 </t>
    </r>
    <r>
      <rPr>
        <sz val="10"/>
        <color rgb="FF000000"/>
        <rFont val="Arial"/>
        <family val="0"/>
        <charset val="1"/>
      </rPr>
      <t xml:space="preserve">token </t>
    </r>
    <r>
      <rPr>
        <sz val="10"/>
        <color rgb="FF000000"/>
        <rFont val="Noto Sans CJK SC"/>
        <family val="2"/>
      </rPr>
      <t xml:space="preserve">換算推論 </t>
    </r>
    <r>
      <rPr>
        <sz val="10"/>
        <color rgb="FF000000"/>
        <rFont val="Arial"/>
        <family val="0"/>
        <charset val="1"/>
      </rPr>
      <t xml:space="preserve">GW</t>
    </r>
  </si>
  <si>
    <t xml:space="preserve">G135</t>
  </si>
  <si>
    <r>
      <rPr>
        <sz val="10"/>
        <color rgb="FF000000"/>
        <rFont val="Noto Sans CJK SC"/>
        <family val="2"/>
      </rPr>
      <t xml:space="preserve">倍數：</t>
    </r>
    <r>
      <rPr>
        <sz val="10"/>
        <color rgb="FF000000"/>
        <rFont val="Arial"/>
        <family val="0"/>
        <charset val="1"/>
      </rPr>
      <t xml:space="preserve">Coding Plan token GW ÷ </t>
    </r>
    <r>
      <rPr>
        <sz val="10"/>
        <color rgb="FF000000"/>
        <rFont val="Noto Sans CJK SC"/>
        <family val="2"/>
      </rPr>
      <t xml:space="preserve">支出換算推論 </t>
    </r>
    <r>
      <rPr>
        <sz val="10"/>
        <color rgb="FF000000"/>
        <rFont val="Arial"/>
        <family val="0"/>
        <charset val="1"/>
      </rPr>
      <t xml:space="preserve">GW</t>
    </r>
  </si>
  <si>
    <r>
      <rPr>
        <sz val="9"/>
        <color rgb="FF595959"/>
        <rFont val="Arial"/>
        <family val="0"/>
        <charset val="1"/>
      </rPr>
      <t xml:space="preserve">&gt;1</t>
    </r>
    <r>
      <rPr>
        <sz val="9"/>
        <color rgb="FF595959"/>
        <rFont val="Noto Sans CJK SC"/>
        <family val="2"/>
      </rPr>
      <t xml:space="preserve">＝</t>
    </r>
    <r>
      <rPr>
        <sz val="9"/>
        <color rgb="FF595959"/>
        <rFont val="Arial"/>
        <family val="0"/>
        <charset val="1"/>
      </rPr>
      <t xml:space="preserve">Coding Plan </t>
    </r>
    <r>
      <rPr>
        <sz val="9"/>
        <color rgb="FF595959"/>
        <rFont val="Noto Sans CJK SC"/>
        <family val="2"/>
      </rPr>
      <t xml:space="preserve">單項已超過推論算力支出買得到的 </t>
    </r>
    <r>
      <rPr>
        <sz val="9"/>
        <color rgb="FF595959"/>
        <rFont val="Arial"/>
        <family val="0"/>
        <charset val="1"/>
      </rPr>
      <t xml:space="preserve">GW</t>
    </r>
  </si>
  <si>
    <t xml:space="preserve">G136</t>
  </si>
  <si>
    <r>
      <rPr>
        <sz val="10"/>
        <color rgb="FF000000"/>
        <rFont val="Noto Sans CJK SC"/>
        <family val="2"/>
      </rPr>
      <t xml:space="preserve">對照：使 </t>
    </r>
    <r>
      <rPr>
        <sz val="10"/>
        <color rgb="FF000000"/>
        <rFont val="Arial"/>
        <family val="0"/>
        <charset val="1"/>
      </rPr>
      <t xml:space="preserve">token GW</t>
    </r>
    <r>
      <rPr>
        <sz val="10"/>
        <color rgb="FF000000"/>
        <rFont val="Noto Sans CJK SC"/>
        <family val="2"/>
      </rPr>
      <t xml:space="preserve">＝支出 </t>
    </r>
    <r>
      <rPr>
        <sz val="10"/>
        <color rgb="FF000000"/>
        <rFont val="Arial"/>
        <family val="0"/>
        <charset val="1"/>
      </rPr>
      <t xml:space="preserve">GW </t>
    </r>
    <r>
      <rPr>
        <sz val="10"/>
        <color rgb="FF000000"/>
        <rFont val="Noto Sans CJK SC"/>
        <family val="2"/>
      </rPr>
      <t xml:space="preserve">的 </t>
    </r>
    <r>
      <rPr>
        <sz val="10"/>
        <color rgb="FF000000"/>
        <rFont val="Arial"/>
        <family val="0"/>
        <charset val="1"/>
      </rPr>
      <t xml:space="preserve">Coding Plan </t>
    </r>
    <r>
      <rPr>
        <sz val="10"/>
        <color rgb="FF000000"/>
        <rFont val="Noto Sans CJK SC"/>
        <family val="2"/>
      </rPr>
      <t xml:space="preserve">額度使用率</t>
    </r>
  </si>
  <si>
    <r>
      <rPr>
        <sz val="9"/>
        <color rgb="FF595959"/>
        <rFont val="Noto Sans CJK SC"/>
        <family val="2"/>
      </rPr>
      <t xml:space="preserve">＝</t>
    </r>
    <r>
      <rPr>
        <sz val="9"/>
        <color rgb="FF595959"/>
        <rFont val="Arial"/>
        <family val="0"/>
        <charset val="1"/>
      </rPr>
      <t xml:space="preserve">Inputs </t>
    </r>
    <r>
      <rPr>
        <sz val="9"/>
        <color rgb="FF595959"/>
        <rFont val="Noto Sans CJK SC"/>
        <family val="2"/>
      </rPr>
      <t xml:space="preserve">使用率 </t>
    </r>
    <r>
      <rPr>
        <sz val="9"/>
        <color rgb="FF595959"/>
        <rFont val="Arial"/>
        <family val="0"/>
        <charset val="1"/>
      </rPr>
      <t xml:space="preserve">×</t>
    </r>
    <r>
      <rPr>
        <sz val="9"/>
        <color rgb="FF595959"/>
        <rFont val="Noto Sans CJK SC"/>
        <family val="2"/>
      </rPr>
      <t xml:space="preserve">（支出 </t>
    </r>
    <r>
      <rPr>
        <sz val="9"/>
        <color rgb="FF595959"/>
        <rFont val="Arial"/>
        <family val="0"/>
        <charset val="1"/>
      </rPr>
      <t xml:space="preserve">GW − </t>
    </r>
    <r>
      <rPr>
        <sz val="9"/>
        <color rgb="FF595959"/>
        <rFont val="Noto Sans CJK SC"/>
        <family val="2"/>
      </rPr>
      <t xml:space="preserve">非 </t>
    </r>
    <r>
      <rPr>
        <sz val="9"/>
        <color rgb="FF595959"/>
        <rFont val="Arial"/>
        <family val="0"/>
        <charset val="1"/>
      </rPr>
      <t xml:space="preserve">Coding Plan token GW</t>
    </r>
    <r>
      <rPr>
        <sz val="9"/>
        <color rgb="FF595959"/>
        <rFont val="Noto Sans CJK SC"/>
        <family val="2"/>
      </rPr>
      <t xml:space="preserve">）</t>
    </r>
    <r>
      <rPr>
        <sz val="9"/>
        <color rgb="FF595959"/>
        <rFont val="Arial"/>
        <family val="0"/>
        <charset val="1"/>
      </rPr>
      <t xml:space="preserve">÷ Coding Plan token GW</t>
    </r>
    <r>
      <rPr>
        <sz val="9"/>
        <color rgb="FF595959"/>
        <rFont val="Noto Sans CJK SC"/>
        <family val="2"/>
      </rPr>
      <t xml:space="preserve">；負值＝其他 </t>
    </r>
    <r>
      <rPr>
        <sz val="9"/>
        <color rgb="FF595959"/>
        <rFont val="Arial"/>
        <family val="0"/>
        <charset val="1"/>
      </rPr>
      <t xml:space="preserve">token </t>
    </r>
    <r>
      <rPr>
        <sz val="9"/>
        <color rgb="FF595959"/>
        <rFont val="Noto Sans CJK SC"/>
        <family val="2"/>
      </rPr>
      <t xml:space="preserve">已超過；只對照，不回饋（</t>
    </r>
    <r>
      <rPr>
        <sz val="9"/>
        <color rgb="FF595959"/>
        <rFont val="Arial"/>
        <family val="0"/>
        <charset val="1"/>
      </rPr>
      <t xml:space="preserve">R4</t>
    </r>
    <r>
      <rPr>
        <sz val="9"/>
        <color rgb="FF595959"/>
        <rFont val="Noto Sans CJK SC"/>
        <family val="2"/>
      </rPr>
      <t xml:space="preserve">）</t>
    </r>
  </si>
  <si>
    <t xml:space="preserve">G137</t>
  </si>
  <si>
    <r>
      <rPr>
        <sz val="10"/>
        <color rgb="FF000000"/>
        <rFont val="Noto Sans CJK SC"/>
        <family val="2"/>
      </rPr>
      <t xml:space="preserve">對照：使 </t>
    </r>
    <r>
      <rPr>
        <sz val="10"/>
        <color rgb="FF000000"/>
        <rFont val="Arial"/>
        <family val="0"/>
        <charset val="1"/>
      </rPr>
      <t xml:space="preserve">token GW</t>
    </r>
    <r>
      <rPr>
        <sz val="10"/>
        <color rgb="FF000000"/>
        <rFont val="Noto Sans CJK SC"/>
        <family val="2"/>
      </rPr>
      <t xml:space="preserve">＝支出 </t>
    </r>
    <r>
      <rPr>
        <sz val="10"/>
        <color rgb="FF000000"/>
        <rFont val="Arial"/>
        <family val="0"/>
        <charset val="1"/>
      </rPr>
      <t xml:space="preserve">GW </t>
    </r>
    <r>
      <rPr>
        <sz val="10"/>
        <color rgb="FF000000"/>
        <rFont val="Noto Sans CJK SC"/>
        <family val="2"/>
      </rPr>
      <t xml:space="preserve">的 </t>
    </r>
    <r>
      <rPr>
        <sz val="10"/>
        <color rgb="FF000000"/>
        <rFont val="Arial"/>
        <family val="0"/>
        <charset val="1"/>
      </rPr>
      <t xml:space="preserve">Coding Plan </t>
    </r>
    <r>
      <rPr>
        <sz val="10"/>
        <color rgb="FF000000"/>
        <rFont val="Noto Sans CJK SC"/>
        <family val="2"/>
      </rPr>
      <t xml:space="preserve">快取命中占比（其他不變）</t>
    </r>
  </si>
  <si>
    <r>
      <rPr>
        <sz val="9"/>
        <color rgb="FF595959"/>
        <rFont val="Noto Sans CJK SC"/>
        <family val="2"/>
      </rPr>
      <t xml:space="preserve">以 </t>
    </r>
    <r>
      <rPr>
        <sz val="9"/>
        <color rgb="FF595959"/>
        <rFont val="Arial"/>
        <family val="0"/>
        <charset val="1"/>
      </rPr>
      <t xml:space="preserve">Sol </t>
    </r>
    <r>
      <rPr>
        <sz val="9"/>
        <color rgb="FF595959"/>
        <rFont val="Noto Sans CJK SC"/>
        <family val="2"/>
      </rPr>
      <t xml:space="preserve">單位成本近似：解 </t>
    </r>
    <r>
      <rPr>
        <sz val="9"/>
        <color rgb="FF595959"/>
        <rFont val="Arial"/>
        <family val="0"/>
        <charset val="1"/>
      </rPr>
      <t xml:space="preserve">Coding Plan GW </t>
    </r>
    <r>
      <rPr>
        <sz val="9"/>
        <color rgb="FF595959"/>
        <rFont val="Noto Sans CJK SC"/>
        <family val="2"/>
      </rPr>
      <t xml:space="preserve">使總 </t>
    </r>
    <r>
      <rPr>
        <sz val="9"/>
        <color rgb="FF595959"/>
        <rFont val="Arial"/>
        <family val="0"/>
        <charset val="1"/>
      </rPr>
      <t xml:space="preserve">token GW</t>
    </r>
    <r>
      <rPr>
        <sz val="9"/>
        <color rgb="FF595959"/>
        <rFont val="Noto Sans CJK SC"/>
        <family val="2"/>
      </rPr>
      <t xml:space="preserve">＝支出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&gt;1 </t>
    </r>
    <r>
      <rPr>
        <sz val="9"/>
        <color rgb="FF595959"/>
        <rFont val="Noto Sans CJK SC"/>
        <family val="2"/>
      </rPr>
      <t xml:space="preserve">或 </t>
    </r>
    <r>
      <rPr>
        <sz val="9"/>
        <color rgb="FF595959"/>
        <rFont val="Arial"/>
        <family val="0"/>
        <charset val="1"/>
      </rPr>
      <t xml:space="preserve">&lt;0</t>
    </r>
    <r>
      <rPr>
        <sz val="9"/>
        <color rgb="FF595959"/>
        <rFont val="Noto Sans CJK SC"/>
        <family val="2"/>
      </rPr>
      <t xml:space="preserve">＝無解（只對照）</t>
    </r>
  </si>
  <si>
    <r>
      <rPr>
        <b val="true"/>
        <sz val="10"/>
        <rFont val="Noto Sans CJK SC"/>
        <family val="2"/>
      </rPr>
      <t xml:space="preserve">十三、敏感度（</t>
    </r>
    <r>
      <rPr>
        <b val="true"/>
        <sz val="10"/>
        <rFont val="Arial"/>
        <family val="0"/>
        <charset val="1"/>
      </rPr>
      <t xml:space="preserve">Excel </t>
    </r>
    <r>
      <rPr>
        <b val="true"/>
        <sz val="10"/>
        <rFont val="Noto Sans CJK SC"/>
        <family val="2"/>
      </rPr>
      <t xml:space="preserve">公式；引用 </t>
    </r>
    <r>
      <rPr>
        <b val="true"/>
        <sz val="10"/>
        <rFont val="Arial"/>
        <family val="0"/>
        <charset val="1"/>
      </rPr>
      <t xml:space="preserve">Inputs </t>
    </r>
    <r>
      <rPr>
        <b val="true"/>
        <sz val="10"/>
        <rFont val="Noto Sans CJK SC"/>
        <family val="2"/>
      </rPr>
      <t xml:space="preserve">低／高欄與 </t>
    </r>
    <r>
      <rPr>
        <b val="true"/>
        <sz val="10"/>
        <rFont val="Arial"/>
        <family val="0"/>
        <charset val="1"/>
      </rPr>
      <t xml:space="preserve">SRC </t>
    </r>
    <r>
      <rPr>
        <b val="true"/>
        <sz val="10"/>
        <rFont val="Noto Sans CJK SC"/>
        <family val="2"/>
      </rPr>
      <t xml:space="preserve">區間；</t>
    </r>
    <r>
      <rPr>
        <b val="true"/>
        <sz val="10"/>
        <rFont val="Arial"/>
        <family val="0"/>
        <charset val="1"/>
      </rPr>
      <t xml:space="preserve">K</t>
    </r>
    <r>
      <rPr>
        <b val="true"/>
        <sz val="10"/>
        <rFont val="Noto Sans CJK SC"/>
        <family val="2"/>
      </rPr>
      <t xml:space="preserve">＝</t>
    </r>
    <r>
      <rPr>
        <b val="true"/>
        <sz val="10"/>
        <rFont val="Arial"/>
        <family val="0"/>
        <charset val="1"/>
      </rPr>
      <t xml:space="preserve">1H26</t>
    </r>
    <r>
      <rPr>
        <b val="true"/>
        <sz val="10"/>
        <rFont val="Noto Sans CJK SC"/>
        <family val="2"/>
      </rPr>
      <t xml:space="preserve">、</t>
    </r>
    <r>
      <rPr>
        <b val="true"/>
        <sz val="10"/>
        <rFont val="Arial"/>
        <family val="0"/>
        <charset val="1"/>
      </rPr>
      <t xml:space="preserve">I</t>
    </r>
    <r>
      <rPr>
        <b val="true"/>
        <sz val="10"/>
        <rFont val="Noto Sans CJK SC"/>
        <family val="2"/>
      </rPr>
      <t xml:space="preserve">＝</t>
    </r>
    <r>
      <rPr>
        <b val="true"/>
        <sz val="10"/>
        <rFont val="Arial"/>
        <family val="0"/>
        <charset val="1"/>
      </rPr>
      <t xml:space="preserve">2030</t>
    </r>
    <r>
      <rPr>
        <b val="true"/>
        <sz val="10"/>
        <rFont val="Noto Sans CJK SC"/>
        <family val="2"/>
      </rPr>
      <t xml:space="preserve">）：</t>
    </r>
    <r>
      <rPr>
        <b val="true"/>
        <sz val="10"/>
        <rFont val="Arial"/>
        <family val="0"/>
        <charset val="1"/>
      </rPr>
      <t xml:space="preserve">A </t>
    </r>
    <r>
      <rPr>
        <b val="true"/>
        <sz val="10"/>
        <rFont val="Noto Sans CJK SC"/>
        <family val="2"/>
      </rPr>
      <t xml:space="preserve">每 </t>
    </r>
    <r>
      <rPr>
        <b val="true"/>
        <sz val="10"/>
        <rFont val="Arial"/>
        <family val="0"/>
        <charset val="1"/>
      </rPr>
      <t xml:space="preserve">GW </t>
    </r>
    <r>
      <rPr>
        <b val="true"/>
        <sz val="10"/>
        <rFont val="Noto Sans CJK SC"/>
        <family val="2"/>
      </rPr>
      <t xml:space="preserve">價格、</t>
    </r>
    <r>
      <rPr>
        <b val="true"/>
        <sz val="10"/>
        <rFont val="Arial"/>
        <family val="0"/>
        <charset val="1"/>
      </rPr>
      <t xml:space="preserve">B η </t>
    </r>
    <r>
      <rPr>
        <b val="true"/>
        <sz val="10"/>
        <rFont val="Noto Sans CJK SC"/>
        <family val="2"/>
      </rPr>
      <t xml:space="preserve">路徑、</t>
    </r>
    <r>
      <rPr>
        <b val="true"/>
        <sz val="10"/>
        <rFont val="Arial"/>
        <family val="0"/>
        <charset val="1"/>
      </rPr>
      <t xml:space="preserve">C </t>
    </r>
    <r>
      <rPr>
        <b val="true"/>
        <sz val="10"/>
        <rFont val="Noto Sans CJK SC"/>
        <family val="2"/>
      </rPr>
      <t xml:space="preserve">國產產出比</t>
    </r>
  </si>
  <si>
    <t xml:space="preserve">G138</t>
  </si>
  <si>
    <r>
      <rPr>
        <sz val="10"/>
        <color rgb="FF000000"/>
        <rFont val="Arial"/>
        <family val="0"/>
        <charset val="1"/>
      </rPr>
      <t xml:space="preserve">A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價格（低端租價）</t>
    </r>
  </si>
  <si>
    <r>
      <rPr>
        <sz val="9"/>
        <color rgb="FF595959"/>
        <rFont val="Noto Sans CJK SC"/>
        <family val="2"/>
      </rPr>
      <t xml:space="preserve">各族租價取區間端點（</t>
    </r>
    <r>
      <rPr>
        <sz val="9"/>
        <color rgb="FF595959"/>
        <rFont val="Arial"/>
        <family val="0"/>
        <charset val="1"/>
      </rPr>
      <t xml:space="preserve">Hopper 11.83</t>
    </r>
    <r>
      <rPr>
        <sz val="9"/>
        <color rgb="FF595959"/>
        <rFont val="Noto Sans CJK SC"/>
        <family val="2"/>
      </rPr>
      <t xml:space="preserve">／</t>
    </r>
    <r>
      <rPr>
        <sz val="9"/>
        <color rgb="FF595959"/>
        <rFont val="Arial"/>
        <family val="0"/>
        <charset val="1"/>
      </rPr>
      <t xml:space="preserve">18.75</t>
    </r>
    <r>
      <rPr>
        <sz val="9"/>
        <color rgb="FF595959"/>
        <rFont val="Noto Sans CJK SC"/>
        <family val="2"/>
      </rPr>
      <t xml:space="preserve">；</t>
    </r>
    <r>
      <rPr>
        <sz val="9"/>
        <color rgb="FF595959"/>
        <rFont val="Arial"/>
        <family val="0"/>
        <charset val="1"/>
      </rPr>
      <t xml:space="preserve">H20 7.03</t>
    </r>
    <r>
      <rPr>
        <sz val="9"/>
        <color rgb="FF595959"/>
        <rFont val="Noto Sans CJK SC"/>
        <family val="2"/>
      </rPr>
      <t xml:space="preserve">／</t>
    </r>
    <r>
      <rPr>
        <sz val="9"/>
        <color rgb="FF595959"/>
        <rFont val="Arial"/>
        <family val="0"/>
        <charset val="1"/>
      </rPr>
      <t xml:space="preserve">8.16</t>
    </r>
    <r>
      <rPr>
        <sz val="9"/>
        <color rgb="FF595959"/>
        <rFont val="Noto Sans CJK SC"/>
        <family val="2"/>
      </rPr>
      <t xml:space="preserve">；</t>
    </r>
    <r>
      <rPr>
        <sz val="9"/>
        <color rgb="FF595959"/>
        <rFont val="Arial"/>
        <family val="0"/>
        <charset val="1"/>
      </rPr>
      <t xml:space="preserve">910B 2.74</t>
    </r>
    <r>
      <rPr>
        <sz val="9"/>
        <color rgb="FF595959"/>
        <rFont val="Noto Sans CJK SC"/>
        <family val="2"/>
      </rPr>
      <t xml:space="preserve">／</t>
    </r>
    <r>
      <rPr>
        <sz val="9"/>
        <color rgb="FF595959"/>
        <rFont val="Arial"/>
        <family val="0"/>
        <charset val="1"/>
      </rPr>
      <t xml:space="preserve">4.28</t>
    </r>
    <r>
      <rPr>
        <sz val="9"/>
        <color rgb="FF595959"/>
        <rFont val="Noto Sans CJK SC"/>
        <family val="2"/>
      </rPr>
      <t xml:space="preserve">）</t>
    </r>
  </si>
  <si>
    <t xml:space="preserve">G139</t>
  </si>
  <si>
    <r>
      <rPr>
        <sz val="10"/>
        <color rgb="FF000000"/>
        <rFont val="Arial"/>
        <family val="0"/>
        <charset val="1"/>
      </rPr>
      <t xml:space="preserve">A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（低端）</t>
    </r>
  </si>
  <si>
    <r>
      <rPr>
        <sz val="9"/>
        <color rgb="FF595959"/>
        <rFont val="Arial"/>
        <family val="0"/>
        <charset val="1"/>
      </rPr>
      <t xml:space="preserve">1H26</t>
    </r>
    <r>
      <rPr>
        <sz val="9"/>
        <color rgb="FF595959"/>
        <rFont val="Noto Sans CJK SC"/>
        <family val="2"/>
      </rPr>
      <t xml:space="preserve">＝總算力費 </t>
    </r>
    <r>
      <rPr>
        <sz val="9"/>
        <color rgb="FF595959"/>
        <rFont val="Arial"/>
        <family val="0"/>
        <charset val="1"/>
      </rPr>
      <t xml:space="preserve">÷ </t>
    </r>
    <r>
      <rPr>
        <sz val="9"/>
        <color rgb="FF595959"/>
        <rFont val="Noto Sans CJK SC"/>
        <family val="2"/>
      </rPr>
      <t xml:space="preserve">價格</t>
    </r>
  </si>
  <si>
    <t xml:space="preserve">G140</t>
  </si>
  <si>
    <r>
      <rPr>
        <sz val="10"/>
        <color rgb="FF000000"/>
        <rFont val="Arial"/>
        <family val="0"/>
        <charset val="1"/>
      </rPr>
      <t xml:space="preserve">A η 1H26</t>
    </r>
    <r>
      <rPr>
        <sz val="10"/>
        <color rgb="FF000000"/>
        <rFont val="Noto Sans CJK SC"/>
        <family val="2"/>
      </rPr>
      <t xml:space="preserve">（低端）</t>
    </r>
  </si>
  <si>
    <r>
      <rPr>
        <sz val="9"/>
        <color rgb="FF595959"/>
        <rFont val="Noto Sans CJK SC"/>
        <family val="2"/>
      </rPr>
      <t xml:space="preserve">同第七節（</t>
    </r>
    <r>
      <rPr>
        <sz val="9"/>
        <color rgb="FF595959"/>
        <rFont val="Arial"/>
        <family val="0"/>
        <charset val="1"/>
      </rPr>
      <t xml:space="preserve">r2 P1</t>
    </r>
    <r>
      <rPr>
        <sz val="9"/>
        <color rgb="FF595959"/>
        <rFont val="Noto Sans CJK SC"/>
        <family val="2"/>
      </rPr>
      <t xml:space="preserve">）</t>
    </r>
  </si>
  <si>
    <t xml:space="preserve">G141</t>
  </si>
  <si>
    <r>
      <rPr>
        <sz val="10"/>
        <color rgb="FF000000"/>
        <rFont val="Arial"/>
        <family val="0"/>
        <charset val="1"/>
      </rPr>
      <t xml:space="preserve">A </t>
    </r>
    <r>
      <rPr>
        <sz val="10"/>
        <color rgb="FF000000"/>
        <rFont val="Noto Sans CJK SC"/>
        <family val="2"/>
      </rPr>
      <t xml:space="preserve">研發占比 </t>
    </r>
    <r>
      <rPr>
        <sz val="10"/>
        <color rgb="FF000000"/>
        <rFont val="Arial"/>
        <family val="0"/>
        <charset val="1"/>
      </rPr>
      <t xml:space="preserve">1H26→2030</t>
    </r>
    <r>
      <rPr>
        <sz val="10"/>
        <color rgb="FF000000"/>
        <rFont val="Noto Sans CJK SC"/>
        <family val="2"/>
      </rPr>
      <t xml:space="preserve">（低端）</t>
    </r>
  </si>
  <si>
    <r>
      <rPr>
        <sz val="9"/>
        <color rgb="FF595959"/>
        <rFont val="Arial"/>
        <family val="0"/>
        <charset val="1"/>
      </rPr>
      <t xml:space="preserve">1H26</t>
    </r>
    <r>
      <rPr>
        <sz val="9"/>
        <color rgb="FF595959"/>
        <rFont val="Noto Sans CJK SC"/>
        <family val="2"/>
      </rPr>
      <t xml:space="preserve">＝研發殘差 </t>
    </r>
    <r>
      <rPr>
        <sz val="9"/>
        <color rgb="FF595959"/>
        <rFont val="Arial"/>
        <family val="0"/>
        <charset val="1"/>
      </rPr>
      <t xml:space="preserve">÷ </t>
    </r>
    <r>
      <rPr>
        <sz val="9"/>
        <color rgb="FF595959"/>
        <rFont val="Noto Sans CJK SC"/>
        <family val="2"/>
      </rPr>
      <t xml:space="preserve">供給；</t>
    </r>
    <r>
      <rPr>
        <sz val="9"/>
        <color rgb="FF595959"/>
        <rFont val="Arial"/>
        <family val="0"/>
        <charset val="1"/>
      </rPr>
      <t xml:space="preserve">2030</t>
    </r>
    <r>
      <rPr>
        <sz val="9"/>
        <color rgb="FF595959"/>
        <rFont val="Noto Sans CJK SC"/>
        <family val="2"/>
      </rPr>
      <t xml:space="preserve">＝同第八節路徑</t>
    </r>
  </si>
  <si>
    <t xml:space="preserve">G142</t>
  </si>
  <si>
    <r>
      <rPr>
        <sz val="10"/>
        <color rgb="FF000000"/>
        <rFont val="Arial"/>
        <family val="0"/>
        <charset val="1"/>
      </rPr>
      <t xml:space="preserve">A 2030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（低端）</t>
    </r>
  </si>
  <si>
    <r>
      <rPr>
        <sz val="9"/>
        <color rgb="FF595959"/>
        <rFont val="Noto Sans CJK SC"/>
        <family val="2"/>
      </rPr>
      <t xml:space="preserve">有效推論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閒置</t>
    </r>
    <r>
      <rPr>
        <sz val="9"/>
        <color rgb="FF595959"/>
        <rFont val="Arial"/>
        <family val="0"/>
        <charset val="1"/>
      </rPr>
      <t xml:space="preserve">)(1−</t>
    </r>
    <r>
      <rPr>
        <sz val="9"/>
        <color rgb="FF595959"/>
        <rFont val="Noto Sans CJK SC"/>
        <family val="2"/>
      </rPr>
      <t xml:space="preserve">研發占比</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η </t>
    </r>
    <r>
      <rPr>
        <sz val="9"/>
        <color rgb="FF595959"/>
        <rFont val="Noto Sans CJK SC"/>
        <family val="2"/>
      </rPr>
      <t xml:space="preserve">沿用）</t>
    </r>
  </si>
  <si>
    <t xml:space="preserve">G143</t>
  </si>
  <si>
    <r>
      <rPr>
        <sz val="10"/>
        <color rgb="FF000000"/>
        <rFont val="Arial"/>
        <family val="0"/>
        <charset val="1"/>
      </rPr>
      <t xml:space="preserve">A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（低端）</t>
    </r>
  </si>
  <si>
    <t xml:space="preserve">G144</t>
  </si>
  <si>
    <r>
      <rPr>
        <sz val="10"/>
        <color rgb="FF000000"/>
        <rFont val="Arial"/>
        <family val="0"/>
        <charset val="1"/>
      </rPr>
      <t xml:space="preserve">A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價格（高端租價）</t>
    </r>
  </si>
  <si>
    <t xml:space="preserve">G145</t>
  </si>
  <si>
    <r>
      <rPr>
        <sz val="10"/>
        <color rgb="FF000000"/>
        <rFont val="Arial"/>
        <family val="0"/>
        <charset val="1"/>
      </rPr>
      <t xml:space="preserve">A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（高端）</t>
    </r>
  </si>
  <si>
    <t xml:space="preserve">G146</t>
  </si>
  <si>
    <r>
      <rPr>
        <sz val="10"/>
        <color rgb="FF000000"/>
        <rFont val="Arial"/>
        <family val="0"/>
        <charset val="1"/>
      </rPr>
      <t xml:space="preserve">A η 1H26</t>
    </r>
    <r>
      <rPr>
        <sz val="10"/>
        <color rgb="FF000000"/>
        <rFont val="Noto Sans CJK SC"/>
        <family val="2"/>
      </rPr>
      <t xml:space="preserve">（高端）</t>
    </r>
  </si>
  <si>
    <t xml:space="preserve">G147</t>
  </si>
  <si>
    <r>
      <rPr>
        <sz val="10"/>
        <color rgb="FF000000"/>
        <rFont val="Arial"/>
        <family val="0"/>
        <charset val="1"/>
      </rPr>
      <t xml:space="preserve">A </t>
    </r>
    <r>
      <rPr>
        <sz val="10"/>
        <color rgb="FF000000"/>
        <rFont val="Noto Sans CJK SC"/>
        <family val="2"/>
      </rPr>
      <t xml:space="preserve">研發占比 </t>
    </r>
    <r>
      <rPr>
        <sz val="10"/>
        <color rgb="FF000000"/>
        <rFont val="Arial"/>
        <family val="0"/>
        <charset val="1"/>
      </rPr>
      <t xml:space="preserve">1H26→2030</t>
    </r>
    <r>
      <rPr>
        <sz val="10"/>
        <color rgb="FF000000"/>
        <rFont val="Noto Sans CJK SC"/>
        <family val="2"/>
      </rPr>
      <t xml:space="preserve">（高端）</t>
    </r>
  </si>
  <si>
    <t xml:space="preserve">G148</t>
  </si>
  <si>
    <r>
      <rPr>
        <sz val="10"/>
        <color rgb="FF000000"/>
        <rFont val="Arial"/>
        <family val="0"/>
        <charset val="1"/>
      </rPr>
      <t xml:space="preserve">A 2030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（高端）</t>
    </r>
  </si>
  <si>
    <t xml:space="preserve">G149</t>
  </si>
  <si>
    <r>
      <rPr>
        <sz val="10"/>
        <color rgb="FF000000"/>
        <rFont val="Arial"/>
        <family val="0"/>
        <charset val="1"/>
      </rPr>
      <t xml:space="preserve">A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（高端）</t>
    </r>
  </si>
  <si>
    <t xml:space="preserve">G150</t>
  </si>
  <si>
    <r>
      <rPr>
        <sz val="10"/>
        <color rgb="FF000000"/>
        <rFont val="Arial"/>
        <family val="0"/>
        <charset val="1"/>
      </rPr>
      <t xml:space="preserve">B η </t>
    </r>
    <r>
      <rPr>
        <sz val="10"/>
        <color rgb="FF000000"/>
        <rFont val="Noto Sans CJK SC"/>
        <family val="2"/>
      </rPr>
      <t xml:space="preserve">收斂至 </t>
    </r>
    <r>
      <rPr>
        <sz val="10"/>
        <color rgb="FF000000"/>
        <rFont val="Arial"/>
        <family val="0"/>
        <charset val="1"/>
      </rPr>
      <t xml:space="preserve">2030</t>
    </r>
    <r>
      <rPr>
        <sz val="10"/>
        <color rgb="FF000000"/>
        <rFont val="Noto Sans CJK SC"/>
        <family val="2"/>
      </rPr>
      <t xml:space="preserve">＝目標：</t>
    </r>
    <r>
      <rPr>
        <sz val="10"/>
        <color rgb="FF000000"/>
        <rFont val="Arial"/>
        <family val="0"/>
        <charset val="1"/>
      </rPr>
      <t xml:space="preserve">2030 </t>
    </r>
    <r>
      <rPr>
        <sz val="10"/>
        <color rgb="FF000000"/>
        <rFont val="Noto Sans CJK SC"/>
        <family val="2"/>
      </rPr>
      <t xml:space="preserve">有效推論 </t>
    </r>
    <r>
      <rPr>
        <sz val="10"/>
        <color rgb="FF000000"/>
        <rFont val="Arial"/>
        <family val="0"/>
        <charset val="1"/>
      </rPr>
      <t xml:space="preserve">GW</t>
    </r>
  </si>
  <si>
    <r>
      <rPr>
        <sz val="9"/>
        <color rgb="FF595959"/>
        <rFont val="Arial"/>
        <family val="0"/>
        <charset val="1"/>
      </rPr>
      <t xml:space="preserve">η </t>
    </r>
    <r>
      <rPr>
        <sz val="9"/>
        <color rgb="FF595959"/>
        <rFont val="Noto Sans CJK SC"/>
        <family val="2"/>
      </rPr>
      <t xml:space="preserve">線性收斂至 </t>
    </r>
    <r>
      <rPr>
        <sz val="9"/>
        <color rgb="FF595959"/>
        <rFont val="Arial"/>
        <family val="0"/>
        <charset val="1"/>
      </rPr>
      <t xml:space="preserve">1 </t>
    </r>
    <r>
      <rPr>
        <sz val="9"/>
        <color rgb="FF595959"/>
        <rFont val="Noto Sans CJK SC"/>
        <family val="2"/>
      </rPr>
      <t xml:space="preserve">的情境（</t>
    </r>
    <r>
      <rPr>
        <sz val="9"/>
        <color rgb="FF595959"/>
        <rFont val="Arial"/>
        <family val="0"/>
        <charset val="1"/>
      </rPr>
      <t xml:space="preserve">η&gt;1 </t>
    </r>
    <r>
      <rPr>
        <sz val="9"/>
        <color rgb="FF595959"/>
        <rFont val="Noto Sans CJK SC"/>
        <family val="2"/>
      </rPr>
      <t xml:space="preserve">時開關＝</t>
    </r>
    <r>
      <rPr>
        <sz val="9"/>
        <color rgb="FF595959"/>
        <rFont val="Arial"/>
        <family val="0"/>
        <charset val="1"/>
      </rPr>
      <t xml:space="preserve">1</t>
    </r>
    <r>
      <rPr>
        <sz val="9"/>
        <color rgb="FF595959"/>
        <rFont val="Noto Sans CJK SC"/>
        <family val="2"/>
      </rPr>
      <t xml:space="preserve">）</t>
    </r>
  </si>
  <si>
    <t xml:space="preserve">G151</t>
  </si>
  <si>
    <r>
      <rPr>
        <sz val="10"/>
        <color rgb="FF000000"/>
        <rFont val="Arial"/>
        <family val="0"/>
        <charset val="1"/>
      </rPr>
      <t xml:space="preserve">B η </t>
    </r>
    <r>
      <rPr>
        <sz val="10"/>
        <color rgb="FF000000"/>
        <rFont val="Noto Sans CJK SC"/>
        <family val="2"/>
      </rPr>
      <t xml:space="preserve">收斂：</t>
    </r>
    <r>
      <rPr>
        <sz val="10"/>
        <color rgb="FF000000"/>
        <rFont val="Arial"/>
        <family val="0"/>
        <charset val="1"/>
      </rPr>
      <t xml:space="preserve">2030 </t>
    </r>
    <r>
      <rPr>
        <sz val="10"/>
        <color rgb="FF000000"/>
        <rFont val="Noto Sans CJK SC"/>
        <family val="2"/>
      </rPr>
      <t xml:space="preserve">供給 </t>
    </r>
    <r>
      <rPr>
        <sz val="10"/>
        <color rgb="FF000000"/>
        <rFont val="Arial"/>
        <family val="0"/>
        <charset val="1"/>
      </rPr>
      <t xml:space="preserve">GW</t>
    </r>
  </si>
  <si>
    <t xml:space="preserve">G152</t>
  </si>
  <si>
    <r>
      <rPr>
        <sz val="10"/>
        <color rgb="FF000000"/>
        <rFont val="Arial"/>
        <family val="0"/>
        <charset val="1"/>
      </rPr>
      <t xml:space="preserve">B η </t>
    </r>
    <r>
      <rPr>
        <sz val="10"/>
        <color rgb="FF000000"/>
        <rFont val="Noto Sans CJK SC"/>
        <family val="2"/>
      </rPr>
      <t xml:space="preserve">收斂：</t>
    </r>
    <r>
      <rPr>
        <sz val="10"/>
        <color rgb="FF000000"/>
        <rFont val="Arial"/>
        <family val="0"/>
        <charset val="1"/>
      </rPr>
      <t xml:space="preserve">2030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</si>
  <si>
    <t xml:space="preserve">G153</t>
  </si>
  <si>
    <r>
      <rPr>
        <sz val="10"/>
        <color rgb="FF000000"/>
        <rFont val="Arial"/>
        <family val="0"/>
        <charset val="1"/>
      </rPr>
      <t xml:space="preserve">C </t>
    </r>
    <r>
      <rPr>
        <sz val="10"/>
        <color rgb="FF000000"/>
        <rFont val="Noto Sans CJK SC"/>
        <family val="2"/>
      </rPr>
      <t xml:space="preserve">國產產出比（低端）</t>
    </r>
  </si>
  <si>
    <r>
      <rPr>
        <sz val="9"/>
        <color rgb="FF595959"/>
        <rFont val="Arial"/>
        <family val="0"/>
        <charset val="1"/>
      </rPr>
      <t xml:space="preserve">Inputs </t>
    </r>
    <r>
      <rPr>
        <sz val="9"/>
        <color rgb="FF595959"/>
        <rFont val="Noto Sans CJK SC"/>
        <family val="2"/>
      </rPr>
      <t xml:space="preserve">國產產出比的低端欄</t>
    </r>
  </si>
  <si>
    <t xml:space="preserve">G154</t>
  </si>
  <si>
    <r>
      <rPr>
        <sz val="10"/>
        <color rgb="FF000000"/>
        <rFont val="Arial"/>
        <family val="0"/>
        <charset val="1"/>
      </rPr>
      <t xml:space="preserve">C </t>
    </r>
    <r>
      <rPr>
        <sz val="10"/>
        <color rgb="FF000000"/>
        <rFont val="Noto Sans CJK SC"/>
        <family val="2"/>
      </rPr>
      <t xml:space="preserve">組合產出係數（低端）</t>
    </r>
  </si>
  <si>
    <t xml:space="preserve">G155</t>
  </si>
  <si>
    <r>
      <rPr>
        <sz val="10"/>
        <color rgb="FF000000"/>
        <rFont val="Arial"/>
        <family val="0"/>
        <charset val="1"/>
      </rPr>
      <t xml:space="preserve">C token </t>
    </r>
    <r>
      <rPr>
        <sz val="10"/>
        <color rgb="FF000000"/>
        <rFont val="Noto Sans CJK SC"/>
        <family val="2"/>
      </rPr>
      <t xml:space="preserve">換算 </t>
    </r>
    <r>
      <rPr>
        <sz val="10"/>
        <color rgb="FF000000"/>
        <rFont val="Arial"/>
        <family val="0"/>
        <charset val="1"/>
      </rPr>
      <t xml:space="preserve">GW</t>
    </r>
    <r>
      <rPr>
        <sz val="10"/>
        <color rgb="FF000000"/>
        <rFont val="Noto Sans CJK SC"/>
        <family val="2"/>
      </rPr>
      <t xml:space="preserve">（低端）</t>
    </r>
  </si>
  <si>
    <r>
      <rPr>
        <sz val="9"/>
        <color rgb="FF595959"/>
        <rFont val="Noto Sans CJK SC"/>
        <family val="2"/>
      </rPr>
      <t xml:space="preserve">各族產能同比例變動：</t>
    </r>
    <r>
      <rPr>
        <sz val="9"/>
        <color rgb="FF595959"/>
        <rFont val="Arial"/>
        <family val="0"/>
        <charset val="1"/>
      </rPr>
      <t xml:space="preserve">token GW ∝ 1 ÷ </t>
    </r>
    <r>
      <rPr>
        <sz val="9"/>
        <color rgb="FF595959"/>
        <rFont val="Noto Sans CJK SC"/>
        <family val="2"/>
      </rPr>
      <t xml:space="preserve">組合產出係數</t>
    </r>
  </si>
  <si>
    <t xml:space="preserve">G156</t>
  </si>
  <si>
    <r>
      <rPr>
        <sz val="10"/>
        <color rgb="FF000000"/>
        <rFont val="Arial"/>
        <family val="0"/>
        <charset val="1"/>
      </rPr>
      <t xml:space="preserve">C η 1H26</t>
    </r>
    <r>
      <rPr>
        <sz val="10"/>
        <color rgb="FF000000"/>
        <rFont val="Noto Sans CJK SC"/>
        <family val="2"/>
      </rPr>
      <t xml:space="preserve">（低端）</t>
    </r>
  </si>
  <si>
    <t xml:space="preserve">G157</t>
  </si>
  <si>
    <r>
      <rPr>
        <sz val="10"/>
        <color rgb="FF000000"/>
        <rFont val="Arial"/>
        <family val="0"/>
        <charset val="1"/>
      </rPr>
      <t xml:space="preserve">C </t>
    </r>
    <r>
      <rPr>
        <sz val="10"/>
        <color rgb="FF000000"/>
        <rFont val="Noto Sans CJK SC"/>
        <family val="2"/>
      </rPr>
      <t xml:space="preserve">研發占比 </t>
    </r>
    <r>
      <rPr>
        <sz val="10"/>
        <color rgb="FF000000"/>
        <rFont val="Arial"/>
        <family val="0"/>
        <charset val="1"/>
      </rPr>
      <t xml:space="preserve">1H26→2030</t>
    </r>
    <r>
      <rPr>
        <sz val="10"/>
        <color rgb="FF000000"/>
        <rFont val="Noto Sans CJK SC"/>
        <family val="2"/>
      </rPr>
      <t xml:space="preserve">（低端）</t>
    </r>
  </si>
  <si>
    <t xml:space="preserve">G158</t>
  </si>
  <si>
    <r>
      <rPr>
        <sz val="10"/>
        <color rgb="FF000000"/>
        <rFont val="Arial"/>
        <family val="0"/>
        <charset val="1"/>
      </rPr>
      <t xml:space="preserve">C 2030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（低端）</t>
    </r>
  </si>
  <si>
    <t xml:space="preserve">G159</t>
  </si>
  <si>
    <r>
      <rPr>
        <sz val="10"/>
        <color rgb="FF000000"/>
        <rFont val="Arial"/>
        <family val="0"/>
        <charset val="1"/>
      </rPr>
      <t xml:space="preserve">C 2030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（低端）</t>
    </r>
  </si>
  <si>
    <t xml:space="preserve">G160</t>
  </si>
  <si>
    <r>
      <rPr>
        <sz val="10"/>
        <color rgb="FF000000"/>
        <rFont val="Arial"/>
        <family val="0"/>
        <charset val="1"/>
      </rPr>
      <t xml:space="preserve">C </t>
    </r>
    <r>
      <rPr>
        <sz val="10"/>
        <color rgb="FF000000"/>
        <rFont val="Noto Sans CJK SC"/>
        <family val="2"/>
      </rPr>
      <t xml:space="preserve">國產產出比（高端）</t>
    </r>
  </si>
  <si>
    <r>
      <rPr>
        <sz val="9"/>
        <color rgb="FF595959"/>
        <rFont val="Arial"/>
        <family val="0"/>
        <charset val="1"/>
      </rPr>
      <t xml:space="preserve">Inputs </t>
    </r>
    <r>
      <rPr>
        <sz val="9"/>
        <color rgb="FF595959"/>
        <rFont val="Noto Sans CJK SC"/>
        <family val="2"/>
      </rPr>
      <t xml:space="preserve">國產產出比的高端欄</t>
    </r>
  </si>
  <si>
    <t xml:space="preserve">G161</t>
  </si>
  <si>
    <r>
      <rPr>
        <sz val="10"/>
        <color rgb="FF000000"/>
        <rFont val="Arial"/>
        <family val="0"/>
        <charset val="1"/>
      </rPr>
      <t xml:space="preserve">C </t>
    </r>
    <r>
      <rPr>
        <sz val="10"/>
        <color rgb="FF000000"/>
        <rFont val="Noto Sans CJK SC"/>
        <family val="2"/>
      </rPr>
      <t xml:space="preserve">組合產出係數（高端）</t>
    </r>
  </si>
  <si>
    <t xml:space="preserve">G162</t>
  </si>
  <si>
    <r>
      <rPr>
        <sz val="10"/>
        <color rgb="FF000000"/>
        <rFont val="Arial"/>
        <family val="0"/>
        <charset val="1"/>
      </rPr>
      <t xml:space="preserve">C token </t>
    </r>
    <r>
      <rPr>
        <sz val="10"/>
        <color rgb="FF000000"/>
        <rFont val="Noto Sans CJK SC"/>
        <family val="2"/>
      </rPr>
      <t xml:space="preserve">換算 </t>
    </r>
    <r>
      <rPr>
        <sz val="10"/>
        <color rgb="FF000000"/>
        <rFont val="Arial"/>
        <family val="0"/>
        <charset val="1"/>
      </rPr>
      <t xml:space="preserve">GW</t>
    </r>
    <r>
      <rPr>
        <sz val="10"/>
        <color rgb="FF000000"/>
        <rFont val="Noto Sans CJK SC"/>
        <family val="2"/>
      </rPr>
      <t xml:space="preserve">（高端）</t>
    </r>
  </si>
  <si>
    <t xml:space="preserve">G163</t>
  </si>
  <si>
    <r>
      <rPr>
        <sz val="10"/>
        <color rgb="FF000000"/>
        <rFont val="Arial"/>
        <family val="0"/>
        <charset val="1"/>
      </rPr>
      <t xml:space="preserve">C η 1H26</t>
    </r>
    <r>
      <rPr>
        <sz val="10"/>
        <color rgb="FF000000"/>
        <rFont val="Noto Sans CJK SC"/>
        <family val="2"/>
      </rPr>
      <t xml:space="preserve">（高端）</t>
    </r>
  </si>
  <si>
    <t xml:space="preserve">G164</t>
  </si>
  <si>
    <r>
      <rPr>
        <sz val="10"/>
        <color rgb="FF000000"/>
        <rFont val="Arial"/>
        <family val="0"/>
        <charset val="1"/>
      </rPr>
      <t xml:space="preserve">C </t>
    </r>
    <r>
      <rPr>
        <sz val="10"/>
        <color rgb="FF000000"/>
        <rFont val="Noto Sans CJK SC"/>
        <family val="2"/>
      </rPr>
      <t xml:space="preserve">研發占比 </t>
    </r>
    <r>
      <rPr>
        <sz val="10"/>
        <color rgb="FF000000"/>
        <rFont val="Arial"/>
        <family val="0"/>
        <charset val="1"/>
      </rPr>
      <t xml:space="preserve">1H26→2030</t>
    </r>
    <r>
      <rPr>
        <sz val="10"/>
        <color rgb="FF000000"/>
        <rFont val="Noto Sans CJK SC"/>
        <family val="2"/>
      </rPr>
      <t xml:space="preserve">（高端）</t>
    </r>
  </si>
  <si>
    <t xml:space="preserve">G165</t>
  </si>
  <si>
    <r>
      <rPr>
        <sz val="10"/>
        <color rgb="FF000000"/>
        <rFont val="Arial"/>
        <family val="0"/>
        <charset val="1"/>
      </rPr>
      <t xml:space="preserve">C 2030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（高端）</t>
    </r>
  </si>
  <si>
    <t xml:space="preserve">G166</t>
  </si>
  <si>
    <r>
      <rPr>
        <sz val="10"/>
        <color rgb="FF000000"/>
        <rFont val="Arial"/>
        <family val="0"/>
        <charset val="1"/>
      </rPr>
      <t xml:space="preserve">C 2030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（高端）</t>
    </r>
  </si>
  <si>
    <r>
      <rPr>
        <b val="true"/>
        <sz val="10"/>
        <rFont val="Noto Sans CJK SC"/>
        <family val="2"/>
      </rPr>
      <t xml:space="preserve">十四、</t>
    </r>
    <r>
      <rPr>
        <b val="true"/>
        <sz val="10"/>
        <rFont val="Arial"/>
        <family val="0"/>
        <charset val="1"/>
      </rPr>
      <t xml:space="preserve">Z5b </t>
    </r>
    <r>
      <rPr>
        <b val="true"/>
        <sz val="10"/>
        <rFont val="Noto Sans CJK SC"/>
        <family val="2"/>
      </rPr>
      <t xml:space="preserve">修正：每 </t>
    </r>
    <r>
      <rPr>
        <b val="true"/>
        <sz val="10"/>
        <rFont val="Arial"/>
        <family val="0"/>
        <charset val="1"/>
      </rPr>
      <t xml:space="preserve">GW </t>
    </r>
    <r>
      <rPr>
        <b val="true"/>
        <sz val="10"/>
        <rFont val="Noto Sans CJK SC"/>
        <family val="2"/>
      </rPr>
      <t xml:space="preserve">租價下限＝供應商持有成本 </t>
    </r>
    <r>
      <rPr>
        <b val="true"/>
        <sz val="10"/>
        <rFont val="Arial"/>
        <family val="0"/>
        <charset val="1"/>
      </rPr>
      <t xml:space="preserve">×</t>
    </r>
    <r>
      <rPr>
        <b val="true"/>
        <sz val="10"/>
        <rFont val="Noto Sans CJK SC"/>
        <family val="2"/>
      </rPr>
      <t xml:space="preserve">（</t>
    </r>
    <r>
      <rPr>
        <b val="true"/>
        <sz val="10"/>
        <rFont val="Arial"/>
        <family val="0"/>
        <charset val="1"/>
      </rPr>
      <t xml:space="preserve">1</t>
    </r>
    <r>
      <rPr>
        <b val="true"/>
        <sz val="10"/>
        <rFont val="Noto Sans CJK SC"/>
        <family val="2"/>
      </rPr>
      <t xml:space="preserve">＋最低毛利）（</t>
    </r>
    <r>
      <rPr>
        <b val="true"/>
        <sz val="10"/>
        <rFont val="Arial"/>
        <family val="0"/>
        <charset val="1"/>
      </rPr>
      <t xml:space="preserve">V1</t>
    </r>
    <r>
      <rPr>
        <b val="true"/>
        <sz val="10"/>
        <rFont val="Noto Sans CJK SC"/>
        <family val="2"/>
      </rPr>
      <t xml:space="preserve">）；自有算力營運費用與資本支出攤提（</t>
    </r>
    <r>
      <rPr>
        <b val="true"/>
        <sz val="10"/>
        <rFont val="Arial"/>
        <family val="0"/>
        <charset val="1"/>
      </rPr>
      <t xml:space="preserve">V2</t>
    </r>
    <r>
      <rPr>
        <b val="true"/>
        <sz val="10"/>
        <rFont val="Noto Sans CJK SC"/>
        <family val="2"/>
      </rPr>
      <t xml:space="preserve">；</t>
    </r>
    <r>
      <rPr>
        <b val="true"/>
        <sz val="10"/>
        <rFont val="Arial"/>
        <family val="0"/>
        <charset val="1"/>
      </rPr>
      <t xml:space="preserve">TK IF_OpexGW</t>
    </r>
    <r>
      <rPr>
        <b val="true"/>
        <sz val="10"/>
        <rFont val="Noto Sans CJK SC"/>
        <family val="2"/>
      </rPr>
      <t xml:space="preserve">、</t>
    </r>
    <r>
      <rPr>
        <b val="true"/>
        <sz val="10"/>
        <rFont val="Arial"/>
        <family val="0"/>
        <charset val="1"/>
      </rPr>
      <t xml:space="preserve">IF_DeprLifeIT</t>
    </r>
    <r>
      <rPr>
        <b val="true"/>
        <sz val="10"/>
        <rFont val="Noto Sans CJK SC"/>
        <family val="2"/>
      </rPr>
      <t xml:space="preserve">）</t>
    </r>
  </si>
  <si>
    <t xml:space="preserve">G167</t>
  </si>
  <si>
    <r>
      <rPr>
        <sz val="10"/>
        <color rgb="FF000000"/>
        <rFont val="Noto Sans CJK SC"/>
        <family val="2"/>
      </rPr>
      <t xml:space="preserve">觀察租價換算每 </t>
    </r>
    <r>
      <rPr>
        <sz val="10"/>
        <color rgb="FF000000"/>
        <rFont val="Arial"/>
        <family val="0"/>
        <charset val="1"/>
      </rPr>
      <t xml:space="preserve">GW </t>
    </r>
    <r>
      <rPr>
        <sz val="10"/>
        <color rgb="FF000000"/>
        <rFont val="Noto Sans CJK SC"/>
        <family val="2"/>
      </rPr>
      <t xml:space="preserve">年價格（未設下限）：</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</si>
  <si>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Noto Sans CJK SC"/>
        <family val="2"/>
      </rPr>
      <t xml:space="preserve">卡時租價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卡數 </t>
    </r>
    <r>
      <rPr>
        <sz val="9"/>
        <color rgb="FF595959"/>
        <rFont val="Arial"/>
        <family val="0"/>
        <charset val="1"/>
      </rPr>
      <t xml:space="preserve">× </t>
    </r>
    <r>
      <rPr>
        <sz val="9"/>
        <color rgb="FF595959"/>
        <rFont val="Noto Sans CJK SC"/>
        <family val="2"/>
      </rPr>
      <t xml:space="preserve">每年小時 </t>
    </r>
    <r>
      <rPr>
        <sz val="9"/>
        <color rgb="FF595959"/>
        <rFont val="Arial"/>
        <family val="0"/>
        <charset val="1"/>
      </rPr>
      <t xml:space="preserve">÷ 10^8</t>
    </r>
    <r>
      <rPr>
        <sz val="9"/>
        <color rgb="FF595959"/>
        <rFont val="Noto Sans CJK SC"/>
        <family val="2"/>
      </rPr>
      <t xml:space="preserve">（</t>
    </r>
    <r>
      <rPr>
        <sz val="9"/>
        <color rgb="FF595959"/>
        <rFont val="Arial"/>
        <family val="0"/>
        <charset val="1"/>
      </rPr>
      <t xml:space="preserve">Z5b </t>
    </r>
    <r>
      <rPr>
        <sz val="9"/>
        <color rgb="FF595959"/>
        <rFont val="Noto Sans CJK SC"/>
        <family val="2"/>
      </rPr>
      <t xml:space="preserve">前的每 </t>
    </r>
    <r>
      <rPr>
        <sz val="9"/>
        <color rgb="FF595959"/>
        <rFont val="Arial"/>
        <family val="0"/>
        <charset val="1"/>
      </rPr>
      <t xml:space="preserve">GW </t>
    </r>
    <r>
      <rPr>
        <sz val="9"/>
        <color rgb="FF595959"/>
        <rFont val="Noto Sans CJK SC"/>
        <family val="2"/>
      </rPr>
      <t xml:space="preserve">價格）</t>
    </r>
  </si>
  <si>
    <t xml:space="preserve">G168</t>
  </si>
  <si>
    <r>
      <rPr>
        <sz val="10"/>
        <color rgb="FF000000"/>
        <rFont val="Noto Sans CJK SC"/>
        <family val="2"/>
      </rPr>
      <t xml:space="preserve">觀察租價換算每 </t>
    </r>
    <r>
      <rPr>
        <sz val="10"/>
        <color rgb="FF000000"/>
        <rFont val="Arial"/>
        <family val="0"/>
        <charset val="1"/>
      </rPr>
      <t xml:space="preserve">GW </t>
    </r>
    <r>
      <rPr>
        <sz val="10"/>
        <color rgb="FF000000"/>
        <rFont val="Noto Sans CJK SC"/>
        <family val="2"/>
      </rPr>
      <t xml:space="preserve">年價格（未設下限）：</t>
    </r>
    <r>
      <rPr>
        <sz val="10"/>
        <color rgb="FF000000"/>
        <rFont val="Arial"/>
        <family val="0"/>
        <charset val="1"/>
      </rPr>
      <t xml:space="preserve">H20</t>
    </r>
  </si>
  <si>
    <t xml:space="preserve">G169</t>
  </si>
  <si>
    <r>
      <rPr>
        <sz val="10"/>
        <color rgb="FF000000"/>
        <rFont val="Noto Sans CJK SC"/>
        <family val="2"/>
      </rPr>
      <t xml:space="preserve">觀察租價換算每 </t>
    </r>
    <r>
      <rPr>
        <sz val="10"/>
        <color rgb="FF000000"/>
        <rFont val="Arial"/>
        <family val="0"/>
        <charset val="1"/>
      </rPr>
      <t xml:space="preserve">GW </t>
    </r>
    <r>
      <rPr>
        <sz val="10"/>
        <color rgb="FF000000"/>
        <rFont val="Noto Sans CJK SC"/>
        <family val="2"/>
      </rPr>
      <t xml:space="preserve">年價格（未設下限）：國產（昇騰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</si>
  <si>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G170</t>
  </si>
  <si>
    <r>
      <rPr>
        <sz val="10"/>
        <color rgb="FF000000"/>
        <rFont val="Noto Sans CJK SC"/>
        <family val="2"/>
      </rPr>
      <t xml:space="preserve">供應商每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</si>
  <si>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Arial"/>
        <family val="0"/>
        <charset val="1"/>
      </rPr>
      <t xml:space="preserve">TK IF_HoldEcon</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基準欄，經濟口徑）</t>
    </r>
    <r>
      <rPr>
        <sz val="9"/>
        <color rgb="FF595959"/>
        <rFont val="Arial"/>
        <family val="0"/>
        <charset val="1"/>
      </rPr>
      <t xml:space="preserve">× </t>
    </r>
    <r>
      <rPr>
        <sz val="9"/>
        <color rgb="FF595959"/>
        <rFont val="Noto Sans CJK SC"/>
        <family val="2"/>
      </rPr>
      <t xml:space="preserve">持有比（</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Hopper</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 USD/CNY × 10</t>
    </r>
    <r>
      <rPr>
        <sz val="9"/>
        <color rgb="FF595959"/>
        <rFont val="Noto Sans CJK SC"/>
        <family val="2"/>
      </rPr>
      <t xml:space="preserve">；</t>
    </r>
    <r>
      <rPr>
        <sz val="9"/>
        <color rgb="FF595959"/>
        <rFont val="Arial"/>
        <family val="0"/>
        <charset val="1"/>
      </rPr>
      <t xml:space="preserve">Cost </t>
    </r>
    <r>
      <rPr>
        <sz val="9"/>
        <color rgb="FF595959"/>
        <rFont val="Noto Sans CJK SC"/>
        <family val="2"/>
      </rPr>
      <t xml:space="preserve">第二節引用</t>
    </r>
  </si>
  <si>
    <t xml:space="preserve">G171</t>
  </si>
  <si>
    <r>
      <rPr>
        <sz val="10"/>
        <color rgb="FF000000"/>
        <rFont val="Noto Sans CJK SC"/>
        <family val="2"/>
      </rPr>
      <t xml:space="preserve">供應商每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H20</t>
    </r>
  </si>
  <si>
    <t xml:space="preserve">G172</t>
  </si>
  <si>
    <r>
      <rPr>
        <sz val="10"/>
        <color rgb="FF000000"/>
        <rFont val="Noto Sans CJK SC"/>
        <family val="2"/>
      </rPr>
      <t xml:space="preserve">供應商每 </t>
    </r>
    <r>
      <rPr>
        <sz val="10"/>
        <color rgb="FF000000"/>
        <rFont val="Arial"/>
        <family val="0"/>
        <charset val="1"/>
      </rPr>
      <t xml:space="preserve">GW </t>
    </r>
    <r>
      <rPr>
        <sz val="10"/>
        <color rgb="FF000000"/>
        <rFont val="Noto Sans CJK SC"/>
        <family val="2"/>
      </rPr>
      <t xml:space="preserve">年持有成本：國產（昇騰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</si>
  <si>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G173</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</si>
  <si>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年價格下限：</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</si>
  <si>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Noto Sans CJK SC"/>
        <family val="2"/>
      </rPr>
      <t xml:space="preserve">供應商持有成本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＋最低毛利，</t>
    </r>
    <r>
      <rPr>
        <sz val="9"/>
        <color rgb="FF595959"/>
        <rFont val="Arial"/>
        <family val="0"/>
        <charset val="1"/>
      </rPr>
      <t xml:space="preserve">Inputs </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t>
    </r>
  </si>
  <si>
    <t xml:space="preserve">G174</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</si>
  <si>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年價格下限：</t>
    </r>
    <r>
      <rPr>
        <sz val="10"/>
        <color rgb="FF000000"/>
        <rFont val="Arial"/>
        <family val="0"/>
        <charset val="1"/>
      </rPr>
      <t xml:space="preserve">H20</t>
    </r>
  </si>
  <si>
    <t xml:space="preserve">G175</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</si>
  <si>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年價格下限：國產（昇騰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</si>
  <si>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G176</t>
  </si>
  <si>
    <r>
      <rPr>
        <sz val="10"/>
        <color rgb="FF000000"/>
        <rFont val="Noto Sans CJK SC"/>
        <family val="2"/>
      </rPr>
      <t xml:space="preserve">組合後每 </t>
    </r>
    <r>
      <rPr>
        <sz val="10"/>
        <color rgb="FF000000"/>
        <rFont val="Arial"/>
        <family val="0"/>
        <charset val="1"/>
      </rPr>
      <t xml:space="preserve">GW </t>
    </r>
    <r>
      <rPr>
        <sz val="10"/>
        <color rgb="FF000000"/>
        <rFont val="Noto Sans CJK SC"/>
        <family val="2"/>
      </rPr>
      <t xml:space="preserve">年價格（未設下限；對照）</t>
    </r>
  </si>
  <si>
    <r>
      <rPr>
        <sz val="9"/>
        <color rgb="FF595959"/>
        <rFont val="Arial"/>
        <family val="0"/>
        <charset val="1"/>
      </rPr>
      <t xml:space="preserve">Z5b </t>
    </r>
    <r>
      <rPr>
        <sz val="9"/>
        <color rgb="FF595959"/>
        <rFont val="Noto Sans CJK SC"/>
        <family val="2"/>
      </rPr>
      <t xml:space="preserve">前口徑</t>
    </r>
  </si>
  <si>
    <t xml:space="preserve">G177</t>
  </si>
  <si>
    <r>
      <rPr>
        <sz val="10"/>
        <color rgb="FF000000"/>
        <rFont val="Noto Sans CJK SC"/>
        <family val="2"/>
      </rPr>
      <t xml:space="preserve">下限生效的晶片族數（</t>
    </r>
    <r>
      <rPr>
        <sz val="10"/>
        <color rgb="FF000000"/>
        <rFont val="Arial"/>
        <family val="0"/>
        <charset val="1"/>
      </rPr>
      <t xml:space="preserve">2H26 </t>
    </r>
    <r>
      <rPr>
        <sz val="10"/>
        <color rgb="FF000000"/>
        <rFont val="Noto Sans CJK SC"/>
        <family val="2"/>
      </rPr>
      <t xml:space="preserve">起）</t>
    </r>
  </si>
  <si>
    <t xml:space="preserve">族</t>
  </si>
  <si>
    <r>
      <rPr>
        <sz val="9"/>
        <color rgb="FF595959"/>
        <rFont val="Arial"/>
        <family val="0"/>
        <charset val="1"/>
      </rPr>
      <t xml:space="preserve">0</t>
    </r>
    <r>
      <rPr>
        <sz val="9"/>
        <color rgb="FF595959"/>
        <rFont val="Noto Sans CJK SC"/>
        <family val="2"/>
      </rPr>
      <t xml:space="preserve">＝觀察租價全部高於下限</t>
    </r>
  </si>
  <si>
    <t xml:space="preserve">G178</t>
  </si>
  <si>
    <r>
      <rPr>
        <sz val="10"/>
        <color rgb="FF000000"/>
        <rFont val="Noto Sans CJK SC"/>
        <family val="2"/>
      </rPr>
      <t xml:space="preserve">自有算力每 </t>
    </r>
    <r>
      <rPr>
        <sz val="10"/>
        <color rgb="FF000000"/>
        <rFont val="Arial"/>
        <family val="0"/>
        <charset val="1"/>
      </rPr>
      <t xml:space="preserve">GW </t>
    </r>
    <r>
      <rPr>
        <sz val="10"/>
        <color rgb="FF000000"/>
        <rFont val="Noto Sans CJK SC"/>
        <family val="2"/>
      </rPr>
      <t xml:space="preserve">年營運費用（不含折舊；含電費）</t>
    </r>
  </si>
  <si>
    <r>
      <rPr>
        <sz val="9"/>
        <color rgb="FF595959"/>
        <rFont val="Arial"/>
        <family val="0"/>
        <charset val="1"/>
      </rPr>
      <t xml:space="preserve">TK IF_OpexGW</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t>
    </r>
    <r>
      <rPr>
        <sz val="9"/>
        <color rgb="FF595959"/>
        <rFont val="Arial"/>
        <family val="0"/>
        <charset val="1"/>
      </rPr>
      <t xml:space="preserve">$B/GW/</t>
    </r>
    <r>
      <rPr>
        <sz val="9"/>
        <color rgb="FF595959"/>
        <rFont val="Noto Sans CJK SC"/>
        <family val="2"/>
      </rPr>
      <t xml:space="preserve">年）</t>
    </r>
    <r>
      <rPr>
        <sz val="9"/>
        <color rgb="FF595959"/>
        <rFont val="Arial"/>
        <family val="0"/>
        <charset val="1"/>
      </rPr>
      <t xml:space="preserve">× </t>
    </r>
    <r>
      <rPr>
        <sz val="9"/>
        <color rgb="FF595959"/>
        <rFont val="Noto Sans CJK SC"/>
        <family val="2"/>
      </rPr>
      <t xml:space="preserve">國產持有比 </t>
    </r>
    <r>
      <rPr>
        <sz val="9"/>
        <color rgb="FF595959"/>
        <rFont val="Arial"/>
        <family val="0"/>
        <charset val="1"/>
      </rPr>
      <t xml:space="preserve">× USD/CNY × 10</t>
    </r>
    <r>
      <rPr>
        <sz val="9"/>
        <color rgb="FF595959"/>
        <rFont val="Noto Sans CJK SC"/>
        <family val="2"/>
      </rPr>
      <t xml:space="preserve">（</t>
    </r>
    <r>
      <rPr>
        <sz val="9"/>
        <color rgb="FF595959"/>
        <rFont val="Arial"/>
        <family val="0"/>
        <charset val="1"/>
      </rPr>
      <t xml:space="preserve">Z5b V2</t>
    </r>
    <r>
      <rPr>
        <sz val="9"/>
        <color rgb="FF595959"/>
        <rFont val="Noto Sans CJK SC"/>
        <family val="2"/>
      </rPr>
      <t xml:space="preserve">）</t>
    </r>
  </si>
  <si>
    <t xml:space="preserve">G179</t>
  </si>
  <si>
    <r>
      <rPr>
        <sz val="10"/>
        <color rgb="FF000000"/>
        <rFont val="Noto Sans CJK SC"/>
        <family val="2"/>
      </rPr>
      <t xml:space="preserve">自有算力營運費用＝自有 </t>
    </r>
    <r>
      <rPr>
        <sz val="10"/>
        <color rgb="FF000000"/>
        <rFont val="Arial"/>
        <family val="0"/>
        <charset val="1"/>
      </rPr>
      <t xml:space="preserve">GW ×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營運費用</t>
    </r>
  </si>
  <si>
    <r>
      <rPr>
        <sz val="9"/>
        <color rgb="FF595959"/>
        <rFont val="Noto Sans CJK SC"/>
        <family val="2"/>
      </rPr>
      <t xml:space="preserve">投產後（自有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0</t>
    </r>
    <r>
      <rPr>
        <sz val="9"/>
        <color rgb="FF595959"/>
        <rFont val="Noto Sans CJK SC"/>
        <family val="2"/>
      </rPr>
      <t xml:space="preserve">）計入算力成本（現金）</t>
    </r>
  </si>
  <si>
    <t xml:space="preserve">G180</t>
  </si>
  <si>
    <r>
      <rPr>
        <sz val="10"/>
        <color rgb="FF000000"/>
        <rFont val="Arial"/>
        <family val="0"/>
        <charset val="1"/>
      </rPr>
      <t xml:space="preserve">IT </t>
    </r>
    <r>
      <rPr>
        <sz val="10"/>
        <color rgb="FF000000"/>
        <rFont val="Noto Sans CJK SC"/>
        <family val="2"/>
      </rPr>
      <t xml:space="preserve">折舊年限（攤提用）</t>
    </r>
  </si>
  <si>
    <r>
      <rPr>
        <sz val="9"/>
        <color rgb="FF595959"/>
        <rFont val="Arial"/>
        <family val="0"/>
        <charset val="1"/>
      </rPr>
      <t xml:space="preserve">TK IF_DeprLifeIT</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t>
    </r>
  </si>
  <si>
    <t xml:space="preserve">G181</t>
  </si>
  <si>
    <r>
      <rPr>
        <sz val="10"/>
        <color rgb="FF000000"/>
        <rFont val="Noto Sans CJK SC"/>
        <family val="2"/>
      </rPr>
      <t xml:space="preserve">自有資本支出攤提＝已投產累計自有資本支出 </t>
    </r>
    <r>
      <rPr>
        <sz val="10"/>
        <color rgb="FF000000"/>
        <rFont val="Arial"/>
        <family val="0"/>
        <charset val="1"/>
      </rPr>
      <t xml:space="preserve">÷ </t>
    </r>
    <r>
      <rPr>
        <sz val="10"/>
        <color rgb="FF000000"/>
        <rFont val="Noto Sans CJK SC"/>
        <family val="2"/>
      </rPr>
      <t xml:space="preserve">折舊年限</t>
    </r>
  </si>
  <si>
    <r>
      <rPr>
        <sz val="9"/>
        <color rgb="FF595959"/>
        <rFont val="Noto Sans CJK SC"/>
        <family val="2"/>
      </rPr>
      <t xml:space="preserve">只用於 </t>
    </r>
    <r>
      <rPr>
        <sz val="9"/>
        <color rgb="FF595959"/>
        <rFont val="Arial"/>
        <family val="0"/>
        <charset val="1"/>
      </rPr>
      <t xml:space="preserve">Cost </t>
    </r>
    <r>
      <rPr>
        <sz val="9"/>
        <color rgb="FF595959"/>
        <rFont val="Noto Sans CJK SC"/>
        <family val="2"/>
      </rPr>
      <t xml:space="preserve">第十節攤提口徑並列；現金口徑（命題、</t>
    </r>
    <r>
      <rPr>
        <sz val="9"/>
        <color rgb="FF595959"/>
        <rFont val="Arial"/>
        <family val="0"/>
        <charset val="1"/>
      </rPr>
      <t xml:space="preserve">Funding</t>
    </r>
    <r>
      <rPr>
        <sz val="9"/>
        <color rgb="FF595959"/>
        <rFont val="Noto Sans CJK SC"/>
        <family val="2"/>
      </rPr>
      <t xml:space="preserve">）仍以資本支出實付計</t>
    </r>
  </si>
  <si>
    <r>
      <rPr>
        <b val="true"/>
        <sz val="10"/>
        <rFont val="Noto Sans CJK SC"/>
        <family val="2"/>
      </rPr>
      <t xml:space="preserve">十五、</t>
    </r>
    <r>
      <rPr>
        <b val="true"/>
        <sz val="10"/>
        <rFont val="Arial"/>
        <family val="0"/>
        <charset val="1"/>
      </rPr>
      <t xml:space="preserve">r2 P1</t>
    </r>
    <r>
      <rPr>
        <b val="true"/>
        <sz val="10"/>
        <rFont val="Noto Sans CJK SC"/>
        <family val="2"/>
      </rPr>
      <t xml:space="preserve">：招股章程的算力費去向（</t>
    </r>
    <r>
      <rPr>
        <b val="true"/>
        <sz val="10"/>
        <rFont val="Arial"/>
        <family val="0"/>
        <charset val="1"/>
      </rPr>
      <t xml:space="preserve">FY2024</t>
    </r>
    <r>
      <rPr>
        <b val="true"/>
        <sz val="10"/>
        <rFont val="Noto Sans CJK SC"/>
        <family val="2"/>
      </rPr>
      <t xml:space="preserve">、</t>
    </r>
    <r>
      <rPr>
        <b val="true"/>
        <sz val="10"/>
        <rFont val="Arial"/>
        <family val="0"/>
        <charset val="1"/>
      </rPr>
      <t xml:space="preserve">1H2025</t>
    </r>
    <r>
      <rPr>
        <b val="true"/>
        <sz val="10"/>
        <rFont val="Noto Sans CJK SC"/>
        <family val="2"/>
      </rPr>
      <t xml:space="preserve">；只列）、</t>
    </r>
    <r>
      <rPr>
        <b val="true"/>
        <sz val="10"/>
        <rFont val="Arial"/>
        <family val="0"/>
        <charset val="1"/>
      </rPr>
      <t xml:space="preserve">η </t>
    </r>
    <r>
      <rPr>
        <b val="true"/>
        <sz val="10"/>
        <rFont val="Noto Sans CJK SC"/>
        <family val="2"/>
      </rPr>
      <t xml:space="preserve">上調判斷、舊法（</t>
    </r>
    <r>
      <rPr>
        <b val="true"/>
        <sz val="10"/>
        <rFont val="Arial"/>
        <family val="0"/>
        <charset val="1"/>
      </rPr>
      <t xml:space="preserve">D8r</t>
    </r>
    <r>
      <rPr>
        <b val="true"/>
        <sz val="10"/>
        <rFont val="Noto Sans CJK SC"/>
        <family val="2"/>
      </rPr>
      <t xml:space="preserve">：</t>
    </r>
    <r>
      <rPr>
        <b val="true"/>
        <sz val="10"/>
        <rFont val="Arial"/>
        <family val="0"/>
        <charset val="1"/>
      </rPr>
      <t xml:space="preserve">API </t>
    </r>
    <r>
      <rPr>
        <b val="true"/>
        <sz val="10"/>
        <rFont val="Noto Sans CJK SC"/>
        <family val="2"/>
      </rPr>
      <t xml:space="preserve">銷售成本＝推論支出）對照</t>
    </r>
  </si>
  <si>
    <t xml:space="preserve">G182</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</si>
  <si>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：研發項下算力服務費</t>
    </r>
  </si>
  <si>
    <r>
      <rPr>
        <sz val="9"/>
        <color rgb="FF595959"/>
        <rFont val="Arial"/>
        <family val="0"/>
        <charset val="1"/>
      </rPr>
      <t xml:space="preserve">SRC_ZP</t>
    </r>
    <r>
      <rPr>
        <sz val="9"/>
        <color rgb="FF595959"/>
        <rFont val="Noto Sans CJK SC"/>
        <family val="2"/>
      </rPr>
      <t xml:space="preserve">（</t>
    </r>
    <r>
      <rPr>
        <sz val="9"/>
        <color rgb="FF595959"/>
        <rFont val="Arial"/>
        <family val="0"/>
        <charset val="1"/>
      </rPr>
      <t xml:space="preserve">Verified</t>
    </r>
    <r>
      <rPr>
        <sz val="9"/>
        <color rgb="FF595959"/>
        <rFont val="Noto Sans CJK SC"/>
        <family val="2"/>
      </rPr>
      <t xml:space="preserve">；第 </t>
    </r>
    <r>
      <rPr>
        <sz val="9"/>
        <color rgb="FF595959"/>
        <rFont val="Arial"/>
        <family val="0"/>
        <charset val="1"/>
      </rPr>
      <t xml:space="preserve">267 </t>
    </r>
    <r>
      <rPr>
        <sz val="9"/>
        <color rgb="FF595959"/>
        <rFont val="Noto Sans CJK SC"/>
        <family val="2"/>
      </rPr>
      <t xml:space="preserve">頁）</t>
    </r>
  </si>
  <si>
    <t xml:space="preserve">G183</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</si>
  <si>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：營業成本中的計算服務費</t>
    </r>
  </si>
  <si>
    <r>
      <rPr>
        <sz val="9"/>
        <color rgb="FF595959"/>
        <rFont val="Arial"/>
        <family val="0"/>
        <charset val="1"/>
      </rPr>
      <t xml:space="preserve">SRC_ZP</t>
    </r>
    <r>
      <rPr>
        <sz val="9"/>
        <color rgb="FF595959"/>
        <rFont val="Noto Sans CJK SC"/>
        <family val="2"/>
      </rPr>
      <t xml:space="preserve">（</t>
    </r>
    <r>
      <rPr>
        <sz val="9"/>
        <color rgb="FF595959"/>
        <rFont val="Arial"/>
        <family val="0"/>
        <charset val="1"/>
      </rPr>
      <t xml:space="preserve">Verified</t>
    </r>
    <r>
      <rPr>
        <sz val="9"/>
        <color rgb="FF595959"/>
        <rFont val="Noto Sans CJK SC"/>
        <family val="2"/>
      </rPr>
      <t xml:space="preserve">；第 </t>
    </r>
    <r>
      <rPr>
        <sz val="9"/>
        <color rgb="FF595959"/>
        <rFont val="Arial"/>
        <family val="0"/>
        <charset val="1"/>
      </rPr>
      <t xml:space="preserve">264 </t>
    </r>
    <r>
      <rPr>
        <sz val="9"/>
        <color rgb="FF595959"/>
        <rFont val="Noto Sans CJK SC"/>
        <family val="2"/>
      </rPr>
      <t xml:space="preserve">頁：本地化交付前訓練微調＋雲端推論）</t>
    </r>
  </si>
  <si>
    <t xml:space="preserve">G184</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</si>
  <si>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：銷售及營銷項下算力服務費</t>
    </r>
  </si>
  <si>
    <t xml:space="preserve">G185</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</si>
  <si>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：算力服務費合計</t>
    </r>
  </si>
  <si>
    <r>
      <rPr>
        <sz val="9"/>
        <color rgb="FF595959"/>
        <rFont val="Arial"/>
        <family val="0"/>
        <charset val="1"/>
      </rPr>
      <t xml:space="preserve">SRC_ZP</t>
    </r>
    <r>
      <rPr>
        <sz val="9"/>
        <color rgb="FF595959"/>
        <rFont val="Noto Sans CJK SC"/>
        <family val="2"/>
      </rPr>
      <t xml:space="preserve">（</t>
    </r>
    <r>
      <rPr>
        <sz val="9"/>
        <color rgb="FF595959"/>
        <rFont val="Arial"/>
        <family val="0"/>
        <charset val="1"/>
      </rPr>
      <t xml:space="preserve">Derived</t>
    </r>
    <r>
      <rPr>
        <sz val="9"/>
        <color rgb="FF595959"/>
        <rFont val="Noto Sans CJK SC"/>
        <family val="2"/>
      </rPr>
      <t xml:space="preserve">：三科目加總）</t>
    </r>
  </si>
  <si>
    <t xml:space="preserve">G186</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</si>
  <si>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：營業成本計算服務費占合計</t>
    </r>
  </si>
  <si>
    <r>
      <rPr>
        <sz val="9"/>
        <color rgb="FF595959"/>
        <rFont val="Arial"/>
        <family val="0"/>
        <charset val="1"/>
      </rPr>
      <t xml:space="preserve">P1 </t>
    </r>
    <r>
      <rPr>
        <sz val="9"/>
        <color rgb="FF595959"/>
        <rFont val="Noto Sans CJK SC"/>
        <family val="2"/>
      </rPr>
      <t xml:space="preserve">理由：只占 </t>
    </r>
    <r>
      <rPr>
        <sz val="9"/>
        <color rgb="FF595959"/>
        <rFont val="Arial"/>
        <family val="0"/>
        <charset val="1"/>
      </rPr>
      <t xml:space="preserve">2–3%</t>
    </r>
  </si>
  <si>
    <t xml:space="preserve">G187</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</si>
  <si>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：研發項下算力費 </t>
    </r>
    <r>
      <rPr>
        <sz val="10"/>
        <color rgb="FF000000"/>
        <rFont val="Arial"/>
        <family val="0"/>
        <charset val="1"/>
      </rPr>
      <t xml:space="preserve">÷ </t>
    </r>
    <r>
      <rPr>
        <sz val="10"/>
        <color rgb="FF000000"/>
        <rFont val="Noto Sans CJK SC"/>
        <family val="2"/>
      </rPr>
      <t xml:space="preserve">研發開支</t>
    </r>
  </si>
  <si>
    <r>
      <rPr>
        <sz val="9"/>
        <color rgb="FF595959"/>
        <rFont val="Arial"/>
        <family val="0"/>
        <charset val="1"/>
      </rPr>
      <t xml:space="preserve">SRC_ZP_638</t>
    </r>
    <r>
      <rPr>
        <sz val="9"/>
        <color rgb="FF595959"/>
        <rFont val="Noto Sans CJK SC"/>
        <family val="2"/>
      </rPr>
      <t xml:space="preserve">／</t>
    </r>
    <r>
      <rPr>
        <sz val="9"/>
        <color rgb="FF595959"/>
        <rFont val="Arial"/>
        <family val="0"/>
        <charset val="1"/>
      </rPr>
      <t xml:space="preserve">640</t>
    </r>
    <r>
      <rPr>
        <sz val="9"/>
        <color rgb="FF595959"/>
        <rFont val="Noto Sans CJK SC"/>
        <family val="2"/>
      </rPr>
      <t xml:space="preserve">；</t>
    </r>
    <r>
      <rPr>
        <sz val="9"/>
        <color rgb="FF595959"/>
        <rFont val="Arial"/>
        <family val="0"/>
        <charset val="1"/>
      </rPr>
      <t xml:space="preserve">1H25 </t>
    </r>
    <r>
      <rPr>
        <sz val="9"/>
        <color rgb="FF595959"/>
        <rFont val="Noto Sans CJK SC"/>
        <family val="2"/>
      </rPr>
      <t xml:space="preserve">值為 </t>
    </r>
    <r>
      <rPr>
        <sz val="9"/>
        <color rgb="FF595959"/>
        <rFont val="Arial"/>
        <family val="0"/>
        <charset val="1"/>
      </rPr>
      <t xml:space="preserve">Inputs </t>
    </r>
    <r>
      <rPr>
        <sz val="9"/>
        <color rgb="FF595959"/>
        <rFont val="Noto Sans CJK SC"/>
        <family val="2"/>
      </rPr>
      <t xml:space="preserve">研發占比基準</t>
    </r>
  </si>
  <si>
    <t xml:space="preserve">G188</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</si>
  <si>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：研發項下算力服務費</t>
    </r>
  </si>
  <si>
    <t xml:space="preserve">G189</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</si>
  <si>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：營業成本中的計算服務費</t>
    </r>
  </si>
  <si>
    <t xml:space="preserve">G190</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</si>
  <si>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：銷售及營銷項下算力服務費</t>
    </r>
  </si>
  <si>
    <t xml:space="preserve">G191</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</si>
  <si>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：算力服務費合計</t>
    </r>
  </si>
  <si>
    <t xml:space="preserve">G192</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</si>
  <si>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：營業成本計算服務費占合計</t>
    </r>
  </si>
  <si>
    <t xml:space="preserve">G193</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</si>
  <si>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：研發項下算力費 </t>
    </r>
    <r>
      <rPr>
        <sz val="10"/>
        <color rgb="FF000000"/>
        <rFont val="Arial"/>
        <family val="0"/>
        <charset val="1"/>
      </rPr>
      <t xml:space="preserve">÷ </t>
    </r>
    <r>
      <rPr>
        <sz val="10"/>
        <color rgb="FF000000"/>
        <rFont val="Noto Sans CJK SC"/>
        <family val="2"/>
      </rPr>
      <t xml:space="preserve">研發開支</t>
    </r>
  </si>
  <si>
    <t xml:space="preserve">G194</t>
  </si>
  <si>
    <r>
      <rPr>
        <sz val="10"/>
        <color rgb="FF000000"/>
        <rFont val="Noto Sans CJK SC"/>
        <family val="2"/>
      </rPr>
      <t xml:space="preserve">對照：</t>
    </r>
    <r>
      <rPr>
        <sz val="10"/>
        <color rgb="FF000000"/>
        <rFont val="Arial"/>
        <family val="0"/>
        <charset val="1"/>
      </rPr>
      <t xml:space="preserve">Z3 </t>
    </r>
    <r>
      <rPr>
        <sz val="10"/>
        <color rgb="FF000000"/>
        <rFont val="Noto Sans CJK SC"/>
        <family val="2"/>
      </rPr>
      <t xml:space="preserve">占比法（研發算力費）＝研發（扣股權報酬）</t>
    </r>
    <r>
      <rPr>
        <sz val="10"/>
        <color rgb="FF000000"/>
        <rFont val="Arial"/>
        <family val="0"/>
        <charset val="1"/>
      </rPr>
      <t xml:space="preserve">× 0.707</t>
    </r>
    <r>
      <rPr>
        <sz val="10"/>
        <color rgb="FF000000"/>
        <rFont val="Noto Sans CJK SC"/>
        <family val="2"/>
      </rPr>
      <t xml:space="preserve">（</t>
    </r>
    <r>
      <rPr>
        <sz val="10"/>
        <color rgb="FF000000"/>
        <rFont val="Arial"/>
        <family val="0"/>
        <charset val="1"/>
      </rPr>
      <t xml:space="preserve">D10r</t>
    </r>
    <r>
      <rPr>
        <sz val="10"/>
        <color rgb="FF000000"/>
        <rFont val="Noto Sans CJK SC"/>
        <family val="2"/>
      </rPr>
      <t xml:space="preserve">）</t>
    </r>
  </si>
  <si>
    <r>
      <rPr>
        <sz val="9"/>
        <color rgb="FF595959"/>
        <rFont val="Arial"/>
        <family val="0"/>
        <charset val="1"/>
      </rPr>
      <t xml:space="preserve">Z3–Z5b </t>
    </r>
    <r>
      <rPr>
        <sz val="9"/>
        <color rgb="FF595959"/>
        <rFont val="Noto Sans CJK SC"/>
        <family val="2"/>
      </rPr>
      <t xml:space="preserve">基準（</t>
    </r>
    <r>
      <rPr>
        <sz val="9"/>
        <color rgb="FF595959"/>
        <rFont val="Arial"/>
        <family val="0"/>
        <charset val="1"/>
      </rPr>
      <t xml:space="preserve">D10r</t>
    </r>
    <r>
      <rPr>
        <sz val="9"/>
        <color rgb="FF595959"/>
        <rFont val="Noto Sans CJK SC"/>
        <family val="2"/>
      </rPr>
      <t xml:space="preserve">；</t>
    </r>
    <r>
      <rPr>
        <sz val="9"/>
        <color rgb="FF595959"/>
        <rFont val="Arial"/>
        <family val="0"/>
        <charset val="1"/>
      </rPr>
      <t xml:space="preserve">FY2024 70.7%</t>
    </r>
    <r>
      <rPr>
        <sz val="9"/>
        <color rgb="FF595959"/>
        <rFont val="Noto Sans CJK SC"/>
        <family val="2"/>
      </rPr>
      <t xml:space="preserve">）；</t>
    </r>
    <r>
      <rPr>
        <sz val="9"/>
        <color rgb="FF595959"/>
        <rFont val="Arial"/>
        <family val="0"/>
        <charset val="1"/>
      </rPr>
      <t xml:space="preserve">r2 P1 </t>
    </r>
    <r>
      <rPr>
        <sz val="9"/>
        <color rgb="FF595959"/>
        <rFont val="Noto Sans CJK SC"/>
        <family val="2"/>
      </rPr>
      <t xml:space="preserve">起只列</t>
    </r>
  </si>
  <si>
    <t xml:space="preserve">G195</t>
  </si>
  <si>
    <r>
      <rPr>
        <sz val="10"/>
        <color rgb="FF000000"/>
        <rFont val="Arial"/>
        <family val="0"/>
        <charset val="1"/>
      </rPr>
      <t xml:space="preserve">η </t>
    </r>
    <r>
      <rPr>
        <sz val="10"/>
        <color rgb="FF000000"/>
        <rFont val="Noto Sans CJK SC"/>
        <family val="2"/>
      </rPr>
      <t xml:space="preserve">上調前研發殘差＝供給 − </t>
    </r>
    <r>
      <rPr>
        <sz val="10"/>
        <color rgb="FF000000"/>
        <rFont val="Arial"/>
        <family val="0"/>
        <charset val="1"/>
      </rPr>
      <t xml:space="preserve">token </t>
    </r>
    <r>
      <rPr>
        <sz val="10"/>
        <color rgb="FF000000"/>
        <rFont val="Noto Sans CJK SC"/>
        <family val="2"/>
      </rPr>
      <t xml:space="preserve">換算 </t>
    </r>
    <r>
      <rPr>
        <sz val="10"/>
        <color rgb="FF000000"/>
        <rFont val="Arial"/>
        <family val="0"/>
        <charset val="1"/>
      </rPr>
      <t xml:space="preserve">GW ÷ η </t>
    </r>
    <r>
      <rPr>
        <sz val="10"/>
        <color rgb="FF000000"/>
        <rFont val="Noto Sans CJK SC"/>
        <family val="2"/>
      </rPr>
      <t xml:space="preserve">基準</t>
    </r>
  </si>
  <si>
    <r>
      <rPr>
        <sz val="9"/>
        <color rgb="FF595959"/>
        <rFont val="Noto Sans CJK SC"/>
        <family val="2"/>
      </rPr>
      <t xml:space="preserve">負＝以 </t>
    </r>
    <r>
      <rPr>
        <sz val="9"/>
        <color rgb="FF595959"/>
        <rFont val="Arial"/>
        <family val="0"/>
        <charset val="1"/>
      </rPr>
      <t xml:space="preserve">TK </t>
    </r>
    <r>
      <rPr>
        <sz val="9"/>
        <color rgb="FF595959"/>
        <rFont val="Noto Sans CJK SC"/>
        <family val="2"/>
      </rPr>
      <t xml:space="preserve">物理計，</t>
    </r>
    <r>
      <rPr>
        <sz val="9"/>
        <color rgb="FF595959"/>
        <rFont val="Arial"/>
        <family val="0"/>
        <charset val="1"/>
      </rPr>
      <t xml:space="preserve">token </t>
    </r>
    <r>
      <rPr>
        <sz val="9"/>
        <color rgb="FF595959"/>
        <rFont val="Noto Sans CJK SC"/>
        <family val="2"/>
      </rPr>
      <t xml:space="preserve">已超過全部供給</t>
    </r>
  </si>
  <si>
    <t xml:space="preserve">G196</t>
  </si>
  <si>
    <r>
      <rPr>
        <sz val="10"/>
        <color rgb="FF000000"/>
        <rFont val="Arial"/>
        <family val="0"/>
        <charset val="1"/>
      </rPr>
      <t xml:space="preserve">η </t>
    </r>
    <r>
      <rPr>
        <sz val="10"/>
        <color rgb="FF000000"/>
        <rFont val="Noto Sans CJK SC"/>
        <family val="2"/>
      </rPr>
      <t xml:space="preserve">上調前研發殘差占供給</t>
    </r>
  </si>
  <si>
    <r>
      <rPr>
        <sz val="9"/>
        <color rgb="FF595959"/>
        <rFont val="Arial"/>
        <family val="0"/>
        <charset val="1"/>
      </rPr>
      <t xml:space="preserve">&lt; </t>
    </r>
    <r>
      <rPr>
        <sz val="9"/>
        <color rgb="FF595959"/>
        <rFont val="Noto Sans CJK SC"/>
        <family val="2"/>
      </rPr>
      <t xml:space="preserve">訓練最低占比 → </t>
    </r>
    <r>
      <rPr>
        <sz val="9"/>
        <color rgb="FF595959"/>
        <rFont val="Arial"/>
        <family val="0"/>
        <charset val="1"/>
      </rPr>
      <t xml:space="preserve">η </t>
    </r>
    <r>
      <rPr>
        <sz val="9"/>
        <color rgb="FF595959"/>
        <rFont val="Noto Sans CJK SC"/>
        <family val="2"/>
      </rPr>
      <t xml:space="preserve">上調（</t>
    </r>
    <r>
      <rPr>
        <sz val="9"/>
        <color rgb="FF595959"/>
        <rFont val="Arial"/>
        <family val="0"/>
        <charset val="1"/>
      </rPr>
      <t xml:space="preserve">WARN</t>
    </r>
    <r>
      <rPr>
        <sz val="9"/>
        <color rgb="FF595959"/>
        <rFont val="Noto Sans CJK SC"/>
        <family val="2"/>
      </rPr>
      <t xml:space="preserve">）</t>
    </r>
  </si>
  <si>
    <t xml:space="preserve">G197</t>
  </si>
  <si>
    <r>
      <rPr>
        <sz val="10"/>
        <color rgb="FF000000"/>
        <rFont val="Arial"/>
        <family val="0"/>
        <charset val="1"/>
      </rPr>
      <t xml:space="preserve">η </t>
    </r>
    <r>
      <rPr>
        <sz val="10"/>
        <color rgb="FF000000"/>
        <rFont val="Noto Sans CJK SC"/>
        <family val="2"/>
      </rPr>
      <t xml:space="preserve">上調旗標（</t>
    </r>
    <r>
      <rPr>
        <sz val="10"/>
        <color rgb="FF000000"/>
        <rFont val="Arial"/>
        <family val="0"/>
        <charset val="1"/>
      </rPr>
      <t xml:space="preserve">1</t>
    </r>
    <r>
      <rPr>
        <sz val="10"/>
        <color rgb="FF000000"/>
        <rFont val="Noto Sans CJK SC"/>
        <family val="2"/>
      </rPr>
      <t xml:space="preserve">＝殘差觸及訓練最低占比、</t>
    </r>
    <r>
      <rPr>
        <sz val="10"/>
        <color rgb="FF000000"/>
        <rFont val="Arial"/>
        <family val="0"/>
        <charset val="1"/>
      </rPr>
      <t xml:space="preserve">η </t>
    </r>
    <r>
      <rPr>
        <sz val="10"/>
        <color rgb="FF000000"/>
        <rFont val="Noto Sans CJK SC"/>
        <family val="2"/>
      </rPr>
      <t xml:space="preserve">高於基準）</t>
    </r>
  </si>
  <si>
    <r>
      <rPr>
        <sz val="9"/>
        <color rgb="FF595959"/>
        <rFont val="Arial"/>
        <family val="0"/>
        <charset val="1"/>
      </rPr>
      <t xml:space="preserve">Checks WARN</t>
    </r>
    <r>
      <rPr>
        <sz val="9"/>
        <color rgb="FF595959"/>
        <rFont val="Noto Sans CJK SC"/>
        <family val="2"/>
      </rPr>
      <t xml:space="preserve">；舊法開關＝</t>
    </r>
    <r>
      <rPr>
        <sz val="9"/>
        <color rgb="FF595959"/>
        <rFont val="Arial"/>
        <family val="0"/>
        <charset val="1"/>
      </rPr>
      <t xml:space="preserve">1 </t>
    </r>
    <r>
      <rPr>
        <sz val="9"/>
        <color rgb="FF595959"/>
        <rFont val="Noto Sans CJK SC"/>
        <family val="2"/>
      </rPr>
      <t xml:space="preserve">時為 </t>
    </r>
    <r>
      <rPr>
        <sz val="9"/>
        <color rgb="FF595959"/>
        <rFont val="Arial"/>
        <family val="0"/>
        <charset val="1"/>
      </rPr>
      <t xml:space="preserve">0</t>
    </r>
  </si>
  <si>
    <t xml:space="preserve">G198</t>
  </si>
  <si>
    <r>
      <rPr>
        <sz val="10"/>
        <color rgb="FF000000"/>
        <rFont val="Noto Sans CJK SC"/>
        <family val="2"/>
      </rPr>
      <t xml:space="preserve">舊法（</t>
    </r>
    <r>
      <rPr>
        <sz val="10"/>
        <color rgb="FF000000"/>
        <rFont val="Arial"/>
        <family val="0"/>
        <charset val="1"/>
      </rPr>
      <t xml:space="preserve">D8r</t>
    </r>
    <r>
      <rPr>
        <sz val="10"/>
        <color rgb="FF000000"/>
        <rFont val="Noto Sans CJK SC"/>
        <family val="2"/>
      </rPr>
      <t xml:space="preserve">）：</t>
    </r>
    <r>
      <rPr>
        <sz val="10"/>
        <color rgb="FF000000"/>
        <rFont val="Arial"/>
        <family val="0"/>
        <charset val="1"/>
      </rPr>
      <t xml:space="preserve">η</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 </t>
    </r>
    <r>
      <rPr>
        <sz val="10"/>
        <color rgb="FF000000"/>
        <rFont val="Arial"/>
        <family val="0"/>
        <charset val="1"/>
      </rPr>
      <t xml:space="preserve">GW ÷ API </t>
    </r>
    <r>
      <rPr>
        <sz val="10"/>
        <color rgb="FF000000"/>
        <rFont val="Noto Sans CJK SC"/>
        <family val="2"/>
      </rPr>
      <t xml:space="preserve">銷售成本換算 </t>
    </r>
    <r>
      <rPr>
        <sz val="10"/>
        <color rgb="FF000000"/>
        <rFont val="Arial"/>
        <family val="0"/>
        <charset val="1"/>
      </rPr>
      <t xml:space="preserve">GW</t>
    </r>
  </si>
  <si>
    <r>
      <rPr>
        <sz val="9"/>
        <color rgb="FF595959"/>
        <rFont val="Arial"/>
        <family val="0"/>
        <charset val="1"/>
      </rPr>
      <t xml:space="preserve">Z3b–Z5b </t>
    </r>
    <r>
      <rPr>
        <sz val="9"/>
        <color rgb="FF595959"/>
        <rFont val="Noto Sans CJK SC"/>
        <family val="2"/>
      </rPr>
      <t xml:space="preserve">基準 </t>
    </r>
    <r>
      <rPr>
        <sz val="9"/>
        <color rgb="FF595959"/>
        <rFont val="Arial"/>
        <family val="0"/>
        <charset val="1"/>
      </rPr>
      <t xml:space="preserve">η</t>
    </r>
    <r>
      <rPr>
        <sz val="9"/>
        <color rgb="FF595959"/>
        <rFont val="Noto Sans CJK SC"/>
        <family val="2"/>
      </rPr>
      <t xml:space="preserve">（</t>
    </r>
    <r>
      <rPr>
        <sz val="9"/>
        <color rgb="FF595959"/>
        <rFont val="Arial"/>
        <family val="0"/>
        <charset val="1"/>
      </rPr>
      <t xml:space="preserve">η </t>
    </r>
    <r>
      <rPr>
        <sz val="9"/>
        <color rgb="FF595959"/>
        <rFont val="Noto Sans CJK SC"/>
        <family val="2"/>
      </rPr>
      <t xml:space="preserve">開關＝</t>
    </r>
    <r>
      <rPr>
        <sz val="9"/>
        <color rgb="FF595959"/>
        <rFont val="Arial"/>
        <family val="0"/>
        <charset val="1"/>
      </rPr>
      <t xml:space="preserve">1 </t>
    </r>
    <r>
      <rPr>
        <sz val="9"/>
        <color rgb="FF595959"/>
        <rFont val="Noto Sans CJK SC"/>
        <family val="2"/>
      </rPr>
      <t xml:space="preserve">時第七節採用）</t>
    </r>
  </si>
  <si>
    <t xml:space="preserve">G199</t>
  </si>
  <si>
    <r>
      <rPr>
        <sz val="10"/>
        <color rgb="FF000000"/>
        <rFont val="Noto Sans CJK SC"/>
        <family val="2"/>
      </rPr>
      <t xml:space="preserve">舊法（</t>
    </r>
    <r>
      <rPr>
        <sz val="10"/>
        <color rgb="FF000000"/>
        <rFont val="Arial"/>
        <family val="0"/>
        <charset val="1"/>
      </rPr>
      <t xml:space="preserve">D8r</t>
    </r>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API </t>
    </r>
    <r>
      <rPr>
        <sz val="10"/>
        <color rgb="FF000000"/>
        <rFont val="Noto Sans CJK SC"/>
        <family val="2"/>
      </rPr>
      <t xml:space="preserve">銷售成本換算 </t>
    </r>
    <r>
      <rPr>
        <sz val="10"/>
        <color rgb="FF000000"/>
        <rFont val="Arial"/>
        <family val="0"/>
        <charset val="1"/>
      </rPr>
      <t xml:space="preserve">GW</t>
    </r>
  </si>
  <si>
    <t xml:space="preserve">G200</t>
  </si>
  <si>
    <r>
      <rPr>
        <sz val="10"/>
        <color rgb="FF000000"/>
        <rFont val="Noto Sans CJK SC"/>
        <family val="2"/>
      </rPr>
      <t xml:space="preserve">舊法（</t>
    </r>
    <r>
      <rPr>
        <sz val="10"/>
        <color rgb="FF000000"/>
        <rFont val="Arial"/>
        <family val="0"/>
        <charset val="1"/>
      </rPr>
      <t xml:space="preserve">D8r</t>
    </r>
    <r>
      <rPr>
        <sz val="10"/>
        <color rgb="FF000000"/>
        <rFont val="Noto Sans CJK SC"/>
        <family val="2"/>
      </rPr>
      <t xml:space="preserve">）：研發 </t>
    </r>
    <r>
      <rPr>
        <sz val="10"/>
        <color rgb="FF000000"/>
        <rFont val="Arial"/>
        <family val="0"/>
        <charset val="1"/>
      </rPr>
      <t xml:space="preserve">GW</t>
    </r>
    <r>
      <rPr>
        <sz val="10"/>
        <color rgb="FF000000"/>
        <rFont val="Noto Sans CJK SC"/>
        <family val="2"/>
      </rPr>
      <t xml:space="preserve">＝供給 − 推論</t>
    </r>
  </si>
  <si>
    <r>
      <rPr>
        <sz val="9"/>
        <color rgb="FF595959"/>
        <rFont val="Noto Sans CJK SC"/>
        <family val="2"/>
      </rPr>
      <t xml:space="preserve">供給同第八節（</t>
    </r>
    <r>
      <rPr>
        <sz val="9"/>
        <color rgb="FF595959"/>
        <rFont val="Arial"/>
        <family val="0"/>
        <charset val="1"/>
      </rPr>
      <t xml:space="preserve">r2 P1 </t>
    </r>
    <r>
      <rPr>
        <sz val="9"/>
        <color rgb="FF595959"/>
        <rFont val="Noto Sans CJK SC"/>
        <family val="2"/>
      </rPr>
      <t xml:space="preserve">總算力費 </t>
    </r>
    <r>
      <rPr>
        <sz val="9"/>
        <color rgb="FF595959"/>
        <rFont val="Arial"/>
        <family val="0"/>
        <charset val="1"/>
      </rPr>
      <t xml:space="preserve">÷ </t>
    </r>
    <r>
      <rPr>
        <sz val="9"/>
        <color rgb="FF595959"/>
        <rFont val="Noto Sans CJK SC"/>
        <family val="2"/>
      </rPr>
      <t xml:space="preserve">價格）</t>
    </r>
  </si>
  <si>
    <t xml:space="preserve">G201</t>
  </si>
  <si>
    <r>
      <rPr>
        <sz val="10"/>
        <color rgb="FF000000"/>
        <rFont val="Noto Sans CJK SC"/>
        <family val="2"/>
      </rPr>
      <t xml:space="preserve">舊法（</t>
    </r>
    <r>
      <rPr>
        <sz val="10"/>
        <color rgb="FF000000"/>
        <rFont val="Arial"/>
        <family val="0"/>
        <charset val="1"/>
      </rPr>
      <t xml:space="preserve">D8r</t>
    </r>
    <r>
      <rPr>
        <sz val="10"/>
        <color rgb="FF000000"/>
        <rFont val="Noto Sans CJK SC"/>
        <family val="2"/>
      </rPr>
      <t xml:space="preserve">）：研發占供給</t>
    </r>
  </si>
  <si>
    <r>
      <rPr>
        <sz val="9"/>
        <color rgb="FF595959"/>
        <rFont val="Arial"/>
        <family val="0"/>
        <charset val="1"/>
      </rPr>
      <t xml:space="preserve">Z3–Z5b </t>
    </r>
    <r>
      <rPr>
        <sz val="9"/>
        <color rgb="FF595959"/>
        <rFont val="Noto Sans CJK SC"/>
        <family val="2"/>
      </rPr>
      <t xml:space="preserve">的研發占比起點（會計科目）</t>
    </r>
  </si>
  <si>
    <r>
      <rPr>
        <b val="true"/>
        <sz val="13"/>
        <rFont val="Arial"/>
        <family val="0"/>
        <charset val="1"/>
      </rPr>
      <t xml:space="preserve">Cost — </t>
    </r>
    <r>
      <rPr>
        <b val="true"/>
        <sz val="13"/>
        <rFont val="Noto Sans CJK SC"/>
        <family val="2"/>
      </rPr>
      <t xml:space="preserve">成本與命題表：算力成本（</t>
    </r>
    <r>
      <rPr>
        <b val="true"/>
        <sz val="13"/>
        <rFont val="Arial"/>
        <family val="0"/>
        <charset val="1"/>
      </rPr>
      <t xml:space="preserve">2025</t>
    </r>
    <r>
      <rPr>
        <b val="true"/>
        <sz val="13"/>
        <rFont val="Noto Sans CJK SC"/>
        <family val="2"/>
      </rPr>
      <t xml:space="preserve">、</t>
    </r>
    <r>
      <rPr>
        <b val="true"/>
        <sz val="13"/>
        <rFont val="Arial"/>
        <family val="0"/>
        <charset val="1"/>
      </rPr>
      <t xml:space="preserve">1H26</t>
    </r>
    <r>
      <rPr>
        <b val="true"/>
        <sz val="13"/>
        <rFont val="Noto Sans CJK SC"/>
        <family val="2"/>
      </rPr>
      <t xml:space="preserve">＝算力服務費實付；之後＝租用 </t>
    </r>
    <r>
      <rPr>
        <b val="true"/>
        <sz val="13"/>
        <rFont val="Arial"/>
        <family val="0"/>
        <charset val="1"/>
      </rPr>
      <t xml:space="preserve">GW × </t>
    </r>
    <r>
      <rPr>
        <b val="true"/>
        <sz val="13"/>
        <rFont val="Noto Sans CJK SC"/>
        <family val="2"/>
      </rPr>
      <t xml:space="preserve">每 </t>
    </r>
    <r>
      <rPr>
        <b val="true"/>
        <sz val="13"/>
        <rFont val="Arial"/>
        <family val="0"/>
        <charset val="1"/>
      </rPr>
      <t xml:space="preserve">GW </t>
    </r>
    <r>
      <rPr>
        <b val="true"/>
        <sz val="13"/>
        <rFont val="Noto Sans CJK SC"/>
        <family val="2"/>
      </rPr>
      <t xml:space="preserve">價格＋自有資本支出）、供應商持有成本與雲端毛利、本地化部署交付成本、非算力成本、股權報酬、每 </t>
    </r>
    <r>
      <rPr>
        <b val="true"/>
        <sz val="13"/>
        <rFont val="Arial"/>
        <family val="0"/>
        <charset val="1"/>
      </rPr>
      <t xml:space="preserve">VR </t>
    </r>
    <r>
      <rPr>
        <b val="true"/>
        <sz val="13"/>
        <rFont val="Noto Sans CJK SC"/>
        <family val="2"/>
      </rPr>
      <t xml:space="preserve">等值 </t>
    </r>
    <r>
      <rPr>
        <b val="true"/>
        <sz val="13"/>
        <rFont val="Arial"/>
        <family val="0"/>
        <charset val="1"/>
      </rPr>
      <t xml:space="preserve">GW </t>
    </r>
    <r>
      <rPr>
        <b val="true"/>
        <sz val="13"/>
        <rFont val="Noto Sans CJK SC"/>
        <family val="2"/>
      </rPr>
      <t xml:space="preserve">命題表（人民幣與美元）</t>
    </r>
  </si>
  <si>
    <r>
      <rPr>
        <sz val="9"/>
        <color rgb="FF595959"/>
        <rFont val="Noto Sans CJK SC"/>
        <family val="2"/>
      </rPr>
      <t xml:space="preserve">規格 </t>
    </r>
    <r>
      <rPr>
        <sz val="9"/>
        <color rgb="FF595959"/>
        <rFont val="Arial"/>
        <family val="0"/>
        <charset val="1"/>
      </rPr>
      <t xml:space="preserve">D4</t>
    </r>
    <r>
      <rPr>
        <sz val="9"/>
        <color rgb="FF595959"/>
        <rFont val="Noto Sans CJK SC"/>
        <family val="2"/>
      </rPr>
      <t xml:space="preserve">、</t>
    </r>
    <r>
      <rPr>
        <sz val="9"/>
        <color rgb="FF595959"/>
        <rFont val="Arial"/>
        <family val="0"/>
        <charset val="1"/>
      </rPr>
      <t xml:space="preserve">D10</t>
    </r>
    <r>
      <rPr>
        <sz val="9"/>
        <color rgb="FF595959"/>
        <rFont val="Noto Sans CJK SC"/>
        <family val="2"/>
      </rPr>
      <t xml:space="preserve">、</t>
    </r>
    <r>
      <rPr>
        <sz val="9"/>
        <color rgb="FF595959"/>
        <rFont val="Arial"/>
        <family val="0"/>
        <charset val="1"/>
      </rPr>
      <t xml:space="preserve">D11r</t>
    </r>
    <r>
      <rPr>
        <sz val="9"/>
        <color rgb="FF595959"/>
        <rFont val="Noto Sans CJK SC"/>
        <family val="2"/>
      </rPr>
      <t xml:space="preserve">、</t>
    </r>
    <r>
      <rPr>
        <sz val="9"/>
        <color rgb="FF595959"/>
        <rFont val="Arial"/>
        <family val="0"/>
        <charset val="1"/>
      </rPr>
      <t xml:space="preserve">D13</t>
    </r>
    <r>
      <rPr>
        <sz val="9"/>
        <color rgb="FF595959"/>
        <rFont val="Noto Sans CJK SC"/>
        <family val="2"/>
      </rPr>
      <t xml:space="preserve">、</t>
    </r>
    <r>
      <rPr>
        <sz val="9"/>
        <color rgb="FF595959"/>
        <rFont val="Arial"/>
        <family val="0"/>
        <charset val="1"/>
      </rPr>
      <t xml:space="preserve">D23</t>
    </r>
    <r>
      <rPr>
        <sz val="9"/>
        <color rgb="FF595959"/>
        <rFont val="Noto Sans CJK SC"/>
        <family val="2"/>
      </rPr>
      <t xml:space="preserve">。全成本＝算力成本＋本地化部署交付成本＋非算力成本（不含股權報酬）＋股權報酬（命題含股權報酬，較保守；另列不含者）。</t>
    </r>
    <r>
      <rPr>
        <sz val="9"/>
        <color rgb="FF595959"/>
        <rFont val="Arial"/>
        <family val="0"/>
        <charset val="1"/>
      </rPr>
      <t xml:space="preserve">2025 </t>
    </r>
    <r>
      <rPr>
        <sz val="9"/>
        <color rgb="FF595959"/>
        <rFont val="Noto Sans CJK SC"/>
        <family val="2"/>
      </rPr>
      <t xml:space="preserve">全成本對財報（銷售成本＋研發＋銷售＋管理）差距＝</t>
    </r>
    <r>
      <rPr>
        <sz val="9"/>
        <color rgb="FF595959"/>
        <rFont val="Arial"/>
        <family val="0"/>
        <charset val="1"/>
      </rPr>
      <t xml:space="preserve">0</t>
    </r>
    <r>
      <rPr>
        <sz val="9"/>
        <color rgb="FF595959"/>
        <rFont val="Noto Sans CJK SC"/>
        <family val="2"/>
      </rPr>
      <t xml:space="preserve">（非算力成本為財報減項的殘差）。</t>
    </r>
  </si>
  <si>
    <r>
      <rPr>
        <sz val="9"/>
        <color rgb="FF595959"/>
        <rFont val="Noto Sans CJK SC"/>
        <family val="2"/>
      </rPr>
      <t xml:space="preserve">金額 </t>
    </r>
    <r>
      <rPr>
        <sz val="9"/>
        <color rgb="FF595959"/>
        <rFont val="Arial"/>
        <family val="0"/>
        <charset val="1"/>
      </rPr>
      <t xml:space="preserve">RMB </t>
    </r>
    <r>
      <rPr>
        <sz val="9"/>
        <color rgb="FF595959"/>
        <rFont val="Noto Sans CJK SC"/>
        <family val="2"/>
      </rPr>
      <t xml:space="preserve">億；命題表 </t>
    </r>
    <r>
      <rPr>
        <sz val="9"/>
        <color rgb="FF595959"/>
        <rFont val="Arial"/>
        <family val="0"/>
        <charset val="1"/>
      </rPr>
      <t xml:space="preserve">RMB </t>
    </r>
    <r>
      <rPr>
        <sz val="9"/>
        <color rgb="FF595959"/>
        <rFont val="Noto Sans CJK SC"/>
        <family val="2"/>
      </rPr>
      <t xml:space="preserve">億／</t>
    </r>
    <r>
      <rPr>
        <sz val="9"/>
        <color rgb="FF595959"/>
        <rFont val="Arial"/>
        <family val="0"/>
        <charset val="1"/>
      </rPr>
      <t xml:space="preserve">VR </t>
    </r>
    <r>
      <rPr>
        <sz val="9"/>
        <color rgb="FF595959"/>
        <rFont val="Noto Sans CJK SC"/>
        <family val="2"/>
      </rPr>
      <t xml:space="preserve">等值 </t>
    </r>
    <r>
      <rPr>
        <sz val="9"/>
        <color rgb="FF595959"/>
        <rFont val="Arial"/>
        <family val="0"/>
        <charset val="1"/>
      </rPr>
      <t xml:space="preserve">GW</t>
    </r>
    <r>
      <rPr>
        <sz val="9"/>
        <color rgb="FF595959"/>
        <rFont val="Noto Sans CJK SC"/>
        <family val="2"/>
      </rPr>
      <t xml:space="preserve">／年，美元口徑 </t>
    </r>
    <r>
      <rPr>
        <sz val="9"/>
        <color rgb="FF595959"/>
        <rFont val="Arial"/>
        <family val="0"/>
        <charset val="1"/>
      </rPr>
      <t xml:space="preserve">$B</t>
    </r>
    <r>
      <rPr>
        <sz val="9"/>
        <color rgb="FF595959"/>
        <rFont val="Noto Sans CJK SC"/>
        <family val="2"/>
      </rPr>
      <t xml:space="preserve">／</t>
    </r>
    <r>
      <rPr>
        <sz val="9"/>
        <color rgb="FF595959"/>
        <rFont val="Arial"/>
        <family val="0"/>
        <charset val="1"/>
      </rPr>
      <t xml:space="preserve">VR </t>
    </r>
    <r>
      <rPr>
        <sz val="9"/>
        <color rgb="FF595959"/>
        <rFont val="Noto Sans CJK SC"/>
        <family val="2"/>
      </rPr>
      <t xml:space="preserve">等值 </t>
    </r>
    <r>
      <rPr>
        <sz val="9"/>
        <color rgb="FF595959"/>
        <rFont val="Arial"/>
        <family val="0"/>
        <charset val="1"/>
      </rPr>
      <t xml:space="preserve">GW</t>
    </r>
    <r>
      <rPr>
        <sz val="9"/>
        <color rgb="FF595959"/>
        <rFont val="Noto Sans CJK SC"/>
        <family val="2"/>
      </rPr>
      <t xml:space="preserve">／年（</t>
    </r>
    <r>
      <rPr>
        <sz val="9"/>
        <color rgb="FF595959"/>
        <rFont val="Arial"/>
        <family val="0"/>
        <charset val="1"/>
      </rPr>
      <t xml:space="preserve">÷ USD/CNY ÷ 10</t>
    </r>
    <r>
      <rPr>
        <sz val="9"/>
        <color rgb="FF595959"/>
        <rFont val="Noto Sans CJK SC"/>
        <family val="2"/>
      </rPr>
      <t xml:space="preserve">）。</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E</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t>
    </r>
  </si>
  <si>
    <r>
      <rPr>
        <b val="true"/>
        <sz val="10"/>
        <rFont val="Noto Sans CJK SC"/>
        <family val="2"/>
      </rPr>
      <t xml:space="preserve">一、算力成本（</t>
    </r>
    <r>
      <rPr>
        <b val="true"/>
        <sz val="10"/>
        <rFont val="Arial"/>
        <family val="0"/>
        <charset val="1"/>
      </rPr>
      <t xml:space="preserve">D10</t>
    </r>
    <r>
      <rPr>
        <b val="true"/>
        <sz val="10"/>
        <rFont val="Noto Sans CJK SC"/>
        <family val="2"/>
      </rPr>
      <t xml:space="preserve">）：</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＝算力服務費實付（</t>
    </r>
    <r>
      <rPr>
        <b val="true"/>
        <sz val="10"/>
        <rFont val="Arial"/>
        <family val="0"/>
        <charset val="1"/>
      </rPr>
      <t xml:space="preserve">Compute </t>
    </r>
    <r>
      <rPr>
        <b val="true"/>
        <sz val="10"/>
        <rFont val="Noto Sans CJK SC"/>
        <family val="2"/>
      </rPr>
      <t xml:space="preserve">第五節）；</t>
    </r>
    <r>
      <rPr>
        <b val="true"/>
        <sz val="10"/>
        <rFont val="Arial"/>
        <family val="0"/>
        <charset val="1"/>
      </rPr>
      <t xml:space="preserve">2H26 </t>
    </r>
    <r>
      <rPr>
        <b val="true"/>
        <sz val="10"/>
        <rFont val="Noto Sans CJK SC"/>
        <family val="2"/>
      </rPr>
      <t xml:space="preserve">起＝租用 </t>
    </r>
    <r>
      <rPr>
        <b val="true"/>
        <sz val="10"/>
        <rFont val="Arial"/>
        <family val="0"/>
        <charset val="1"/>
      </rPr>
      <t xml:space="preserve">GW × </t>
    </r>
    <r>
      <rPr>
        <b val="true"/>
        <sz val="10"/>
        <rFont val="Noto Sans CJK SC"/>
        <family val="2"/>
      </rPr>
      <t xml:space="preserve">每 </t>
    </r>
    <r>
      <rPr>
        <b val="true"/>
        <sz val="10"/>
        <rFont val="Arial"/>
        <family val="0"/>
        <charset val="1"/>
      </rPr>
      <t xml:space="preserve">GW </t>
    </r>
    <r>
      <rPr>
        <b val="true"/>
        <sz val="10"/>
        <rFont val="Noto Sans CJK SC"/>
        <family val="2"/>
      </rPr>
      <t xml:space="preserve">價格 </t>
    </r>
    <r>
      <rPr>
        <b val="true"/>
        <sz val="10"/>
        <rFont val="Arial"/>
        <family val="0"/>
        <charset val="1"/>
      </rPr>
      <t xml:space="preserve">× </t>
    </r>
    <r>
      <rPr>
        <b val="true"/>
        <sz val="10"/>
        <rFont val="Noto Sans CJK SC"/>
        <family val="2"/>
      </rPr>
      <t xml:space="preserve">期間比例＋自有資本支出</t>
    </r>
  </si>
  <si>
    <t xml:space="preserve">K01</t>
  </si>
  <si>
    <t xml:space="preserve">營業成本中的計算服務費（實付推估）</t>
  </si>
  <si>
    <r>
      <rPr>
        <sz val="9"/>
        <color rgb="FF595959"/>
        <rFont val="Arial"/>
        <family val="0"/>
        <charset val="1"/>
      </rPr>
      <t xml:space="preserve">r2 P1</t>
    </r>
    <r>
      <rPr>
        <sz val="9"/>
        <color rgb="FF595959"/>
        <rFont val="Noto Sans CJK SC"/>
        <family val="2"/>
      </rPr>
      <t xml:space="preserve">：不再等於推論支出</t>
    </r>
  </si>
  <si>
    <t xml:space="preserve">K02</t>
  </si>
  <si>
    <t xml:space="preserve">研發項下算力服務費（實付推估）</t>
  </si>
  <si>
    <r>
      <rPr>
        <sz val="9"/>
        <color rgb="FF595959"/>
        <rFont val="Arial"/>
        <family val="0"/>
        <charset val="1"/>
      </rPr>
      <t xml:space="preserve">r2 P1</t>
    </r>
    <r>
      <rPr>
        <sz val="9"/>
        <color rgb="FF595959"/>
        <rFont val="Noto Sans CJK SC"/>
        <family val="2"/>
      </rPr>
      <t xml:space="preserve">：研發開支 </t>
    </r>
    <r>
      <rPr>
        <sz val="9"/>
        <color rgb="FF595959"/>
        <rFont val="Arial"/>
        <family val="0"/>
        <charset val="1"/>
      </rPr>
      <t xml:space="preserve">× 71.8%</t>
    </r>
    <r>
      <rPr>
        <sz val="9"/>
        <color rgb="FF595959"/>
        <rFont val="Noto Sans CJK SC"/>
        <family val="2"/>
      </rPr>
      <t xml:space="preserve">；含推理</t>
    </r>
  </si>
  <si>
    <t xml:space="preserve">K03</t>
  </si>
  <si>
    <t xml:space="preserve">算力服務費（租用）</t>
  </si>
  <si>
    <r>
      <rPr>
        <sz val="9"/>
        <color rgb="FF595959"/>
        <rFont val="Arial"/>
        <family val="0"/>
        <charset val="1"/>
      </rPr>
      <t xml:space="preserve">2H26 </t>
    </r>
    <r>
      <rPr>
        <sz val="9"/>
        <color rgb="FF595959"/>
        <rFont val="Noto Sans CJK SC"/>
        <family val="2"/>
      </rPr>
      <t xml:space="preserve">起＝租用 </t>
    </r>
    <r>
      <rPr>
        <sz val="9"/>
        <color rgb="FF595959"/>
        <rFont val="Arial"/>
        <family val="0"/>
        <charset val="1"/>
      </rPr>
      <t xml:space="preserve">GW ×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年價格 </t>
    </r>
    <r>
      <rPr>
        <sz val="9"/>
        <color rgb="FF595959"/>
        <rFont val="Arial"/>
        <family val="0"/>
        <charset val="1"/>
      </rPr>
      <t xml:space="preserve">× </t>
    </r>
    <r>
      <rPr>
        <sz val="9"/>
        <color rgb="FF595959"/>
        <rFont val="Noto Sans CJK SC"/>
        <family val="2"/>
      </rPr>
      <t xml:space="preserve">期間比例</t>
    </r>
  </si>
  <si>
    <t xml:space="preserve">K04</t>
  </si>
  <si>
    <t xml:space="preserve">自有資本支出（現金）</t>
  </si>
  <si>
    <r>
      <rPr>
        <sz val="9"/>
        <color rgb="FF595959"/>
        <rFont val="Arial"/>
        <family val="0"/>
        <charset val="1"/>
      </rPr>
      <t xml:space="preserve">Compute </t>
    </r>
    <r>
      <rPr>
        <sz val="9"/>
        <color rgb="FF595959"/>
        <rFont val="Noto Sans CJK SC"/>
        <family val="2"/>
      </rPr>
      <t xml:space="preserve">第八節（</t>
    </r>
    <r>
      <rPr>
        <sz val="9"/>
        <color rgb="FF595959"/>
        <rFont val="Arial"/>
        <family val="0"/>
        <charset val="1"/>
      </rPr>
      <t xml:space="preserve">D11r</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t>
    </r>
  </si>
  <si>
    <t xml:space="preserve">K05</t>
  </si>
  <si>
    <t xml:space="preserve">算力成本（現金口徑）＝租用＋自有資本支出＋自有營運費用</t>
  </si>
  <si>
    <r>
      <rPr>
        <sz val="9"/>
        <color rgb="FF595959"/>
        <rFont val="Noto Sans CJK SC"/>
        <family val="2"/>
      </rPr>
      <t xml:space="preserve">命題輸出基準；</t>
    </r>
    <r>
      <rPr>
        <sz val="9"/>
        <color rgb="FF595959"/>
        <rFont val="Arial"/>
        <family val="0"/>
        <charset val="1"/>
      </rPr>
      <t xml:space="preserve">Z5b V2</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起＋自有算力營運費用（第十節）</t>
    </r>
  </si>
  <si>
    <t xml:space="preserve">K06</t>
  </si>
  <si>
    <t xml:space="preserve">算力成本拆分：推論</t>
  </si>
  <si>
    <r>
      <rPr>
        <sz val="9"/>
        <color rgb="FF595959"/>
        <rFont val="Noto Sans CJK SC"/>
        <family val="2"/>
      </rPr>
      <t xml:space="preserve">依 </t>
    </r>
    <r>
      <rPr>
        <sz val="9"/>
        <color rgb="FF595959"/>
        <rFont val="Arial"/>
        <family val="0"/>
        <charset val="1"/>
      </rPr>
      <t xml:space="preserve">GW </t>
    </r>
    <r>
      <rPr>
        <sz val="9"/>
        <color rgb="FF595959"/>
        <rFont val="Noto Sans CJK SC"/>
        <family val="2"/>
      </rPr>
      <t xml:space="preserve">占比拆分（</t>
    </r>
    <r>
      <rPr>
        <sz val="9"/>
        <color rgb="FF595959"/>
        <rFont val="Arial"/>
        <family val="0"/>
        <charset val="1"/>
      </rPr>
      <t xml:space="preserve">r2 P1</t>
    </r>
    <r>
      <rPr>
        <sz val="9"/>
        <color rgb="FF595959"/>
        <rFont val="Noto Sans CJK SC"/>
        <family val="2"/>
      </rPr>
      <t xml:space="preserve">：校準期也依 </t>
    </r>
    <r>
      <rPr>
        <sz val="9"/>
        <color rgb="FF595959"/>
        <rFont val="Arial"/>
        <family val="0"/>
        <charset val="1"/>
      </rPr>
      <t xml:space="preserve">GW </t>
    </r>
    <r>
      <rPr>
        <sz val="9"/>
        <color rgb="FF595959"/>
        <rFont val="Noto Sans CJK SC"/>
        <family val="2"/>
      </rPr>
      <t xml:space="preserve">占比，不再等於會計科目）；供給為 </t>
    </r>
    <r>
      <rPr>
        <sz val="9"/>
        <color rgb="FF595959"/>
        <rFont val="Arial"/>
        <family val="0"/>
        <charset val="1"/>
      </rPr>
      <t xml:space="preserve">0 </t>
    </r>
    <r>
      <rPr>
        <sz val="9"/>
        <color rgb="FF595959"/>
        <rFont val="Noto Sans CJK SC"/>
        <family val="2"/>
      </rPr>
      <t xml:space="preserve">時顯示 </t>
    </r>
    <r>
      <rPr>
        <sz val="9"/>
        <color rgb="FF595959"/>
        <rFont val="Arial"/>
        <family val="0"/>
        <charset val="1"/>
      </rPr>
      <t xml:space="preserve">0</t>
    </r>
  </si>
  <si>
    <t xml:space="preserve">K07</t>
  </si>
  <si>
    <t xml:space="preserve">算力成本拆分：研發</t>
  </si>
  <si>
    <t xml:space="preserve">K08</t>
  </si>
  <si>
    <t xml:space="preserve">算力成本拆分：閒置</t>
  </si>
  <si>
    <t xml:space="preserve">K09</t>
  </si>
  <si>
    <t xml:space="preserve">檢查：算力成本 −（營業成本計算服務費＋研發項下算力費）</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</si>
  <si>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應為 </t>
    </r>
    <r>
      <rPr>
        <sz val="9"/>
        <color rgb="FF595959"/>
        <rFont val="Arial"/>
        <family val="0"/>
        <charset val="1"/>
      </rPr>
      <t xml:space="preserve">0</t>
    </r>
    <r>
      <rPr>
        <sz val="9"/>
        <color rgb="FF595959"/>
        <rFont val="Noto Sans CJK SC"/>
        <family val="2"/>
      </rPr>
      <t xml:space="preserve">（</t>
    </r>
    <r>
      <rPr>
        <sz val="9"/>
        <color rgb="FF595959"/>
        <rFont val="Arial"/>
        <family val="0"/>
        <charset val="1"/>
      </rPr>
      <t xml:space="preserve">Checks</t>
    </r>
    <r>
      <rPr>
        <sz val="9"/>
        <color rgb="FF595959"/>
        <rFont val="Noto Sans CJK SC"/>
        <family val="2"/>
      </rPr>
      <t xml:space="preserve">）</t>
    </r>
  </si>
  <si>
    <r>
      <rPr>
        <b val="true"/>
        <sz val="10"/>
        <rFont val="Noto Sans CJK SC"/>
        <family val="2"/>
      </rPr>
      <t xml:space="preserve">二、供應商持有成本與供應商推算毛利（</t>
    </r>
    <r>
      <rPr>
        <b val="true"/>
        <sz val="10"/>
        <rFont val="Arial"/>
        <family val="0"/>
        <charset val="1"/>
      </rPr>
      <t xml:space="preserve">D10</t>
    </r>
    <r>
      <rPr>
        <b val="true"/>
        <sz val="10"/>
        <rFont val="Noto Sans CJK SC"/>
        <family val="2"/>
      </rPr>
      <t xml:space="preserve">：持有成本＝租用 </t>
    </r>
    <r>
      <rPr>
        <b val="true"/>
        <sz val="10"/>
        <rFont val="Arial"/>
        <family val="0"/>
        <charset val="1"/>
      </rPr>
      <t xml:space="preserve">GW × TK IF_HoldEcon</t>
    </r>
    <r>
      <rPr>
        <b val="true"/>
        <sz val="10"/>
        <rFont val="Noto Sans CJK SC"/>
        <family val="2"/>
      </rPr>
      <t xml:space="preserve">（</t>
    </r>
    <r>
      <rPr>
        <b val="true"/>
        <sz val="10"/>
        <rFont val="Arial"/>
        <family val="0"/>
        <charset val="1"/>
      </rPr>
      <t xml:space="preserve">Hopper</t>
    </r>
    <r>
      <rPr>
        <b val="true"/>
        <sz val="10"/>
        <rFont val="Noto Sans CJK SC"/>
        <family val="2"/>
      </rPr>
      <t xml:space="preserve">）</t>
    </r>
    <r>
      <rPr>
        <b val="true"/>
        <sz val="10"/>
        <rFont val="Arial"/>
        <family val="0"/>
        <charset val="1"/>
      </rPr>
      <t xml:space="preserve">× </t>
    </r>
    <r>
      <rPr>
        <b val="true"/>
        <sz val="10"/>
        <rFont val="Noto Sans CJK SC"/>
        <family val="2"/>
      </rPr>
      <t xml:space="preserve">持有比 </t>
    </r>
    <r>
      <rPr>
        <b val="true"/>
        <sz val="10"/>
        <rFont val="Arial"/>
        <family val="0"/>
        <charset val="1"/>
      </rPr>
      <t xml:space="preserve">× </t>
    </r>
    <r>
      <rPr>
        <b val="true"/>
        <sz val="10"/>
        <rFont val="Noto Sans CJK SC"/>
        <family val="2"/>
      </rPr>
      <t xml:space="preserve">匯率；差額＝供應商推算毛利，只作參考；</t>
    </r>
    <r>
      <rPr>
        <b val="true"/>
        <sz val="10"/>
        <rFont val="Arial"/>
        <family val="0"/>
        <charset val="1"/>
      </rPr>
      <t xml:space="preserve">Z5b V1</t>
    </r>
    <r>
      <rPr>
        <b val="true"/>
        <sz val="10"/>
        <rFont val="Noto Sans CJK SC"/>
        <family val="2"/>
      </rPr>
      <t xml:space="preserve">：</t>
    </r>
    <r>
      <rPr>
        <b val="true"/>
        <sz val="10"/>
        <rFont val="Arial"/>
        <family val="0"/>
        <charset val="1"/>
      </rPr>
      <t xml:space="preserve">2H26 </t>
    </r>
    <r>
      <rPr>
        <b val="true"/>
        <sz val="10"/>
        <rFont val="Noto Sans CJK SC"/>
        <family val="2"/>
      </rPr>
      <t xml:space="preserve">起不得為負）</t>
    </r>
  </si>
  <si>
    <t xml:space="preserve">K10</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</si>
  <si>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</si>
  <si>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Arial"/>
        <family val="0"/>
        <charset val="1"/>
      </rPr>
      <t xml:space="preserve">Compute </t>
    </r>
    <r>
      <rPr>
        <sz val="9"/>
        <color rgb="FF595959"/>
        <rFont val="Noto Sans CJK SC"/>
        <family val="2"/>
      </rPr>
      <t xml:space="preserve">第十四節（</t>
    </r>
    <r>
      <rPr>
        <sz val="9"/>
        <color rgb="FF595959"/>
        <rFont val="Arial"/>
        <family val="0"/>
        <charset val="1"/>
      </rPr>
      <t xml:space="preserve">TK IF_HoldEcon</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基準欄，經濟口徑）</t>
    </r>
    <r>
      <rPr>
        <sz val="9"/>
        <color rgb="FF595959"/>
        <rFont val="Arial"/>
        <family val="0"/>
        <charset val="1"/>
      </rPr>
      <t xml:space="preserve">× </t>
    </r>
    <r>
      <rPr>
        <sz val="9"/>
        <color rgb="FF595959"/>
        <rFont val="Noto Sans CJK SC"/>
        <family val="2"/>
      </rPr>
      <t xml:space="preserve">持有比 </t>
    </r>
    <r>
      <rPr>
        <sz val="9"/>
        <color rgb="FF595959"/>
        <rFont val="Arial"/>
        <family val="0"/>
        <charset val="1"/>
      </rPr>
      <t xml:space="preserve">× USD/CNY × 10</t>
    </r>
    <r>
      <rPr>
        <sz val="9"/>
        <color rgb="FF595959"/>
        <rFont val="Noto Sans CJK SC"/>
        <family val="2"/>
      </rPr>
      <t xml:space="preserve">）；亦為 </t>
    </r>
    <r>
      <rPr>
        <sz val="9"/>
        <color rgb="FF595959"/>
        <rFont val="Arial"/>
        <family val="0"/>
        <charset val="1"/>
      </rPr>
      <t xml:space="preserve">2H26 </t>
    </r>
    <r>
      <rPr>
        <sz val="9"/>
        <color rgb="FF595959"/>
        <rFont val="Noto Sans CJK SC"/>
        <family val="2"/>
      </rPr>
      <t xml:space="preserve">起每 </t>
    </r>
    <r>
      <rPr>
        <sz val="9"/>
        <color rgb="FF595959"/>
        <rFont val="Arial"/>
        <family val="0"/>
        <charset val="1"/>
      </rPr>
      <t xml:space="preserve">GW </t>
    </r>
    <r>
      <rPr>
        <sz val="9"/>
        <color rgb="FF595959"/>
        <rFont val="Noto Sans CJK SC"/>
        <family val="2"/>
      </rPr>
      <t xml:space="preserve">租價下限（</t>
    </r>
    <r>
      <rPr>
        <sz val="9"/>
        <color rgb="FF595959"/>
        <rFont val="Arial"/>
        <family val="0"/>
        <charset val="1"/>
      </rPr>
      <t xml:space="preserve">Z5b V1</t>
    </r>
    <r>
      <rPr>
        <sz val="9"/>
        <color rgb="FF595959"/>
        <rFont val="Noto Sans CJK SC"/>
        <family val="2"/>
      </rPr>
      <t xml:space="preserve">）</t>
    </r>
  </si>
  <si>
    <t xml:space="preserve">K11</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</si>
  <si>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H20</t>
    </r>
  </si>
  <si>
    <t xml:space="preserve">K12</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</si>
  <si>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</si>
  <si>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K13</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</si>
  <si>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年持有成本：組合後</t>
    </r>
  </si>
  <si>
    <t xml:space="preserve">K14</t>
  </si>
  <si>
    <r>
      <rPr>
        <sz val="10"/>
        <color rgb="FF000000"/>
        <rFont val="Noto Sans CJK SC"/>
        <family val="2"/>
      </rPr>
      <t xml:space="preserve">供應商持有成本＝租用 </t>
    </r>
    <r>
      <rPr>
        <sz val="10"/>
        <color rgb="FF000000"/>
        <rFont val="Arial"/>
        <family val="0"/>
        <charset val="1"/>
      </rPr>
      <t xml:space="preserve">GW × </t>
    </r>
    <r>
      <rPr>
        <sz val="10"/>
        <color rgb="FF000000"/>
        <rFont val="Noto Sans CJK SC"/>
        <family val="2"/>
      </rPr>
      <t xml:space="preserve">持有成本 </t>
    </r>
    <r>
      <rPr>
        <sz val="10"/>
        <color rgb="FF000000"/>
        <rFont val="Arial"/>
        <family val="0"/>
        <charset val="1"/>
      </rPr>
      <t xml:space="preserve">× </t>
    </r>
    <r>
      <rPr>
        <sz val="10"/>
        <color rgb="FF000000"/>
        <rFont val="Noto Sans CJK SC"/>
        <family val="2"/>
      </rPr>
      <t xml:space="preserve">期間比例</t>
    </r>
  </si>
  <si>
    <t xml:space="preserve">K15</t>
  </si>
  <si>
    <t xml:space="preserve">供應商推算毛利＝算力服務費 − 供應商持有成本</t>
  </si>
  <si>
    <t xml:space="preserve">K16</t>
  </si>
  <si>
    <t xml:space="preserve">供應商推算毛利率</t>
  </si>
  <si>
    <r>
      <rPr>
        <sz val="9"/>
        <color rgb="FF595959"/>
        <rFont val="Noto Sans CJK SC"/>
        <family val="2"/>
      </rPr>
      <t xml:space="preserve">租用為 </t>
    </r>
    <r>
      <rPr>
        <sz val="9"/>
        <color rgb="FF595959"/>
        <rFont val="Arial"/>
        <family val="0"/>
        <charset val="1"/>
      </rPr>
      <t xml:space="preserve">0</t>
    </r>
    <r>
      <rPr>
        <sz val="9"/>
        <color rgb="FF595959"/>
        <rFont val="Noto Sans CJK SC"/>
        <family val="2"/>
      </rPr>
      <t xml:space="preserve">（全自有）時顯示 </t>
    </r>
    <r>
      <rPr>
        <sz val="9"/>
        <color rgb="FF595959"/>
        <rFont val="Arial"/>
        <family val="0"/>
        <charset val="1"/>
      </rPr>
      <t xml:space="preserve">0</t>
    </r>
  </si>
  <si>
    <r>
      <rPr>
        <b val="true"/>
        <sz val="10"/>
        <rFont val="Noto Sans CJK SC"/>
        <family val="2"/>
      </rPr>
      <t xml:space="preserve">三、本地化部署交付成本（</t>
    </r>
    <r>
      <rPr>
        <b val="true"/>
        <sz val="10"/>
        <rFont val="Arial"/>
        <family val="0"/>
        <charset val="1"/>
      </rPr>
      <t xml:space="preserve">D4</t>
    </r>
    <r>
      <rPr>
        <b val="true"/>
        <sz val="10"/>
        <rFont val="Noto Sans CJK SC"/>
        <family val="2"/>
      </rPr>
      <t xml:space="preserve">：不耗智譜算力；</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＝財報推算；</t>
    </r>
    <r>
      <rPr>
        <b val="true"/>
        <sz val="10"/>
        <rFont val="Arial"/>
        <family val="0"/>
        <charset val="1"/>
      </rPr>
      <t xml:space="preserve">2H26 </t>
    </r>
    <r>
      <rPr>
        <b val="true"/>
        <sz val="10"/>
        <rFont val="Noto Sans CJK SC"/>
        <family val="2"/>
      </rPr>
      <t xml:space="preserve">起＝本地化營收 </t>
    </r>
    <r>
      <rPr>
        <b val="true"/>
        <sz val="10"/>
        <rFont val="Arial"/>
        <family val="0"/>
        <charset val="1"/>
      </rPr>
      <t xml:space="preserve">× 1H26 </t>
    </r>
    <r>
      <rPr>
        <b val="true"/>
        <sz val="10"/>
        <rFont val="Noto Sans CJK SC"/>
        <family val="2"/>
      </rPr>
      <t xml:space="preserve">成本率）</t>
    </r>
  </si>
  <si>
    <t xml:space="preserve">K17</t>
  </si>
  <si>
    <r>
      <rPr>
        <sz val="9"/>
        <color rgb="FF595959"/>
        <rFont val="Arial"/>
        <family val="0"/>
        <charset val="1"/>
      </rPr>
      <t xml:space="preserve">SRC_ZP_198</t>
    </r>
    <r>
      <rPr>
        <sz val="9"/>
        <color rgb="FF595959"/>
        <rFont val="Noto Sans CJK SC"/>
        <family val="2"/>
      </rPr>
      <t xml:space="preserve">、</t>
    </r>
    <r>
      <rPr>
        <sz val="9"/>
        <color rgb="FF595959"/>
        <rFont val="Arial"/>
        <family val="0"/>
        <charset val="1"/>
      </rPr>
      <t xml:space="preserve">196</t>
    </r>
    <r>
      <rPr>
        <sz val="9"/>
        <color rgb="FF595959"/>
        <rFont val="Noto Sans CJK SC"/>
        <family val="2"/>
      </rPr>
      <t xml:space="preserve">（</t>
    </r>
    <r>
      <rPr>
        <sz val="9"/>
        <color rgb="FF595959"/>
        <rFont val="Arial"/>
        <family val="0"/>
        <charset val="1"/>
      </rPr>
      <t xml:space="preserve">Derived</t>
    </r>
    <r>
      <rPr>
        <sz val="9"/>
        <color rgb="FF595959"/>
        <rFont val="Noto Sans CJK SC"/>
        <family val="2"/>
      </rPr>
      <t xml:space="preserve">）</t>
    </r>
  </si>
  <si>
    <t xml:space="preserve">K18</t>
  </si>
  <si>
    <t xml:space="preserve">本地化部署成本率</t>
  </si>
  <si>
    <r>
      <rPr>
        <sz val="9"/>
        <color rgb="FF595959"/>
        <rFont val="Arial"/>
        <family val="0"/>
        <charset val="1"/>
      </rPr>
      <t xml:space="preserve">2025 0.51</t>
    </r>
    <r>
      <rPr>
        <sz val="9"/>
        <color rgb="FF595959"/>
        <rFont val="Noto Sans CJK SC"/>
        <family val="2"/>
      </rPr>
      <t xml:space="preserve">、</t>
    </r>
    <r>
      <rPr>
        <sz val="9"/>
        <color rgb="FF595959"/>
        <rFont val="Arial"/>
        <family val="0"/>
        <charset val="1"/>
      </rPr>
      <t xml:space="preserve">1H26 0.62</t>
    </r>
    <r>
      <rPr>
        <sz val="9"/>
        <color rgb="FF595959"/>
        <rFont val="Noto Sans CJK SC"/>
        <family val="2"/>
      </rPr>
      <t xml:space="preserve">；</t>
    </r>
    <r>
      <rPr>
        <sz val="9"/>
        <color rgb="FF595959"/>
        <rFont val="Arial"/>
        <family val="0"/>
        <charset val="1"/>
      </rPr>
      <t xml:space="preserve">2H26 </t>
    </r>
    <r>
      <rPr>
        <sz val="9"/>
        <color rgb="FF595959"/>
        <rFont val="Noto Sans CJK SC"/>
        <family val="2"/>
      </rPr>
      <t xml:space="preserve">起沿用 </t>
    </r>
    <r>
      <rPr>
        <sz val="9"/>
        <color rgb="FF595959"/>
        <rFont val="Arial"/>
        <family val="0"/>
        <charset val="1"/>
      </rPr>
      <t xml:space="preserve">1H26</t>
    </r>
    <r>
      <rPr>
        <sz val="9"/>
        <color rgb="FF595959"/>
        <rFont val="Noto Sans CJK SC"/>
        <family val="2"/>
      </rPr>
      <t xml:space="preserve">（最新實際值，較保守）</t>
    </r>
  </si>
  <si>
    <t xml:space="preserve">K19</t>
  </si>
  <si>
    <t xml:space="preserve">本地化部署交付成本</t>
  </si>
  <si>
    <r>
      <rPr>
        <b val="true"/>
        <sz val="10"/>
        <rFont val="Noto Sans CJK SC"/>
        <family val="2"/>
      </rPr>
      <t xml:space="preserve">四、非算力成本（</t>
    </r>
    <r>
      <rPr>
        <b val="true"/>
        <sz val="10"/>
        <rFont val="Arial"/>
        <family val="0"/>
        <charset val="1"/>
      </rPr>
      <t xml:space="preserve">D13</t>
    </r>
    <r>
      <rPr>
        <b val="true"/>
        <sz val="10"/>
        <rFont val="Noto Sans CJK SC"/>
        <family val="2"/>
      </rPr>
      <t xml:space="preserve">）：</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＝財報費用 − 算力服務費 − 本地化交付成本 − 股權報酬（殘差）；</t>
    </r>
    <r>
      <rPr>
        <b val="true"/>
        <sz val="10"/>
        <rFont val="Arial"/>
        <family val="0"/>
        <charset val="1"/>
      </rPr>
      <t xml:space="preserve">2H26 </t>
    </r>
    <r>
      <rPr>
        <b val="true"/>
        <sz val="10"/>
        <rFont val="Noto Sans CJK SC"/>
        <family val="2"/>
      </rPr>
      <t xml:space="preserve">起＝人數 </t>
    </r>
    <r>
      <rPr>
        <b val="true"/>
        <sz val="10"/>
        <rFont val="Arial"/>
        <family val="0"/>
        <charset val="1"/>
      </rPr>
      <t xml:space="preserve">× </t>
    </r>
    <r>
      <rPr>
        <b val="true"/>
        <sz val="10"/>
        <rFont val="Noto Sans CJK SC"/>
        <family val="2"/>
      </rPr>
      <t xml:space="preserve">每人年成本；股權報酬單列</t>
    </r>
  </si>
  <si>
    <t xml:space="preserve">K20</t>
  </si>
  <si>
    <r>
      <rPr>
        <sz val="9"/>
        <color rgb="FF595959"/>
        <rFont val="Arial"/>
        <family val="0"/>
        <charset val="1"/>
      </rPr>
      <t xml:space="preserve">SRC_ZP_123</t>
    </r>
    <r>
      <rPr>
        <sz val="9"/>
        <color rgb="FF595959"/>
        <rFont val="Noto Sans CJK SC"/>
        <family val="2"/>
      </rPr>
      <t xml:space="preserve">、</t>
    </r>
    <r>
      <rPr>
        <sz val="9"/>
        <color rgb="FF595959"/>
        <rFont val="Arial"/>
        <family val="0"/>
        <charset val="1"/>
      </rPr>
      <t xml:space="preserve">182</t>
    </r>
  </si>
  <si>
    <t xml:space="preserve">K21</t>
  </si>
  <si>
    <t xml:space="preserve">K22</t>
  </si>
  <si>
    <r>
      <rPr>
        <sz val="9"/>
        <color rgb="FF595959"/>
        <rFont val="Arial"/>
        <family val="0"/>
        <charset val="1"/>
      </rPr>
      <t xml:space="preserve">SRC_ZP_140</t>
    </r>
    <r>
      <rPr>
        <sz val="9"/>
        <color rgb="FF595959"/>
        <rFont val="Noto Sans CJK SC"/>
        <family val="2"/>
      </rPr>
      <t xml:space="preserve">、</t>
    </r>
    <r>
      <rPr>
        <sz val="9"/>
        <color rgb="FF595959"/>
        <rFont val="Arial"/>
        <family val="0"/>
        <charset val="1"/>
      </rPr>
      <t xml:space="preserve">200</t>
    </r>
  </si>
  <si>
    <t xml:space="preserve">K23</t>
  </si>
  <si>
    <r>
      <rPr>
        <sz val="9"/>
        <color rgb="FF595959"/>
        <rFont val="Arial"/>
        <family val="0"/>
        <charset val="1"/>
      </rPr>
      <t xml:space="preserve">SRC_ZP_141</t>
    </r>
    <r>
      <rPr>
        <sz val="9"/>
        <color rgb="FF595959"/>
        <rFont val="Noto Sans CJK SC"/>
        <family val="2"/>
      </rPr>
      <t xml:space="preserve">、</t>
    </r>
    <r>
      <rPr>
        <sz val="9"/>
        <color rgb="FF595959"/>
        <rFont val="Arial"/>
        <family val="0"/>
        <charset val="1"/>
      </rPr>
      <t xml:space="preserve">201</t>
    </r>
  </si>
  <si>
    <t xml:space="preserve">K24</t>
  </si>
  <si>
    <t xml:space="preserve">財報費用合計（銷售成本＋研發＋銷售＋管理）</t>
  </si>
  <si>
    <t xml:space="preserve">K25</t>
  </si>
  <si>
    <t xml:space="preserve">股權報酬（財報）</t>
  </si>
  <si>
    <t xml:space="preserve">K26</t>
  </si>
  <si>
    <t xml:space="preserve">非算力成本（不含股權報酬；財報殘差）</t>
  </si>
  <si>
    <r>
      <rPr>
        <sz val="9"/>
        <color rgb="FF595959"/>
        <rFont val="Noto Sans CJK SC"/>
        <family val="2"/>
      </rPr>
      <t xml:space="preserve">＝研發、銷售、管理扣算力服務費與股權報酬，加 </t>
    </r>
    <r>
      <rPr>
        <sz val="9"/>
        <color rgb="FF595959"/>
        <rFont val="Arial"/>
        <family val="0"/>
        <charset val="1"/>
      </rPr>
      <t xml:space="preserve">API </t>
    </r>
    <r>
      <rPr>
        <sz val="9"/>
        <color rgb="FF595959"/>
        <rFont val="Noto Sans CJK SC"/>
        <family val="2"/>
      </rPr>
      <t xml:space="preserve">銷售成本中非算力部分（推論占比 </t>
    </r>
    <r>
      <rPr>
        <sz val="9"/>
        <color rgb="FF595959"/>
        <rFont val="Arial"/>
        <family val="0"/>
        <charset val="1"/>
      </rPr>
      <t xml:space="preserve">&lt;1 </t>
    </r>
    <r>
      <rPr>
        <sz val="9"/>
        <color rgb="FF595959"/>
        <rFont val="Noto Sans CJK SC"/>
        <family val="2"/>
      </rPr>
      <t xml:space="preserve">時）</t>
    </r>
  </si>
  <si>
    <t xml:space="preserve">K27</t>
  </si>
  <si>
    <t xml:space="preserve">員工人數（期間平均）</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</si>
  <si>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AVERAGE</t>
    </r>
    <r>
      <rPr>
        <sz val="9"/>
        <color rgb="FF595959"/>
        <rFont val="Noto Sans CJK SC"/>
        <family val="2"/>
      </rPr>
      <t xml:space="preserve">（</t>
    </r>
    <r>
      <rPr>
        <sz val="9"/>
        <color rgb="FF595959"/>
        <rFont val="Arial"/>
        <family val="0"/>
        <charset val="1"/>
      </rPr>
      <t xml:space="preserve">2025-06-30 883, 2025-12-31 1,094</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AVERAGE</t>
    </r>
    <r>
      <rPr>
        <sz val="9"/>
        <color rgb="FF595959"/>
        <rFont val="Noto Sans CJK SC"/>
        <family val="2"/>
      </rPr>
      <t xml:space="preserve">（</t>
    </r>
    <r>
      <rPr>
        <sz val="9"/>
        <color rgb="FF595959"/>
        <rFont val="Arial"/>
        <family val="0"/>
        <charset val="1"/>
      </rPr>
      <t xml:space="preserve">1,094, 2026-06-30 981</t>
    </r>
    <r>
      <rPr>
        <sz val="9"/>
        <color rgb="FF595959"/>
        <rFont val="Noto Sans CJK SC"/>
        <family val="2"/>
      </rPr>
      <t xml:space="preserve">）（</t>
    </r>
    <r>
      <rPr>
        <sz val="9"/>
        <color rgb="FF595959"/>
        <rFont val="Arial"/>
        <family val="0"/>
        <charset val="1"/>
      </rPr>
      <t xml:space="preserve">SRC_ZP_844 </t>
    </r>
    <r>
      <rPr>
        <sz val="9"/>
        <color rgb="FF595959"/>
        <rFont val="Noto Sans CJK SC"/>
        <family val="2"/>
      </rPr>
      <t xml:space="preserve">招股章程、</t>
    </r>
    <r>
      <rPr>
        <sz val="9"/>
        <color rgb="FF595959"/>
        <rFont val="Arial"/>
        <family val="0"/>
        <charset val="1"/>
      </rPr>
      <t xml:space="preserve">162</t>
    </r>
    <r>
      <rPr>
        <sz val="9"/>
        <color rgb="FF595959"/>
        <rFont val="Noto Sans CJK SC"/>
        <family val="2"/>
      </rPr>
      <t xml:space="preserve">、</t>
    </r>
    <r>
      <rPr>
        <sz val="9"/>
        <color rgb="FF595959"/>
        <rFont val="Arial"/>
        <family val="0"/>
        <charset val="1"/>
      </rPr>
      <t xml:space="preserve">222</t>
    </r>
    <r>
      <rPr>
        <sz val="9"/>
        <color rgb="FF595959"/>
        <rFont val="Noto Sans CJK SC"/>
        <family val="2"/>
      </rPr>
      <t xml:space="preserve">；</t>
    </r>
    <r>
      <rPr>
        <sz val="9"/>
        <color rgb="FF595959"/>
        <rFont val="Arial"/>
        <family val="0"/>
        <charset val="1"/>
      </rPr>
      <t xml:space="preserve">r2 P2 </t>
    </r>
    <r>
      <rPr>
        <sz val="9"/>
        <color rgb="FF595959"/>
        <rFont val="Noto Sans CJK SC"/>
        <family val="2"/>
      </rPr>
      <t xml:space="preserve">改引用一手列）；之後 </t>
    </r>
    <r>
      <rPr>
        <sz val="9"/>
        <color rgb="FF595959"/>
        <rFont val="Arial"/>
        <family val="0"/>
        <charset val="1"/>
      </rPr>
      <t xml:space="preserve">Inputs </t>
    </r>
    <r>
      <rPr>
        <sz val="9"/>
        <color rgb="FF595959"/>
        <rFont val="Noto Sans CJK SC"/>
        <family val="2"/>
      </rPr>
      <t xml:space="preserve">成長率</t>
    </r>
  </si>
  <si>
    <t xml:space="preserve">K28</t>
  </si>
  <si>
    <t xml:space="preserve">每人年成本（不含股權報酬）</t>
  </si>
  <si>
    <r>
      <rPr>
        <sz val="10"/>
        <color rgb="FF000000"/>
        <rFont val="Arial"/>
        <family val="0"/>
        <charset val="1"/>
      </rPr>
      <t xml:space="preserve">RMB </t>
    </r>
    <r>
      <rPr>
        <sz val="10"/>
        <color rgb="FF000000"/>
        <rFont val="Noto Sans CJK SC"/>
        <family val="2"/>
      </rPr>
      <t xml:space="preserve">億／人／年</t>
    </r>
  </si>
  <si>
    <r>
      <rPr>
        <sz val="9"/>
        <color rgb="FF595959"/>
        <rFont val="Noto Sans CJK SC"/>
        <family val="2"/>
      </rPr>
      <t xml:space="preserve">校準期＝財報殘差 </t>
    </r>
    <r>
      <rPr>
        <sz val="9"/>
        <color rgb="FF595959"/>
        <rFont val="Arial"/>
        <family val="0"/>
        <charset val="1"/>
      </rPr>
      <t xml:space="preserve">÷ </t>
    </r>
    <r>
      <rPr>
        <sz val="9"/>
        <color rgb="FF595959"/>
        <rFont val="Noto Sans CJK SC"/>
        <family val="2"/>
      </rPr>
      <t xml:space="preserve">人數（</t>
    </r>
    <r>
      <rPr>
        <sz val="9"/>
        <color rgb="FF595959"/>
        <rFont val="Arial"/>
        <family val="0"/>
        <charset val="1"/>
      </rPr>
      <t xml:space="preserve">1H26 </t>
    </r>
    <r>
      <rPr>
        <sz val="9"/>
        <color rgb="FF595959"/>
        <rFont val="Noto Sans CJK SC"/>
        <family val="2"/>
      </rPr>
      <t xml:space="preserve">年化）；</t>
    </r>
    <r>
      <rPr>
        <sz val="9"/>
        <color rgb="FF595959"/>
        <rFont val="Arial"/>
        <family val="0"/>
        <charset val="1"/>
      </rPr>
      <t xml:space="preserve">2H26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t>
    </r>
    <r>
      <rPr>
        <sz val="9"/>
        <color rgb="FF595959"/>
        <rFont val="Arial"/>
        <family val="0"/>
        <charset val="1"/>
      </rPr>
      <t xml:space="preserve">2H26 </t>
    </r>
    <r>
      <rPr>
        <sz val="9"/>
        <color rgb="FF595959"/>
        <rFont val="Noto Sans CJK SC"/>
        <family val="2"/>
      </rPr>
      <t xml:space="preserve">為半年）</t>
    </r>
  </si>
  <si>
    <t xml:space="preserve">K29</t>
  </si>
  <si>
    <t xml:space="preserve">每人年股權報酬</t>
  </si>
  <si>
    <r>
      <rPr>
        <sz val="9"/>
        <color rgb="FF595959"/>
        <rFont val="Arial"/>
        <family val="0"/>
        <charset val="1"/>
      </rPr>
      <t xml:space="preserve">1H26 </t>
    </r>
    <r>
      <rPr>
        <sz val="9"/>
        <color rgb="FF595959"/>
        <rFont val="Noto Sans CJK SC"/>
        <family val="2"/>
      </rPr>
      <t xml:space="preserve">年化為基期（上市後）；</t>
    </r>
    <r>
      <rPr>
        <sz val="9"/>
        <color rgb="FF595959"/>
        <rFont val="Arial"/>
        <family val="0"/>
        <charset val="1"/>
      </rPr>
      <t xml:space="preserve">2025 </t>
    </r>
    <r>
      <rPr>
        <sz val="9"/>
        <color rgb="FF595959"/>
        <rFont val="Noto Sans CJK SC"/>
        <family val="2"/>
      </rPr>
      <t xml:space="preserve">含上市前授予，只列</t>
    </r>
  </si>
  <si>
    <t xml:space="preserve">K30</t>
  </si>
  <si>
    <t xml:space="preserve">非算力成本（不含股權報酬）</t>
  </si>
  <si>
    <r>
      <rPr>
        <sz val="9"/>
        <color rgb="FF595959"/>
        <rFont val="Noto Sans CJK SC"/>
        <family val="2"/>
      </rPr>
      <t xml:space="preserve">校準期＝財報殘差；</t>
    </r>
    <r>
      <rPr>
        <sz val="9"/>
        <color rgb="FF595959"/>
        <rFont val="Arial"/>
        <family val="0"/>
        <charset val="1"/>
      </rPr>
      <t xml:space="preserve">2H26 </t>
    </r>
    <r>
      <rPr>
        <sz val="9"/>
        <color rgb="FF595959"/>
        <rFont val="Noto Sans CJK SC"/>
        <family val="2"/>
      </rPr>
      <t xml:space="preserve">起＝人數 </t>
    </r>
    <r>
      <rPr>
        <sz val="9"/>
        <color rgb="FF595959"/>
        <rFont val="Arial"/>
        <family val="0"/>
        <charset val="1"/>
      </rPr>
      <t xml:space="preserve">× </t>
    </r>
    <r>
      <rPr>
        <sz val="9"/>
        <color rgb="FF595959"/>
        <rFont val="Noto Sans CJK SC"/>
        <family val="2"/>
      </rPr>
      <t xml:space="preserve">每人年成本 </t>
    </r>
    <r>
      <rPr>
        <sz val="9"/>
        <color rgb="FF595959"/>
        <rFont val="Arial"/>
        <family val="0"/>
        <charset val="1"/>
      </rPr>
      <t xml:space="preserve">× </t>
    </r>
    <r>
      <rPr>
        <sz val="9"/>
        <color rgb="FF595959"/>
        <rFont val="Noto Sans CJK SC"/>
        <family val="2"/>
      </rPr>
      <t xml:space="preserve">期間比例</t>
    </r>
  </si>
  <si>
    <t xml:space="preserve">K31</t>
  </si>
  <si>
    <t xml:space="preserve">股權報酬</t>
  </si>
  <si>
    <r>
      <rPr>
        <sz val="9"/>
        <color rgb="FF595959"/>
        <rFont val="Noto Sans CJK SC"/>
        <family val="2"/>
      </rPr>
      <t xml:space="preserve">校準期＝財報；</t>
    </r>
    <r>
      <rPr>
        <sz val="9"/>
        <color rgb="FF595959"/>
        <rFont val="Arial"/>
        <family val="0"/>
        <charset val="1"/>
      </rPr>
      <t xml:space="preserve">2H26 </t>
    </r>
    <r>
      <rPr>
        <sz val="9"/>
        <color rgb="FF595959"/>
        <rFont val="Noto Sans CJK SC"/>
        <family val="2"/>
      </rPr>
      <t xml:space="preserve">起＝人數 </t>
    </r>
    <r>
      <rPr>
        <sz val="9"/>
        <color rgb="FF595959"/>
        <rFont val="Arial"/>
        <family val="0"/>
        <charset val="1"/>
      </rPr>
      <t xml:space="preserve">× </t>
    </r>
    <r>
      <rPr>
        <sz val="9"/>
        <color rgb="FF595959"/>
        <rFont val="Noto Sans CJK SC"/>
        <family val="2"/>
      </rPr>
      <t xml:space="preserve">每人股權報酬 </t>
    </r>
    <r>
      <rPr>
        <sz val="9"/>
        <color rgb="FF595959"/>
        <rFont val="Arial"/>
        <family val="0"/>
        <charset val="1"/>
      </rPr>
      <t xml:space="preserve">× </t>
    </r>
    <r>
      <rPr>
        <sz val="9"/>
        <color rgb="FF595959"/>
        <rFont val="Noto Sans CJK SC"/>
        <family val="2"/>
      </rPr>
      <t xml:space="preserve">期間比例</t>
    </r>
  </si>
  <si>
    <r>
      <rPr>
        <b val="true"/>
        <sz val="10"/>
        <rFont val="Noto Sans CJK SC"/>
        <family val="2"/>
      </rPr>
      <t xml:space="preserve">五、全成本與對帳（命題全成本含股權報酬；</t>
    </r>
    <r>
      <rPr>
        <b val="true"/>
        <sz val="10"/>
        <rFont val="Arial"/>
        <family val="0"/>
        <charset val="1"/>
      </rPr>
      <t xml:space="preserve">2025</t>
    </r>
    <r>
      <rPr>
        <b val="true"/>
        <sz val="10"/>
        <rFont val="Noto Sans CJK SC"/>
        <family val="2"/>
      </rPr>
      <t xml:space="preserve">、</t>
    </r>
    <r>
      <rPr>
        <b val="true"/>
        <sz val="10"/>
        <rFont val="Arial"/>
        <family val="0"/>
        <charset val="1"/>
      </rPr>
      <t xml:space="preserve">1H26 </t>
    </r>
    <r>
      <rPr>
        <b val="true"/>
        <sz val="10"/>
        <rFont val="Noto Sans CJK SC"/>
        <family val="2"/>
      </rPr>
      <t xml:space="preserve">對財報差距應為 </t>
    </r>
    <r>
      <rPr>
        <b val="true"/>
        <sz val="10"/>
        <rFont val="Arial"/>
        <family val="0"/>
        <charset val="1"/>
      </rPr>
      <t xml:space="preserve">0</t>
    </r>
    <r>
      <rPr>
        <b val="true"/>
        <sz val="10"/>
        <rFont val="Noto Sans CJK SC"/>
        <family val="2"/>
      </rPr>
      <t xml:space="preserve">）</t>
    </r>
  </si>
  <si>
    <t xml:space="preserve">K32</t>
  </si>
  <si>
    <t xml:space="preserve">全成本（含股權報酬）＝算力＋本地化交付＋非算力＋股權報酬</t>
  </si>
  <si>
    <t xml:space="preserve">K33</t>
  </si>
  <si>
    <t xml:space="preserve">全成本（不含股權報酬）</t>
  </si>
  <si>
    <t xml:space="preserve">K34</t>
  </si>
  <si>
    <r>
      <rPr>
        <sz val="10"/>
        <color rgb="FF000000"/>
        <rFont val="Noto Sans CJK SC"/>
        <family val="2"/>
      </rPr>
      <t xml:space="preserve">對帳：全成本 − 財報費用合計（應為 </t>
    </r>
    <r>
      <rPr>
        <sz val="10"/>
        <color rgb="FF000000"/>
        <rFont val="Arial"/>
        <family val="0"/>
        <charset val="1"/>
      </rPr>
      <t xml:space="preserve">0</t>
    </r>
    <r>
      <rPr>
        <sz val="10"/>
        <color rgb="FF000000"/>
        <rFont val="Noto Sans CJK SC"/>
        <family val="2"/>
      </rPr>
      <t xml:space="preserve">）</t>
    </r>
  </si>
  <si>
    <r>
      <rPr>
        <sz val="9"/>
        <color rgb="FF595959"/>
        <rFont val="Noto Sans CJK SC"/>
        <family val="2"/>
      </rPr>
      <t xml:space="preserve">工作單 </t>
    </r>
    <r>
      <rPr>
        <sz val="9"/>
        <color rgb="FF595959"/>
        <rFont val="Arial"/>
        <family val="0"/>
        <charset val="1"/>
      </rPr>
      <t xml:space="preserve">Z3 </t>
    </r>
    <r>
      <rPr>
        <sz val="9"/>
        <color rgb="FF595959"/>
        <rFont val="Noto Sans CJK SC"/>
        <family val="2"/>
      </rPr>
      <t xml:space="preserve">第 </t>
    </r>
    <r>
      <rPr>
        <sz val="9"/>
        <color rgb="FF595959"/>
        <rFont val="Arial"/>
        <family val="0"/>
        <charset val="1"/>
      </rPr>
      <t xml:space="preserve">2 </t>
    </r>
    <r>
      <rPr>
        <sz val="9"/>
        <color rgb="FF595959"/>
        <rFont val="Noto Sans CJK SC"/>
        <family val="2"/>
      </rPr>
      <t xml:space="preserve">步：</t>
    </r>
    <r>
      <rPr>
        <sz val="9"/>
        <color rgb="FF595959"/>
        <rFont val="Arial"/>
        <family val="0"/>
        <charset val="1"/>
      </rPr>
      <t xml:space="preserve">2025 </t>
    </r>
    <r>
      <rPr>
        <sz val="9"/>
        <color rgb="FF595959"/>
        <rFont val="Noto Sans CJK SC"/>
        <family val="2"/>
      </rPr>
      <t xml:space="preserve">差距＝</t>
    </r>
    <r>
      <rPr>
        <sz val="9"/>
        <color rgb="FF595959"/>
        <rFont val="Arial"/>
        <family val="0"/>
        <charset val="1"/>
      </rPr>
      <t xml:space="preserve">0</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同）</t>
    </r>
  </si>
  <si>
    <t xml:space="preserve">K35</t>
  </si>
  <si>
    <t xml:space="preserve">K36</t>
  </si>
  <si>
    <r>
      <rPr>
        <sz val="10"/>
        <color rgb="FF000000"/>
        <rFont val="Noto Sans CJK SC"/>
        <family val="2"/>
      </rPr>
      <t xml:space="preserve">雲端營收（截頂後）＝雲端 </t>
    </r>
    <r>
      <rPr>
        <sz val="10"/>
        <color rgb="FF000000"/>
        <rFont val="Arial"/>
        <family val="0"/>
        <charset val="1"/>
      </rPr>
      <t xml:space="preserve">× </t>
    </r>
    <r>
      <rPr>
        <sz val="10"/>
        <color rgb="FF000000"/>
        <rFont val="Noto Sans CJK SC"/>
        <family val="2"/>
      </rPr>
      <t xml:space="preserve">容量上限係數</t>
    </r>
  </si>
  <si>
    <t xml:space="preserve">K37</t>
  </si>
  <si>
    <t xml:space="preserve">差額＝營收淨額 − 全成本（含股權報酬）</t>
  </si>
  <si>
    <r>
      <rPr>
        <sz val="9"/>
        <color rgb="FF595959"/>
        <rFont val="Noto Sans CJK SC"/>
        <family val="2"/>
      </rPr>
      <t xml:space="preserve">負＝缺口（</t>
    </r>
    <r>
      <rPr>
        <sz val="9"/>
        <color rgb="FF595959"/>
        <rFont val="Arial"/>
        <family val="0"/>
        <charset val="1"/>
      </rPr>
      <t xml:space="preserve">Z4 </t>
    </r>
    <r>
      <rPr>
        <sz val="9"/>
        <color rgb="FF595959"/>
        <rFont val="Noto Sans CJK SC"/>
        <family val="2"/>
      </rPr>
      <t xml:space="preserve">融資）</t>
    </r>
  </si>
  <si>
    <t xml:space="preserve">K38</t>
  </si>
  <si>
    <r>
      <rPr>
        <sz val="10"/>
        <color rgb="FF000000"/>
        <rFont val="Noto Sans CJK SC"/>
        <family val="2"/>
      </rPr>
      <t xml:space="preserve">對照：財報年內虧損（</t>
    </r>
    <r>
      <rPr>
        <sz val="10"/>
        <color rgb="FF000000"/>
        <rFont val="Arial"/>
        <family val="0"/>
        <charset val="1"/>
      </rPr>
      <t xml:space="preserve">2025</t>
    </r>
    <r>
      <rPr>
        <sz val="10"/>
        <color rgb="FF000000"/>
        <rFont val="Noto Sans CJK SC"/>
        <family val="2"/>
      </rPr>
      <t xml:space="preserve">）</t>
    </r>
  </si>
  <si>
    <r>
      <rPr>
        <sz val="9"/>
        <color rgb="FF595959"/>
        <rFont val="Arial"/>
        <family val="0"/>
        <charset val="1"/>
      </rPr>
      <t xml:space="preserve">SRC_ZP_145</t>
    </r>
    <r>
      <rPr>
        <sz val="9"/>
        <color rgb="FF595959"/>
        <rFont val="Noto Sans CJK SC"/>
        <family val="2"/>
      </rPr>
      <t xml:space="preserve">；差額另含其他收入、財務成本、投資人金融工具公允值變動等</t>
    </r>
  </si>
  <si>
    <r>
      <rPr>
        <b val="true"/>
        <sz val="10"/>
        <rFont val="Noto Sans CJK SC"/>
        <family val="2"/>
      </rPr>
      <t xml:space="preserve">六、命題表（人民幣；每 </t>
    </r>
    <r>
      <rPr>
        <b val="true"/>
        <sz val="10"/>
        <rFont val="Arial"/>
        <family val="0"/>
        <charset val="1"/>
      </rPr>
      <t xml:space="preserve">VR </t>
    </r>
    <r>
      <rPr>
        <b val="true"/>
        <sz val="10"/>
        <rFont val="Noto Sans CJK SC"/>
        <family val="2"/>
      </rPr>
      <t xml:space="preserve">等值 </t>
    </r>
    <r>
      <rPr>
        <b val="true"/>
        <sz val="10"/>
        <rFont val="Arial"/>
        <family val="0"/>
        <charset val="1"/>
      </rPr>
      <t xml:space="preserve">GW</t>
    </r>
    <r>
      <rPr>
        <b val="true"/>
        <sz val="10"/>
        <rFont val="Noto Sans CJK SC"/>
        <family val="2"/>
      </rPr>
      <t xml:space="preserve">；分母＝供給 </t>
    </r>
    <r>
      <rPr>
        <b val="true"/>
        <sz val="10"/>
        <rFont val="Arial"/>
        <family val="0"/>
        <charset val="1"/>
      </rPr>
      <t xml:space="preserve">VR </t>
    </r>
    <r>
      <rPr>
        <b val="true"/>
        <sz val="10"/>
        <rFont val="Noto Sans CJK SC"/>
        <family val="2"/>
      </rPr>
      <t xml:space="preserve">等值 </t>
    </r>
    <r>
      <rPr>
        <b val="true"/>
        <sz val="10"/>
        <rFont val="Arial"/>
        <family val="0"/>
        <charset val="1"/>
      </rPr>
      <t xml:space="preserve">GW</t>
    </r>
    <r>
      <rPr>
        <b val="true"/>
        <sz val="10"/>
        <rFont val="Noto Sans CJK SC"/>
        <family val="2"/>
      </rPr>
      <t xml:space="preserve">）</t>
    </r>
  </si>
  <si>
    <t xml:space="preserve">K39</t>
  </si>
  <si>
    <r>
      <rPr>
        <sz val="10"/>
        <color rgb="FF000000"/>
        <rFont val="Noto Sans CJK SC"/>
        <family val="2"/>
      </rPr>
      <t xml:space="preserve">分母：供給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</si>
  <si>
    <t xml:space="preserve">K40</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</si>
  <si>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：營收淨額</t>
    </r>
  </si>
  <si>
    <r>
      <rPr>
        <sz val="9"/>
        <color rgb="FF595959"/>
        <rFont val="Noto Sans CJK SC"/>
        <family val="2"/>
      </rPr>
      <t xml:space="preserve">分母為 </t>
    </r>
    <r>
      <rPr>
        <sz val="9"/>
        <color rgb="FF595959"/>
        <rFont val="Arial"/>
        <family val="0"/>
        <charset val="1"/>
      </rPr>
      <t xml:space="preserve">0</t>
    </r>
    <r>
      <rPr>
        <sz val="9"/>
        <color rgb="FF595959"/>
        <rFont val="Noto Sans CJK SC"/>
        <family val="2"/>
      </rPr>
      <t xml:space="preserve">（壓力情境）時顯示 </t>
    </r>
    <r>
      <rPr>
        <sz val="9"/>
        <color rgb="FF595959"/>
        <rFont val="Arial"/>
        <family val="0"/>
        <charset val="1"/>
      </rPr>
      <t xml:space="preserve">0</t>
    </r>
  </si>
  <si>
    <t xml:space="preserve">K41</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</si>
  <si>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：雲端營收</t>
    </r>
  </si>
  <si>
    <t xml:space="preserve">K42</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</si>
  <si>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：算力成本</t>
    </r>
  </si>
  <si>
    <t xml:space="preserve">K43</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</si>
  <si>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：本地化部署交付成本</t>
    </r>
  </si>
  <si>
    <t xml:space="preserve">K44</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</si>
  <si>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：非算力成本（不含股權報酬）</t>
    </r>
  </si>
  <si>
    <t xml:space="preserve">K45</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</si>
  <si>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：股權報酬</t>
    </r>
  </si>
  <si>
    <t xml:space="preserve">K46</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</si>
  <si>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：全成本（含股權報酬）</t>
    </r>
  </si>
  <si>
    <t xml:space="preserve">K47</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</si>
  <si>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：全成本（不含股權報酬）</t>
    </r>
  </si>
  <si>
    <t xml:space="preserve">K48</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</si>
  <si>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：差額（含股權報酬）</t>
    </r>
  </si>
  <si>
    <t xml:space="preserve">命題：負＝營收不足以覆蓋全成本</t>
  </si>
  <si>
    <t xml:space="preserve">K49</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</si>
  <si>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：差額（不含股權報酬）</t>
    </r>
  </si>
  <si>
    <t xml:space="preserve">K50</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</si>
  <si>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：雲端口徑差額＝雲端營收 −（全成本 − 本地化交付成本）</t>
    </r>
  </si>
  <si>
    <r>
      <rPr>
        <sz val="9"/>
        <color rgb="FF595959"/>
        <rFont val="Arial"/>
        <family val="0"/>
        <charset val="1"/>
      </rPr>
      <t xml:space="preserve">D4</t>
    </r>
    <r>
      <rPr>
        <sz val="9"/>
        <color rgb="FF595959"/>
        <rFont val="Noto Sans CJK SC"/>
        <family val="2"/>
      </rPr>
      <t xml:space="preserve">：分子只計雲端營收、分母不變；本地化交付成本隨本地化營收一併排除（其餘成本全留，較保守）</t>
    </r>
  </si>
  <si>
    <t xml:space="preserve">K51</t>
  </si>
  <si>
    <r>
      <rPr>
        <sz val="10"/>
        <color rgb="FF000000"/>
        <rFont val="Noto Sans CJK SC"/>
        <family val="2"/>
      </rPr>
      <t xml:space="preserve">覆蓋率＝營收淨額 </t>
    </r>
    <r>
      <rPr>
        <sz val="10"/>
        <color rgb="FF000000"/>
        <rFont val="Arial"/>
        <family val="0"/>
        <charset val="1"/>
      </rPr>
      <t xml:space="preserve">÷ </t>
    </r>
    <r>
      <rPr>
        <sz val="10"/>
        <color rgb="FF000000"/>
        <rFont val="Noto Sans CJK SC"/>
        <family val="2"/>
      </rPr>
      <t xml:space="preserve">全成本（含股權報酬）</t>
    </r>
  </si>
  <si>
    <t xml:space="preserve">K52</t>
  </si>
  <si>
    <r>
      <rPr>
        <sz val="10"/>
        <color rgb="FF000000"/>
        <rFont val="Noto Sans CJK SC"/>
        <family val="2"/>
      </rPr>
      <t xml:space="preserve">雲端覆蓋率＝雲端營收 </t>
    </r>
    <r>
      <rPr>
        <sz val="10"/>
        <color rgb="FF000000"/>
        <rFont val="Arial"/>
        <family val="0"/>
        <charset val="1"/>
      </rPr>
      <t xml:space="preserve">÷</t>
    </r>
    <r>
      <rPr>
        <sz val="10"/>
        <color rgb="FF000000"/>
        <rFont val="Noto Sans CJK SC"/>
        <family val="2"/>
      </rPr>
      <t xml:space="preserve">（全成本 − 本地化交付成本）</t>
    </r>
  </si>
  <si>
    <r>
      <rPr>
        <b val="true"/>
        <sz val="10"/>
        <rFont val="Noto Sans CJK SC"/>
        <family val="2"/>
      </rPr>
      <t xml:space="preserve">七、命題表（美元；</t>
    </r>
    <r>
      <rPr>
        <b val="true"/>
        <sz val="10"/>
        <rFont val="Arial"/>
        <family val="0"/>
        <charset val="1"/>
      </rPr>
      <t xml:space="preserve">$B</t>
    </r>
    <r>
      <rPr>
        <b val="true"/>
        <sz val="10"/>
        <rFont val="Noto Sans CJK SC"/>
        <family val="2"/>
      </rPr>
      <t xml:space="preserve">／</t>
    </r>
    <r>
      <rPr>
        <b val="true"/>
        <sz val="10"/>
        <rFont val="Arial"/>
        <family val="0"/>
        <charset val="1"/>
      </rPr>
      <t xml:space="preserve">VR </t>
    </r>
    <r>
      <rPr>
        <b val="true"/>
        <sz val="10"/>
        <rFont val="Noto Sans CJK SC"/>
        <family val="2"/>
      </rPr>
      <t xml:space="preserve">等值 </t>
    </r>
    <r>
      <rPr>
        <b val="true"/>
        <sz val="10"/>
        <rFont val="Arial"/>
        <family val="0"/>
        <charset val="1"/>
      </rPr>
      <t xml:space="preserve">GW</t>
    </r>
    <r>
      <rPr>
        <b val="true"/>
        <sz val="10"/>
        <rFont val="Noto Sans CJK SC"/>
        <family val="2"/>
      </rPr>
      <t xml:space="preserve">／年＝人民幣億 </t>
    </r>
    <r>
      <rPr>
        <b val="true"/>
        <sz val="10"/>
        <rFont val="Arial"/>
        <family val="0"/>
        <charset val="1"/>
      </rPr>
      <t xml:space="preserve">÷ USD/CNY ÷ 10</t>
    </r>
    <r>
      <rPr>
        <b val="true"/>
        <sz val="10"/>
        <rFont val="Noto Sans CJK SC"/>
        <family val="2"/>
      </rPr>
      <t xml:space="preserve">；同一匯率，</t>
    </r>
    <r>
      <rPr>
        <b val="true"/>
        <sz val="10"/>
        <rFont val="Arial"/>
        <family val="0"/>
        <charset val="1"/>
      </rPr>
      <t xml:space="preserve">D23</t>
    </r>
    <r>
      <rPr>
        <b val="true"/>
        <sz val="10"/>
        <rFont val="Noto Sans CJK SC"/>
        <family val="2"/>
      </rPr>
      <t xml:space="preserve">）</t>
    </r>
  </si>
  <si>
    <t xml:space="preserve">K53</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</si>
  <si>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：營收淨額（美元）</t>
    </r>
  </si>
  <si>
    <t xml:space="preserve">K54</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</si>
  <si>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：雲端營收（美元）</t>
    </r>
  </si>
  <si>
    <t xml:space="preserve">K55</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</si>
  <si>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：算力成本（美元）</t>
    </r>
  </si>
  <si>
    <t xml:space="preserve">K56</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</si>
  <si>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：全成本（含股權報酬）（美元）</t>
    </r>
  </si>
  <si>
    <t xml:space="preserve">K57</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</si>
  <si>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：差額（含股權報酬）（美元）</t>
    </r>
  </si>
  <si>
    <t xml:space="preserve">K58</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</si>
  <si>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：差額（不含股權報酬）（美元）</t>
    </r>
  </si>
  <si>
    <t xml:space="preserve">K59</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</si>
  <si>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：雲端口徑差額（美元）</t>
    </r>
  </si>
  <si>
    <t xml:space="preserve">K60</t>
  </si>
  <si>
    <t xml:space="preserve">營收淨額（美元）</t>
  </si>
  <si>
    <t xml:space="preserve">K61</t>
  </si>
  <si>
    <t xml:space="preserve">全成本（含股權報酬；美元）</t>
  </si>
  <si>
    <t xml:space="preserve">K62</t>
  </si>
  <si>
    <t xml:space="preserve">差額（美元）</t>
  </si>
  <si>
    <r>
      <rPr>
        <b val="true"/>
        <sz val="10"/>
        <rFont val="Noto Sans CJK SC"/>
        <family val="2"/>
      </rPr>
      <t xml:space="preserve">八、</t>
    </r>
    <r>
      <rPr>
        <b val="true"/>
        <sz val="10"/>
        <rFont val="Arial"/>
        <family val="0"/>
        <charset val="1"/>
      </rPr>
      <t xml:space="preserve">Tokenomics </t>
    </r>
    <r>
      <rPr>
        <b val="true"/>
        <sz val="10"/>
        <rFont val="Noto Sans CJK SC"/>
        <family val="2"/>
      </rPr>
      <t xml:space="preserve">單位成本參考（每 </t>
    </r>
    <r>
      <rPr>
        <b val="true"/>
        <sz val="10"/>
        <rFont val="Arial"/>
        <family val="0"/>
        <charset val="1"/>
      </rPr>
      <t xml:space="preserve">VR200 GW </t>
    </r>
    <r>
      <rPr>
        <b val="true"/>
        <sz val="10"/>
        <rFont val="Noto Sans CJK SC"/>
        <family val="2"/>
      </rPr>
      <t xml:space="preserve">年全成本＝</t>
    </r>
    <r>
      <rPr>
        <b val="true"/>
        <sz val="10"/>
        <rFont val="Arial"/>
        <family val="0"/>
        <charset val="1"/>
      </rPr>
      <t xml:space="preserve">TK $/M × </t>
    </r>
    <r>
      <rPr>
        <b val="true"/>
        <sz val="10"/>
        <rFont val="Noto Sans CJK SC"/>
        <family val="2"/>
      </rPr>
      <t xml:space="preserve">每 </t>
    </r>
    <r>
      <rPr>
        <b val="true"/>
        <sz val="10"/>
        <rFont val="Arial"/>
        <family val="0"/>
        <charset val="1"/>
      </rPr>
      <t xml:space="preserve">GW </t>
    </r>
    <r>
      <rPr>
        <b val="true"/>
        <sz val="10"/>
        <rFont val="Noto Sans CJK SC"/>
        <family val="2"/>
      </rPr>
      <t xml:space="preserve">年產出（</t>
    </r>
    <r>
      <rPr>
        <b val="true"/>
        <sz val="10"/>
        <rFont val="Arial"/>
        <family val="0"/>
        <charset val="1"/>
      </rPr>
      <t xml:space="preserve">Sol</t>
    </r>
    <r>
      <rPr>
        <b val="true"/>
        <sz val="10"/>
        <rFont val="Noto Sans CJK SC"/>
        <family val="2"/>
      </rPr>
      <t xml:space="preserve">）</t>
    </r>
    <r>
      <rPr>
        <b val="true"/>
        <sz val="10"/>
        <rFont val="Arial"/>
        <family val="0"/>
        <charset val="1"/>
      </rPr>
      <t xml:space="preserve">× </t>
    </r>
    <r>
      <rPr>
        <b val="true"/>
        <sz val="10"/>
        <rFont val="Noto Sans CJK SC"/>
        <family val="2"/>
      </rPr>
      <t xml:space="preserve">基準利用率；只作參考，算力成本仍＝實付）</t>
    </r>
  </si>
  <si>
    <t xml:space="preserve">K63</t>
  </si>
  <si>
    <r>
      <rPr>
        <sz val="10"/>
        <color rgb="FF000000"/>
        <rFont val="Arial"/>
        <family val="0"/>
        <charset val="1"/>
      </rPr>
      <t xml:space="preserve">TK </t>
    </r>
    <r>
      <rPr>
        <sz val="10"/>
        <color rgb="FF000000"/>
        <rFont val="Noto Sans CJK SC"/>
        <family val="2"/>
      </rPr>
      <t xml:space="preserve">參考：每 </t>
    </r>
    <r>
      <rPr>
        <sz val="10"/>
        <color rgb="FF000000"/>
        <rFont val="Arial"/>
        <family val="0"/>
        <charset val="1"/>
      </rPr>
      <t xml:space="preserve">VR200 GW </t>
    </r>
    <r>
      <rPr>
        <sz val="10"/>
        <color rgb="FF000000"/>
        <rFont val="Noto Sans CJK SC"/>
        <family val="2"/>
      </rPr>
      <t xml:space="preserve">年全成本（下游預設 </t>
    </r>
    <r>
      <rPr>
        <sz val="10"/>
        <color rgb="FF000000"/>
        <rFont val="Arial"/>
        <family val="0"/>
        <charset val="1"/>
      </rPr>
      <t xml:space="preserve">IF_FullCostDefault_Sol</t>
    </r>
    <r>
      <rPr>
        <sz val="10"/>
        <color rgb="FF000000"/>
        <rFont val="Noto Sans CJK SC"/>
        <family val="2"/>
      </rPr>
      <t xml:space="preserve">；基準）</t>
    </r>
  </si>
  <si>
    <r>
      <rPr>
        <sz val="9"/>
        <color rgb="FF595959"/>
        <rFont val="Arial"/>
        <family val="0"/>
        <charset val="1"/>
      </rPr>
      <t xml:space="preserve">TK $/M</t>
    </r>
    <r>
      <rPr>
        <sz val="9"/>
        <color rgb="FF595959"/>
        <rFont val="Noto Sans CJK SC"/>
        <family val="2"/>
      </rPr>
      <t xml:space="preserve">（</t>
    </r>
    <r>
      <rPr>
        <sz val="9"/>
        <color rgb="FF595959"/>
        <rFont val="Arial"/>
        <family val="0"/>
        <charset val="1"/>
      </rPr>
      <t xml:space="preserve">VR200 Sol </t>
    </r>
    <r>
      <rPr>
        <sz val="9"/>
        <color rgb="FF595959"/>
        <rFont val="Noto Sans CJK SC"/>
        <family val="2"/>
      </rPr>
      <t xml:space="preserve">基準欄）</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年產出 </t>
    </r>
    <r>
      <rPr>
        <sz val="9"/>
        <color rgb="FF595959"/>
        <rFont val="Arial"/>
        <family val="0"/>
        <charset val="1"/>
      </rPr>
      <t xml:space="preserve">× IF_Util ÷ 10^9 × USD/CNY × 10</t>
    </r>
  </si>
  <si>
    <t xml:space="preserve">K64</t>
  </si>
  <si>
    <r>
      <rPr>
        <sz val="10"/>
        <color rgb="FF000000"/>
        <rFont val="Arial"/>
        <family val="0"/>
        <charset val="1"/>
      </rPr>
      <t xml:space="preserve">TK </t>
    </r>
    <r>
      <rPr>
        <sz val="10"/>
        <color rgb="FF000000"/>
        <rFont val="Noto Sans CJK SC"/>
        <family val="2"/>
      </rPr>
      <t xml:space="preserve">參考：每 </t>
    </r>
    <r>
      <rPr>
        <sz val="10"/>
        <color rgb="FF000000"/>
        <rFont val="Arial"/>
        <family val="0"/>
        <charset val="1"/>
      </rPr>
      <t xml:space="preserve">VR200 GW </t>
    </r>
    <r>
      <rPr>
        <sz val="10"/>
        <color rgb="FF000000"/>
        <rFont val="Noto Sans CJK SC"/>
        <family val="2"/>
      </rPr>
      <t xml:space="preserve">年全成本（</t>
    </r>
    <r>
      <rPr>
        <sz val="10"/>
        <color rgb="FF000000"/>
        <rFont val="Arial"/>
        <family val="0"/>
        <charset val="1"/>
      </rPr>
      <t xml:space="preserve">IF_FullCost_Sol</t>
    </r>
    <r>
      <rPr>
        <sz val="10"/>
        <color rgb="FF000000"/>
        <rFont val="Noto Sans CJK SC"/>
        <family val="2"/>
      </rPr>
      <t xml:space="preserve">；並列）</t>
    </r>
  </si>
  <si>
    <t xml:space="preserve">K65</t>
  </si>
  <si>
    <r>
      <rPr>
        <sz val="10"/>
        <color rgb="FF000000"/>
        <rFont val="Noto Sans CJK SC"/>
        <family val="2"/>
      </rPr>
      <t xml:space="preserve">差距：每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算力成本 − </t>
    </r>
    <r>
      <rPr>
        <sz val="10"/>
        <color rgb="FF000000"/>
        <rFont val="Arial"/>
        <family val="0"/>
        <charset val="1"/>
      </rPr>
      <t xml:space="preserve">TK </t>
    </r>
    <r>
      <rPr>
        <sz val="10"/>
        <color rgb="FF000000"/>
        <rFont val="Noto Sans CJK SC"/>
        <family val="2"/>
      </rPr>
      <t xml:space="preserve">參考（下游預設）</t>
    </r>
  </si>
  <si>
    <r>
      <rPr>
        <b val="true"/>
        <sz val="10"/>
        <rFont val="Noto Sans CJK SC"/>
        <family val="2"/>
      </rPr>
      <t xml:space="preserve">九、對照：每實體 </t>
    </r>
    <r>
      <rPr>
        <b val="true"/>
        <sz val="10"/>
        <rFont val="Arial"/>
        <family val="0"/>
        <charset val="1"/>
      </rPr>
      <t xml:space="preserve">GW </t>
    </r>
    <r>
      <rPr>
        <b val="true"/>
        <sz val="10"/>
        <rFont val="Noto Sans CJK SC"/>
        <family val="2"/>
      </rPr>
      <t xml:space="preserve">口徑（</t>
    </r>
    <r>
      <rPr>
        <b val="true"/>
        <sz val="10"/>
        <rFont val="Arial"/>
        <family val="0"/>
        <charset val="1"/>
      </rPr>
      <t xml:space="preserve">Z4 </t>
    </r>
    <r>
      <rPr>
        <b val="true"/>
        <sz val="10"/>
        <rFont val="Noto Sans CJK SC"/>
        <family val="2"/>
      </rPr>
      <t xml:space="preserve">報告第二種讀法；分母＝供給 </t>
    </r>
    <r>
      <rPr>
        <b val="true"/>
        <sz val="10"/>
        <rFont val="Arial"/>
        <family val="0"/>
        <charset val="1"/>
      </rPr>
      <t xml:space="preserve">GW</t>
    </r>
    <r>
      <rPr>
        <b val="true"/>
        <sz val="10"/>
        <rFont val="Noto Sans CJK SC"/>
        <family val="2"/>
      </rPr>
      <t xml:space="preserve">（實體、</t>
    </r>
    <r>
      <rPr>
        <b val="true"/>
        <sz val="10"/>
        <rFont val="Arial"/>
        <family val="0"/>
        <charset val="1"/>
      </rPr>
      <t xml:space="preserve">IT</t>
    </r>
    <r>
      <rPr>
        <b val="true"/>
        <sz val="10"/>
        <rFont val="Noto Sans CJK SC"/>
        <family val="2"/>
      </rPr>
      <t xml:space="preserve">），不換 </t>
    </r>
    <r>
      <rPr>
        <b val="true"/>
        <sz val="10"/>
        <rFont val="Arial"/>
        <family val="0"/>
        <charset val="1"/>
      </rPr>
      <t xml:space="preserve">VR </t>
    </r>
    <r>
      <rPr>
        <b val="true"/>
        <sz val="10"/>
        <rFont val="Noto Sans CJK SC"/>
        <family val="2"/>
      </rPr>
      <t xml:space="preserve">等值；命題仍以每 </t>
    </r>
    <r>
      <rPr>
        <b val="true"/>
        <sz val="10"/>
        <rFont val="Arial"/>
        <family val="0"/>
        <charset val="1"/>
      </rPr>
      <t xml:space="preserve">VR </t>
    </r>
    <r>
      <rPr>
        <b val="true"/>
        <sz val="10"/>
        <rFont val="Noto Sans CJK SC"/>
        <family val="2"/>
      </rPr>
      <t xml:space="preserve">等值 </t>
    </r>
    <r>
      <rPr>
        <b val="true"/>
        <sz val="10"/>
        <rFont val="Arial"/>
        <family val="0"/>
        <charset val="1"/>
      </rPr>
      <t xml:space="preserve">GW </t>
    </r>
    <r>
      <rPr>
        <b val="true"/>
        <sz val="10"/>
        <rFont val="Noto Sans CJK SC"/>
        <family val="2"/>
      </rPr>
      <t xml:space="preserve">為準）</t>
    </r>
  </si>
  <si>
    <t xml:space="preserve">K66</t>
  </si>
  <si>
    <r>
      <rPr>
        <sz val="10"/>
        <color rgb="FF000000"/>
        <rFont val="Noto Sans CJK SC"/>
        <family val="2"/>
      </rPr>
      <t xml:space="preserve">分母：供給 </t>
    </r>
    <r>
      <rPr>
        <sz val="10"/>
        <color rgb="FF000000"/>
        <rFont val="Arial"/>
        <family val="0"/>
        <charset val="1"/>
      </rPr>
      <t xml:space="preserve">GW</t>
    </r>
    <r>
      <rPr>
        <sz val="10"/>
        <color rgb="FF000000"/>
        <rFont val="Noto Sans CJK SC"/>
        <family val="2"/>
      </rPr>
      <t xml:space="preserve">（實體）</t>
    </r>
  </si>
  <si>
    <r>
      <rPr>
        <sz val="9"/>
        <color rgb="FF595959"/>
        <rFont val="Arial"/>
        <family val="0"/>
        <charset val="1"/>
      </rPr>
      <t xml:space="preserve">CMP_SupplyGW</t>
    </r>
    <r>
      <rPr>
        <sz val="9"/>
        <color rgb="FF595959"/>
        <rFont val="Noto Sans CJK SC"/>
        <family val="2"/>
      </rPr>
      <t xml:space="preserve">（期間平均）</t>
    </r>
  </si>
  <si>
    <t xml:space="preserve">K67</t>
  </si>
  <si>
    <r>
      <rPr>
        <sz val="10"/>
        <color rgb="FF000000"/>
        <rFont val="Noto Sans CJK SC"/>
        <family val="2"/>
      </rPr>
      <t xml:space="preserve">機隊 </t>
    </r>
    <r>
      <rPr>
        <sz val="10"/>
        <color rgb="FF000000"/>
        <rFont val="Arial"/>
        <family val="0"/>
        <charset val="1"/>
      </rPr>
      <t xml:space="preserve">VR </t>
    </r>
    <r>
      <rPr>
        <sz val="10"/>
        <color rgb="FF000000"/>
        <rFont val="Noto Sans CJK SC"/>
        <family val="2"/>
      </rPr>
      <t xml:space="preserve">等值係數＝</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 </t>
    </r>
    <r>
      <rPr>
        <sz val="10"/>
        <color rgb="FF000000"/>
        <rFont val="Noto Sans CJK SC"/>
        <family val="2"/>
      </rPr>
      <t xml:space="preserve">實體 </t>
    </r>
    <r>
      <rPr>
        <sz val="10"/>
        <color rgb="FF000000"/>
        <rFont val="Arial"/>
        <family val="0"/>
        <charset val="1"/>
      </rPr>
      <t xml:space="preserve">GW</t>
    </r>
  </si>
  <si>
    <r>
      <rPr>
        <sz val="9"/>
        <color rgb="FF595959"/>
        <rFont val="Noto Sans CJK SC"/>
        <family val="2"/>
      </rPr>
      <t xml:space="preserve">中國晶片組合換成 </t>
    </r>
    <r>
      <rPr>
        <sz val="9"/>
        <color rgb="FF595959"/>
        <rFont val="Arial"/>
        <family val="0"/>
        <charset val="1"/>
      </rPr>
      <t xml:space="preserve">VR200 </t>
    </r>
    <r>
      <rPr>
        <sz val="9"/>
        <color rgb="FF595959"/>
        <rFont val="Noto Sans CJK SC"/>
        <family val="2"/>
      </rPr>
      <t xml:space="preserve">等值只值約此倍數；分母為 </t>
    </r>
    <r>
      <rPr>
        <sz val="9"/>
        <color rgb="FF595959"/>
        <rFont val="Arial"/>
        <family val="0"/>
        <charset val="1"/>
      </rPr>
      <t xml:space="preserve">0 </t>
    </r>
    <r>
      <rPr>
        <sz val="9"/>
        <color rgb="FF595959"/>
        <rFont val="Noto Sans CJK SC"/>
        <family val="2"/>
      </rPr>
      <t xml:space="preserve">時顯示 </t>
    </r>
    <r>
      <rPr>
        <sz val="9"/>
        <color rgb="FF595959"/>
        <rFont val="Arial"/>
        <family val="0"/>
        <charset val="1"/>
      </rPr>
      <t xml:space="preserve">0</t>
    </r>
  </si>
  <si>
    <t xml:space="preserve">K68</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</si>
  <si>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：營收淨額</t>
    </r>
  </si>
  <si>
    <t xml:space="preserve">K69</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</si>
  <si>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：全成本（含股權報酬）</t>
    </r>
  </si>
  <si>
    <t xml:space="preserve">K70</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</si>
  <si>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：差額</t>
    </r>
  </si>
  <si>
    <r>
      <rPr>
        <sz val="9"/>
        <color rgb="FF595959"/>
        <rFont val="Noto Sans CJK SC"/>
        <family val="2"/>
      </rPr>
      <t xml:space="preserve">＝每 </t>
    </r>
    <r>
      <rPr>
        <sz val="9"/>
        <color rgb="FF595959"/>
        <rFont val="Arial"/>
        <family val="0"/>
        <charset val="1"/>
      </rPr>
      <t xml:space="preserve">VR </t>
    </r>
    <r>
      <rPr>
        <sz val="9"/>
        <color rgb="FF595959"/>
        <rFont val="Noto Sans CJK SC"/>
        <family val="2"/>
      </rPr>
      <t xml:space="preserve">等值 </t>
    </r>
    <r>
      <rPr>
        <sz val="9"/>
        <color rgb="FF595959"/>
        <rFont val="Arial"/>
        <family val="0"/>
        <charset val="1"/>
      </rPr>
      <t xml:space="preserve">GW </t>
    </r>
    <r>
      <rPr>
        <sz val="9"/>
        <color rgb="FF595959"/>
        <rFont val="Noto Sans CJK SC"/>
        <family val="2"/>
      </rPr>
      <t xml:space="preserve">差額 </t>
    </r>
    <r>
      <rPr>
        <sz val="9"/>
        <color rgb="FF595959"/>
        <rFont val="Arial"/>
        <family val="0"/>
        <charset val="1"/>
      </rPr>
      <t xml:space="preserve">× </t>
    </r>
    <r>
      <rPr>
        <sz val="9"/>
        <color rgb="FF595959"/>
        <rFont val="Noto Sans CJK SC"/>
        <family val="2"/>
      </rPr>
      <t xml:space="preserve">機隊 </t>
    </r>
    <r>
      <rPr>
        <sz val="9"/>
        <color rgb="FF595959"/>
        <rFont val="Arial"/>
        <family val="0"/>
        <charset val="1"/>
      </rPr>
      <t xml:space="preserve">VR </t>
    </r>
    <r>
      <rPr>
        <sz val="9"/>
        <color rgb="FF595959"/>
        <rFont val="Noto Sans CJK SC"/>
        <family val="2"/>
      </rPr>
      <t xml:space="preserve">等值係數</t>
    </r>
  </si>
  <si>
    <t xml:space="preserve">K71</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</si>
  <si>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：營收淨額（美元）</t>
    </r>
  </si>
  <si>
    <t xml:space="preserve">K72</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</si>
  <si>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：全成本（美元）</t>
    </r>
  </si>
  <si>
    <t xml:space="preserve">K73</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</si>
  <si>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：差額（美元）</t>
    </r>
  </si>
  <si>
    <r>
      <rPr>
        <b val="true"/>
        <sz val="10"/>
        <rFont val="Noto Sans CJK SC"/>
        <family val="2"/>
      </rPr>
      <t xml:space="preserve">十、</t>
    </r>
    <r>
      <rPr>
        <b val="true"/>
        <sz val="10"/>
        <rFont val="Arial"/>
        <family val="0"/>
        <charset val="1"/>
      </rPr>
      <t xml:space="preserve">Z5b V2</t>
    </r>
    <r>
      <rPr>
        <b val="true"/>
        <sz val="10"/>
        <rFont val="Noto Sans CJK SC"/>
        <family val="2"/>
      </rPr>
      <t xml:space="preserve">：自有算力營運費用（現金，已含於算力成本）與攤提口徑並列（自有資本支出依 </t>
    </r>
    <r>
      <rPr>
        <b val="true"/>
        <sz val="10"/>
        <rFont val="Arial"/>
        <family val="0"/>
        <charset val="1"/>
      </rPr>
      <t xml:space="preserve">TK IF_DeprLifeIT </t>
    </r>
    <r>
      <rPr>
        <b val="true"/>
        <sz val="10"/>
        <rFont val="Noto Sans CJK SC"/>
        <family val="2"/>
      </rPr>
      <t xml:space="preserve">攤提；只並列，命題與 </t>
    </r>
    <r>
      <rPr>
        <b val="true"/>
        <sz val="10"/>
        <rFont val="Arial"/>
        <family val="0"/>
        <charset val="1"/>
      </rPr>
      <t xml:space="preserve">Funding </t>
    </r>
    <r>
      <rPr>
        <b val="true"/>
        <sz val="10"/>
        <rFont val="Noto Sans CJK SC"/>
        <family val="2"/>
      </rPr>
      <t xml:space="preserve">仍以現金口徑）</t>
    </r>
  </si>
  <si>
    <t xml:space="preserve">K74</t>
  </si>
  <si>
    <t xml:space="preserve">自有算力營運費用（現金）</t>
  </si>
  <si>
    <r>
      <rPr>
        <sz val="9"/>
        <color rgb="FF595959"/>
        <rFont val="Arial"/>
        <family val="0"/>
        <charset val="1"/>
      </rPr>
      <t xml:space="preserve">Compute </t>
    </r>
    <r>
      <rPr>
        <sz val="9"/>
        <color rgb="FF595959"/>
        <rFont val="Noto Sans CJK SC"/>
        <family val="2"/>
      </rPr>
      <t xml:space="preserve">第十四節；投產後計入</t>
    </r>
  </si>
  <si>
    <t xml:space="preserve">K75</t>
  </si>
  <si>
    <t xml:space="preserve">自有資本支出攤提</t>
  </si>
  <si>
    <r>
      <rPr>
        <sz val="9"/>
        <color rgb="FF595959"/>
        <rFont val="Arial"/>
        <family val="0"/>
        <charset val="1"/>
      </rPr>
      <t xml:space="preserve">Compute </t>
    </r>
    <r>
      <rPr>
        <sz val="9"/>
        <color rgb="FF595959"/>
        <rFont val="Noto Sans CJK SC"/>
        <family val="2"/>
      </rPr>
      <t xml:space="preserve">第十四節</t>
    </r>
  </si>
  <si>
    <t xml:space="preserve">K76</t>
  </si>
  <si>
    <t xml:space="preserve">算力成本（攤提口徑）＝租用＋自有營運費用＋攤提</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</si>
  <si>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同現金口徑</t>
    </r>
  </si>
  <si>
    <t xml:space="preserve">K77</t>
  </si>
  <si>
    <t xml:space="preserve">全成本（攤提口徑）</t>
  </si>
  <si>
    <t xml:space="preserve">K78</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</si>
  <si>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：差額（攤提口徑）</t>
    </r>
  </si>
  <si>
    <r>
      <rPr>
        <sz val="9"/>
        <color rgb="FF595959"/>
        <rFont val="Arial"/>
        <family val="0"/>
        <charset val="1"/>
      </rPr>
      <t xml:space="preserve">1 GW </t>
    </r>
    <r>
      <rPr>
        <sz val="9"/>
        <color rgb="FF595959"/>
        <rFont val="Noto Sans CJK SC"/>
        <family val="2"/>
      </rPr>
      <t xml:space="preserve">資料中心情境下，一次性資本支出不進『每 </t>
    </r>
    <r>
      <rPr>
        <sz val="9"/>
        <color rgb="FF595959"/>
        <rFont val="Arial"/>
        <family val="0"/>
        <charset val="1"/>
      </rPr>
      <t xml:space="preserve">GW </t>
    </r>
    <r>
      <rPr>
        <sz val="9"/>
        <color rgb="FF595959"/>
        <rFont val="Noto Sans CJK SC"/>
        <family val="2"/>
      </rPr>
      <t xml:space="preserve">年』</t>
    </r>
  </si>
  <si>
    <t xml:space="preserve">K79</t>
  </si>
  <si>
    <t xml:space="preserve">覆蓋率（攤提口徑）</t>
  </si>
  <si>
    <r>
      <rPr>
        <b val="true"/>
        <sz val="13"/>
        <rFont val="Arial"/>
        <family val="0"/>
        <charset val="1"/>
      </rPr>
      <t xml:space="preserve">Funding — </t>
    </r>
    <r>
      <rPr>
        <b val="true"/>
        <sz val="13"/>
        <rFont val="Noto Sans CJK SC"/>
        <family val="2"/>
      </rPr>
      <t xml:space="preserve">融資：自由現金流、投資活動（非算力資本支出、併購）、已到位融資（</t>
    </r>
    <r>
      <rPr>
        <b val="true"/>
        <sz val="13"/>
        <rFont val="Arial"/>
        <family val="0"/>
        <charset val="1"/>
      </rPr>
      <t xml:space="preserve">IPO</t>
    </r>
    <r>
      <rPr>
        <b val="true"/>
        <sz val="13"/>
        <rFont val="Noto Sans CJK SC"/>
        <family val="2"/>
      </rPr>
      <t xml:space="preserve">、</t>
    </r>
    <r>
      <rPr>
        <b val="true"/>
        <sz val="13"/>
        <rFont val="Arial"/>
        <family val="0"/>
        <charset val="1"/>
      </rPr>
      <t xml:space="preserve">2026-07</t>
    </r>
    <r>
      <rPr>
        <b val="true"/>
        <sz val="13"/>
        <rFont val="Noto Sans CJK SC"/>
        <family val="2"/>
      </rPr>
      <t xml:space="preserve">／</t>
    </r>
    <r>
      <rPr>
        <b val="true"/>
        <sz val="13"/>
        <rFont val="Arial"/>
        <family val="0"/>
        <charset val="1"/>
      </rPr>
      <t xml:space="preserve">09 </t>
    </r>
    <r>
      <rPr>
        <b val="true"/>
        <sz val="13"/>
        <rFont val="Noto Sans CJK SC"/>
        <family val="2"/>
      </rPr>
      <t xml:space="preserve">配售、可換股債券、銀行借款）、最低現金與外部資金需求、可換股債券轉股情境、或有、配售用途對照、回流對照、</t>
    </r>
    <r>
      <rPr>
        <b val="true"/>
        <sz val="13"/>
        <rFont val="Arial"/>
        <family val="0"/>
        <charset val="1"/>
      </rPr>
      <t xml:space="preserve">2025</t>
    </r>
    <r>
      <rPr>
        <b val="true"/>
        <sz val="13"/>
        <rFont val="Noto Sans CJK SC"/>
        <family val="2"/>
      </rPr>
      <t xml:space="preserve">／</t>
    </r>
    <r>
      <rPr>
        <b val="true"/>
        <sz val="13"/>
        <rFont val="Arial"/>
        <family val="0"/>
        <charset val="1"/>
      </rPr>
      <t xml:space="preserve">1H26 </t>
    </r>
    <r>
      <rPr>
        <b val="true"/>
        <sz val="13"/>
        <rFont val="Noto Sans CJK SC"/>
        <family val="2"/>
      </rPr>
      <t xml:space="preserve">現金對帳</t>
    </r>
  </si>
  <si>
    <r>
      <rPr>
        <sz val="9"/>
        <color rgb="FF595959"/>
        <rFont val="Noto Sans CJK SC"/>
        <family val="2"/>
      </rPr>
      <t xml:space="preserve">規格 </t>
    </r>
    <r>
      <rPr>
        <sz val="9"/>
        <color rgb="FF595959"/>
        <rFont val="Arial"/>
        <family val="0"/>
        <charset val="1"/>
      </rPr>
      <t xml:space="preserve">D16–D20</t>
    </r>
    <r>
      <rPr>
        <sz val="9"/>
        <color rgb="FF595959"/>
        <rFont val="Noto Sans CJK SC"/>
        <family val="2"/>
      </rPr>
      <t xml:space="preserve">、</t>
    </r>
    <r>
      <rPr>
        <sz val="9"/>
        <color rgb="FF595959"/>
        <rFont val="Arial"/>
        <family val="0"/>
        <charset val="1"/>
      </rPr>
      <t xml:space="preserve">D16r</t>
    </r>
    <r>
      <rPr>
        <sz val="9"/>
        <color rgb="FF595959"/>
        <rFont val="Noto Sans CJK SC"/>
        <family val="2"/>
      </rPr>
      <t xml:space="preserve">；工作單 </t>
    </r>
    <r>
      <rPr>
        <sz val="9"/>
        <color rgb="FF595959"/>
        <rFont val="Arial"/>
        <family val="0"/>
        <charset val="1"/>
      </rPr>
      <t xml:space="preserve">Z4</t>
    </r>
    <r>
      <rPr>
        <sz val="9"/>
        <color rgb="FF595959"/>
        <rFont val="Noto Sans CJK SC"/>
        <family val="2"/>
      </rPr>
      <t xml:space="preserve">。自由現金流＝營收淨額（截頂後）− 算力成本 − 本地化部署交付成本 − 非算力成本（不含股權報酬；股權報酬非現金，加回）＋其他收益（</t>
    </r>
    <r>
      <rPr>
        <sz val="9"/>
        <color rgb="FF595959"/>
        <rFont val="Arial"/>
        <family val="0"/>
        <charset val="1"/>
      </rPr>
      <t xml:space="preserve">D20</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實際，之後 </t>
    </r>
    <r>
      <rPr>
        <sz val="9"/>
        <color rgb="FF595959"/>
        <rFont val="Arial"/>
        <family val="0"/>
        <charset val="1"/>
      </rPr>
      <t xml:space="preserve">Inputs</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 利息（</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＝財報財務成本；之後銀行借款餘額 </t>
    </r>
    <r>
      <rPr>
        <sz val="9"/>
        <color rgb="FF595959"/>
        <rFont val="Arial"/>
        <family val="0"/>
        <charset val="1"/>
      </rPr>
      <t xml:space="preserve">× </t>
    </r>
    <r>
      <rPr>
        <sz val="9"/>
        <color rgb="FF595959"/>
        <rFont val="Noto Sans CJK SC"/>
        <family val="2"/>
      </rPr>
      <t xml:space="preserve">利率）。來源順序：①期初現金 ②已到位股權（港幣淨額 </t>
    </r>
    <r>
      <rPr>
        <sz val="9"/>
        <color rgb="FF595959"/>
        <rFont val="Arial"/>
        <family val="0"/>
        <charset val="1"/>
      </rPr>
      <t xml:space="preserve">× HKD/CNY</t>
    </r>
    <r>
      <rPr>
        <sz val="9"/>
        <color rgb="FF595959"/>
        <rFont val="Noto Sans CJK SC"/>
        <family val="2"/>
      </rPr>
      <t xml:space="preserve">；入帳時點＝完成日）③已提用債務（銀行借款到期續借；可換股債券淨額 </t>
    </r>
    <r>
      <rPr>
        <sz val="9"/>
        <color rgb="FF595959"/>
        <rFont val="Arial"/>
        <family val="0"/>
        <charset val="1"/>
      </rPr>
      <t xml:space="preserve">2H26 </t>
    </r>
    <r>
      <rPr>
        <sz val="9"/>
        <color rgb="FF595959"/>
        <rFont val="Noto Sans CJK SC"/>
        <family val="2"/>
      </rPr>
      <t xml:space="preserve">流入、</t>
    </r>
    <r>
      <rPr>
        <sz val="9"/>
        <color rgb="FF595959"/>
        <rFont val="Arial"/>
        <family val="0"/>
        <charset val="1"/>
      </rPr>
      <t xml:space="preserve">2027-09 </t>
    </r>
    <r>
      <rPr>
        <sz val="9"/>
        <color rgb="FF595959"/>
        <rFont val="Noto Sans CJK SC"/>
        <family val="2"/>
      </rPr>
      <t xml:space="preserve">到期現金償還，</t>
    </r>
    <r>
      <rPr>
        <sz val="9"/>
        <color rgb="FF595959"/>
        <rFont val="Arial"/>
        <family val="0"/>
        <charset val="1"/>
      </rPr>
      <t xml:space="preserve">D16r</t>
    </r>
    <r>
      <rPr>
        <sz val="9"/>
        <color rgb="FF595959"/>
        <rFont val="Noto Sans CJK SC"/>
        <family val="2"/>
      </rPr>
      <t xml:space="preserve">）④外部資金需求（年底現金補足至最低現金）。</t>
    </r>
  </si>
  <si>
    <r>
      <rPr>
        <sz val="9"/>
        <color rgb="FF595959"/>
        <rFont val="Noto Sans CJK SC"/>
        <family val="2"/>
      </rPr>
      <t xml:space="preserve">金額 </t>
    </r>
    <r>
      <rPr>
        <sz val="9"/>
        <color rgb="FF595959"/>
        <rFont val="Arial"/>
        <family val="0"/>
        <charset val="1"/>
      </rPr>
      <t xml:space="preserve">RMB </t>
    </r>
    <r>
      <rPr>
        <sz val="9"/>
        <color rgb="FF595959"/>
        <rFont val="Noto Sans CJK SC"/>
        <family val="2"/>
      </rPr>
      <t xml:space="preserve">億。</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（實際；期末現金＝中期報告 </t>
    </r>
    <r>
      <rPr>
        <sz val="9"/>
        <color rgb="FF595959"/>
        <rFont val="Arial"/>
        <family val="0"/>
        <charset val="1"/>
      </rPr>
      <t xml:space="preserve">39.94 </t>
    </r>
    <r>
      <rPr>
        <sz val="9"/>
        <color rgb="FF595959"/>
        <rFont val="Noto Sans CJK SC"/>
        <family val="2"/>
      </rPr>
      <t xml:space="preserve">億，</t>
    </r>
    <r>
      <rPr>
        <sz val="9"/>
        <color rgb="FF595959"/>
        <rFont val="Arial"/>
        <family val="0"/>
        <charset val="1"/>
      </rPr>
      <t xml:space="preserve">IPO </t>
    </r>
    <r>
      <rPr>
        <sz val="9"/>
        <color rgb="FF595959"/>
        <rFont val="Noto Sans CJK SC"/>
        <family val="2"/>
      </rPr>
      <t xml:space="preserve">淨額已全數動用並已反映）；</t>
    </r>
    <r>
      <rPr>
        <sz val="9"/>
        <color rgb="FF595959"/>
        <rFont val="Arial"/>
        <family val="0"/>
        <charset val="1"/>
      </rPr>
      <t xml:space="preserve">L</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（驅動）；</t>
    </r>
    <r>
      <rPr>
        <sz val="9"/>
        <color rgb="FF595959"/>
        <rFont val="Arial"/>
        <family val="0"/>
        <charset val="1"/>
      </rPr>
      <t xml:space="preserve">E</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全年（流量＝</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L</t>
    </r>
    <r>
      <rPr>
        <sz val="9"/>
        <color rgb="FF595959"/>
        <rFont val="Noto Sans CJK SC"/>
        <family val="2"/>
      </rPr>
      <t xml:space="preserve">；現金＝年底）。外部資金需求只在年底（</t>
    </r>
    <r>
      <rPr>
        <sz val="9"/>
        <color rgb="FF595959"/>
        <rFont val="Arial"/>
        <family val="0"/>
        <charset val="1"/>
      </rPr>
      <t xml:space="preserve">E–I</t>
    </r>
    <r>
      <rPr>
        <sz val="9"/>
        <color rgb="FF595959"/>
        <rFont val="Noto Sans CJK SC"/>
        <family val="2"/>
      </rPr>
      <t xml:space="preserve">）判斷。</t>
    </r>
  </si>
  <si>
    <r>
      <rPr>
        <b val="true"/>
        <sz val="10"/>
        <rFont val="Noto Sans CJK SC"/>
        <family val="2"/>
      </rPr>
      <t xml:space="preserve">一、自由現金流（</t>
    </r>
    <r>
      <rPr>
        <b val="true"/>
        <sz val="10"/>
        <rFont val="Arial"/>
        <family val="0"/>
        <charset val="1"/>
      </rPr>
      <t xml:space="preserve">Cost COST_GapCash </t>
    </r>
    <r>
      <rPr>
        <b val="true"/>
        <sz val="10"/>
        <rFont val="Noto Sans CJK SC"/>
        <family val="2"/>
      </rPr>
      <t xml:space="preserve">為起點：營收 − 全成本；股權報酬非現金，加回；加其他收益、減利息）</t>
    </r>
  </si>
  <si>
    <t xml:space="preserve">F01</t>
  </si>
  <si>
    <r>
      <rPr>
        <sz val="9"/>
        <color rgb="FF595959"/>
        <rFont val="Arial"/>
        <family val="0"/>
        <charset val="1"/>
      </rPr>
      <t xml:space="preserve">REV_NetCapped</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＝實際（不截頂）；</t>
    </r>
    <r>
      <rPr>
        <sz val="9"/>
        <color rgb="FF595959"/>
        <rFont val="Arial"/>
        <family val="0"/>
        <charset val="1"/>
      </rPr>
      <t xml:space="preserve">2H26</t>
    </r>
    <r>
      <rPr>
        <sz val="9"/>
        <color rgb="FF595959"/>
        <rFont val="Noto Sans CJK SC"/>
        <family val="2"/>
      </rPr>
      <t xml:space="preserve">＝雲端 </t>
    </r>
    <r>
      <rPr>
        <sz val="9"/>
        <color rgb="FF595959"/>
        <rFont val="Arial"/>
        <family val="0"/>
        <charset val="1"/>
      </rPr>
      <t xml:space="preserve">× </t>
    </r>
    <r>
      <rPr>
        <sz val="9"/>
        <color rgb="FF595959"/>
        <rFont val="Noto Sans CJK SC"/>
        <family val="2"/>
      </rPr>
      <t xml:space="preserve">容量上限係數＋本地化＋廣告；</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1H</t>
    </r>
    <r>
      <rPr>
        <sz val="9"/>
        <color rgb="FF595959"/>
        <rFont val="Noto Sans CJK SC"/>
        <family val="2"/>
      </rPr>
      <t xml:space="preserve">＋</t>
    </r>
    <r>
      <rPr>
        <sz val="9"/>
        <color rgb="FF595959"/>
        <rFont val="Arial"/>
        <family val="0"/>
        <charset val="1"/>
      </rPr>
      <t xml:space="preserve">2H</t>
    </r>
  </si>
  <si>
    <t xml:space="preserve">F02</t>
  </si>
  <si>
    <t xml:space="preserve">算力成本（現金口徑）</t>
  </si>
  <si>
    <t xml:space="preserve">F03</t>
  </si>
  <si>
    <t xml:space="preserve">COST_OnPremDelivery</t>
  </si>
  <si>
    <t xml:space="preserve">F04</t>
  </si>
  <si>
    <t xml:space="preserve">COST_NonCompExSBC</t>
  </si>
  <si>
    <t xml:space="preserve">F05</t>
  </si>
  <si>
    <t xml:space="preserve">股權報酬（非現金；只列示，現金流加回）</t>
  </si>
  <si>
    <t xml:space="preserve">COST_SBC</t>
  </si>
  <si>
    <t xml:space="preserve">F06</t>
  </si>
  <si>
    <t xml:space="preserve">差額（含股權報酬；命題口徑）＝營收 − 全成本</t>
  </si>
  <si>
    <r>
      <rPr>
        <sz val="9"/>
        <color rgb="FF595959"/>
        <rFont val="Noto Sans CJK SC"/>
        <family val="2"/>
      </rPr>
      <t xml:space="preserve">年度欄＝</t>
    </r>
    <r>
      <rPr>
        <sz val="9"/>
        <color rgb="FF595959"/>
        <rFont val="Arial"/>
        <family val="0"/>
        <charset val="1"/>
      </rPr>
      <t xml:space="preserve">COST_GapCash</t>
    </r>
    <r>
      <rPr>
        <sz val="9"/>
        <color rgb="FF595959"/>
        <rFont val="Noto Sans CJK SC"/>
        <family val="2"/>
      </rPr>
      <t xml:space="preserve">（</t>
    </r>
    <r>
      <rPr>
        <sz val="9"/>
        <color rgb="FF595959"/>
        <rFont val="Arial"/>
        <family val="0"/>
        <charset val="1"/>
      </rPr>
      <t xml:space="preserve">Checks </t>
    </r>
    <r>
      <rPr>
        <sz val="9"/>
        <color rgb="FF595959"/>
        <rFont val="Noto Sans CJK SC"/>
        <family val="2"/>
      </rPr>
      <t xml:space="preserve">對帳）</t>
    </r>
  </si>
  <si>
    <t xml:space="preserve">F07</t>
  </si>
  <si>
    <t xml:space="preserve">其他收益（其他收入：政府補助、利息收入等）</t>
  </si>
  <si>
    <r>
      <rPr>
        <sz val="9"/>
        <color rgb="FF595959"/>
        <rFont val="Arial"/>
        <family val="0"/>
        <charset val="1"/>
      </rPr>
      <t xml:space="preserve">D20</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SRC_ZP_143</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SRC_ZP_203</t>
    </r>
    <r>
      <rPr>
        <sz val="9"/>
        <color rgb="FF595959"/>
        <rFont val="Noto Sans CJK SC"/>
        <family val="2"/>
      </rPr>
      <t xml:space="preserve">，主要為上市後存款利息）實際；</t>
    </r>
    <r>
      <rPr>
        <sz val="9"/>
        <color rgb="FF595959"/>
        <rFont val="Arial"/>
        <family val="0"/>
        <charset val="1"/>
      </rPr>
      <t xml:space="preserve">2H26 </t>
    </r>
    <r>
      <rPr>
        <sz val="9"/>
        <color rgb="FF595959"/>
        <rFont val="Noto Sans CJK SC"/>
        <family val="2"/>
      </rPr>
      <t xml:space="preserve">起 </t>
    </r>
    <r>
      <rPr>
        <sz val="9"/>
        <color rgb="FF595959"/>
        <rFont val="Arial"/>
        <family val="0"/>
        <charset val="1"/>
      </rPr>
      <t xml:space="preserve">Inputs</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t>
    </r>
    <r>
      <rPr>
        <sz val="9"/>
        <color rgb="FF595959"/>
        <rFont val="Arial"/>
        <family val="0"/>
        <charset val="1"/>
      </rPr>
      <t xml:space="preserve">Decision</t>
    </r>
    <r>
      <rPr>
        <sz val="9"/>
        <color rgb="FF595959"/>
        <rFont val="Noto Sans CJK SC"/>
        <family val="2"/>
      </rPr>
      <t xml:space="preserve">）</t>
    </r>
  </si>
  <si>
    <t xml:space="preserve">F08</t>
  </si>
  <si>
    <t xml:space="preserve">利息支出（非算力現金成本）</t>
  </si>
  <si>
    <r>
      <rPr>
        <sz val="9"/>
        <color rgb="FF595959"/>
        <rFont val="Noto Sans CJK SC"/>
        <family val="2"/>
      </rPr>
      <t xml:space="preserve">工作單 </t>
    </r>
    <r>
      <rPr>
        <sz val="9"/>
        <color rgb="FF595959"/>
        <rFont val="Arial"/>
        <family val="0"/>
        <charset val="1"/>
      </rPr>
      <t xml:space="preserve">Z4</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＝財報財務成本（</t>
    </r>
    <r>
      <rPr>
        <sz val="9"/>
        <color rgb="FF595959"/>
        <rFont val="Arial"/>
        <family val="0"/>
        <charset val="1"/>
      </rPr>
      <t xml:space="preserve">SRC_ZP_144</t>
    </r>
    <r>
      <rPr>
        <sz val="9"/>
        <color rgb="FF595959"/>
        <rFont val="Noto Sans CJK SC"/>
        <family val="2"/>
      </rPr>
      <t xml:space="preserve">、</t>
    </r>
    <r>
      <rPr>
        <sz val="9"/>
        <color rgb="FF595959"/>
        <rFont val="Arial"/>
        <family val="0"/>
        <charset val="1"/>
      </rPr>
      <t xml:space="preserve">204</t>
    </r>
    <r>
      <rPr>
        <sz val="9"/>
        <color rgb="FF595959"/>
        <rFont val="Noto Sans CJK SC"/>
        <family val="2"/>
      </rPr>
      <t xml:space="preserve">；含匯兌損失與租賃利息）；之後＝期初銀行借款餘額 </t>
    </r>
    <r>
      <rPr>
        <sz val="9"/>
        <color rgb="FF595959"/>
        <rFont val="Arial"/>
        <family val="0"/>
        <charset val="1"/>
      </rPr>
      <t xml:space="preserve">× </t>
    </r>
    <r>
      <rPr>
        <sz val="9"/>
        <color rgb="FF595959"/>
        <rFont val="Noto Sans CJK SC"/>
        <family val="2"/>
      </rPr>
      <t xml:space="preserve">利率（</t>
    </r>
    <r>
      <rPr>
        <sz val="9"/>
        <color rgb="FF595959"/>
        <rFont val="Arial"/>
        <family val="0"/>
        <charset val="1"/>
      </rPr>
      <t xml:space="preserve">Inputs</t>
    </r>
    <r>
      <rPr>
        <sz val="9"/>
        <color rgb="FF595959"/>
        <rFont val="Noto Sans CJK SC"/>
        <family val="2"/>
      </rPr>
      <t xml:space="preserve">，利率未揭露 → </t>
    </r>
    <r>
      <rPr>
        <sz val="9"/>
        <color rgb="FF595959"/>
        <rFont val="Arial"/>
        <family val="0"/>
        <charset val="1"/>
      </rPr>
      <t xml:space="preserve">LPR Analogy</t>
    </r>
    <r>
      <rPr>
        <sz val="9"/>
        <color rgb="FF595959"/>
        <rFont val="Noto Sans CJK SC"/>
        <family val="2"/>
      </rPr>
      <t xml:space="preserve">）；可換股債券零息</t>
    </r>
  </si>
  <si>
    <t xml:space="preserve">F09</t>
  </si>
  <si>
    <t xml:space="preserve">自由現金流＝差額＋股權報酬＋其他收益 − 利息</t>
  </si>
  <si>
    <r>
      <rPr>
        <sz val="9"/>
        <color rgb="FF595959"/>
        <rFont val="Noto Sans CJK SC"/>
        <family val="2"/>
      </rPr>
      <t xml:space="preserve">＝營收 − 算力成本 − 本地化交付成本 − 非算力成本（不含股權報酬）＋其他收益 − 利息（</t>
    </r>
    <r>
      <rPr>
        <sz val="9"/>
        <color rgb="FF595959"/>
        <rFont val="Arial"/>
        <family val="0"/>
        <charset val="1"/>
      </rPr>
      <t xml:space="preserve">Checks </t>
    </r>
    <r>
      <rPr>
        <sz val="9"/>
        <color rgb="FF595959"/>
        <rFont val="Noto Sans CJK SC"/>
        <family val="2"/>
      </rPr>
      <t xml:space="preserve">恆等式）</t>
    </r>
  </si>
  <si>
    <r>
      <rPr>
        <b val="true"/>
        <sz val="10"/>
        <rFont val="Noto Sans CJK SC"/>
        <family val="2"/>
      </rPr>
      <t xml:space="preserve">二、投資活動（</t>
    </r>
    <r>
      <rPr>
        <b val="true"/>
        <sz val="10"/>
        <rFont val="Arial"/>
        <family val="0"/>
        <charset val="1"/>
      </rPr>
      <t xml:space="preserve">D18</t>
    </r>
    <r>
      <rPr>
        <b val="true"/>
        <sz val="10"/>
        <rFont val="Noto Sans CJK SC"/>
        <family val="2"/>
      </rPr>
      <t xml:space="preserve">）：非算力資本支出、併購現金支出（自有算力資本支出已在算力成本內，</t>
    </r>
    <r>
      <rPr>
        <b val="true"/>
        <sz val="10"/>
        <rFont val="Arial"/>
        <family val="0"/>
        <charset val="1"/>
      </rPr>
      <t xml:space="preserve">D11r </t>
    </r>
    <r>
      <rPr>
        <b val="true"/>
        <sz val="10"/>
        <rFont val="Noto Sans CJK SC"/>
        <family val="2"/>
      </rPr>
      <t xml:space="preserve">基準 </t>
    </r>
    <r>
      <rPr>
        <b val="true"/>
        <sz val="10"/>
        <rFont val="Arial"/>
        <family val="0"/>
        <charset val="1"/>
      </rPr>
      <t xml:space="preserve">0</t>
    </r>
    <r>
      <rPr>
        <b val="true"/>
        <sz val="10"/>
        <rFont val="Noto Sans CJK SC"/>
        <family val="2"/>
      </rPr>
      <t xml:space="preserve">）</t>
    </r>
  </si>
  <si>
    <t xml:space="preserve">F10</t>
  </si>
  <si>
    <t xml:space="preserve">非算力資本支出</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</si>
  <si>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＝財報公告資本開支（</t>
    </r>
    <r>
      <rPr>
        <sz val="9"/>
        <color rgb="FF595959"/>
        <rFont val="Arial"/>
        <family val="0"/>
        <charset val="1"/>
      </rPr>
      <t xml:space="preserve">SRC_ZP_149</t>
    </r>
    <r>
      <rPr>
        <sz val="9"/>
        <color rgb="FF595959"/>
        <rFont val="Noto Sans CJK SC"/>
        <family val="2"/>
      </rPr>
      <t xml:space="preserve">、</t>
    </r>
    <r>
      <rPr>
        <sz val="9"/>
        <color rgb="FF595959"/>
        <rFont val="Arial"/>
        <family val="0"/>
        <charset val="1"/>
      </rPr>
      <t xml:space="preserve">209</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主要為北京紅鑽物業；</t>
    </r>
    <r>
      <rPr>
        <sz val="9"/>
        <color rgb="FF595959"/>
        <rFont val="Arial"/>
        <family val="0"/>
        <charset val="1"/>
      </rPr>
      <t xml:space="preserve">r2 P2</t>
    </r>
    <r>
      <rPr>
        <sz val="9"/>
        <color rgb="FF595959"/>
        <rFont val="Noto Sans CJK SC"/>
        <family val="2"/>
      </rPr>
      <t xml:space="preserve">：公告口徑可能含使用權資產添置，</t>
    </r>
    <r>
      <rPr>
        <sz val="9"/>
        <color rgb="FF595959"/>
        <rFont val="Arial"/>
        <family val="0"/>
        <charset val="1"/>
      </rPr>
      <t xml:space="preserve">FY2025</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現金口徑未揭露，見第十一節）；</t>
    </r>
    <r>
      <rPr>
        <sz val="9"/>
        <color rgb="FF595959"/>
        <rFont val="Arial"/>
        <family val="0"/>
        <charset val="1"/>
      </rPr>
      <t xml:space="preserve">2H26 </t>
    </r>
    <r>
      <rPr>
        <sz val="9"/>
        <color rgb="FF595959"/>
        <rFont val="Noto Sans CJK SC"/>
        <family val="2"/>
      </rPr>
      <t xml:space="preserve">起 </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FY2025 </t>
    </r>
    <r>
      <rPr>
        <sz val="9"/>
        <color rgb="FF595959"/>
        <rFont val="Noto Sans CJK SC"/>
        <family val="2"/>
      </rPr>
      <t xml:space="preserve">水準延續）</t>
    </r>
  </si>
  <si>
    <t xml:space="preserve">F11</t>
  </si>
  <si>
    <r>
      <rPr>
        <sz val="10"/>
        <color rgb="FF000000"/>
        <rFont val="Noto Sans CJK SC"/>
        <family val="2"/>
      </rPr>
      <t xml:space="preserve">對照：北京紅鑽 </t>
    </r>
    <r>
      <rPr>
        <sz val="10"/>
        <color rgb="FF000000"/>
        <rFont val="Arial"/>
        <family val="0"/>
        <charset val="1"/>
      </rPr>
      <t xml:space="preserve">100% </t>
    </r>
    <r>
      <rPr>
        <sz val="10"/>
        <color rgb="FF000000"/>
        <rFont val="Noto Sans CJK SC"/>
        <family val="2"/>
      </rPr>
      <t xml:space="preserve">總代價上限（已含於 </t>
    </r>
    <r>
      <rPr>
        <sz val="10"/>
        <color rgb="FF000000"/>
        <rFont val="Arial"/>
        <family val="0"/>
        <charset val="1"/>
      </rPr>
      <t xml:space="preserve">1H26 </t>
    </r>
    <r>
      <rPr>
        <sz val="10"/>
        <color rgb="FF000000"/>
        <rFont val="Noto Sans CJK SC"/>
        <family val="2"/>
      </rPr>
      <t xml:space="preserve">資本開支，只列）</t>
    </r>
  </si>
  <si>
    <r>
      <rPr>
        <sz val="9"/>
        <color rgb="FF595959"/>
        <rFont val="Arial"/>
        <family val="0"/>
        <charset val="1"/>
      </rPr>
      <t xml:space="preserve">SRC_ZP_555</t>
    </r>
    <r>
      <rPr>
        <sz val="9"/>
        <color rgb="FF595959"/>
        <rFont val="Noto Sans CJK SC"/>
        <family val="2"/>
      </rPr>
      <t xml:space="preserve">（股權現金 </t>
    </r>
    <r>
      <rPr>
        <sz val="9"/>
        <color rgb="FF595959"/>
        <rFont val="Arial"/>
        <family val="0"/>
        <charset val="1"/>
      </rPr>
      <t xml:space="preserve">0.82 </t>
    </r>
    <r>
      <rPr>
        <sz val="9"/>
        <color rgb="FF595959"/>
        <rFont val="Noto Sans CJK SC"/>
        <family val="2"/>
      </rPr>
      <t xml:space="preserve">億＋承接債務約 </t>
    </r>
    <r>
      <rPr>
        <sz val="9"/>
        <color rgb="FF595959"/>
        <rFont val="Arial"/>
        <family val="0"/>
        <charset val="1"/>
      </rPr>
      <t xml:space="preserve">2.79 </t>
    </r>
    <r>
      <rPr>
        <sz val="9"/>
        <color rgb="FF595959"/>
        <rFont val="Noto Sans CJK SC"/>
        <family val="2"/>
      </rPr>
      <t xml:space="preserve">億；海淀辦公樓，自用）</t>
    </r>
  </si>
  <si>
    <t xml:space="preserve">F12</t>
  </si>
  <si>
    <r>
      <rPr>
        <sz val="10"/>
        <color rgb="FF000000"/>
        <rFont val="Noto Sans CJK SC"/>
        <family val="2"/>
      </rPr>
      <t xml:space="preserve">併購現金支出：中科加禾約 </t>
    </r>
    <r>
      <rPr>
        <sz val="10"/>
        <color rgb="FF000000"/>
        <rFont val="Arial"/>
        <family val="0"/>
        <charset val="1"/>
      </rPr>
      <t xml:space="preserve">60%</t>
    </r>
  </si>
  <si>
    <r>
      <rPr>
        <sz val="9"/>
        <color rgb="FF595959"/>
        <rFont val="Arial"/>
        <family val="0"/>
        <charset val="1"/>
      </rPr>
      <t xml:space="preserve">D18</t>
    </r>
    <r>
      <rPr>
        <sz val="9"/>
        <color rgb="FF595959"/>
        <rFont val="Noto Sans CJK SC"/>
        <family val="2"/>
      </rPr>
      <t xml:space="preserve">；對價未揭露（『數億元』，</t>
    </r>
    <r>
      <rPr>
        <sz val="9"/>
        <color rgb="FF595959"/>
        <rFont val="Arial"/>
        <family val="0"/>
        <charset val="1"/>
      </rPr>
      <t xml:space="preserve">SRC_ZP_559</t>
    </r>
    <r>
      <rPr>
        <sz val="9"/>
        <color rgb="FF595959"/>
        <rFont val="Noto Sans CJK SC"/>
        <family val="2"/>
      </rPr>
      <t xml:space="preserve">）→ </t>
    </r>
    <r>
      <rPr>
        <sz val="9"/>
        <color rgb="FF595959"/>
        <rFont val="Arial"/>
        <family val="0"/>
        <charset val="1"/>
      </rPr>
      <t xml:space="preserve">Inputs</t>
    </r>
    <r>
      <rPr>
        <sz val="9"/>
        <color rgb="FF595959"/>
        <rFont val="Noto Sans CJK SC"/>
        <family val="2"/>
      </rPr>
      <t xml:space="preserve">；被併公司營收與成本不併入驅動</t>
    </r>
  </si>
  <si>
    <t xml:space="preserve">F13</t>
  </si>
  <si>
    <t xml:space="preserve">融資前淨現金流＝自由現金流 − 資本支出 − 併購</t>
  </si>
  <si>
    <r>
      <rPr>
        <b val="true"/>
        <sz val="10"/>
        <rFont val="Noto Sans CJK SC"/>
        <family val="2"/>
      </rPr>
      <t xml:space="preserve">三、已到位融資（來源順序 ②③；港幣、美元淨額 </t>
    </r>
    <r>
      <rPr>
        <b val="true"/>
        <sz val="10"/>
        <rFont val="Arial"/>
        <family val="0"/>
        <charset val="1"/>
      </rPr>
      <t xml:space="preserve">× Inputs </t>
    </r>
    <r>
      <rPr>
        <b val="true"/>
        <sz val="10"/>
        <rFont val="Noto Sans CJK SC"/>
        <family val="2"/>
      </rPr>
      <t xml:space="preserve">匯率；入帳時點＝完成日）</t>
    </r>
  </si>
  <si>
    <t xml:space="preserve">F14</t>
  </si>
  <si>
    <r>
      <rPr>
        <sz val="10"/>
        <color rgb="FF000000"/>
        <rFont val="Arial"/>
        <family val="0"/>
        <charset val="1"/>
      </rPr>
      <t xml:space="preserve">2026-01 IPO </t>
    </r>
    <r>
      <rPr>
        <sz val="10"/>
        <color rgb="FF000000"/>
        <rFont val="Noto Sans CJK SC"/>
        <family val="2"/>
      </rPr>
      <t xml:space="preserve">淨額（含超額配股；</t>
    </r>
    <r>
      <rPr>
        <sz val="10"/>
        <color rgb="FF000000"/>
        <rFont val="Arial"/>
        <family val="0"/>
        <charset val="1"/>
      </rPr>
      <t xml:space="preserve">1H26 </t>
    </r>
    <r>
      <rPr>
        <sz val="10"/>
        <color rgb="FF000000"/>
        <rFont val="Noto Sans CJK SC"/>
        <family val="2"/>
      </rPr>
      <t xml:space="preserve">已全數動用）</t>
    </r>
  </si>
  <si>
    <r>
      <rPr>
        <sz val="9"/>
        <color rgb="FF595959"/>
        <rFont val="Arial"/>
        <family val="0"/>
        <charset val="1"/>
      </rPr>
      <t xml:space="preserve">SRC_ZP_522 HK$4,896.2 </t>
    </r>
    <r>
      <rPr>
        <sz val="9"/>
        <color rgb="FF595959"/>
        <rFont val="Noto Sans CJK SC"/>
        <family val="2"/>
      </rPr>
      <t xml:space="preserve">百萬 </t>
    </r>
    <r>
      <rPr>
        <sz val="9"/>
        <color rgb="FF595959"/>
        <rFont val="Arial"/>
        <family val="0"/>
        <charset val="1"/>
      </rPr>
      <t xml:space="preserve">× HKD/CNY ÷ 100</t>
    </r>
    <r>
      <rPr>
        <sz val="9"/>
        <color rgb="FF595959"/>
        <rFont val="Noto Sans CJK SC"/>
        <family val="2"/>
      </rPr>
      <t xml:space="preserve">；已反映於 </t>
    </r>
    <r>
      <rPr>
        <sz val="9"/>
        <color rgb="FF595959"/>
        <rFont val="Arial"/>
        <family val="0"/>
        <charset val="1"/>
      </rPr>
      <t xml:space="preserve">2026-06-30 </t>
    </r>
    <r>
      <rPr>
        <sz val="9"/>
        <color rgb="FF595959"/>
        <rFont val="Noto Sans CJK SC"/>
        <family val="2"/>
      </rPr>
      <t xml:space="preserve">現金</t>
    </r>
  </si>
  <si>
    <t xml:space="preserve">F15</t>
  </si>
  <si>
    <r>
      <rPr>
        <sz val="10"/>
        <color rgb="FF000000"/>
        <rFont val="Arial"/>
        <family val="0"/>
        <charset val="1"/>
      </rPr>
      <t xml:space="preserve">2026-07 H </t>
    </r>
    <r>
      <rPr>
        <sz val="10"/>
        <color rgb="FF000000"/>
        <rFont val="Noto Sans CJK SC"/>
        <family val="2"/>
      </rPr>
      <t xml:space="preserve">股配售淨額（</t>
    </r>
    <r>
      <rPr>
        <sz val="10"/>
        <color rgb="FF000000"/>
        <rFont val="Arial"/>
        <family val="0"/>
        <charset val="1"/>
      </rPr>
      <t xml:space="preserve">2026-07-13 </t>
    </r>
    <r>
      <rPr>
        <sz val="10"/>
        <color rgb="FF000000"/>
        <rFont val="Noto Sans CJK SC"/>
        <family val="2"/>
      </rPr>
      <t xml:space="preserve">完成）</t>
    </r>
  </si>
  <si>
    <r>
      <rPr>
        <sz val="9"/>
        <color rgb="FF595959"/>
        <rFont val="Arial"/>
        <family val="0"/>
        <charset val="1"/>
      </rPr>
      <t xml:space="preserve">SRC_ZP_536 HK$31,374.95 </t>
    </r>
    <r>
      <rPr>
        <sz val="9"/>
        <color rgb="FF595959"/>
        <rFont val="Noto Sans CJK SC"/>
        <family val="2"/>
      </rPr>
      <t xml:space="preserve">百萬 </t>
    </r>
    <r>
      <rPr>
        <sz val="9"/>
        <color rgb="FF595959"/>
        <rFont val="Arial"/>
        <family val="0"/>
        <charset val="1"/>
      </rPr>
      <t xml:space="preserve">× HKD/CNY ÷ 100</t>
    </r>
  </si>
  <si>
    <t xml:space="preserve">F16</t>
  </si>
  <si>
    <r>
      <rPr>
        <sz val="10"/>
        <color rgb="FF000000"/>
        <rFont val="Arial"/>
        <family val="0"/>
        <charset val="1"/>
      </rPr>
      <t xml:space="preserve">2026-09 H </t>
    </r>
    <r>
      <rPr>
        <sz val="10"/>
        <color rgb="FF000000"/>
        <rFont val="Noto Sans CJK SC"/>
        <family val="2"/>
      </rPr>
      <t xml:space="preserve">股配售淨額（</t>
    </r>
    <r>
      <rPr>
        <sz val="10"/>
        <color rgb="FF000000"/>
        <rFont val="Arial"/>
        <family val="0"/>
        <charset val="1"/>
      </rPr>
      <t xml:space="preserve">2026-09-16 </t>
    </r>
    <r>
      <rPr>
        <sz val="10"/>
        <color rgb="FF000000"/>
        <rFont val="Noto Sans CJK SC"/>
        <family val="2"/>
      </rPr>
      <t xml:space="preserve">完成）</t>
    </r>
  </si>
  <si>
    <r>
      <rPr>
        <sz val="9"/>
        <color rgb="FF595959"/>
        <rFont val="Arial"/>
        <family val="0"/>
        <charset val="1"/>
      </rPr>
      <t xml:space="preserve">SRC_ZP_544 HK$15,664.13 </t>
    </r>
    <r>
      <rPr>
        <sz val="9"/>
        <color rgb="FF595959"/>
        <rFont val="Noto Sans CJK SC"/>
        <family val="2"/>
      </rPr>
      <t xml:space="preserve">百萬 </t>
    </r>
    <r>
      <rPr>
        <sz val="9"/>
        <color rgb="FF595959"/>
        <rFont val="Arial"/>
        <family val="0"/>
        <charset val="1"/>
      </rPr>
      <t xml:space="preserve">× HKD/CNY ÷ 100</t>
    </r>
  </si>
  <si>
    <t xml:space="preserve">F17</t>
  </si>
  <si>
    <t xml:space="preserve">已到位股權合計</t>
  </si>
  <si>
    <t xml:space="preserve">F18</t>
  </si>
  <si>
    <r>
      <rPr>
        <sz val="10"/>
        <color rgb="FF000000"/>
        <rFont val="Arial"/>
        <family val="0"/>
        <charset val="1"/>
      </rPr>
      <t xml:space="preserve">2026-09 </t>
    </r>
    <r>
      <rPr>
        <sz val="10"/>
        <color rgb="FF000000"/>
        <rFont val="Noto Sans CJK SC"/>
        <family val="2"/>
      </rPr>
      <t xml:space="preserve">可換股債券淨額（</t>
    </r>
    <r>
      <rPr>
        <sz val="10"/>
        <color rgb="FF000000"/>
        <rFont val="Arial"/>
        <family val="0"/>
        <charset val="1"/>
      </rPr>
      <t xml:space="preserve">2026-09-18 </t>
    </r>
    <r>
      <rPr>
        <sz val="10"/>
        <color rgb="FF000000"/>
        <rFont val="Noto Sans CJK SC"/>
        <family val="2"/>
      </rPr>
      <t xml:space="preserve">發行；零息）</t>
    </r>
  </si>
  <si>
    <r>
      <rPr>
        <sz val="9"/>
        <color rgb="FF595959"/>
        <rFont val="Arial"/>
        <family val="0"/>
        <charset val="1"/>
      </rPr>
      <t xml:space="preserve">SRC_ZP_547 US$3,010.77 </t>
    </r>
    <r>
      <rPr>
        <sz val="9"/>
        <color rgb="FF595959"/>
        <rFont val="Noto Sans CJK SC"/>
        <family val="2"/>
      </rPr>
      <t xml:space="preserve">百萬 </t>
    </r>
    <r>
      <rPr>
        <sz val="9"/>
        <color rgb="FF595959"/>
        <rFont val="Arial"/>
        <family val="0"/>
        <charset val="1"/>
      </rPr>
      <t xml:space="preserve">× USD/CNY ÷ 100</t>
    </r>
    <r>
      <rPr>
        <sz val="9"/>
        <color rgb="FF595959"/>
        <rFont val="Noto Sans CJK SC"/>
        <family val="2"/>
      </rPr>
      <t xml:space="preserve">（本金 </t>
    </r>
    <r>
      <rPr>
        <sz val="9"/>
        <color rgb="FF595959"/>
        <rFont val="Arial"/>
        <family val="0"/>
        <charset val="1"/>
      </rPr>
      <t xml:space="preserve">RMB 201.4 </t>
    </r>
    <r>
      <rPr>
        <sz val="9"/>
        <color rgb="FF595959"/>
        <rFont val="Noto Sans CJK SC"/>
        <family val="2"/>
      </rPr>
      <t xml:space="preserve">億、發行價 </t>
    </r>
    <r>
      <rPr>
        <sz val="9"/>
        <color rgb="FF595959"/>
        <rFont val="Arial"/>
        <family val="0"/>
        <charset val="1"/>
      </rPr>
      <t xml:space="preserve">100.5%</t>
    </r>
    <r>
      <rPr>
        <sz val="9"/>
        <color rgb="FF595959"/>
        <rFont val="Noto Sans CJK SC"/>
        <family val="2"/>
      </rPr>
      <t xml:space="preserve">）</t>
    </r>
  </si>
  <si>
    <t xml:space="preserve">F19</t>
  </si>
  <si>
    <r>
      <rPr>
        <sz val="10"/>
        <color rgb="FF000000"/>
        <rFont val="Noto Sans CJK SC"/>
        <family val="2"/>
      </rPr>
      <t xml:space="preserve">銀行借款償還（開關＝</t>
    </r>
    <r>
      <rPr>
        <sz val="10"/>
        <color rgb="FF000000"/>
        <rFont val="Arial"/>
        <family val="0"/>
        <charset val="1"/>
      </rPr>
      <t xml:space="preserve">1 </t>
    </r>
    <r>
      <rPr>
        <sz val="10"/>
        <color rgb="FF000000"/>
        <rFont val="Noto Sans CJK SC"/>
        <family val="2"/>
      </rPr>
      <t xml:space="preserve">時：流動部分 </t>
    </r>
    <r>
      <rPr>
        <sz val="10"/>
        <color rgb="FF000000"/>
        <rFont val="Arial"/>
        <family val="0"/>
        <charset val="1"/>
      </rPr>
      <t xml:space="preserve">2027</t>
    </r>
    <r>
      <rPr>
        <sz val="10"/>
        <color rgb="FF000000"/>
        <rFont val="Noto Sans CJK SC"/>
        <family val="2"/>
      </rPr>
      <t xml:space="preserve">、非流動部分 </t>
    </r>
    <r>
      <rPr>
        <sz val="10"/>
        <color rgb="FF000000"/>
        <rFont val="Arial"/>
        <family val="0"/>
        <charset val="1"/>
      </rPr>
      <t xml:space="preserve">2028</t>
    </r>
    <r>
      <rPr>
        <sz val="10"/>
        <color rgb="FF000000"/>
        <rFont val="Noto Sans CJK SC"/>
        <family val="2"/>
      </rPr>
      <t xml:space="preserve">）</t>
    </r>
  </si>
  <si>
    <r>
      <rPr>
        <sz val="9"/>
        <color rgb="FF595959"/>
        <rFont val="Noto Sans CJK SC"/>
        <family val="2"/>
      </rPr>
      <t xml:space="preserve">工作單 </t>
    </r>
    <r>
      <rPr>
        <sz val="9"/>
        <color rgb="FF595959"/>
        <rFont val="Arial"/>
        <family val="0"/>
        <charset val="1"/>
      </rPr>
      <t xml:space="preserve">Z4 </t>
    </r>
    <r>
      <rPr>
        <sz val="9"/>
        <color rgb="FF595959"/>
        <rFont val="Noto Sans CJK SC"/>
        <family val="2"/>
      </rPr>
      <t xml:space="preserve">預設：到期續借（開關 </t>
    </r>
    <r>
      <rPr>
        <sz val="9"/>
        <color rgb="FF595959"/>
        <rFont val="Arial"/>
        <family val="0"/>
        <charset val="1"/>
      </rPr>
      <t xml:space="preserve">0</t>
    </r>
    <r>
      <rPr>
        <sz val="9"/>
        <color rgb="FF595959"/>
        <rFont val="Noto Sans CJK SC"/>
        <family val="2"/>
      </rPr>
      <t xml:space="preserve">）；</t>
    </r>
    <r>
      <rPr>
        <sz val="9"/>
        <color rgb="FF595959"/>
        <rFont val="Arial"/>
        <family val="0"/>
        <charset val="1"/>
      </rPr>
      <t xml:space="preserve">SRC_ZP_214</t>
    </r>
    <r>
      <rPr>
        <sz val="9"/>
        <color rgb="FF595959"/>
        <rFont val="Noto Sans CJK SC"/>
        <family val="2"/>
      </rPr>
      <t xml:space="preserve">、</t>
    </r>
    <r>
      <rPr>
        <sz val="9"/>
        <color rgb="FF595959"/>
        <rFont val="Arial"/>
        <family val="0"/>
        <charset val="1"/>
      </rPr>
      <t xml:space="preserve">215</t>
    </r>
  </si>
  <si>
    <t xml:space="preserve">F20</t>
  </si>
  <si>
    <t xml:space="preserve">銀行借款餘額（期末）</t>
  </si>
  <si>
    <r>
      <rPr>
        <sz val="9"/>
        <color rgb="FF595959"/>
        <rFont val="Arial"/>
        <family val="0"/>
        <charset val="1"/>
      </rPr>
      <t xml:space="preserve">2025-12-31</t>
    </r>
    <r>
      <rPr>
        <sz val="9"/>
        <color rgb="FF595959"/>
        <rFont val="Noto Sans CJK SC"/>
        <family val="2"/>
      </rPr>
      <t xml:space="preserve">、</t>
    </r>
    <r>
      <rPr>
        <sz val="9"/>
        <color rgb="FF595959"/>
        <rFont val="Arial"/>
        <family val="0"/>
        <charset val="1"/>
      </rPr>
      <t xml:space="preserve">2026-06-30</t>
    </r>
    <r>
      <rPr>
        <sz val="9"/>
        <color rgb="FF595959"/>
        <rFont val="Noto Sans CJK SC"/>
        <family val="2"/>
      </rPr>
      <t xml:space="preserve">＝財報（</t>
    </r>
    <r>
      <rPr>
        <sz val="9"/>
        <color rgb="FF595959"/>
        <rFont val="Arial"/>
        <family val="0"/>
        <charset val="1"/>
      </rPr>
      <t xml:space="preserve">SRC_ZP_155</t>
    </r>
    <r>
      <rPr>
        <sz val="9"/>
        <color rgb="FF595959"/>
        <rFont val="Noto Sans CJK SC"/>
        <family val="2"/>
      </rPr>
      <t xml:space="preserve">、</t>
    </r>
    <r>
      <rPr>
        <sz val="9"/>
        <color rgb="FF595959"/>
        <rFont val="Arial"/>
        <family val="0"/>
        <charset val="1"/>
      </rPr>
      <t xml:space="preserve">213</t>
    </r>
    <r>
      <rPr>
        <sz val="9"/>
        <color rgb="FF595959"/>
        <rFont val="Noto Sans CJK SC"/>
        <family val="2"/>
      </rPr>
      <t xml:space="preserve">；無擔保、主要人民幣、利率與到期未揭露）；之後續借</t>
    </r>
  </si>
  <si>
    <t xml:space="preserve">F21</t>
  </si>
  <si>
    <t xml:space="preserve">銀行借款淨增（減）</t>
  </si>
  <si>
    <r>
      <rPr>
        <sz val="9"/>
        <color rgb="FF595959"/>
        <rFont val="Arial"/>
        <family val="0"/>
        <charset val="1"/>
      </rPr>
      <t xml:space="preserve">1H26 +15.35 </t>
    </r>
    <r>
      <rPr>
        <sz val="9"/>
        <color rgb="FF595959"/>
        <rFont val="Noto Sans CJK SC"/>
        <family val="2"/>
      </rPr>
      <t xml:space="preserve">已反映於 </t>
    </r>
    <r>
      <rPr>
        <sz val="9"/>
        <color rgb="FF595959"/>
        <rFont val="Arial"/>
        <family val="0"/>
        <charset val="1"/>
      </rPr>
      <t xml:space="preserve">2026-06-30 </t>
    </r>
    <r>
      <rPr>
        <sz val="9"/>
        <color rgb="FF595959"/>
        <rFont val="Noto Sans CJK SC"/>
        <family val="2"/>
      </rPr>
      <t xml:space="preserve">現金</t>
    </r>
  </si>
  <si>
    <t xml:space="preserve">F22</t>
  </si>
  <si>
    <t xml:space="preserve">已到位融資合計（股權＋可換股債券＋銀行借款淨增）</t>
  </si>
  <si>
    <t xml:space="preserve">來源順序 ②③</t>
  </si>
  <si>
    <t xml:space="preserve">F23</t>
  </si>
  <si>
    <r>
      <rPr>
        <sz val="10"/>
        <color rgb="FF000000"/>
        <rFont val="Noto Sans CJK SC"/>
        <family val="2"/>
      </rPr>
      <t xml:space="preserve">可換股債券到期償還（基準：現金償還；開關＝</t>
    </r>
    <r>
      <rPr>
        <sz val="10"/>
        <color rgb="FF000000"/>
        <rFont val="Arial"/>
        <family val="0"/>
        <charset val="1"/>
      </rPr>
      <t xml:space="preserve">1 </t>
    </r>
    <r>
      <rPr>
        <sz val="10"/>
        <color rgb="FF000000"/>
        <rFont val="Noto Sans CJK SC"/>
        <family val="2"/>
      </rPr>
      <t xml:space="preserve">時轉股不償還）</t>
    </r>
  </si>
  <si>
    <r>
      <rPr>
        <sz val="9"/>
        <color rgb="FF595959"/>
        <rFont val="Arial"/>
        <family val="0"/>
        <charset val="1"/>
      </rPr>
      <t xml:space="preserve">D16r</t>
    </r>
    <r>
      <rPr>
        <sz val="9"/>
        <color rgb="FF595959"/>
        <rFont val="Noto Sans CJK SC"/>
        <family val="2"/>
      </rPr>
      <t xml:space="preserve">：本金 </t>
    </r>
    <r>
      <rPr>
        <sz val="9"/>
        <color rgb="FF595959"/>
        <rFont val="Arial"/>
        <family val="0"/>
        <charset val="1"/>
      </rPr>
      <t xml:space="preserve">RMB 201.4 </t>
    </r>
    <r>
      <rPr>
        <sz val="9"/>
        <color rgb="FF595959"/>
        <rFont val="Noto Sans CJK SC"/>
        <family val="2"/>
      </rPr>
      <t xml:space="preserve">億（</t>
    </r>
    <r>
      <rPr>
        <sz val="9"/>
        <color rgb="FF595959"/>
        <rFont val="Arial"/>
        <family val="0"/>
        <charset val="1"/>
      </rPr>
      <t xml:space="preserve">SRC_ZP_545</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贖回價（</t>
    </r>
    <r>
      <rPr>
        <sz val="9"/>
        <color rgb="FF595959"/>
        <rFont val="Arial"/>
        <family val="0"/>
        <charset val="1"/>
      </rPr>
      <t xml:space="preserve">Inputs 1</t>
    </r>
    <r>
      <rPr>
        <sz val="9"/>
        <color rgb="FF595959"/>
        <rFont val="Noto Sans CJK SC"/>
        <family val="2"/>
      </rPr>
      <t xml:space="preserve">）；</t>
    </r>
    <r>
      <rPr>
        <sz val="9"/>
        <color rgb="FF595959"/>
        <rFont val="Arial"/>
        <family val="0"/>
        <charset val="1"/>
      </rPr>
      <t xml:space="preserve">2027-09-16 </t>
    </r>
    <r>
      <rPr>
        <sz val="9"/>
        <color rgb="FF595959"/>
        <rFont val="Noto Sans CJK SC"/>
        <family val="2"/>
      </rPr>
      <t xml:space="preserve">到期</t>
    </r>
  </si>
  <si>
    <r>
      <rPr>
        <b val="true"/>
        <sz val="10"/>
        <rFont val="Noto Sans CJK SC"/>
        <family val="2"/>
      </rPr>
      <t xml:space="preserve">四、現金與外部資金需求（命題 </t>
    </r>
    <r>
      <rPr>
        <b val="true"/>
        <sz val="10"/>
        <rFont val="Arial"/>
        <family val="0"/>
        <charset val="1"/>
      </rPr>
      <t xml:space="preserve">2</t>
    </r>
    <r>
      <rPr>
        <b val="true"/>
        <sz val="10"/>
        <rFont val="Noto Sans CJK SC"/>
        <family val="2"/>
      </rPr>
      <t xml:space="preserve">；</t>
    </r>
    <r>
      <rPr>
        <b val="true"/>
        <sz val="10"/>
        <rFont val="Arial"/>
        <family val="0"/>
        <charset val="1"/>
      </rPr>
      <t xml:space="preserve">D17 </t>
    </r>
    <r>
      <rPr>
        <b val="true"/>
        <sz val="10"/>
        <rFont val="Noto Sans CJK SC"/>
        <family val="2"/>
      </rPr>
      <t xml:space="preserve">最低現金；年底現金低於最低現金的差額＝當年外部資金需求）</t>
    </r>
  </si>
  <si>
    <t xml:space="preserve">F24</t>
  </si>
  <si>
    <r>
      <rPr>
        <sz val="10"/>
        <color rgb="FF000000"/>
        <rFont val="Noto Sans CJK SC"/>
        <family val="2"/>
      </rPr>
      <t xml:space="preserve">最低現金＝次年（算力成本＋非算力成本不含股權報酬）</t>
    </r>
    <r>
      <rPr>
        <sz val="10"/>
        <color rgb="FF000000"/>
        <rFont val="Arial"/>
        <family val="0"/>
        <charset val="1"/>
      </rPr>
      <t xml:space="preserve">× </t>
    </r>
    <r>
      <rPr>
        <sz val="10"/>
        <color rgb="FF000000"/>
        <rFont val="Noto Sans CJK SC"/>
        <family val="2"/>
      </rPr>
      <t xml:space="preserve">月數 </t>
    </r>
    <r>
      <rPr>
        <sz val="10"/>
        <color rgb="FF000000"/>
        <rFont val="Arial"/>
        <family val="0"/>
        <charset val="1"/>
      </rPr>
      <t xml:space="preserve">÷ 12</t>
    </r>
  </si>
  <si>
    <r>
      <rPr>
        <sz val="9"/>
        <color rgb="FF595959"/>
        <rFont val="Arial"/>
        <family val="0"/>
        <charset val="1"/>
      </rPr>
      <t xml:space="preserve">D17</t>
    </r>
    <r>
      <rPr>
        <sz val="9"/>
        <color rgb="FF595959"/>
        <rFont val="Noto Sans CJK SC"/>
        <family val="2"/>
      </rPr>
      <t xml:space="preserve">（</t>
    </r>
    <r>
      <rPr>
        <sz val="9"/>
        <color rgb="FF595959"/>
        <rFont val="Arial"/>
        <family val="0"/>
        <charset val="1"/>
      </rPr>
      <t xml:space="preserve">Inputs 6 </t>
    </r>
    <r>
      <rPr>
        <sz val="9"/>
        <color rgb="FF595959"/>
        <rFont val="Noto Sans CJK SC"/>
        <family val="2"/>
      </rPr>
      <t xml:space="preserve">個月，</t>
    </r>
    <r>
      <rPr>
        <sz val="9"/>
        <color rgb="FF595959"/>
        <rFont val="Arial"/>
        <family val="0"/>
        <charset val="1"/>
      </rPr>
      <t xml:space="preserve">3–12</t>
    </r>
    <r>
      <rPr>
        <sz val="9"/>
        <color rgb="FF595959"/>
        <rFont val="Noto Sans CJK SC"/>
        <family val="2"/>
      </rPr>
      <t xml:space="preserve">）；</t>
    </r>
    <r>
      <rPr>
        <sz val="9"/>
        <color rgb="FF595959"/>
        <rFont val="Arial"/>
        <family val="0"/>
        <charset val="1"/>
      </rPr>
      <t xml:space="preserve">2030 </t>
    </r>
    <r>
      <rPr>
        <sz val="9"/>
        <color rgb="FF595959"/>
        <rFont val="Noto Sans CJK SC"/>
        <family val="2"/>
      </rPr>
      <t xml:space="preserve">以當年代替次年；</t>
    </r>
    <r>
      <rPr>
        <sz val="9"/>
        <color rgb="FF595959"/>
        <rFont val="Arial"/>
        <family val="0"/>
        <charset val="1"/>
      </rPr>
      <t xml:space="preserve">2025 </t>
    </r>
    <r>
      <rPr>
        <sz val="9"/>
        <color rgb="FF595959"/>
        <rFont val="Noto Sans CJK SC"/>
        <family val="2"/>
      </rPr>
      <t xml:space="preserve">欄只列示</t>
    </r>
  </si>
  <si>
    <t xml:space="preserve">F25</t>
  </si>
  <si>
    <t xml:space="preserve">期初現金（來源順序 ①）</t>
  </si>
  <si>
    <r>
      <rPr>
        <sz val="9"/>
        <color rgb="FF595959"/>
        <rFont val="Arial"/>
        <family val="0"/>
        <charset val="1"/>
      </rPr>
      <t xml:space="preserve">2026 </t>
    </r>
    <r>
      <rPr>
        <sz val="9"/>
        <color rgb="FF595959"/>
        <rFont val="Noto Sans CJK SC"/>
        <family val="2"/>
      </rPr>
      <t xml:space="preserve">期初＝</t>
    </r>
    <r>
      <rPr>
        <sz val="9"/>
        <color rgb="FF595959"/>
        <rFont val="Arial"/>
        <family val="0"/>
        <charset val="1"/>
      </rPr>
      <t xml:space="preserve">2025-12-31 </t>
    </r>
    <r>
      <rPr>
        <sz val="9"/>
        <color rgb="FF595959"/>
        <rFont val="Noto Sans CJK SC"/>
        <family val="2"/>
      </rPr>
      <t xml:space="preserve">現金（</t>
    </r>
    <r>
      <rPr>
        <sz val="9"/>
        <color rgb="FF595959"/>
        <rFont val="Arial"/>
        <family val="0"/>
        <charset val="1"/>
      </rPr>
      <t xml:space="preserve">SRC_ZP_151</t>
    </r>
    <r>
      <rPr>
        <sz val="9"/>
        <color rgb="FF595959"/>
        <rFont val="Noto Sans CJK SC"/>
        <family val="2"/>
      </rPr>
      <t xml:space="preserve">）</t>
    </r>
  </si>
  <si>
    <t xml:space="preserve">F26</t>
  </si>
  <si>
    <r>
      <rPr>
        <sz val="10"/>
        <color rgb="FF000000"/>
        <rFont val="Arial"/>
        <family val="0"/>
        <charset val="1"/>
      </rPr>
      <t xml:space="preserve">1H26 </t>
    </r>
    <r>
      <rPr>
        <sz val="10"/>
        <color rgb="FF000000"/>
        <rFont val="Noto Sans CJK SC"/>
        <family val="2"/>
      </rPr>
      <t xml:space="preserve">其他現金流（對帳差＝實際期末 − 模型推算）</t>
    </r>
  </si>
  <si>
    <r>
      <rPr>
        <sz val="9"/>
        <color rgb="FF595959"/>
        <rFont val="Noto Sans CJK SC"/>
        <family val="2"/>
      </rPr>
      <t xml:space="preserve">營運資金、租賃付款、匯兌、定期存款到期等未建模項目；使 </t>
    </r>
    <r>
      <rPr>
        <sz val="9"/>
        <color rgb="FF595959"/>
        <rFont val="Arial"/>
        <family val="0"/>
        <charset val="1"/>
      </rPr>
      <t xml:space="preserve">1H26 </t>
    </r>
    <r>
      <rPr>
        <sz val="9"/>
        <color rgb="FF595959"/>
        <rFont val="Noto Sans CJK SC"/>
        <family val="2"/>
      </rPr>
      <t xml:space="preserve">期末＝中期報告 </t>
    </r>
    <r>
      <rPr>
        <sz val="9"/>
        <color rgb="FF595959"/>
        <rFont val="Arial"/>
        <family val="0"/>
        <charset val="1"/>
      </rPr>
      <t xml:space="preserve">39.94 </t>
    </r>
    <r>
      <rPr>
        <sz val="9"/>
        <color rgb="FF595959"/>
        <rFont val="Noto Sans CJK SC"/>
        <family val="2"/>
      </rPr>
      <t xml:space="preserve">億（</t>
    </r>
    <r>
      <rPr>
        <sz val="9"/>
        <color rgb="FF595959"/>
        <rFont val="Arial"/>
        <family val="0"/>
        <charset val="1"/>
      </rPr>
      <t xml:space="preserve">SRC_ZP_211</t>
    </r>
    <r>
      <rPr>
        <sz val="9"/>
        <color rgb="FF595959"/>
        <rFont val="Noto Sans CJK SC"/>
        <family val="2"/>
      </rPr>
      <t xml:space="preserve">）</t>
    </r>
  </si>
  <si>
    <t xml:space="preserve">F27</t>
  </si>
  <si>
    <t xml:space="preserve">補足前期末現金＝期初＋融資前淨現金流＋已到位融資 − 債務償還</t>
  </si>
  <si>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2026-06-30 </t>
    </r>
    <r>
      <rPr>
        <sz val="9"/>
        <color rgb="FF595959"/>
        <rFont val="Noto Sans CJK SC"/>
        <family val="2"/>
      </rPr>
      <t xml:space="preserve">實際；</t>
    </r>
    <r>
      <rPr>
        <sz val="9"/>
        <color rgb="FF595959"/>
        <rFont val="Arial"/>
        <family val="0"/>
        <charset val="1"/>
      </rPr>
      <t xml:space="preserve">E</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年底（＝</t>
    </r>
    <r>
      <rPr>
        <sz val="9"/>
        <color rgb="FF595959"/>
        <rFont val="Arial"/>
        <family val="0"/>
        <charset val="1"/>
      </rPr>
      <t xml:space="preserve">L</t>
    </r>
    <r>
      <rPr>
        <sz val="9"/>
        <color rgb="FF595959"/>
        <rFont val="Noto Sans CJK SC"/>
        <family val="2"/>
      </rPr>
      <t xml:space="preserve">）</t>
    </r>
  </si>
  <si>
    <t xml:space="preserve">F28</t>
  </si>
  <si>
    <r>
      <rPr>
        <sz val="10"/>
        <color rgb="FF000000"/>
        <rFont val="Noto Sans CJK SC"/>
        <family val="2"/>
      </rPr>
      <t xml:space="preserve">當年外部資金需求（來源順序 ④）＝最低現金 − 補足前（低於時；否則 </t>
    </r>
    <r>
      <rPr>
        <sz val="10"/>
        <color rgb="FF000000"/>
        <rFont val="Arial"/>
        <family val="0"/>
        <charset val="1"/>
      </rPr>
      <t xml:space="preserve">0</t>
    </r>
    <r>
      <rPr>
        <sz val="10"/>
        <color rgb="FF000000"/>
        <rFont val="Noto Sans CJK SC"/>
        <family val="2"/>
      </rPr>
      <t xml:space="preserve">）</t>
    </r>
  </si>
  <si>
    <r>
      <rPr>
        <sz val="9"/>
        <color rgb="FF595959"/>
        <rFont val="Noto Sans CJK SC"/>
        <family val="2"/>
      </rPr>
      <t xml:space="preserve">新股權、債務或其他（不分種類；同 </t>
    </r>
    <r>
      <rPr>
        <sz val="9"/>
        <color rgb="FF595959"/>
        <rFont val="Arial"/>
        <family val="0"/>
        <charset val="1"/>
      </rPr>
      <t xml:space="preserve">OpenAI v0.6</t>
    </r>
    <r>
      <rPr>
        <sz val="9"/>
        <color rgb="FF595959"/>
        <rFont val="Noto Sans CJK SC"/>
        <family val="2"/>
      </rPr>
      <t xml:space="preserve">）</t>
    </r>
  </si>
  <si>
    <t xml:space="preserve">F29</t>
  </si>
  <si>
    <t xml:space="preserve">期末現金</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</si>
  <si>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SRC_ZP_151</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SRC_ZP_211</t>
    </r>
    <r>
      <rPr>
        <sz val="9"/>
        <color rgb="FF595959"/>
        <rFont val="Noto Sans CJK SC"/>
        <family val="2"/>
      </rPr>
      <t xml:space="preserve">（實際）；</t>
    </r>
    <r>
      <rPr>
        <sz val="9"/>
        <color rgb="FF595959"/>
        <rFont val="Arial"/>
        <family val="0"/>
        <charset val="1"/>
      </rPr>
      <t xml:space="preserve">2026 </t>
    </r>
    <r>
      <rPr>
        <sz val="9"/>
        <color rgb="FF595959"/>
        <rFont val="Noto Sans CJK SC"/>
        <family val="2"/>
      </rPr>
      <t xml:space="preserve">起＝補足前＋外部資金</t>
    </r>
  </si>
  <si>
    <t xml:space="preserve">F30</t>
  </si>
  <si>
    <t xml:space="preserve">累計外部資金需求</t>
  </si>
  <si>
    <r>
      <rPr>
        <sz val="9"/>
        <color rgb="FF595959"/>
        <rFont val="Noto Sans CJK SC"/>
        <family val="2"/>
      </rPr>
      <t xml:space="preserve">命題 </t>
    </r>
    <r>
      <rPr>
        <sz val="9"/>
        <color rgb="FF595959"/>
        <rFont val="Arial"/>
        <family val="0"/>
        <charset val="1"/>
      </rPr>
      <t xml:space="preserve">2</t>
    </r>
  </si>
  <si>
    <t xml:space="preserve">F31</t>
  </si>
  <si>
    <r>
      <rPr>
        <sz val="10"/>
        <color rgb="FF000000"/>
        <rFont val="Noto Sans CJK SC"/>
        <family val="2"/>
      </rPr>
      <t xml:space="preserve">缺口旗標（</t>
    </r>
    <r>
      <rPr>
        <sz val="10"/>
        <color rgb="FF000000"/>
        <rFont val="Arial"/>
        <family val="0"/>
        <charset val="1"/>
      </rPr>
      <t xml:space="preserve">1</t>
    </r>
    <r>
      <rPr>
        <sz val="10"/>
        <color rgb="FF000000"/>
        <rFont val="Noto Sans CJK SC"/>
        <family val="2"/>
      </rPr>
      <t xml:space="preserve">＝當年需要外部資金）</t>
    </r>
  </si>
  <si>
    <t xml:space="preserve">F32</t>
  </si>
  <si>
    <t xml:space="preserve">缺口年度標示</t>
  </si>
  <si>
    <t xml:space="preserve">F33</t>
  </si>
  <si>
    <r>
      <rPr>
        <sz val="10"/>
        <color rgb="FF000000"/>
        <rFont val="Noto Sans CJK SC"/>
        <family val="2"/>
      </rPr>
      <t xml:space="preserve">峰值年度標示（當年外部資金需求＝</t>
    </r>
    <r>
      <rPr>
        <sz val="10"/>
        <color rgb="FF000000"/>
        <rFont val="Arial"/>
        <family val="0"/>
        <charset val="1"/>
      </rPr>
      <t xml:space="preserve">2026–2030 </t>
    </r>
    <r>
      <rPr>
        <sz val="10"/>
        <color rgb="FF000000"/>
        <rFont val="Noto Sans CJK SC"/>
        <family val="2"/>
      </rPr>
      <t xml:space="preserve">最大且 </t>
    </r>
    <r>
      <rPr>
        <sz val="10"/>
        <color rgb="FF000000"/>
        <rFont val="Arial"/>
        <family val="0"/>
        <charset val="1"/>
      </rPr>
      <t xml:space="preserve">&gt;0</t>
    </r>
    <r>
      <rPr>
        <sz val="10"/>
        <color rgb="FF000000"/>
        <rFont val="Noto Sans CJK SC"/>
        <family val="2"/>
      </rPr>
      <t xml:space="preserve">）</t>
    </r>
  </si>
  <si>
    <t xml:space="preserve">F34</t>
  </si>
  <si>
    <t xml:space="preserve">只靠已到位融資（不另募）的年底現金</t>
  </si>
  <si>
    <t xml:space="preserve">已到位融資能撐到哪一年（可為負）</t>
  </si>
  <si>
    <t xml:space="preserve">F35</t>
  </si>
  <si>
    <t xml:space="preserve">只靠已到位融資：低於最低現金的年度標示</t>
  </si>
  <si>
    <t xml:space="preserve">F36</t>
  </si>
  <si>
    <t xml:space="preserve">摘要：首次缺口年</t>
  </si>
  <si>
    <t xml:space="preserve">F37</t>
  </si>
  <si>
    <t xml:space="preserve">摘要：峰值年（當年外部資金需求最大）</t>
  </si>
  <si>
    <t xml:space="preserve">F38</t>
  </si>
  <si>
    <t xml:space="preserve">摘要：峰值（當年外部資金需求最大值）</t>
  </si>
  <si>
    <t xml:space="preserve">F39</t>
  </si>
  <si>
    <t xml:space="preserve">摘要：只靠已到位融資撐不過的第一年</t>
  </si>
  <si>
    <t xml:space="preserve">F40</t>
  </si>
  <si>
    <r>
      <rPr>
        <sz val="10"/>
        <color rgb="FF000000"/>
        <rFont val="Noto Sans CJK SC"/>
        <family val="2"/>
      </rPr>
      <t xml:space="preserve">摘要：</t>
    </r>
    <r>
      <rPr>
        <sz val="10"/>
        <color rgb="FF000000"/>
        <rFont val="Arial"/>
        <family val="0"/>
        <charset val="1"/>
      </rPr>
      <t xml:space="preserve">2030 </t>
    </r>
    <r>
      <rPr>
        <sz val="10"/>
        <color rgb="FF000000"/>
        <rFont val="Noto Sans CJK SC"/>
        <family val="2"/>
      </rPr>
      <t xml:space="preserve">年後跑道＝</t>
    </r>
    <r>
      <rPr>
        <sz val="10"/>
        <color rgb="FF000000"/>
        <rFont val="Arial"/>
        <family val="0"/>
        <charset val="1"/>
      </rPr>
      <t xml:space="preserve">2030 </t>
    </r>
    <r>
      <rPr>
        <sz val="10"/>
        <color rgb="FF000000"/>
        <rFont val="Noto Sans CJK SC"/>
        <family val="2"/>
      </rPr>
      <t xml:space="preserve">年底現金 </t>
    </r>
    <r>
      <rPr>
        <sz val="10"/>
        <color rgb="FF000000"/>
        <rFont val="Arial"/>
        <family val="0"/>
        <charset val="1"/>
      </rPr>
      <t xml:space="preserve">÷ 2030 </t>
    </r>
    <r>
      <rPr>
        <sz val="10"/>
        <color rgb="FF000000"/>
        <rFont val="Noto Sans CJK SC"/>
        <family val="2"/>
      </rPr>
      <t xml:space="preserve">融資前淨現金流出</t>
    </r>
  </si>
  <si>
    <r>
      <rPr>
        <sz val="9"/>
        <color rgb="FF595959"/>
        <rFont val="Noto Sans CJK SC"/>
        <family val="2"/>
      </rPr>
      <t xml:space="preserve">粗估：以 </t>
    </r>
    <r>
      <rPr>
        <sz val="9"/>
        <color rgb="FF595959"/>
        <rFont val="Arial"/>
        <family val="0"/>
        <charset val="1"/>
      </rPr>
      <t xml:space="preserve">2030 </t>
    </r>
    <r>
      <rPr>
        <sz val="9"/>
        <color rgb="FF595959"/>
        <rFont val="Noto Sans CJK SC"/>
        <family val="2"/>
      </rPr>
      <t xml:space="preserve">年流出速度計</t>
    </r>
  </si>
  <si>
    <r>
      <rPr>
        <b val="true"/>
        <sz val="10"/>
        <rFont val="Noto Sans CJK SC"/>
        <family val="2"/>
      </rPr>
      <t xml:space="preserve">五、情境：可換股債券轉股（</t>
    </r>
    <r>
      <rPr>
        <b val="true"/>
        <sz val="10"/>
        <rFont val="Arial"/>
        <family val="0"/>
        <charset val="1"/>
      </rPr>
      <t xml:space="preserve">D16r</t>
    </r>
    <r>
      <rPr>
        <b val="true"/>
        <sz val="10"/>
        <rFont val="Noto Sans CJK SC"/>
        <family val="2"/>
      </rPr>
      <t xml:space="preserve">；</t>
    </r>
    <r>
      <rPr>
        <b val="true"/>
        <sz val="10"/>
        <rFont val="Arial"/>
        <family val="0"/>
        <charset val="1"/>
      </rPr>
      <t xml:space="preserve">2027-07-01 </t>
    </r>
    <r>
      <rPr>
        <b val="true"/>
        <sz val="10"/>
        <rFont val="Noto Sans CJK SC"/>
        <family val="2"/>
      </rPr>
      <t xml:space="preserve">起可換股，不需現金償還；不受 </t>
    </r>
    <r>
      <rPr>
        <b val="true"/>
        <sz val="10"/>
        <rFont val="Arial"/>
        <family val="0"/>
        <charset val="1"/>
      </rPr>
      <t xml:space="preserve">Inputs </t>
    </r>
    <r>
      <rPr>
        <b val="true"/>
        <sz val="10"/>
        <rFont val="Noto Sans CJK SC"/>
        <family val="2"/>
      </rPr>
      <t xml:space="preserve">開關影響）</t>
    </r>
  </si>
  <si>
    <t xml:space="preserve">F41</t>
  </si>
  <si>
    <t xml:space="preserve">補足前期末現金（轉股）</t>
  </si>
  <si>
    <t xml:space="preserve">F42</t>
  </si>
  <si>
    <t xml:space="preserve">當年外部資金需求（轉股）</t>
  </si>
  <si>
    <t xml:space="preserve">F43</t>
  </si>
  <si>
    <t xml:space="preserve">期末現金（轉股）</t>
  </si>
  <si>
    <t xml:space="preserve">F44</t>
  </si>
  <si>
    <t xml:space="preserve">累計外部資金需求（轉股）</t>
  </si>
  <si>
    <t xml:space="preserve">F45</t>
  </si>
  <si>
    <r>
      <rPr>
        <sz val="10"/>
        <color rgb="FF000000"/>
        <rFont val="Noto Sans CJK SC"/>
        <family val="2"/>
      </rPr>
      <t xml:space="preserve">轉股稀釋：換股股數 </t>
    </r>
    <r>
      <rPr>
        <sz val="10"/>
        <color rgb="FF000000"/>
        <rFont val="Arial"/>
        <family val="0"/>
        <charset val="1"/>
      </rPr>
      <t xml:space="preserve">÷ </t>
    </r>
    <r>
      <rPr>
        <sz val="10"/>
        <color rgb="FF000000"/>
        <rFont val="Noto Sans CJK SC"/>
        <family val="2"/>
      </rPr>
      <t xml:space="preserve">全面攤薄總股數</t>
    </r>
  </si>
  <si>
    <r>
      <rPr>
        <sz val="9"/>
        <color rgb="FF595959"/>
        <rFont val="Arial"/>
        <family val="0"/>
        <charset val="1"/>
      </rPr>
      <t xml:space="preserve">SRC_ZP_549</t>
    </r>
    <r>
      <rPr>
        <sz val="9"/>
        <color rgb="FF595959"/>
        <rFont val="Noto Sans CJK SC"/>
        <family val="2"/>
      </rPr>
      <t xml:space="preserve">、</t>
    </r>
    <r>
      <rPr>
        <sz val="9"/>
        <color rgb="FF595959"/>
        <rFont val="Arial"/>
        <family val="0"/>
        <charset val="1"/>
      </rPr>
      <t xml:space="preserve">563</t>
    </r>
  </si>
  <si>
    <t xml:space="preserve">六、或有與承諾（只列示；不作資金來源、不進外部資金需求）</t>
  </si>
  <si>
    <t xml:space="preserve">F46</t>
  </si>
  <si>
    <t xml:space="preserve">或有：可換股債券本金（轉股則免償還）</t>
  </si>
  <si>
    <r>
      <rPr>
        <sz val="9"/>
        <color rgb="FF595959"/>
        <rFont val="Noto Sans CJK SC"/>
        <family val="2"/>
      </rPr>
      <t xml:space="preserve">基準視為債務；換股價 </t>
    </r>
    <r>
      <rPr>
        <sz val="9"/>
        <color rgb="FF595959"/>
        <rFont val="Arial"/>
        <family val="0"/>
        <charset val="1"/>
      </rPr>
      <t xml:space="preserve">HK$892.50</t>
    </r>
  </si>
  <si>
    <t xml:space="preserve">F47</t>
  </si>
  <si>
    <r>
      <rPr>
        <sz val="10"/>
        <color rgb="FF000000"/>
        <rFont val="Noto Sans CJK SC"/>
        <family val="2"/>
      </rPr>
      <t xml:space="preserve">現價 </t>
    </r>
    <r>
      <rPr>
        <sz val="10"/>
        <color rgb="FF000000"/>
        <rFont val="Arial"/>
        <family val="0"/>
        <charset val="1"/>
      </rPr>
      <t xml:space="preserve">÷ </t>
    </r>
    <r>
      <rPr>
        <sz val="10"/>
        <color rgb="FF000000"/>
        <rFont val="Noto Sans CJK SC"/>
        <family val="2"/>
      </rPr>
      <t xml:space="preserve">換股價</t>
    </r>
  </si>
  <si>
    <r>
      <rPr>
        <sz val="9"/>
        <color rgb="FF595959"/>
        <rFont val="Arial"/>
        <family val="0"/>
        <charset val="1"/>
      </rPr>
      <t xml:space="preserve">SRC_ZP_569 ÷ SRC_ZP_548</t>
    </r>
    <r>
      <rPr>
        <sz val="9"/>
        <color rgb="FF595959"/>
        <rFont val="Noto Sans CJK SC"/>
        <family val="2"/>
      </rPr>
      <t xml:space="preserve">；</t>
    </r>
    <r>
      <rPr>
        <sz val="9"/>
        <color rgb="FF595959"/>
        <rFont val="Arial"/>
        <family val="0"/>
        <charset val="1"/>
      </rPr>
      <t xml:space="preserve">&lt;1</t>
    </r>
    <r>
      <rPr>
        <sz val="9"/>
        <color rgb="FF595959"/>
        <rFont val="Noto Sans CJK SC"/>
        <family val="2"/>
      </rPr>
      <t xml:space="preserve">＝價外（偏向償還）</t>
    </r>
  </si>
  <si>
    <t xml:space="preserve">F48</t>
  </si>
  <si>
    <r>
      <rPr>
        <sz val="10"/>
        <color rgb="FF000000"/>
        <rFont val="Noto Sans CJK SC"/>
        <family val="2"/>
      </rPr>
      <t xml:space="preserve">對照：</t>
    </r>
    <r>
      <rPr>
        <sz val="10"/>
        <color rgb="FF000000"/>
        <rFont val="Arial"/>
        <family val="0"/>
        <charset val="1"/>
      </rPr>
      <t xml:space="preserve">2025-10-31 </t>
    </r>
    <r>
      <rPr>
        <sz val="10"/>
        <color rgb="FF000000"/>
        <rFont val="Noto Sans CJK SC"/>
        <family val="2"/>
      </rPr>
      <t xml:space="preserve">現金＋短期投資＋可用承諾銀行授信合計（未拆）</t>
    </r>
  </si>
  <si>
    <r>
      <rPr>
        <sz val="9"/>
        <color rgb="FF595959"/>
        <rFont val="Arial"/>
        <family val="0"/>
        <charset val="1"/>
      </rPr>
      <t xml:space="preserve">SRC_ZP_110</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）；未提用授信額度單獨金額找不到 → 只列</t>
    </r>
  </si>
  <si>
    <t xml:space="preserve">F49</t>
  </si>
  <si>
    <t xml:space="preserve">未提用授信額度、合約承諾（算力採購等）</t>
  </si>
  <si>
    <r>
      <rPr>
        <sz val="9"/>
        <color rgb="FF595959"/>
        <rFont val="Noto Sans CJK SC"/>
        <family val="2"/>
      </rPr>
      <t xml:space="preserve">找不到（中期公告未列；</t>
    </r>
    <r>
      <rPr>
        <sz val="9"/>
        <color rgb="FF595959"/>
        <rFont val="Arial"/>
        <family val="0"/>
        <charset val="1"/>
      </rPr>
      <t xml:space="preserve">Z1 not_found</t>
    </r>
    <r>
      <rPr>
        <sz val="9"/>
        <color rgb="FF595959"/>
        <rFont val="Noto Sans CJK SC"/>
        <family val="2"/>
      </rPr>
      <t xml:space="preserve">）</t>
    </r>
  </si>
  <si>
    <t xml:space="preserve">F50</t>
  </si>
  <si>
    <r>
      <rPr>
        <sz val="10"/>
        <color rgb="FF000000"/>
        <rFont val="Noto Sans CJK SC"/>
        <family val="2"/>
      </rPr>
      <t xml:space="preserve">對照：</t>
    </r>
    <r>
      <rPr>
        <sz val="10"/>
        <color rgb="FF000000"/>
        <rFont val="Arial"/>
        <family val="0"/>
        <charset val="1"/>
      </rPr>
      <t xml:space="preserve">2027-01-08 </t>
    </r>
    <r>
      <rPr>
        <sz val="10"/>
        <color rgb="FF000000"/>
        <rFont val="Noto Sans CJK SC"/>
        <family val="2"/>
      </rPr>
      <t xml:space="preserve">解禁占總股本（媒體估算）</t>
    </r>
  </si>
  <si>
    <r>
      <rPr>
        <sz val="9"/>
        <color rgb="FF595959"/>
        <rFont val="Arial"/>
        <family val="0"/>
        <charset val="1"/>
      </rPr>
      <t xml:space="preserve">SRC_ZP_568</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）；可能影響 </t>
    </r>
    <r>
      <rPr>
        <sz val="9"/>
        <color rgb="FF595959"/>
        <rFont val="Arial"/>
        <family val="0"/>
        <charset val="1"/>
      </rPr>
      <t xml:space="preserve">2027 </t>
    </r>
    <r>
      <rPr>
        <sz val="9"/>
        <color rgb="FF595959"/>
        <rFont val="Noto Sans CJK SC"/>
        <family val="2"/>
      </rPr>
      <t xml:space="preserve">年再融資條件</t>
    </r>
  </si>
  <si>
    <r>
      <rPr>
        <b val="true"/>
        <sz val="10"/>
        <rFont val="Noto Sans CJK SC"/>
        <family val="2"/>
      </rPr>
      <t xml:space="preserve">七、配售用途對照（</t>
    </r>
    <r>
      <rPr>
        <b val="true"/>
        <sz val="10"/>
        <rFont val="Arial"/>
        <family val="0"/>
        <charset val="1"/>
      </rPr>
      <t xml:space="preserve">D16r</t>
    </r>
    <r>
      <rPr>
        <b val="true"/>
        <sz val="10"/>
        <rFont val="Noto Sans CJK SC"/>
        <family val="2"/>
      </rPr>
      <t xml:space="preserve">；公告用途 </t>
    </r>
    <r>
      <rPr>
        <b val="true"/>
        <sz val="10"/>
        <rFont val="Arial"/>
        <family val="0"/>
        <charset val="1"/>
      </rPr>
      <t xml:space="preserve">vs </t>
    </r>
    <r>
      <rPr>
        <b val="true"/>
        <sz val="10"/>
        <rFont val="Noto Sans CJK SC"/>
        <family val="2"/>
      </rPr>
      <t xml:space="preserve">模型支出；只列）</t>
    </r>
  </si>
  <si>
    <t xml:space="preserve">F51</t>
  </si>
  <si>
    <r>
      <rPr>
        <sz val="10"/>
        <color rgb="FF000000"/>
        <rFont val="Arial"/>
        <family val="0"/>
        <charset val="1"/>
      </rPr>
      <t xml:space="preserve">2026-07 </t>
    </r>
    <r>
      <rPr>
        <sz val="10"/>
        <color rgb="FF000000"/>
        <rFont val="Noto Sans CJK SC"/>
        <family val="2"/>
      </rPr>
      <t xml:space="preserve">配售：研發（模型、人才、算力）用途金額</t>
    </r>
  </si>
  <si>
    <r>
      <rPr>
        <sz val="9"/>
        <color rgb="FF595959"/>
        <rFont val="Arial"/>
        <family val="0"/>
        <charset val="1"/>
      </rPr>
      <t xml:space="preserve">SRC_ZP_539</t>
    </r>
    <r>
      <rPr>
        <sz val="9"/>
        <color rgb="FF595959"/>
        <rFont val="Noto Sans CJK SC"/>
        <family val="2"/>
      </rPr>
      <t xml:space="preserve">：</t>
    </r>
    <r>
      <rPr>
        <sz val="9"/>
        <color rgb="FF595959"/>
        <rFont val="Arial"/>
        <family val="0"/>
        <charset val="1"/>
      </rPr>
      <t xml:space="preserve">55%</t>
    </r>
    <r>
      <rPr>
        <sz val="9"/>
        <color rgb="FF595959"/>
        <rFont val="Noto Sans CJK SC"/>
        <family val="2"/>
      </rPr>
      <t xml:space="preserve">；預計 </t>
    </r>
    <r>
      <rPr>
        <sz val="9"/>
        <color rgb="FF595959"/>
        <rFont val="Arial"/>
        <family val="0"/>
        <charset val="1"/>
      </rPr>
      <t xml:space="preserve">2027 </t>
    </r>
    <r>
      <rPr>
        <sz val="9"/>
        <color rgb="FF595959"/>
        <rFont val="Noto Sans CJK SC"/>
        <family val="2"/>
      </rPr>
      <t xml:space="preserve">年底前用畢</t>
    </r>
  </si>
  <si>
    <t xml:space="preserve">F52</t>
  </si>
  <si>
    <r>
      <rPr>
        <sz val="10"/>
        <color rgb="FF000000"/>
        <rFont val="Arial"/>
        <family val="0"/>
        <charset val="1"/>
      </rPr>
      <t xml:space="preserve">2026-07 </t>
    </r>
    <r>
      <rPr>
        <sz val="10"/>
        <color rgb="FF000000"/>
        <rFont val="Noto Sans CJK SC"/>
        <family val="2"/>
      </rPr>
      <t xml:space="preserve">配售：截至 </t>
    </r>
    <r>
      <rPr>
        <sz val="10"/>
        <color rgb="FF000000"/>
        <rFont val="Arial"/>
        <family val="0"/>
        <charset val="1"/>
      </rPr>
      <t xml:space="preserve">2026-08-31 </t>
    </r>
    <r>
      <rPr>
        <sz val="10"/>
        <color rgb="FF000000"/>
        <rFont val="Noto Sans CJK SC"/>
        <family val="2"/>
      </rPr>
      <t xml:space="preserve">已動用</t>
    </r>
  </si>
  <si>
    <r>
      <rPr>
        <sz val="9"/>
        <color rgb="FF595959"/>
        <rFont val="Arial"/>
        <family val="0"/>
        <charset val="1"/>
      </rPr>
      <t xml:space="preserve">SRC_ZP_540</t>
    </r>
    <r>
      <rPr>
        <sz val="9"/>
        <color rgb="FF595959"/>
        <rFont val="Noto Sans CJK SC"/>
        <family val="2"/>
      </rPr>
      <t xml:space="preserve">：</t>
    </r>
    <r>
      <rPr>
        <sz val="9"/>
        <color rgb="FF595959"/>
        <rFont val="Arial"/>
        <family val="0"/>
        <charset val="1"/>
      </rPr>
      <t xml:space="preserve">HK$10,954.8 </t>
    </r>
    <r>
      <rPr>
        <sz val="9"/>
        <color rgb="FF595959"/>
        <rFont val="Noto Sans CJK SC"/>
        <family val="2"/>
      </rPr>
      <t xml:space="preserve">百萬（</t>
    </r>
    <r>
      <rPr>
        <sz val="9"/>
        <color rgb="FF595959"/>
        <rFont val="Arial"/>
        <family val="0"/>
        <charset val="1"/>
      </rPr>
      <t xml:space="preserve">34.92%</t>
    </r>
    <r>
      <rPr>
        <sz val="9"/>
        <color rgb="FF595959"/>
        <rFont val="Noto Sans CJK SC"/>
        <family val="2"/>
      </rPr>
      <t xml:space="preserve">）</t>
    </r>
  </si>
  <si>
    <t xml:space="preserve">F53</t>
  </si>
  <si>
    <r>
      <rPr>
        <sz val="10"/>
        <color rgb="FF000000"/>
        <rFont val="Noto Sans CJK SC"/>
        <family val="2"/>
      </rPr>
      <t xml:space="preserve">模型：</t>
    </r>
    <r>
      <rPr>
        <sz val="10"/>
        <color rgb="FF000000"/>
        <rFont val="Arial"/>
        <family val="0"/>
        <charset val="1"/>
      </rPr>
      <t xml:space="preserve">2026-07-01</t>
    </r>
    <r>
      <rPr>
        <sz val="10"/>
        <color rgb="FF000000"/>
        <rFont val="Noto Sans CJK SC"/>
        <family val="2"/>
      </rPr>
      <t xml:space="preserve">～</t>
    </r>
    <r>
      <rPr>
        <sz val="10"/>
        <color rgb="FF000000"/>
        <rFont val="Arial"/>
        <family val="0"/>
        <charset val="1"/>
      </rPr>
      <t xml:space="preserve">08-31 </t>
    </r>
    <r>
      <rPr>
        <sz val="10"/>
        <color rgb="FF000000"/>
        <rFont val="Noto Sans CJK SC"/>
        <family val="2"/>
      </rPr>
      <t xml:space="preserve">融資前淨現金流出（</t>
    </r>
    <r>
      <rPr>
        <sz val="10"/>
        <color rgb="FF000000"/>
        <rFont val="Arial"/>
        <family val="0"/>
        <charset val="1"/>
      </rPr>
      <t xml:space="preserve">2H26 </t>
    </r>
    <r>
      <rPr>
        <sz val="10"/>
        <color rgb="FF000000"/>
        <rFont val="Noto Sans CJK SC"/>
        <family val="2"/>
      </rPr>
      <t xml:space="preserve">按天數）</t>
    </r>
  </si>
  <si>
    <t xml:space="preserve">含中科加禾併購</t>
  </si>
  <si>
    <t xml:space="preserve">F54</t>
  </si>
  <si>
    <r>
      <rPr>
        <sz val="10"/>
        <color rgb="FF000000"/>
        <rFont val="Noto Sans CJK SC"/>
        <family val="2"/>
      </rPr>
      <t xml:space="preserve">倍數：已動用 </t>
    </r>
    <r>
      <rPr>
        <sz val="10"/>
        <color rgb="FF000000"/>
        <rFont val="Arial"/>
        <family val="0"/>
        <charset val="1"/>
      </rPr>
      <t xml:space="preserve">÷ </t>
    </r>
    <r>
      <rPr>
        <sz val="10"/>
        <color rgb="FF000000"/>
        <rFont val="Noto Sans CJK SC"/>
        <family val="2"/>
      </rPr>
      <t xml:space="preserve">模型同期流出</t>
    </r>
  </si>
  <si>
    <r>
      <rPr>
        <sz val="9"/>
        <color rgb="FF595959"/>
        <rFont val="Arial"/>
        <family val="0"/>
        <charset val="1"/>
      </rPr>
      <t xml:space="preserve">&gt;1</t>
    </r>
    <r>
      <rPr>
        <sz val="9"/>
        <color rgb="FF595959"/>
        <rFont val="Noto Sans CJK SC"/>
        <family val="2"/>
      </rPr>
      <t xml:space="preserve">＝公司實際動用速度高於模型支出（可能含預付、押金、理財或模型低估的支出）</t>
    </r>
  </si>
  <si>
    <t xml:space="preserve">F55</t>
  </si>
  <si>
    <r>
      <rPr>
        <sz val="10"/>
        <color rgb="FF000000"/>
        <rFont val="Arial"/>
        <family val="0"/>
        <charset val="1"/>
      </rPr>
      <t xml:space="preserve">2026-09 </t>
    </r>
    <r>
      <rPr>
        <sz val="10"/>
        <color rgb="FF000000"/>
        <rFont val="Noto Sans CJK SC"/>
        <family val="2"/>
      </rPr>
      <t xml:space="preserve">配售＋可換股債券：研發、訓練推論、算力基建、人才用途金額</t>
    </r>
  </si>
  <si>
    <r>
      <rPr>
        <sz val="9"/>
        <color rgb="FF595959"/>
        <rFont val="Arial"/>
        <family val="0"/>
        <charset val="1"/>
      </rPr>
      <t xml:space="preserve">SRC_ZP_550</t>
    </r>
    <r>
      <rPr>
        <sz val="9"/>
        <color rgb="FF595959"/>
        <rFont val="Noto Sans CJK SC"/>
        <family val="2"/>
      </rPr>
      <t xml:space="preserve">：</t>
    </r>
    <r>
      <rPr>
        <sz val="9"/>
        <color rgb="FF595959"/>
        <rFont val="Arial"/>
        <family val="0"/>
        <charset val="1"/>
      </rPr>
      <t xml:space="preserve">60%</t>
    </r>
    <r>
      <rPr>
        <sz val="9"/>
        <color rgb="FF595959"/>
        <rFont val="Noto Sans CJK SC"/>
        <family val="2"/>
      </rPr>
      <t xml:space="preserve">；</t>
    </r>
    <r>
      <rPr>
        <sz val="9"/>
        <color rgb="FF595959"/>
        <rFont val="Arial"/>
        <family val="0"/>
        <charset val="1"/>
      </rPr>
      <t xml:space="preserve">2028-06-30 </t>
    </r>
    <r>
      <rPr>
        <sz val="9"/>
        <color rgb="FF595959"/>
        <rFont val="Noto Sans CJK SC"/>
        <family val="2"/>
      </rPr>
      <t xml:space="preserve">前用畢</t>
    </r>
  </si>
  <si>
    <t xml:space="preserve">F56</t>
  </si>
  <si>
    <r>
      <rPr>
        <sz val="10"/>
        <color rgb="FF000000"/>
        <rFont val="Noto Sans CJK SC"/>
        <family val="2"/>
      </rPr>
      <t xml:space="preserve">模型：</t>
    </r>
    <r>
      <rPr>
        <sz val="10"/>
        <color rgb="FF000000"/>
        <rFont val="Arial"/>
        <family val="0"/>
        <charset val="1"/>
      </rPr>
      <t xml:space="preserve">2H26–2028 </t>
    </r>
    <r>
      <rPr>
        <sz val="10"/>
        <color rgb="FF000000"/>
        <rFont val="Noto Sans CJK SC"/>
        <family val="2"/>
      </rPr>
      <t xml:space="preserve">算力成本＋非算力成本（不含股權報酬）合計</t>
    </r>
  </si>
  <si>
    <r>
      <rPr>
        <sz val="9"/>
        <color rgb="FF595959"/>
        <rFont val="Noto Sans CJK SC"/>
        <family val="2"/>
      </rPr>
      <t xml:space="preserve">對照兩次用途合計（期間至 </t>
    </r>
    <r>
      <rPr>
        <sz val="9"/>
        <color rgb="FF595959"/>
        <rFont val="Arial"/>
        <family val="0"/>
        <charset val="1"/>
      </rPr>
      <t xml:space="preserve">2028-06 vs 2028 </t>
    </r>
    <r>
      <rPr>
        <sz val="9"/>
        <color rgb="FF595959"/>
        <rFont val="Noto Sans CJK SC"/>
        <family val="2"/>
      </rPr>
      <t xml:space="preserve">全年，模型較寬）</t>
    </r>
  </si>
  <si>
    <t xml:space="preserve">F57</t>
  </si>
  <si>
    <r>
      <rPr>
        <sz val="10"/>
        <color rgb="FF000000"/>
        <rFont val="Noto Sans CJK SC"/>
        <family val="2"/>
      </rPr>
      <t xml:space="preserve">倍數：兩次用途（研發與算力）合計 </t>
    </r>
    <r>
      <rPr>
        <sz val="10"/>
        <color rgb="FF000000"/>
        <rFont val="Arial"/>
        <family val="0"/>
        <charset val="1"/>
      </rPr>
      <t xml:space="preserve">÷ </t>
    </r>
    <r>
      <rPr>
        <sz val="10"/>
        <color rgb="FF000000"/>
        <rFont val="Noto Sans CJK SC"/>
        <family val="2"/>
      </rPr>
      <t xml:space="preserve">模型同期支出</t>
    </r>
  </si>
  <si>
    <r>
      <rPr>
        <b val="true"/>
        <sz val="10"/>
        <rFont val="Noto Sans CJK SC"/>
        <family val="2"/>
      </rPr>
      <t xml:space="preserve">八、回流對照（</t>
    </r>
    <r>
      <rPr>
        <b val="true"/>
        <sz val="10"/>
        <rFont val="Arial"/>
        <family val="0"/>
        <charset val="1"/>
      </rPr>
      <t xml:space="preserve">D19</t>
    </r>
    <r>
      <rPr>
        <b val="true"/>
        <sz val="10"/>
        <rFont val="Noto Sans CJK SC"/>
        <family val="2"/>
      </rPr>
      <t xml:space="preserve">：誰出錢；只列對照、不沖銷）</t>
    </r>
  </si>
  <si>
    <t xml:space="preserve">F58</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</si>
  <si>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：智譜對其銷售（</t>
    </r>
    <r>
      <rPr>
        <sz val="10"/>
        <color rgb="FF000000"/>
        <rFont val="Arial"/>
        <family val="0"/>
        <charset val="1"/>
      </rPr>
      <t xml:space="preserve">FY2024</t>
    </r>
    <r>
      <rPr>
        <sz val="10"/>
        <color rgb="FF000000"/>
        <rFont val="Noto Sans CJK SC"/>
        <family val="2"/>
      </rPr>
      <t xml:space="preserve">＋</t>
    </r>
    <r>
      <rPr>
        <sz val="10"/>
        <color rgb="FF000000"/>
        <rFont val="Arial"/>
        <family val="0"/>
        <charset val="1"/>
      </rPr>
      <t xml:space="preserve">1H25</t>
    </r>
    <r>
      <rPr>
        <sz val="10"/>
        <color rgb="FF000000"/>
        <rFont val="Noto Sans CJK SC"/>
        <family val="2"/>
      </rPr>
      <t xml:space="preserve">）</t>
    </r>
  </si>
  <si>
    <r>
      <rPr>
        <sz val="9"/>
        <color rgb="FF595959"/>
        <rFont val="Arial"/>
        <family val="0"/>
        <charset val="1"/>
      </rPr>
      <t xml:space="preserve">SRC_ZP_785</t>
    </r>
    <r>
      <rPr>
        <sz val="9"/>
        <color rgb="FF595959"/>
        <rFont val="Noto Sans CJK SC"/>
        <family val="2"/>
      </rPr>
      <t xml:space="preserve">（招股章程會計師報告，</t>
    </r>
    <r>
      <rPr>
        <sz val="9"/>
        <color rgb="FF595959"/>
        <rFont val="Arial"/>
        <family val="0"/>
        <charset val="1"/>
      </rPr>
      <t xml:space="preserve">Verified</t>
    </r>
    <r>
      <rPr>
        <sz val="9"/>
        <color rgb="FF595959"/>
        <rFont val="Noto Sans CJK SC"/>
        <family val="2"/>
      </rPr>
      <t xml:space="preserve">；</t>
    </r>
    <r>
      <rPr>
        <sz val="9"/>
        <color rgb="FF595959"/>
        <rFont val="Arial"/>
        <family val="0"/>
        <charset val="1"/>
      </rPr>
      <t xml:space="preserve">r2 P2</t>
    </r>
    <r>
      <rPr>
        <sz val="9"/>
        <color rgb="FF595959"/>
        <rFont val="Noto Sans CJK SC"/>
        <family val="2"/>
      </rPr>
      <t xml:space="preserve">：媒體 </t>
    </r>
    <r>
      <rPr>
        <sz val="9"/>
        <color rgb="FF595959"/>
        <rFont val="Arial"/>
        <family val="0"/>
        <charset val="1"/>
      </rPr>
      <t xml:space="preserve">SRC_ZP_433 </t>
    </r>
    <r>
      <rPr>
        <sz val="9"/>
        <color rgb="FF595959"/>
        <rFont val="Noto Sans CJK SC"/>
        <family val="2"/>
      </rPr>
      <t xml:space="preserve">的 </t>
    </r>
    <r>
      <rPr>
        <sz val="9"/>
        <color rgb="FF595959"/>
        <rFont val="Arial"/>
        <family val="0"/>
        <charset val="1"/>
      </rPr>
      <t xml:space="preserve">2.42 </t>
    </r>
    <r>
      <rPr>
        <sz val="9"/>
        <color rgb="FF595959"/>
        <rFont val="Noto Sans CJK SC"/>
        <family val="2"/>
      </rPr>
      <t xml:space="preserve">億差 </t>
    </r>
    <r>
      <rPr>
        <sz val="9"/>
        <color rgb="FF595959"/>
        <rFont val="Arial"/>
        <family val="0"/>
        <charset val="1"/>
      </rPr>
      <t xml:space="preserve">10 </t>
    </r>
    <r>
      <rPr>
        <sz val="9"/>
        <color rgb="FF595959"/>
        <rFont val="Noto Sans CJK SC"/>
        <family val="2"/>
      </rPr>
      <t xml:space="preserve">倍）</t>
    </r>
  </si>
  <si>
    <t xml:space="preserve">F59</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</si>
  <si>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：智譜向其採購（同期）</t>
    </r>
  </si>
  <si>
    <r>
      <rPr>
        <sz val="9"/>
        <color rgb="FF595959"/>
        <rFont val="Arial"/>
        <family val="0"/>
        <charset val="1"/>
      </rPr>
      <t xml:space="preserve">SRC_ZP_786</t>
    </r>
    <r>
      <rPr>
        <sz val="9"/>
        <color rgb="FF595959"/>
        <rFont val="Noto Sans CJK SC"/>
        <family val="2"/>
      </rPr>
      <t xml:space="preserve">（</t>
    </r>
    <r>
      <rPr>
        <sz val="9"/>
        <color rgb="FF595959"/>
        <rFont val="Arial"/>
        <family val="0"/>
        <charset val="1"/>
      </rPr>
      <t xml:space="preserve">Verified</t>
    </r>
    <r>
      <rPr>
        <sz val="9"/>
        <color rgb="FF595959"/>
        <rFont val="Noto Sans CJK SC"/>
        <family val="2"/>
      </rPr>
      <t xml:space="preserve">；採購內容為數據庫及知識產權授權）；客戶兼供應商</t>
    </r>
  </si>
  <si>
    <t xml:space="preserve">F60</t>
  </si>
  <si>
    <r>
      <rPr>
        <sz val="10"/>
        <color rgb="FF000000"/>
        <rFont val="Noto Sans CJK SC"/>
        <family val="2"/>
      </rPr>
      <t xml:space="preserve">採購 </t>
    </r>
    <r>
      <rPr>
        <sz val="10"/>
        <color rgb="FF000000"/>
        <rFont val="Arial"/>
        <family val="0"/>
        <charset val="1"/>
      </rPr>
      <t xml:space="preserve">÷ </t>
    </r>
    <r>
      <rPr>
        <sz val="10"/>
        <color rgb="FF000000"/>
        <rFont val="Noto Sans CJK SC"/>
        <family val="2"/>
      </rPr>
      <t xml:space="preserve">銷售</t>
    </r>
  </si>
  <si>
    <r>
      <rPr>
        <sz val="9"/>
        <color rgb="FF595959"/>
        <rFont val="Arial"/>
        <family val="0"/>
        <charset val="1"/>
      </rPr>
      <t xml:space="preserve">≈1</t>
    </r>
    <r>
      <rPr>
        <sz val="9"/>
        <color rgb="FF595959"/>
        <rFont val="Noto Sans CJK SC"/>
        <family val="2"/>
      </rPr>
      <t xml:space="preserve">：營收與採購互相抵銷</t>
    </r>
  </si>
  <si>
    <t xml:space="preserve">F61</t>
  </si>
  <si>
    <r>
      <rPr>
        <sz val="10"/>
        <color rgb="FF000000"/>
        <rFont val="Arial"/>
        <family val="0"/>
        <charset val="1"/>
      </rPr>
      <t xml:space="preserve">2025 </t>
    </r>
    <r>
      <rPr>
        <sz val="10"/>
        <color rgb="FF000000"/>
        <rFont val="Noto Sans CJK SC"/>
        <family val="2"/>
      </rPr>
      <t xml:space="preserve">地方國資投資（杭州≥</t>
    </r>
    <r>
      <rPr>
        <sz val="10"/>
        <color rgb="FF000000"/>
        <rFont val="Arial"/>
        <family val="0"/>
        <charset val="1"/>
      </rPr>
      <t xml:space="preserve">10</t>
    </r>
    <r>
      <rPr>
        <sz val="10"/>
        <color rgb="FF000000"/>
        <rFont val="Noto Sans CJK SC"/>
        <family val="2"/>
      </rPr>
      <t xml:space="preserve">、珠海華發 </t>
    </r>
    <r>
      <rPr>
        <sz val="10"/>
        <color rgb="FF000000"/>
        <rFont val="Arial"/>
        <family val="0"/>
        <charset val="1"/>
      </rPr>
      <t xml:space="preserve">5</t>
    </r>
    <r>
      <rPr>
        <sz val="10"/>
        <color rgb="FF000000"/>
        <rFont val="Noto Sans CJK SC"/>
        <family val="2"/>
      </rPr>
      <t xml:space="preserve">、成都高新 </t>
    </r>
    <r>
      <rPr>
        <sz val="10"/>
        <color rgb="FF000000"/>
        <rFont val="Arial"/>
        <family val="0"/>
        <charset val="1"/>
      </rPr>
      <t xml:space="preserve">3</t>
    </r>
    <r>
      <rPr>
        <sz val="10"/>
        <color rgb="FF000000"/>
        <rFont val="Noto Sans CJK SC"/>
        <family val="2"/>
      </rPr>
      <t xml:space="preserve">、上海浦東張江 </t>
    </r>
    <r>
      <rPr>
        <sz val="10"/>
        <color rgb="FF000000"/>
        <rFont val="Arial"/>
        <family val="0"/>
        <charset val="1"/>
      </rPr>
      <t xml:space="preserve">10</t>
    </r>
    <r>
      <rPr>
        <sz val="10"/>
        <color rgb="FF000000"/>
        <rFont val="Noto Sans CJK SC"/>
        <family val="2"/>
      </rPr>
      <t xml:space="preserve">）</t>
    </r>
  </si>
  <si>
    <r>
      <rPr>
        <sz val="9"/>
        <color rgb="FF595959"/>
        <rFont val="Arial"/>
        <family val="0"/>
        <charset val="1"/>
      </rPr>
      <t xml:space="preserve">SRC_ZP_510–513</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）；對這些股東（或其算力平台）的採購額找不到</t>
    </r>
  </si>
  <si>
    <r>
      <rPr>
        <b val="true"/>
        <sz val="10"/>
        <rFont val="Noto Sans CJK SC"/>
        <family val="2"/>
      </rPr>
      <t xml:space="preserve">九、</t>
    </r>
    <r>
      <rPr>
        <b val="true"/>
        <sz val="10"/>
        <rFont val="Arial"/>
        <family val="0"/>
        <charset val="1"/>
      </rPr>
      <t xml:space="preserve">2025</t>
    </r>
    <r>
      <rPr>
        <b val="true"/>
        <sz val="10"/>
        <rFont val="Noto Sans CJK SC"/>
        <family val="2"/>
      </rPr>
      <t xml:space="preserve">、</t>
    </r>
    <r>
      <rPr>
        <b val="true"/>
        <sz val="10"/>
        <rFont val="Arial"/>
        <family val="0"/>
        <charset val="1"/>
      </rPr>
      <t xml:space="preserve">1H26 </t>
    </r>
    <r>
      <rPr>
        <b val="true"/>
        <sz val="10"/>
        <rFont val="Noto Sans CJK SC"/>
        <family val="2"/>
      </rPr>
      <t xml:space="preserve">現金對帳（經營現金流量表找不到 → 以期末現金變動 − 已知融資推得隱含經營＋投資＋其他）</t>
    </r>
  </si>
  <si>
    <t xml:space="preserve">F62</t>
  </si>
  <si>
    <t xml:space="preserve">期末現金變動</t>
  </si>
  <si>
    <r>
      <rPr>
        <sz val="9"/>
        <color rgb="FF595959"/>
        <rFont val="Arial"/>
        <family val="0"/>
        <charset val="1"/>
      </rPr>
      <t xml:space="preserve">SRC_ZP_151</t>
    </r>
    <r>
      <rPr>
        <sz val="9"/>
        <color rgb="FF595959"/>
        <rFont val="Noto Sans CJK SC"/>
        <family val="2"/>
      </rPr>
      <t xml:space="preserve">、</t>
    </r>
    <r>
      <rPr>
        <sz val="9"/>
        <color rgb="FF595959"/>
        <rFont val="Arial"/>
        <family val="0"/>
        <charset val="1"/>
      </rPr>
      <t xml:space="preserve">152</t>
    </r>
    <r>
      <rPr>
        <sz val="9"/>
        <color rgb="FF595959"/>
        <rFont val="Noto Sans CJK SC"/>
        <family val="2"/>
      </rPr>
      <t xml:space="preserve">、</t>
    </r>
    <r>
      <rPr>
        <sz val="9"/>
        <color rgb="FF595959"/>
        <rFont val="Arial"/>
        <family val="0"/>
        <charset val="1"/>
      </rPr>
      <t xml:space="preserve">211</t>
    </r>
  </si>
  <si>
    <t xml:space="preserve">F63</t>
  </si>
  <si>
    <r>
      <rPr>
        <sz val="10"/>
        <color rgb="FF000000"/>
        <rFont val="Noto Sans CJK SC"/>
        <family val="2"/>
      </rPr>
      <t xml:space="preserve">已知融資流入（</t>
    </r>
    <r>
      <rPr>
        <sz val="10"/>
        <color rgb="FF000000"/>
        <rFont val="Arial"/>
        <family val="0"/>
        <charset val="1"/>
      </rPr>
      <t xml:space="preserve">2025</t>
    </r>
    <r>
      <rPr>
        <sz val="10"/>
        <color rgb="FF000000"/>
        <rFont val="Noto Sans CJK SC"/>
        <family val="2"/>
      </rPr>
      <t xml:space="preserve">：上市前各輪（國資）＋銀行借款淨增；</t>
    </r>
    <r>
      <rPr>
        <sz val="10"/>
        <color rgb="FF000000"/>
        <rFont val="Arial"/>
        <family val="0"/>
        <charset val="1"/>
      </rPr>
      <t xml:space="preserve">1H26</t>
    </r>
    <r>
      <rPr>
        <sz val="10"/>
        <color rgb="FF000000"/>
        <rFont val="Noto Sans CJK SC"/>
        <family val="2"/>
      </rPr>
      <t xml:space="preserve">：</t>
    </r>
    <r>
      <rPr>
        <sz val="10"/>
        <color rgb="FF000000"/>
        <rFont val="Arial"/>
        <family val="0"/>
        <charset val="1"/>
      </rPr>
      <t xml:space="preserve">IPO </t>
    </r>
    <r>
      <rPr>
        <sz val="10"/>
        <color rgb="FF000000"/>
        <rFont val="Noto Sans CJK SC"/>
        <family val="2"/>
      </rPr>
      <t xml:space="preserve">淨額＋銀行借款淨增）</t>
    </r>
  </si>
  <si>
    <r>
      <rPr>
        <sz val="9"/>
        <color rgb="FF595959"/>
        <rFont val="Arial"/>
        <family val="0"/>
        <charset val="1"/>
      </rPr>
      <t xml:space="preserve">2025 </t>
    </r>
    <r>
      <rPr>
        <sz val="9"/>
        <color rgb="FF595959"/>
        <rFont val="Noto Sans CJK SC"/>
        <family val="2"/>
      </rPr>
      <t xml:space="preserve">各輪到帳時點與金額部分為媒體轉述（下限）</t>
    </r>
  </si>
  <si>
    <t xml:space="preserve">F64</t>
  </si>
  <si>
    <t xml:space="preserve">隱含：經營＋投資＋其他現金流＝現金變動 − 已知融資</t>
  </si>
  <si>
    <t xml:space="preserve">F65</t>
  </si>
  <si>
    <t xml:space="preserve">模型：融資前淨現金流</t>
  </si>
  <si>
    <t xml:space="preserve">F66</t>
  </si>
  <si>
    <t xml:space="preserve">差異（隱含 − 模型）</t>
  </si>
  <si>
    <r>
      <rPr>
        <sz val="9"/>
        <color rgb="FF595959"/>
        <rFont val="Arial"/>
        <family val="0"/>
        <charset val="1"/>
      </rPr>
      <t xml:space="preserve">1H26</t>
    </r>
    <r>
      <rPr>
        <sz val="9"/>
        <color rgb="FF595959"/>
        <rFont val="Noto Sans CJK SC"/>
        <family val="2"/>
      </rPr>
      <t xml:space="preserve">＝第四節對帳差；</t>
    </r>
    <r>
      <rPr>
        <sz val="9"/>
        <color rgb="FF595959"/>
        <rFont val="Arial"/>
        <family val="0"/>
        <charset val="1"/>
      </rPr>
      <t xml:space="preserve">2025 </t>
    </r>
    <r>
      <rPr>
        <sz val="9"/>
        <color rgb="FF595959"/>
        <rFont val="Noto Sans CJK SC"/>
        <family val="2"/>
      </rPr>
      <t xml:space="preserve">含理財、定期存款、營運資金與融資到帳時點差</t>
    </r>
  </si>
  <si>
    <t xml:space="preserve">F67</t>
  </si>
  <si>
    <r>
      <rPr>
        <sz val="10"/>
        <color rgb="FF000000"/>
        <rFont val="Noto Sans CJK SC"/>
        <family val="2"/>
      </rPr>
      <t xml:space="preserve">對照：經調整淨虧損（非 </t>
    </r>
    <r>
      <rPr>
        <sz val="10"/>
        <color rgb="FF000000"/>
        <rFont val="Arial"/>
        <family val="0"/>
        <charset val="1"/>
      </rPr>
      <t xml:space="preserve">IFRS</t>
    </r>
    <r>
      <rPr>
        <sz val="10"/>
        <color rgb="FF000000"/>
        <rFont val="Noto Sans CJK SC"/>
        <family val="2"/>
      </rPr>
      <t xml:space="preserve">，負值）</t>
    </r>
  </si>
  <si>
    <r>
      <rPr>
        <sz val="9"/>
        <color rgb="FF595959"/>
        <rFont val="Arial"/>
        <family val="0"/>
        <charset val="1"/>
      </rPr>
      <t xml:space="preserve">SRC_ZP_146</t>
    </r>
    <r>
      <rPr>
        <sz val="9"/>
        <color rgb="FF595959"/>
        <rFont val="Noto Sans CJK SC"/>
        <family val="2"/>
      </rPr>
      <t xml:space="preserve">、</t>
    </r>
    <r>
      <rPr>
        <sz val="9"/>
        <color rgb="FF595959"/>
        <rFont val="Arial"/>
        <family val="0"/>
        <charset val="1"/>
      </rPr>
      <t xml:space="preserve">206</t>
    </r>
  </si>
  <si>
    <r>
      <rPr>
        <b val="true"/>
        <sz val="10"/>
        <rFont val="Noto Sans CJK SC"/>
        <family val="2"/>
      </rPr>
      <t xml:space="preserve">十、美元口徑（與 </t>
    </r>
    <r>
      <rPr>
        <b val="true"/>
        <sz val="10"/>
        <rFont val="Arial"/>
        <family val="0"/>
        <charset val="1"/>
      </rPr>
      <t xml:space="preserve">OpenAI v0.6 </t>
    </r>
    <r>
      <rPr>
        <b val="true"/>
        <sz val="10"/>
        <rFont val="Noto Sans CJK SC"/>
        <family val="2"/>
      </rPr>
      <t xml:space="preserve">並排；</t>
    </r>
    <r>
      <rPr>
        <b val="true"/>
        <sz val="10"/>
        <rFont val="Arial"/>
        <family val="0"/>
        <charset val="1"/>
      </rPr>
      <t xml:space="preserve">÷ USD/CNY ÷ 10</t>
    </r>
    <r>
      <rPr>
        <b val="true"/>
        <sz val="10"/>
        <rFont val="Noto Sans CJK SC"/>
        <family val="2"/>
      </rPr>
      <t xml:space="preserve">，同一匯率 </t>
    </r>
    <r>
      <rPr>
        <b val="true"/>
        <sz val="10"/>
        <rFont val="Arial"/>
        <family val="0"/>
        <charset val="1"/>
      </rPr>
      <t xml:space="preserve">D23</t>
    </r>
    <r>
      <rPr>
        <b val="true"/>
        <sz val="10"/>
        <rFont val="Noto Sans CJK SC"/>
        <family val="2"/>
      </rPr>
      <t xml:space="preserve">）</t>
    </r>
  </si>
  <si>
    <t xml:space="preserve">F68</t>
  </si>
  <si>
    <t xml:space="preserve">自由現金流（美元）</t>
  </si>
  <si>
    <t xml:space="preserve">F69</t>
  </si>
  <si>
    <t xml:space="preserve">已到位融資合計（美元）</t>
  </si>
  <si>
    <t xml:space="preserve">F70</t>
  </si>
  <si>
    <t xml:space="preserve">當年外部資金需求（美元）</t>
  </si>
  <si>
    <t xml:space="preserve">F71</t>
  </si>
  <si>
    <t xml:space="preserve">累計外部資金需求（美元）</t>
  </si>
  <si>
    <t xml:space="preserve">F72</t>
  </si>
  <si>
    <t xml:space="preserve">年底現金（美元）</t>
  </si>
  <si>
    <t xml:space="preserve">F73</t>
  </si>
  <si>
    <t xml:space="preserve">累計外部資金需求（轉股）（美元）</t>
  </si>
  <si>
    <t xml:space="preserve">F74</t>
  </si>
  <si>
    <t xml:space="preserve">年底現金（轉股）（美元）</t>
  </si>
  <si>
    <r>
      <rPr>
        <b val="true"/>
        <sz val="10"/>
        <rFont val="Noto Sans CJK SC"/>
        <family val="2"/>
      </rPr>
      <t xml:space="preserve">十一、</t>
    </r>
    <r>
      <rPr>
        <b val="true"/>
        <sz val="10"/>
        <rFont val="Arial"/>
        <family val="0"/>
        <charset val="1"/>
      </rPr>
      <t xml:space="preserve">r2 P2</t>
    </r>
    <r>
      <rPr>
        <b val="true"/>
        <sz val="10"/>
        <rFont val="Noto Sans CJK SC"/>
        <family val="2"/>
      </rPr>
      <t xml:space="preserve">（招股章程，只列對照，不進現金流）：資本開支口徑</t>
    </r>
  </si>
  <si>
    <t xml:space="preserve">F75</t>
  </si>
  <si>
    <r>
      <rPr>
        <sz val="10"/>
        <color rgb="FF000000"/>
        <rFont val="Arial"/>
        <family val="0"/>
        <charset val="1"/>
      </rPr>
      <t xml:space="preserve">P2 </t>
    </r>
    <r>
      <rPr>
        <sz val="10"/>
        <color rgb="FF000000"/>
        <rFont val="Noto Sans CJK SC"/>
        <family val="2"/>
      </rPr>
      <t xml:space="preserve">公告資本開支（權責口徑；含使用權資產添置）：</t>
    </r>
    <r>
      <rPr>
        <sz val="10"/>
        <color rgb="FF000000"/>
        <rFont val="Arial"/>
        <family val="0"/>
        <charset val="1"/>
      </rPr>
      <t xml:space="preserve">FY2024</t>
    </r>
  </si>
  <si>
    <r>
      <rPr>
        <sz val="9"/>
        <color rgb="FF595959"/>
        <rFont val="Arial"/>
        <family val="0"/>
        <charset val="1"/>
      </rPr>
      <t xml:space="preserve">SRC_ZP_150</t>
    </r>
    <r>
      <rPr>
        <sz val="9"/>
        <color rgb="FF595959"/>
        <rFont val="Noto Sans CJK SC"/>
        <family val="2"/>
      </rPr>
      <t xml:space="preserve">（年度公告比較數）</t>
    </r>
  </si>
  <si>
    <t xml:space="preserve">F76</t>
  </si>
  <si>
    <r>
      <rPr>
        <sz val="10"/>
        <color rgb="FF000000"/>
        <rFont val="Arial"/>
        <family val="0"/>
        <charset val="1"/>
      </rPr>
      <t xml:space="preserve">P2 </t>
    </r>
    <r>
      <rPr>
        <sz val="10"/>
        <color rgb="FF000000"/>
        <rFont val="Noto Sans CJK SC"/>
        <family val="2"/>
      </rPr>
      <t xml:space="preserve">公告資本開支（權責口徑）：</t>
    </r>
    <r>
      <rPr>
        <sz val="10"/>
        <color rgb="FF000000"/>
        <rFont val="Arial"/>
        <family val="0"/>
        <charset val="1"/>
      </rPr>
      <t xml:space="preserve">1H2025</t>
    </r>
  </si>
  <si>
    <r>
      <rPr>
        <sz val="9"/>
        <color rgb="FF595959"/>
        <rFont val="Arial"/>
        <family val="0"/>
        <charset val="1"/>
      </rPr>
      <t xml:space="preserve">SRC_ZP_210</t>
    </r>
    <r>
      <rPr>
        <sz val="9"/>
        <color rgb="FF595959"/>
        <rFont val="Noto Sans CJK SC"/>
        <family val="2"/>
      </rPr>
      <t xml:space="preserve">（中期公告比較數）</t>
    </r>
  </si>
  <si>
    <t xml:space="preserve">F77</t>
  </si>
  <si>
    <r>
      <rPr>
        <sz val="10"/>
        <color rgb="FF000000"/>
        <rFont val="Arial"/>
        <family val="0"/>
        <charset val="1"/>
      </rPr>
      <t xml:space="preserve">P2 </t>
    </r>
    <r>
      <rPr>
        <sz val="10"/>
        <color rgb="FF000000"/>
        <rFont val="Noto Sans CJK SC"/>
        <family val="2"/>
      </rPr>
      <t xml:space="preserve">現金資本開支（購買物業及設備＋無形資產）：</t>
    </r>
    <r>
      <rPr>
        <sz val="10"/>
        <color rgb="FF000000"/>
        <rFont val="Arial"/>
        <family val="0"/>
        <charset val="1"/>
      </rPr>
      <t xml:space="preserve">FY2024</t>
    </r>
  </si>
  <si>
    <r>
      <rPr>
        <sz val="9"/>
        <color rgb="FF595959"/>
        <rFont val="Arial"/>
        <family val="0"/>
        <charset val="1"/>
      </rPr>
      <t xml:space="preserve">SRC_ZP_889</t>
    </r>
    <r>
      <rPr>
        <sz val="9"/>
        <color rgb="FF595959"/>
        <rFont val="Noto Sans CJK SC"/>
        <family val="2"/>
      </rPr>
      <t xml:space="preserve">／</t>
    </r>
    <r>
      <rPr>
        <sz val="9"/>
        <color rgb="FF595959"/>
        <rFont val="Arial"/>
        <family val="0"/>
        <charset val="1"/>
      </rPr>
      <t xml:space="preserve">891</t>
    </r>
    <r>
      <rPr>
        <sz val="9"/>
        <color rgb="FF595959"/>
        <rFont val="Noto Sans CJK SC"/>
        <family val="2"/>
      </rPr>
      <t xml:space="preserve">（招股章程現金流量表）</t>
    </r>
  </si>
  <si>
    <t xml:space="preserve">F78</t>
  </si>
  <si>
    <r>
      <rPr>
        <sz val="10"/>
        <color rgb="FF000000"/>
        <rFont val="Arial"/>
        <family val="0"/>
        <charset val="1"/>
      </rPr>
      <t xml:space="preserve">P2 </t>
    </r>
    <r>
      <rPr>
        <sz val="10"/>
        <color rgb="FF000000"/>
        <rFont val="Noto Sans CJK SC"/>
        <family val="2"/>
      </rPr>
      <t xml:space="preserve">其中使用權資產添置（不是現金資本開支）：</t>
    </r>
    <r>
      <rPr>
        <sz val="10"/>
        <color rgb="FF000000"/>
        <rFont val="Arial"/>
        <family val="0"/>
        <charset val="1"/>
      </rPr>
      <t xml:space="preserve">FY2024</t>
    </r>
  </si>
  <si>
    <r>
      <rPr>
        <sz val="9"/>
        <color rgb="FF595959"/>
        <rFont val="Arial"/>
        <family val="0"/>
        <charset val="1"/>
      </rPr>
      <t xml:space="preserve">SRC_ZP_898</t>
    </r>
    <r>
      <rPr>
        <sz val="9"/>
        <color rgb="FF595959"/>
        <rFont val="Noto Sans CJK SC"/>
        <family val="2"/>
      </rPr>
      <t xml:space="preserve">／</t>
    </r>
    <r>
      <rPr>
        <sz val="9"/>
        <color rgb="FF595959"/>
        <rFont val="Arial"/>
        <family val="0"/>
        <charset val="1"/>
      </rPr>
      <t xml:space="preserve">899</t>
    </r>
  </si>
  <si>
    <t xml:space="preserve">F79</t>
  </si>
  <si>
    <r>
      <rPr>
        <sz val="10"/>
        <color rgb="FF000000"/>
        <rFont val="Arial"/>
        <family val="0"/>
        <charset val="1"/>
      </rPr>
      <t xml:space="preserve">P2 </t>
    </r>
    <r>
      <rPr>
        <sz val="10"/>
        <color rgb="FF000000"/>
        <rFont val="Noto Sans CJK SC"/>
        <family val="2"/>
      </rPr>
      <t xml:space="preserve">權責 − 現金：</t>
    </r>
    <r>
      <rPr>
        <sz val="10"/>
        <color rgb="FF000000"/>
        <rFont val="Arial"/>
        <family val="0"/>
        <charset val="1"/>
      </rPr>
      <t xml:space="preserve">FY2024</t>
    </r>
  </si>
  <si>
    <t xml:space="preserve">差額主要是使用權資產（租賃算力硬件與辦公室）</t>
  </si>
  <si>
    <t xml:space="preserve">F80</t>
  </si>
  <si>
    <r>
      <rPr>
        <sz val="10"/>
        <color rgb="FF000000"/>
        <rFont val="Arial"/>
        <family val="0"/>
        <charset val="1"/>
      </rPr>
      <t xml:space="preserve">P2 </t>
    </r>
    <r>
      <rPr>
        <sz val="10"/>
        <color rgb="FF000000"/>
        <rFont val="Noto Sans CJK SC"/>
        <family val="2"/>
      </rPr>
      <t xml:space="preserve">現金資本開支（購買物業及設備＋無形資產）：</t>
    </r>
    <r>
      <rPr>
        <sz val="10"/>
        <color rgb="FF000000"/>
        <rFont val="Arial"/>
        <family val="0"/>
        <charset val="1"/>
      </rPr>
      <t xml:space="preserve">1H2025</t>
    </r>
  </si>
  <si>
    <t xml:space="preserve">F81</t>
  </si>
  <si>
    <r>
      <rPr>
        <sz val="10"/>
        <color rgb="FF000000"/>
        <rFont val="Arial"/>
        <family val="0"/>
        <charset val="1"/>
      </rPr>
      <t xml:space="preserve">P2 </t>
    </r>
    <r>
      <rPr>
        <sz val="10"/>
        <color rgb="FF000000"/>
        <rFont val="Noto Sans CJK SC"/>
        <family val="2"/>
      </rPr>
      <t xml:space="preserve">其中使用權資產添置（不是現金資本開支）：</t>
    </r>
    <r>
      <rPr>
        <sz val="10"/>
        <color rgb="FF000000"/>
        <rFont val="Arial"/>
        <family val="0"/>
        <charset val="1"/>
      </rPr>
      <t xml:space="preserve">1H2025</t>
    </r>
  </si>
  <si>
    <t xml:space="preserve">F82</t>
  </si>
  <si>
    <r>
      <rPr>
        <sz val="10"/>
        <color rgb="FF000000"/>
        <rFont val="Arial"/>
        <family val="0"/>
        <charset val="1"/>
      </rPr>
      <t xml:space="preserve">P2 </t>
    </r>
    <r>
      <rPr>
        <sz val="10"/>
        <color rgb="FF000000"/>
        <rFont val="Noto Sans CJK SC"/>
        <family val="2"/>
      </rPr>
      <t xml:space="preserve">權責 − 現金：</t>
    </r>
    <r>
      <rPr>
        <sz val="10"/>
        <color rgb="FF000000"/>
        <rFont val="Arial"/>
        <family val="0"/>
        <charset val="1"/>
      </rPr>
      <t xml:space="preserve">1H2025</t>
    </r>
  </si>
  <si>
    <r>
      <rPr>
        <b val="true"/>
        <sz val="13"/>
        <rFont val="Arial"/>
        <family val="0"/>
        <charset val="1"/>
      </rPr>
      <t xml:space="preserve">Reverse — </t>
    </r>
    <r>
      <rPr>
        <b val="true"/>
        <sz val="13"/>
        <rFont val="Noto Sans CJK SC"/>
        <family val="2"/>
      </rPr>
      <t xml:space="preserve">反向模式（</t>
    </r>
    <r>
      <rPr>
        <b val="true"/>
        <sz val="13"/>
        <rFont val="Arial"/>
        <family val="0"/>
        <charset val="1"/>
      </rPr>
      <t xml:space="preserve">D22</t>
    </r>
    <r>
      <rPr>
        <b val="true"/>
        <sz val="13"/>
        <rFont val="Noto Sans CJK SC"/>
        <family val="2"/>
      </rPr>
      <t xml:space="preserve">、</t>
    </r>
    <r>
      <rPr>
        <b val="true"/>
        <sz val="13"/>
        <rFont val="Arial"/>
        <family val="0"/>
        <charset val="1"/>
      </rPr>
      <t xml:space="preserve">D22r</t>
    </r>
    <r>
      <rPr>
        <b val="true"/>
        <sz val="13"/>
        <rFont val="Noto Sans CJK SC"/>
        <family val="2"/>
      </rPr>
      <t xml:space="preserve">）：①管理層量化目標 ②分析師共識營收 → 所需倍數與反向外部資金 ③市值隱含營收；只作對照區塊，不回饋基準</t>
    </r>
  </si>
  <si>
    <r>
      <rPr>
        <sz val="9"/>
        <color rgb="FF595959"/>
        <rFont val="Noto Sans CJK SC"/>
        <family val="2"/>
      </rPr>
      <t xml:space="preserve">共同規則第 </t>
    </r>
    <r>
      <rPr>
        <sz val="9"/>
        <color rgb="FF595959"/>
        <rFont val="Arial"/>
        <family val="0"/>
        <charset val="1"/>
      </rPr>
      <t xml:space="preserve">4 </t>
    </r>
    <r>
      <rPr>
        <sz val="9"/>
        <color rgb="FF595959"/>
        <rFont val="Noto Sans CJK SC"/>
        <family val="2"/>
      </rPr>
      <t xml:space="preserve">節：不以公司或分析師數字反推參數。本頁不被任何計算頁引用（只被 </t>
    </r>
    <r>
      <rPr>
        <sz val="9"/>
        <color rgb="FF595959"/>
        <rFont val="Arial"/>
        <family val="0"/>
        <charset val="1"/>
      </rPr>
      <t xml:space="preserve">Checks </t>
    </r>
    <r>
      <rPr>
        <sz val="9"/>
        <color rgb="FF595959"/>
        <rFont val="Noto Sans CJK SC"/>
        <family val="2"/>
      </rPr>
      <t xml:space="preserve">引用；</t>
    </r>
    <r>
      <rPr>
        <sz val="9"/>
        <color rgb="FF595959"/>
        <rFont val="Arial"/>
        <family val="0"/>
        <charset val="1"/>
      </rPr>
      <t xml:space="preserve">test_reverse_not_fed_back</t>
    </r>
    <r>
      <rPr>
        <sz val="9"/>
        <color rgb="FF595959"/>
        <rFont val="Noto Sans CJK SC"/>
        <family val="2"/>
      </rPr>
      <t xml:space="preserve">）。共識：全部登錄（</t>
    </r>
    <r>
      <rPr>
        <sz val="9"/>
        <color rgb="FF595959"/>
        <rFont val="Arial"/>
        <family val="0"/>
        <charset val="1"/>
      </rPr>
      <t xml:space="preserve">Simply Wall St </t>
    </r>
    <r>
      <rPr>
        <sz val="9"/>
        <color rgb="FF595959"/>
        <rFont val="Noto Sans CJK SC"/>
        <family val="2"/>
      </rPr>
      <t xml:space="preserve">聚合共識＋國信、國證國際兩家券商），取平均為基準、最高最低為區間（工作單 </t>
    </r>
    <r>
      <rPr>
        <sz val="9"/>
        <color rgb="FF595959"/>
        <rFont val="Arial"/>
        <family val="0"/>
        <charset val="1"/>
      </rPr>
      <t xml:space="preserve">Z4</t>
    </r>
    <r>
      <rPr>
        <sz val="9"/>
        <color rgb="FF595959"/>
        <rFont val="Noto Sans CJK SC"/>
        <family val="2"/>
      </rPr>
      <t xml:space="preserve">）；</t>
    </r>
    <r>
      <rPr>
        <sz val="9"/>
        <color rgb="FF595959"/>
        <rFont val="Arial"/>
        <family val="0"/>
        <charset val="1"/>
      </rPr>
      <t xml:space="preserve">2029–2030 </t>
    </r>
    <r>
      <rPr>
        <sz val="9"/>
        <color rgb="FF595959"/>
        <rFont val="Noto Sans CJK SC"/>
        <family val="2"/>
      </rPr>
      <t xml:space="preserve">依 </t>
    </r>
    <r>
      <rPr>
        <sz val="9"/>
        <color rgb="FF595959"/>
        <rFont val="Arial"/>
        <family val="0"/>
        <charset val="1"/>
      </rPr>
      <t xml:space="preserve">Inputs</t>
    </r>
    <r>
      <rPr>
        <sz val="9"/>
        <color rgb="FF595959"/>
        <rFont val="Noto Sans CJK SC"/>
        <family val="2"/>
      </rPr>
      <t xml:space="preserve">（基準持平於 </t>
    </r>
    <r>
      <rPr>
        <sz val="9"/>
        <color rgb="FF595959"/>
        <rFont val="Arial"/>
        <family val="0"/>
        <charset val="1"/>
      </rPr>
      <t xml:space="preserve">FY2028</t>
    </r>
    <r>
      <rPr>
        <sz val="9"/>
        <color rgb="FF595959"/>
        <rFont val="Noto Sans CJK SC"/>
        <family val="2"/>
      </rPr>
      <t xml:space="preserve">）。</t>
    </r>
  </si>
  <si>
    <r>
      <rPr>
        <sz val="9"/>
        <color rgb="FF595959"/>
        <rFont val="Noto Sans CJK SC"/>
        <family val="2"/>
      </rPr>
      <t xml:space="preserve">反向資金＝同一支出（算力、本地化交付、非算力成本、利息、資本支出、融資與債務償還皆同 </t>
    </r>
    <r>
      <rPr>
        <sz val="9"/>
        <color rgb="FF595959"/>
        <rFont val="Arial"/>
        <family val="0"/>
        <charset val="1"/>
      </rPr>
      <t xml:space="preserve">Funding</t>
    </r>
    <r>
      <rPr>
        <sz val="9"/>
        <color rgb="FF595959"/>
        <rFont val="Noto Sans CJK SC"/>
        <family val="2"/>
      </rPr>
      <t xml:space="preserve">）、營收換成目標營收；同一最低現金規則。金額 </t>
    </r>
    <r>
      <rPr>
        <sz val="9"/>
        <color rgb="FF595959"/>
        <rFont val="Arial"/>
        <family val="0"/>
        <charset val="1"/>
      </rPr>
      <t xml:space="preserve">RMB </t>
    </r>
    <r>
      <rPr>
        <sz val="9"/>
        <color rgb="FF595959"/>
        <rFont val="Noto Sans CJK SC"/>
        <family val="2"/>
      </rPr>
      <t xml:space="preserve">億。</t>
    </r>
  </si>
  <si>
    <r>
      <rPr>
        <b val="true"/>
        <sz val="10"/>
        <rFont val="Noto Sans CJK SC"/>
        <family val="2"/>
      </rPr>
      <t xml:space="preserve">一、管理層目標（</t>
    </r>
    <r>
      <rPr>
        <b val="true"/>
        <sz val="10"/>
        <rFont val="Arial"/>
        <family val="0"/>
        <charset val="1"/>
      </rPr>
      <t xml:space="preserve">D22 ①</t>
    </r>
    <r>
      <rPr>
        <b val="true"/>
        <sz val="10"/>
        <rFont val="Noto Sans CJK SC"/>
        <family val="2"/>
      </rPr>
      <t xml:space="preserve">）：營收、獲利時點、毛利率的量化目標不存在（</t>
    </r>
    <r>
      <rPr>
        <b val="true"/>
        <sz val="10"/>
        <rFont val="Arial"/>
        <family val="0"/>
        <charset val="1"/>
      </rPr>
      <t xml:space="preserve">SRC_ZP_581</t>
    </r>
    <r>
      <rPr>
        <b val="true"/>
        <sz val="10"/>
        <rFont val="Noto Sans CJK SC"/>
        <family val="2"/>
      </rPr>
      <t xml:space="preserve">）；只有 </t>
    </r>
    <r>
      <rPr>
        <b val="true"/>
        <sz val="10"/>
        <rFont val="Arial"/>
        <family val="0"/>
        <charset val="1"/>
      </rPr>
      <t xml:space="preserve">ARR </t>
    </r>
    <r>
      <rPr>
        <b val="true"/>
        <sz val="10"/>
        <rFont val="Noto Sans CJK SC"/>
        <family val="2"/>
      </rPr>
      <t xml:space="preserve">指引（</t>
    </r>
    <r>
      <rPr>
        <b val="true"/>
        <sz val="10"/>
        <rFont val="Arial"/>
        <family val="0"/>
        <charset val="1"/>
      </rPr>
      <t xml:space="preserve">D14r</t>
    </r>
    <r>
      <rPr>
        <b val="true"/>
        <sz val="10"/>
        <rFont val="Noto Sans CJK SC"/>
        <family val="2"/>
      </rPr>
      <t xml:space="preserve">，只對照）</t>
    </r>
  </si>
  <si>
    <t xml:space="preserve">X01</t>
  </si>
  <si>
    <t xml:space="preserve">管理層量化營收／獲利目標</t>
  </si>
  <si>
    <r>
      <rPr>
        <sz val="9"/>
        <color rgb="FF595959"/>
        <rFont val="Noto Sans CJK SC"/>
        <family val="2"/>
      </rPr>
      <t xml:space="preserve">不存在：中期業績公告與 </t>
    </r>
    <r>
      <rPr>
        <sz val="9"/>
        <color rgb="FF595959"/>
        <rFont val="Arial"/>
        <family val="0"/>
        <charset val="1"/>
      </rPr>
      <t xml:space="preserve">2026-09-16 </t>
    </r>
    <r>
      <rPr>
        <sz val="9"/>
        <color rgb="FF595959"/>
        <rFont val="Noto Sans CJK SC"/>
        <family val="2"/>
      </rPr>
      <t xml:space="preserve">電話會只有 </t>
    </r>
    <r>
      <rPr>
        <sz val="9"/>
        <color rgb="FF595959"/>
        <rFont val="Arial"/>
        <family val="0"/>
        <charset val="1"/>
      </rPr>
      <t xml:space="preserve">ARR </t>
    </r>
    <r>
      <rPr>
        <sz val="9"/>
        <color rgb="FF595959"/>
        <rFont val="Noto Sans CJK SC"/>
        <family val="2"/>
      </rPr>
      <t xml:space="preserve">指引；『毛利率有望企穩回升』為質化說法（</t>
    </r>
    <r>
      <rPr>
        <sz val="9"/>
        <color rgb="FF595959"/>
        <rFont val="Arial"/>
        <family val="0"/>
        <charset val="1"/>
      </rPr>
      <t xml:space="preserve">SRC_ZP_581</t>
    </r>
    <r>
      <rPr>
        <sz val="9"/>
        <color rgb="FF595959"/>
        <rFont val="Noto Sans CJK SC"/>
        <family val="2"/>
      </rPr>
      <t xml:space="preserve">、</t>
    </r>
    <r>
      <rPr>
        <sz val="9"/>
        <color rgb="FF595959"/>
        <rFont val="Arial"/>
        <family val="0"/>
        <charset val="1"/>
      </rPr>
      <t xml:space="preserve">Z1 not_found</t>
    </r>
    <r>
      <rPr>
        <sz val="9"/>
        <color rgb="FF595959"/>
        <rFont val="Noto Sans CJK SC"/>
        <family val="2"/>
      </rPr>
      <t xml:space="preserve">）</t>
    </r>
  </si>
  <si>
    <t xml:space="preserve">X02</t>
  </si>
  <si>
    <r>
      <rPr>
        <sz val="10"/>
        <color rgb="FF000000"/>
        <rFont val="Arial"/>
        <family val="0"/>
        <charset val="1"/>
      </rPr>
      <t xml:space="preserve">ARR </t>
    </r>
    <r>
      <rPr>
        <sz val="10"/>
        <color rgb="FF000000"/>
        <rFont val="Noto Sans CJK SC"/>
        <family val="2"/>
      </rPr>
      <t xml:space="preserve">指引：</t>
    </r>
    <r>
      <rPr>
        <sz val="10"/>
        <color rgb="FF000000"/>
        <rFont val="Arial"/>
        <family val="0"/>
        <charset val="1"/>
      </rPr>
      <t xml:space="preserve">2026 </t>
    </r>
    <r>
      <rPr>
        <sz val="10"/>
        <color rgb="FF000000"/>
        <rFont val="Noto Sans CJK SC"/>
        <family val="2"/>
      </rPr>
      <t xml:space="preserve">年末（美元十億 </t>
    </r>
    <r>
      <rPr>
        <sz val="10"/>
        <color rgb="FF000000"/>
        <rFont val="Arial"/>
        <family val="0"/>
        <charset val="1"/>
      </rPr>
      <t xml:space="preserve">× USD/CNY × 10</t>
    </r>
    <r>
      <rPr>
        <sz val="10"/>
        <color rgb="FF000000"/>
        <rFont val="Noto Sans CJK SC"/>
        <family val="2"/>
      </rPr>
      <t xml:space="preserve">）</t>
    </r>
  </si>
  <si>
    <r>
      <rPr>
        <sz val="9"/>
        <color rgb="FF595959"/>
        <rFont val="Arial"/>
        <family val="0"/>
        <charset val="1"/>
      </rPr>
      <t xml:space="preserve">SRC_ZP_576</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t>
    </r>
    <r>
      <rPr>
        <sz val="9"/>
        <color rgb="FF595959"/>
        <rFont val="Arial"/>
        <family val="0"/>
        <charset val="1"/>
      </rPr>
      <t xml:space="preserve">ARR </t>
    </r>
    <r>
      <rPr>
        <sz val="9"/>
        <color rgb="FF595959"/>
        <rFont val="Noto Sans CJK SC"/>
        <family val="2"/>
      </rPr>
      <t xml:space="preserve">定義未揭露）</t>
    </r>
  </si>
  <si>
    <t xml:space="preserve">X03</t>
  </si>
  <si>
    <r>
      <rPr>
        <sz val="10"/>
        <color rgb="FF000000"/>
        <rFont val="Noto Sans CJK SC"/>
        <family val="2"/>
      </rPr>
      <t xml:space="preserve">模型：</t>
    </r>
    <r>
      <rPr>
        <sz val="10"/>
        <color rgb="FF000000"/>
        <rFont val="Arial"/>
        <family val="0"/>
        <charset val="1"/>
      </rPr>
      <t xml:space="preserve">2H26 </t>
    </r>
    <r>
      <rPr>
        <sz val="10"/>
        <color rgb="FF000000"/>
        <rFont val="Noto Sans CJK SC"/>
        <family val="2"/>
      </rPr>
      <t xml:space="preserve">年化營收（</t>
    </r>
    <r>
      <rPr>
        <sz val="10"/>
        <color rgb="FF000000"/>
        <rFont val="Arial"/>
        <family val="0"/>
        <charset val="1"/>
      </rPr>
      <t xml:space="preserve">× </t>
    </r>
    <r>
      <rPr>
        <sz val="10"/>
        <color rgb="FF000000"/>
        <rFont val="Noto Sans CJK SC"/>
        <family val="2"/>
      </rPr>
      <t xml:space="preserve">半年數）</t>
    </r>
  </si>
  <si>
    <t xml:space="preserve">X04</t>
  </si>
  <si>
    <r>
      <rPr>
        <sz val="10"/>
        <color rgb="FF000000"/>
        <rFont val="Noto Sans CJK SC"/>
        <family val="2"/>
      </rPr>
      <t xml:space="preserve">差距：模型 </t>
    </r>
    <r>
      <rPr>
        <sz val="10"/>
        <color rgb="FF000000"/>
        <rFont val="Arial"/>
        <family val="0"/>
        <charset val="1"/>
      </rPr>
      <t xml:space="preserve">÷ ARR </t>
    </r>
    <r>
      <rPr>
        <sz val="10"/>
        <color rgb="FF000000"/>
        <rFont val="Noto Sans CJK SC"/>
        <family val="2"/>
      </rPr>
      <t xml:space="preserve">指引 − </t>
    </r>
    <r>
      <rPr>
        <sz val="10"/>
        <color rgb="FF000000"/>
        <rFont val="Arial"/>
        <family val="0"/>
        <charset val="1"/>
      </rPr>
      <t xml:space="preserve">1</t>
    </r>
  </si>
  <si>
    <r>
      <rPr>
        <sz val="9"/>
        <color rgb="FF595959"/>
        <rFont val="Noto Sans CJK SC"/>
        <family val="2"/>
      </rPr>
      <t xml:space="preserve">只對照（年末 </t>
    </r>
    <r>
      <rPr>
        <sz val="9"/>
        <color rgb="FF595959"/>
        <rFont val="Arial"/>
        <family val="0"/>
        <charset val="1"/>
      </rPr>
      <t xml:space="preserve">ARR </t>
    </r>
    <r>
      <rPr>
        <sz val="9"/>
        <color rgb="FF595959"/>
        <rFont val="Noto Sans CJK SC"/>
        <family val="2"/>
      </rPr>
      <t xml:space="preserve">為時點年化，模型為下半年平均）</t>
    </r>
  </si>
  <si>
    <r>
      <rPr>
        <b val="true"/>
        <sz val="10"/>
        <rFont val="Noto Sans CJK SC"/>
        <family val="2"/>
      </rPr>
      <t xml:space="preserve">二、分析師共識營收（</t>
    </r>
    <r>
      <rPr>
        <b val="true"/>
        <sz val="10"/>
        <rFont val="Arial"/>
        <family val="0"/>
        <charset val="1"/>
      </rPr>
      <t xml:space="preserve">D22 ②</t>
    </r>
    <r>
      <rPr>
        <b val="true"/>
        <sz val="10"/>
        <rFont val="Noto Sans CJK SC"/>
        <family val="2"/>
      </rPr>
      <t xml:space="preserve">；</t>
    </r>
    <r>
      <rPr>
        <b val="true"/>
        <sz val="10"/>
        <rFont val="Arial"/>
        <family val="0"/>
        <charset val="1"/>
      </rPr>
      <t xml:space="preserve">Interested-party</t>
    </r>
    <r>
      <rPr>
        <b val="true"/>
        <sz val="10"/>
        <rFont val="Noto Sans CJK SC"/>
        <family val="2"/>
      </rPr>
      <t xml:space="preserve">：券商有承銷與交易誘因；</t>
    </r>
    <r>
      <rPr>
        <b val="true"/>
        <sz val="10"/>
        <rFont val="Arial"/>
        <family val="0"/>
        <charset val="1"/>
      </rPr>
      <t xml:space="preserve">2026-09 </t>
    </r>
    <r>
      <rPr>
        <b val="true"/>
        <sz val="10"/>
        <rFont val="Noto Sans CJK SC"/>
        <family val="2"/>
      </rPr>
      <t xml:space="preserve">配售承銷商為中金、國泰君安國際）</t>
    </r>
  </si>
  <si>
    <t xml:space="preserve">X05</t>
  </si>
  <si>
    <r>
      <rPr>
        <sz val="10"/>
        <color rgb="FF000000"/>
        <rFont val="Arial"/>
        <family val="0"/>
        <charset val="1"/>
      </rPr>
      <t xml:space="preserve">Simply Wall St </t>
    </r>
    <r>
      <rPr>
        <sz val="10"/>
        <color rgb="FF000000"/>
        <rFont val="Noto Sans CJK SC"/>
        <family val="2"/>
      </rPr>
      <t xml:space="preserve">聚合共識（</t>
    </r>
    <r>
      <rPr>
        <sz val="10"/>
        <color rgb="FF000000"/>
        <rFont val="Arial"/>
        <family val="0"/>
        <charset val="1"/>
      </rPr>
      <t xml:space="preserve">21–23 </t>
    </r>
    <r>
      <rPr>
        <sz val="10"/>
        <color rgb="FF000000"/>
        <rFont val="Noto Sans CJK SC"/>
        <family val="2"/>
      </rPr>
      <t xml:space="preserve">位分析師）</t>
    </r>
  </si>
  <si>
    <r>
      <rPr>
        <sz val="9"/>
        <color rgb="FF595959"/>
        <rFont val="Arial"/>
        <family val="0"/>
        <charset val="1"/>
      </rPr>
      <t xml:space="preserve">SRC_ZP_582–584</t>
    </r>
    <r>
      <rPr>
        <sz val="9"/>
        <color rgb="FF595959"/>
        <rFont val="Noto Sans CJK SC"/>
        <family val="2"/>
      </rPr>
      <t xml:space="preserve">（</t>
    </r>
    <r>
      <rPr>
        <sz val="9"/>
        <color rgb="FF595959"/>
        <rFont val="Arial"/>
        <family val="0"/>
        <charset val="1"/>
      </rPr>
      <t xml:space="preserve">2026-10-06</t>
    </r>
    <r>
      <rPr>
        <sz val="9"/>
        <color rgb="FF595959"/>
        <rFont val="Noto Sans CJK SC"/>
        <family val="2"/>
      </rPr>
      <t xml:space="preserve">）；百萬元 </t>
    </r>
    <r>
      <rPr>
        <sz val="9"/>
        <color rgb="FF595959"/>
        <rFont val="Arial"/>
        <family val="0"/>
        <charset val="1"/>
      </rPr>
      <t xml:space="preserve">÷ 100</t>
    </r>
  </si>
  <si>
    <t xml:space="preserve">X06</t>
  </si>
  <si>
    <t xml:space="preserve">國信證券</t>
  </si>
  <si>
    <r>
      <rPr>
        <sz val="9"/>
        <color rgb="FF595959"/>
        <rFont val="Arial"/>
        <family val="0"/>
        <charset val="1"/>
      </rPr>
      <t xml:space="preserve">SRC_ZP_591</t>
    </r>
    <r>
      <rPr>
        <sz val="9"/>
        <color rgb="FF595959"/>
        <rFont val="Noto Sans CJK SC"/>
        <family val="2"/>
      </rPr>
      <t xml:space="preserve">、</t>
    </r>
    <r>
      <rPr>
        <sz val="9"/>
        <color rgb="FF595959"/>
        <rFont val="Arial"/>
        <family val="0"/>
        <charset val="1"/>
      </rPr>
      <t xml:space="preserve">606</t>
    </r>
    <r>
      <rPr>
        <sz val="9"/>
        <color rgb="FF595959"/>
        <rFont val="Noto Sans CJK SC"/>
        <family val="2"/>
      </rPr>
      <t xml:space="preserve">、</t>
    </r>
    <r>
      <rPr>
        <sz val="9"/>
        <color rgb="FF595959"/>
        <rFont val="Arial"/>
        <family val="0"/>
        <charset val="1"/>
      </rPr>
      <t xml:space="preserve">607</t>
    </r>
    <r>
      <rPr>
        <sz val="9"/>
        <color rgb="FF595959"/>
        <rFont val="Noto Sans CJK SC"/>
        <family val="2"/>
      </rPr>
      <t xml:space="preserve">（</t>
    </r>
    <r>
      <rPr>
        <sz val="9"/>
        <color rgb="FF595959"/>
        <rFont val="Arial"/>
        <family val="0"/>
        <charset val="1"/>
      </rPr>
      <t xml:space="preserve">2026-09-04</t>
    </r>
    <r>
      <rPr>
        <sz val="9"/>
        <color rgb="FF595959"/>
        <rFont val="Noto Sans CJK SC"/>
        <family val="2"/>
      </rPr>
      <t xml:space="preserve">）</t>
    </r>
  </si>
  <si>
    <t xml:space="preserve">X07</t>
  </si>
  <si>
    <t xml:space="preserve">國證國際</t>
  </si>
  <si>
    <r>
      <rPr>
        <sz val="9"/>
        <color rgb="FF595959"/>
        <rFont val="Arial"/>
        <family val="0"/>
        <charset val="1"/>
      </rPr>
      <t xml:space="preserve">SRC_ZP_592</t>
    </r>
    <r>
      <rPr>
        <sz val="9"/>
        <color rgb="FF595959"/>
        <rFont val="Noto Sans CJK SC"/>
        <family val="2"/>
      </rPr>
      <t xml:space="preserve">、</t>
    </r>
    <r>
      <rPr>
        <sz val="9"/>
        <color rgb="FF595959"/>
        <rFont val="Arial"/>
        <family val="0"/>
        <charset val="1"/>
      </rPr>
      <t xml:space="preserve">608</t>
    </r>
    <r>
      <rPr>
        <sz val="9"/>
        <color rgb="FF595959"/>
        <rFont val="Noto Sans CJK SC"/>
        <family val="2"/>
      </rPr>
      <t xml:space="preserve">、</t>
    </r>
    <r>
      <rPr>
        <sz val="9"/>
        <color rgb="FF595959"/>
        <rFont val="Arial"/>
        <family val="0"/>
        <charset val="1"/>
      </rPr>
      <t xml:space="preserve">609</t>
    </r>
  </si>
  <si>
    <t xml:space="preserve">X08</t>
  </si>
  <si>
    <r>
      <rPr>
        <sz val="10"/>
        <color rgb="FF000000"/>
        <rFont val="Noto Sans CJK SC"/>
        <family val="2"/>
      </rPr>
      <t xml:space="preserve">對照：大和 </t>
    </r>
    <r>
      <rPr>
        <sz val="10"/>
        <color rgb="FF000000"/>
        <rFont val="Arial"/>
        <family val="0"/>
        <charset val="1"/>
      </rPr>
      <t xml:space="preserve">2029 </t>
    </r>
    <r>
      <rPr>
        <sz val="10"/>
        <color rgb="FF000000"/>
        <rFont val="Noto Sans CJK SC"/>
        <family val="2"/>
      </rPr>
      <t xml:space="preserve">年營收預測（單一券商）</t>
    </r>
  </si>
  <si>
    <r>
      <rPr>
        <sz val="9"/>
        <color rgb="FF595959"/>
        <rFont val="Arial"/>
        <family val="0"/>
        <charset val="1"/>
      </rPr>
      <t xml:space="preserve">SRC_ZP_610</t>
    </r>
    <r>
      <rPr>
        <sz val="9"/>
        <color rgb="FF595959"/>
        <rFont val="Noto Sans CJK SC"/>
        <family val="2"/>
      </rPr>
      <t xml:space="preserve">；只對照</t>
    </r>
  </si>
  <si>
    <t xml:space="preserve">X09</t>
  </si>
  <si>
    <r>
      <rPr>
        <sz val="10"/>
        <color rgb="FF000000"/>
        <rFont val="Noto Sans CJK SC"/>
        <family val="2"/>
      </rPr>
      <t xml:space="preserve">登錄筆數（家數：聚合共識 </t>
    </r>
    <r>
      <rPr>
        <sz val="10"/>
        <color rgb="FF000000"/>
        <rFont val="Arial"/>
        <family val="0"/>
        <charset val="1"/>
      </rPr>
      <t xml:space="preserve">1 </t>
    </r>
    <r>
      <rPr>
        <sz val="10"/>
        <color rgb="FF000000"/>
        <rFont val="Noto Sans CJK SC"/>
        <family val="2"/>
      </rPr>
      <t xml:space="preserve">筆＋券商 </t>
    </r>
    <r>
      <rPr>
        <sz val="10"/>
        <color rgb="FF000000"/>
        <rFont val="Arial"/>
        <family val="0"/>
        <charset val="1"/>
      </rPr>
      <t xml:space="preserve">2 </t>
    </r>
    <r>
      <rPr>
        <sz val="10"/>
        <color rgb="FF000000"/>
        <rFont val="Noto Sans CJK SC"/>
        <family val="2"/>
      </rPr>
      <t xml:space="preserve">家）</t>
    </r>
  </si>
  <si>
    <t xml:space="preserve">筆</t>
  </si>
  <si>
    <r>
      <rPr>
        <sz val="9"/>
        <color rgb="FF595959"/>
        <rFont val="Noto Sans CJK SC"/>
        <family val="2"/>
      </rPr>
      <t xml:space="preserve">工作單 </t>
    </r>
    <r>
      <rPr>
        <sz val="9"/>
        <color rgb="FF595959"/>
        <rFont val="Arial"/>
        <family val="0"/>
        <charset val="1"/>
      </rPr>
      <t xml:space="preserve">Z4</t>
    </r>
    <r>
      <rPr>
        <sz val="9"/>
        <color rgb="FF595959"/>
        <rFont val="Noto Sans CJK SC"/>
        <family val="2"/>
      </rPr>
      <t xml:space="preserve">：全部登錄</t>
    </r>
  </si>
  <si>
    <t xml:space="preserve">X10</t>
  </si>
  <si>
    <t xml:space="preserve">平均（基準）</t>
  </si>
  <si>
    <r>
      <rPr>
        <sz val="9"/>
        <color rgb="FF595959"/>
        <rFont val="Noto Sans CJK SC"/>
        <family val="2"/>
      </rPr>
      <t xml:space="preserve">工作單 </t>
    </r>
    <r>
      <rPr>
        <sz val="9"/>
        <color rgb="FF595959"/>
        <rFont val="Arial"/>
        <family val="0"/>
        <charset val="1"/>
      </rPr>
      <t xml:space="preserve">Z4</t>
    </r>
    <r>
      <rPr>
        <sz val="9"/>
        <color rgb="FF595959"/>
        <rFont val="Noto Sans CJK SC"/>
        <family val="2"/>
      </rPr>
      <t xml:space="preserve">：取平均為基準</t>
    </r>
  </si>
  <si>
    <t xml:space="preserve">X11</t>
  </si>
  <si>
    <t xml:space="preserve">最低</t>
  </si>
  <si>
    <t xml:space="preserve">X12</t>
  </si>
  <si>
    <t xml:space="preserve">最高</t>
  </si>
  <si>
    <t xml:space="preserve">X13</t>
  </si>
  <si>
    <r>
      <rPr>
        <sz val="10"/>
        <color rgb="FF000000"/>
        <rFont val="Noto Sans CJK SC"/>
        <family val="2"/>
      </rPr>
      <t xml:space="preserve">目標營收（反向；</t>
    </r>
    <r>
      <rPr>
        <sz val="10"/>
        <color rgb="FF000000"/>
        <rFont val="Arial"/>
        <family val="0"/>
        <charset val="1"/>
      </rPr>
      <t xml:space="preserve">2025</t>
    </r>
    <r>
      <rPr>
        <sz val="10"/>
        <color rgb="FF000000"/>
        <rFont val="Noto Sans CJK SC"/>
        <family val="2"/>
      </rPr>
      <t xml:space="preserve">＝實際、</t>
    </r>
    <r>
      <rPr>
        <sz val="10"/>
        <color rgb="FF000000"/>
        <rFont val="Arial"/>
        <family val="0"/>
        <charset val="1"/>
      </rPr>
      <t xml:space="preserve">2026–2028</t>
    </r>
    <r>
      <rPr>
        <sz val="10"/>
        <color rgb="FF000000"/>
        <rFont val="Noto Sans CJK SC"/>
        <family val="2"/>
      </rPr>
      <t xml:space="preserve">＝共識平均、</t>
    </r>
    <r>
      <rPr>
        <sz val="10"/>
        <color rgb="FF000000"/>
        <rFont val="Arial"/>
        <family val="0"/>
        <charset val="1"/>
      </rPr>
      <t xml:space="preserve">2029–2030</t>
    </r>
    <r>
      <rPr>
        <sz val="10"/>
        <color rgb="FF000000"/>
        <rFont val="Noto Sans CJK SC"/>
        <family val="2"/>
      </rPr>
      <t xml:space="preserve">＝</t>
    </r>
    <r>
      <rPr>
        <sz val="10"/>
        <color rgb="FF000000"/>
        <rFont val="Arial"/>
        <family val="0"/>
        <charset val="1"/>
      </rPr>
      <t xml:space="preserve">FY2028 ×</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年增率））</t>
    </r>
  </si>
  <si>
    <t xml:space="preserve">X14</t>
  </si>
  <si>
    <t xml:space="preserve">目標營收：共識最低路徑</t>
  </si>
  <si>
    <t xml:space="preserve">X15</t>
  </si>
  <si>
    <t xml:space="preserve">目標營收：共識最高路徑</t>
  </si>
  <si>
    <t xml:space="preserve">三、正向對照（本模型基準；截頂後，容量上限只回乘雲端）</t>
  </si>
  <si>
    <t xml:space="preserve">X16</t>
  </si>
  <si>
    <t xml:space="preserve">正向營收淨額（截頂後）</t>
  </si>
  <si>
    <r>
      <rPr>
        <sz val="9"/>
        <color rgb="FF595959"/>
        <rFont val="Arial"/>
        <family val="0"/>
        <charset val="1"/>
      </rPr>
      <t xml:space="preserve">Funding</t>
    </r>
    <r>
      <rPr>
        <sz val="9"/>
        <color rgb="FF595959"/>
        <rFont val="Noto Sans CJK SC"/>
        <family val="2"/>
      </rPr>
      <t xml:space="preserve">（</t>
    </r>
    <r>
      <rPr>
        <sz val="9"/>
        <color rgb="FF595959"/>
        <rFont val="Arial"/>
        <family val="0"/>
        <charset val="1"/>
      </rPr>
      <t xml:space="preserve">REV_NetCapped</t>
    </r>
    <r>
      <rPr>
        <sz val="9"/>
        <color rgb="FF595959"/>
        <rFont val="Noto Sans CJK SC"/>
        <family val="2"/>
      </rPr>
      <t xml:space="preserve">）</t>
    </r>
  </si>
  <si>
    <t xml:space="preserve">X17</t>
  </si>
  <si>
    <t xml:space="preserve">正向：按量計費（截頂後）</t>
  </si>
  <si>
    <t xml:space="preserve">X18</t>
  </si>
  <si>
    <r>
      <rPr>
        <sz val="10"/>
        <color rgb="FF000000"/>
        <rFont val="Noto Sans CJK SC"/>
        <family val="2"/>
      </rPr>
      <t xml:space="preserve">正向：</t>
    </r>
    <r>
      <rPr>
        <sz val="10"/>
        <color rgb="FF000000"/>
        <rFont val="Arial"/>
        <family val="0"/>
        <charset val="1"/>
      </rPr>
      <t xml:space="preserve">Coding Plan </t>
    </r>
    <r>
      <rPr>
        <sz val="10"/>
        <color rgb="FF000000"/>
        <rFont val="Noto Sans CJK SC"/>
        <family val="2"/>
      </rPr>
      <t xml:space="preserve">訂閱（截頂後）</t>
    </r>
  </si>
  <si>
    <t xml:space="preserve">X19</t>
  </si>
  <si>
    <t xml:space="preserve">正向：本地化部署＋廣告（不截頂）</t>
  </si>
  <si>
    <t xml:space="preserve">X20</t>
  </si>
  <si>
    <t xml:space="preserve">差距（目標 − 正向）</t>
  </si>
  <si>
    <t xml:space="preserve">X21</t>
  </si>
  <si>
    <r>
      <rPr>
        <sz val="10"/>
        <color rgb="FF000000"/>
        <rFont val="Noto Sans CJK SC"/>
        <family val="2"/>
      </rPr>
      <t xml:space="preserve">目標 </t>
    </r>
    <r>
      <rPr>
        <sz val="10"/>
        <color rgb="FF000000"/>
        <rFont val="Arial"/>
        <family val="0"/>
        <charset val="1"/>
      </rPr>
      <t xml:space="preserve">÷ </t>
    </r>
    <r>
      <rPr>
        <sz val="10"/>
        <color rgb="FF000000"/>
        <rFont val="Noto Sans CJK SC"/>
        <family val="2"/>
      </rPr>
      <t xml:space="preserve">正向</t>
    </r>
  </si>
  <si>
    <t xml:space="preserve">X22</t>
  </si>
  <si>
    <r>
      <rPr>
        <sz val="10"/>
        <color rgb="FF000000"/>
        <rFont val="Noto Sans CJK SC"/>
        <family val="2"/>
      </rPr>
      <t xml:space="preserve">對照：共識最低 </t>
    </r>
    <r>
      <rPr>
        <sz val="10"/>
        <color rgb="FF000000"/>
        <rFont val="Arial"/>
        <family val="0"/>
        <charset val="1"/>
      </rPr>
      <t xml:space="preserve">÷ </t>
    </r>
    <r>
      <rPr>
        <sz val="10"/>
        <color rgb="FF000000"/>
        <rFont val="Noto Sans CJK SC"/>
        <family val="2"/>
      </rPr>
      <t xml:space="preserve">正向</t>
    </r>
  </si>
  <si>
    <t xml:space="preserve">X23</t>
  </si>
  <si>
    <r>
      <rPr>
        <sz val="10"/>
        <color rgb="FF000000"/>
        <rFont val="Noto Sans CJK SC"/>
        <family val="2"/>
      </rPr>
      <t xml:space="preserve">對照：共識最高 </t>
    </r>
    <r>
      <rPr>
        <sz val="10"/>
        <color rgb="FF000000"/>
        <rFont val="Arial"/>
        <family val="0"/>
        <charset val="1"/>
      </rPr>
      <t xml:space="preserve">÷ </t>
    </r>
    <r>
      <rPr>
        <sz val="10"/>
        <color rgb="FF000000"/>
        <rFont val="Noto Sans CJK SC"/>
        <family val="2"/>
      </rPr>
      <t xml:space="preserve">正向</t>
    </r>
  </si>
  <si>
    <r>
      <rPr>
        <b val="true"/>
        <sz val="10"/>
        <rFont val="Noto Sans CJK SC"/>
        <family val="2"/>
      </rPr>
      <t xml:space="preserve">四、所需倍數（相對正向；</t>
    </r>
    <r>
      <rPr>
        <b val="true"/>
        <sz val="10"/>
        <rFont val="Arial"/>
        <family val="0"/>
        <charset val="1"/>
      </rPr>
      <t xml:space="preserve">1</t>
    </r>
    <r>
      <rPr>
        <b val="true"/>
        <sz val="10"/>
        <rFont val="Noto Sans CJK SC"/>
        <family val="2"/>
      </rPr>
      <t xml:space="preserve">＝正向已足夠；本地化部署不耗算力，固定為正向值）</t>
    </r>
  </si>
  <si>
    <t xml:space="preserve">X24</t>
  </si>
  <si>
    <r>
      <rPr>
        <sz val="10"/>
        <color rgb="FF000000"/>
        <rFont val="Noto Sans CJK SC"/>
        <family val="2"/>
      </rPr>
      <t xml:space="preserve">只靠 </t>
    </r>
    <r>
      <rPr>
        <sz val="10"/>
        <color rgb="FF000000"/>
        <rFont val="Arial"/>
        <family val="0"/>
        <charset val="1"/>
      </rPr>
      <t xml:space="preserve">API </t>
    </r>
    <r>
      <rPr>
        <sz val="10"/>
        <color rgb="FF000000"/>
        <rFont val="Noto Sans CJK SC"/>
        <family val="2"/>
      </rPr>
      <t xml:space="preserve">按量計費：所需倍數</t>
    </r>
  </si>
  <si>
    <t xml:space="preserve">X25</t>
  </si>
  <si>
    <r>
      <rPr>
        <sz val="10"/>
        <color rgb="FF000000"/>
        <rFont val="Noto Sans CJK SC"/>
        <family val="2"/>
      </rPr>
      <t xml:space="preserve">只靠 </t>
    </r>
    <r>
      <rPr>
        <sz val="10"/>
        <color rgb="FF000000"/>
        <rFont val="Arial"/>
        <family val="0"/>
        <charset val="1"/>
      </rPr>
      <t xml:space="preserve">Coding Plan </t>
    </r>
    <r>
      <rPr>
        <sz val="10"/>
        <color rgb="FF000000"/>
        <rFont val="Noto Sans CJK SC"/>
        <family val="2"/>
      </rPr>
      <t xml:space="preserve">訂閱：所需倍數</t>
    </r>
  </si>
  <si>
    <t xml:space="preserve">X26</t>
  </si>
  <si>
    <r>
      <rPr>
        <sz val="10"/>
        <color rgb="FF000000"/>
        <rFont val="Noto Sans CJK SC"/>
        <family val="2"/>
      </rPr>
      <t xml:space="preserve">兩線等比例：</t>
    </r>
    <r>
      <rPr>
        <sz val="10"/>
        <color rgb="FF000000"/>
        <rFont val="Arial"/>
        <family val="0"/>
        <charset val="1"/>
      </rPr>
      <t xml:space="preserve">API </t>
    </r>
    <r>
      <rPr>
        <sz val="10"/>
        <color rgb="FF000000"/>
        <rFont val="Noto Sans CJK SC"/>
        <family val="2"/>
      </rPr>
      <t xml:space="preserve">與訂閱共同倍數</t>
    </r>
  </si>
  <si>
    <t xml:space="preserve">X27</t>
  </si>
  <si>
    <r>
      <rPr>
        <sz val="10"/>
        <color rgb="FF000000"/>
        <rFont val="Arial"/>
        <family val="0"/>
        <charset val="1"/>
      </rPr>
      <t xml:space="preserve">2028</t>
    </r>
    <r>
      <rPr>
        <sz val="10"/>
        <color rgb="FF000000"/>
        <rFont val="Noto Sans CJK SC"/>
        <family val="2"/>
      </rPr>
      <t xml:space="preserve">：只靠 </t>
    </r>
    <r>
      <rPr>
        <sz val="10"/>
        <color rgb="FF000000"/>
        <rFont val="Arial"/>
        <family val="0"/>
        <charset val="1"/>
      </rPr>
      <t xml:space="preserve">API </t>
    </r>
    <r>
      <rPr>
        <sz val="10"/>
        <color rgb="FF000000"/>
        <rFont val="Noto Sans CJK SC"/>
        <family val="2"/>
      </rPr>
      <t xml:space="preserve">所需按量計費 </t>
    </r>
    <r>
      <rPr>
        <sz val="10"/>
        <color rgb="FF000000"/>
        <rFont val="Arial"/>
        <family val="0"/>
        <charset val="1"/>
      </rPr>
      <t xml:space="preserve">token</t>
    </r>
    <r>
      <rPr>
        <sz val="10"/>
        <color rgb="FF000000"/>
        <rFont val="Noto Sans CJK SC"/>
        <family val="2"/>
      </rPr>
      <t xml:space="preserve">（同單價路徑）</t>
    </r>
  </si>
  <si>
    <r>
      <rPr>
        <sz val="9"/>
        <color rgb="FF595959"/>
        <rFont val="Arial"/>
        <family val="0"/>
        <charset val="1"/>
      </rPr>
      <t xml:space="preserve">REV_ApiPrice</t>
    </r>
    <r>
      <rPr>
        <sz val="9"/>
        <color rgb="FF595959"/>
        <rFont val="Noto Sans CJK SC"/>
        <family val="2"/>
      </rPr>
      <t xml:space="preserve">（元／百萬 </t>
    </r>
    <r>
      <rPr>
        <sz val="9"/>
        <color rgb="FF595959"/>
        <rFont val="Arial"/>
        <family val="0"/>
        <charset val="1"/>
      </rPr>
      <t xml:space="preserve">token</t>
    </r>
    <r>
      <rPr>
        <sz val="9"/>
        <color rgb="FF595959"/>
        <rFont val="Noto Sans CJK SC"/>
        <family val="2"/>
      </rPr>
      <t xml:space="preserve">）</t>
    </r>
  </si>
  <si>
    <t xml:space="preserve">X28</t>
  </si>
  <si>
    <r>
      <rPr>
        <sz val="10"/>
        <color rgb="FF000000"/>
        <rFont val="Arial"/>
        <family val="0"/>
        <charset val="1"/>
      </rPr>
      <t xml:space="preserve">2028</t>
    </r>
    <r>
      <rPr>
        <sz val="10"/>
        <color rgb="FF000000"/>
        <rFont val="Noto Sans CJK SC"/>
        <family val="2"/>
      </rPr>
      <t xml:space="preserve">：正向按量計費 </t>
    </r>
    <r>
      <rPr>
        <sz val="10"/>
        <color rgb="FF000000"/>
        <rFont val="Arial"/>
        <family val="0"/>
        <charset val="1"/>
      </rPr>
      <t xml:space="preserve">token</t>
    </r>
  </si>
  <si>
    <t xml:space="preserve">DEM_Tok_API</t>
  </si>
  <si>
    <t xml:space="preserve">X29</t>
  </si>
  <si>
    <r>
      <rPr>
        <sz val="10"/>
        <color rgb="FF000000"/>
        <rFont val="Arial"/>
        <family val="0"/>
        <charset val="1"/>
      </rPr>
      <t xml:space="preserve">2028</t>
    </r>
    <r>
      <rPr>
        <sz val="10"/>
        <color rgb="FF000000"/>
        <rFont val="Noto Sans CJK SC"/>
        <family val="2"/>
      </rPr>
      <t xml:space="preserve">：只靠訂閱所需 </t>
    </r>
    <r>
      <rPr>
        <sz val="10"/>
        <color rgb="FF000000"/>
        <rFont val="Arial"/>
        <family val="0"/>
        <charset val="1"/>
      </rPr>
      <t xml:space="preserve">Coding Plan </t>
    </r>
    <r>
      <rPr>
        <sz val="10"/>
        <color rgb="FF000000"/>
        <rFont val="Noto Sans CJK SC"/>
        <family val="2"/>
      </rPr>
      <t xml:space="preserve">訂閱者（同 </t>
    </r>
    <r>
      <rPr>
        <sz val="10"/>
        <color rgb="FF000000"/>
        <rFont val="Arial"/>
        <family val="0"/>
        <charset val="1"/>
      </rPr>
      <t xml:space="preserve">ARPU</t>
    </r>
    <r>
      <rPr>
        <sz val="10"/>
        <color rgb="FF000000"/>
        <rFont val="Noto Sans CJK SC"/>
        <family val="2"/>
      </rPr>
      <t xml:space="preserve">）</t>
    </r>
  </si>
  <si>
    <r>
      <rPr>
        <sz val="9"/>
        <color rgb="FF595959"/>
        <rFont val="Arial"/>
        <family val="0"/>
        <charset val="1"/>
      </rPr>
      <t xml:space="preserve">DEM_Subs_CP × </t>
    </r>
    <r>
      <rPr>
        <sz val="9"/>
        <color rgb="FF595959"/>
        <rFont val="Noto Sans CJK SC"/>
        <family val="2"/>
      </rPr>
      <t xml:space="preserve">倍數</t>
    </r>
  </si>
  <si>
    <t xml:space="preserve">X30</t>
  </si>
  <si>
    <r>
      <rPr>
        <sz val="10"/>
        <color rgb="FF000000"/>
        <rFont val="Arial"/>
        <family val="0"/>
        <charset val="1"/>
      </rPr>
      <t xml:space="preserve">2028</t>
    </r>
    <r>
      <rPr>
        <sz val="10"/>
        <color rgb="FF000000"/>
        <rFont val="Noto Sans CJK SC"/>
        <family val="2"/>
      </rPr>
      <t xml:space="preserve">：兩線等比例所需有效推論 </t>
    </r>
    <r>
      <rPr>
        <sz val="10"/>
        <color rgb="FF000000"/>
        <rFont val="Arial"/>
        <family val="0"/>
        <charset val="1"/>
      </rPr>
      <t xml:space="preserve">GW</t>
    </r>
    <r>
      <rPr>
        <sz val="10"/>
        <color rgb="FF000000"/>
        <rFont val="Noto Sans CJK SC"/>
        <family val="2"/>
      </rPr>
      <t xml:space="preserve">（同 </t>
    </r>
    <r>
      <rPr>
        <sz val="10"/>
        <color rgb="FF000000"/>
        <rFont val="Arial"/>
        <family val="0"/>
        <charset val="1"/>
      </rPr>
      <t xml:space="preserve">η</t>
    </r>
    <r>
      <rPr>
        <sz val="10"/>
        <color rgb="FF000000"/>
        <rFont val="Noto Sans CJK SC"/>
        <family val="2"/>
      </rPr>
      <t xml:space="preserve">、同 </t>
    </r>
    <r>
      <rPr>
        <sz val="10"/>
        <color rgb="FF000000"/>
        <rFont val="Arial"/>
        <family val="0"/>
        <charset val="1"/>
      </rPr>
      <t xml:space="preserve">token </t>
    </r>
    <r>
      <rPr>
        <sz val="10"/>
        <color rgb="FF000000"/>
        <rFont val="Noto Sans CJK SC"/>
        <family val="2"/>
      </rPr>
      <t xml:space="preserve">結構）</t>
    </r>
  </si>
  <si>
    <r>
      <rPr>
        <sz val="9"/>
        <color rgb="FF595959"/>
        <rFont val="Noto Sans CJK SC"/>
        <family val="2"/>
      </rPr>
      <t xml:space="preserve">正向有效推論 </t>
    </r>
    <r>
      <rPr>
        <sz val="9"/>
        <color rgb="FF595959"/>
        <rFont val="Arial"/>
        <family val="0"/>
        <charset val="1"/>
      </rPr>
      <t xml:space="preserve">GW × </t>
    </r>
    <r>
      <rPr>
        <sz val="9"/>
        <color rgb="FF595959"/>
        <rFont val="Noto Sans CJK SC"/>
        <family val="2"/>
      </rPr>
      <t xml:space="preserve">等比例倍數；只對照（反向資金不增加算力，見第五節說明）</t>
    </r>
  </si>
  <si>
    <t xml:space="preserve">X31</t>
  </si>
  <si>
    <r>
      <rPr>
        <sz val="10"/>
        <color rgb="FF000000"/>
        <rFont val="Noto Sans CJK SC"/>
        <family val="2"/>
      </rPr>
      <t xml:space="preserve">反向覆蓋率（目標營收 </t>
    </r>
    <r>
      <rPr>
        <sz val="10"/>
        <color rgb="FF000000"/>
        <rFont val="Arial"/>
        <family val="0"/>
        <charset val="1"/>
      </rPr>
      <t xml:space="preserve">÷ </t>
    </r>
    <r>
      <rPr>
        <sz val="10"/>
        <color rgb="FF000000"/>
        <rFont val="Noto Sans CJK SC"/>
        <family val="2"/>
      </rPr>
      <t xml:space="preserve">正向全成本）</t>
    </r>
  </si>
  <si>
    <t xml:space="preserve">同一支出下的覆蓋率；目標營收若需更多算力，實際覆蓋率較低</t>
  </si>
  <si>
    <t xml:space="preserve">五、反向資金（目標營收＋同一支出；同一最低現金規則；只作對照）</t>
  </si>
  <si>
    <t xml:space="preserve">X32</t>
  </si>
  <si>
    <t xml:space="preserve">自由現金流（反向）＝正向自由現金流＋（目標 − 正向）</t>
  </si>
  <si>
    <t xml:space="preserve">X33</t>
  </si>
  <si>
    <t xml:space="preserve">期初現金</t>
  </si>
  <si>
    <t xml:space="preserve">X34</t>
  </si>
  <si>
    <t xml:space="preserve">補足前期末現金</t>
  </si>
  <si>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Funding </t>
    </r>
    <r>
      <rPr>
        <sz val="9"/>
        <color rgb="FF595959"/>
        <rFont val="Noto Sans CJK SC"/>
        <family val="2"/>
      </rPr>
      <t xml:space="preserve">補足前＋（目標 − 正向）</t>
    </r>
  </si>
  <si>
    <t xml:space="preserve">X35</t>
  </si>
  <si>
    <t xml:space="preserve">當年外部資金需求</t>
  </si>
  <si>
    <t xml:space="preserve">X36</t>
  </si>
  <si>
    <t xml:space="preserve">X37</t>
  </si>
  <si>
    <t xml:space="preserve">累計外部資金需求（反向）</t>
  </si>
  <si>
    <r>
      <rPr>
        <b val="true"/>
        <sz val="10"/>
        <rFont val="Noto Sans CJK SC"/>
        <family val="2"/>
      </rPr>
      <t xml:space="preserve">六、市值隱含營收（</t>
    </r>
    <r>
      <rPr>
        <b val="true"/>
        <sz val="10"/>
        <rFont val="Arial"/>
        <family val="0"/>
        <charset val="1"/>
      </rPr>
      <t xml:space="preserve">D22 ③</t>
    </r>
    <r>
      <rPr>
        <b val="true"/>
        <sz val="10"/>
        <rFont val="Noto Sans CJK SC"/>
        <family val="2"/>
      </rPr>
      <t xml:space="preserve">、</t>
    </r>
    <r>
      <rPr>
        <b val="true"/>
        <sz val="10"/>
        <rFont val="Arial"/>
        <family val="0"/>
        <charset val="1"/>
      </rPr>
      <t xml:space="preserve">D21r</t>
    </r>
    <r>
      <rPr>
        <b val="true"/>
        <sz val="10"/>
        <rFont val="Noto Sans CJK SC"/>
        <family val="2"/>
      </rPr>
      <t xml:space="preserve">）：</t>
    </r>
    <r>
      <rPr>
        <b val="true"/>
        <sz val="10"/>
        <rFont val="Arial"/>
        <family val="0"/>
        <charset val="1"/>
      </rPr>
      <t xml:space="preserve">EV ÷ </t>
    </r>
    <r>
      <rPr>
        <b val="true"/>
        <sz val="10"/>
        <rFont val="Noto Sans CJK SC"/>
        <family val="2"/>
      </rPr>
      <t xml:space="preserve">同業 </t>
    </r>
    <r>
      <rPr>
        <b val="true"/>
        <sz val="10"/>
        <rFont val="Arial"/>
        <family val="0"/>
        <charset val="1"/>
      </rPr>
      <t xml:space="preserve">EV</t>
    </r>
    <r>
      <rPr>
        <b val="true"/>
        <sz val="10"/>
        <rFont val="Noto Sans CJK SC"/>
        <family val="2"/>
      </rPr>
      <t xml:space="preserve">／年化營收倍數（</t>
    </r>
    <r>
      <rPr>
        <b val="true"/>
        <sz val="10"/>
        <rFont val="Arial"/>
        <family val="0"/>
        <charset val="1"/>
      </rPr>
      <t xml:space="preserve">MiniMax</t>
    </r>
    <r>
      <rPr>
        <b val="true"/>
        <sz val="10"/>
        <rFont val="Noto Sans CJK SC"/>
        <family val="2"/>
      </rPr>
      <t xml:space="preserve">，</t>
    </r>
    <r>
      <rPr>
        <b val="true"/>
        <sz val="10"/>
        <rFont val="Arial"/>
        <family val="0"/>
        <charset val="1"/>
      </rPr>
      <t xml:space="preserve">Analogy</t>
    </r>
    <r>
      <rPr>
        <b val="true"/>
        <sz val="10"/>
        <rFont val="Noto Sans CJK SC"/>
        <family val="2"/>
      </rPr>
      <t xml:space="preserve">）→ 與正向營收比較</t>
    </r>
  </si>
  <si>
    <t xml:space="preserve">X38</t>
  </si>
  <si>
    <r>
      <rPr>
        <sz val="10"/>
        <color rgb="FF000000"/>
        <rFont val="Noto Sans CJK SC"/>
        <family val="2"/>
      </rPr>
      <t xml:space="preserve">收盤價（</t>
    </r>
    <r>
      <rPr>
        <sz val="10"/>
        <color rgb="FF000000"/>
        <rFont val="Arial"/>
        <family val="0"/>
        <charset val="1"/>
      </rPr>
      <t xml:space="preserve">2026-10-07</t>
    </r>
    <r>
      <rPr>
        <sz val="10"/>
        <color rgb="FF000000"/>
        <rFont val="Noto Sans CJK SC"/>
        <family val="2"/>
      </rPr>
      <t xml:space="preserve">）</t>
    </r>
  </si>
  <si>
    <t xml:space="preserve">X39</t>
  </si>
  <si>
    <r>
      <rPr>
        <sz val="10"/>
        <color rgb="FF000000"/>
        <rFont val="Noto Sans CJK SC"/>
        <family val="2"/>
      </rPr>
      <t xml:space="preserve">總股本（</t>
    </r>
    <r>
      <rPr>
        <sz val="10"/>
        <color rgb="FF000000"/>
        <rFont val="Arial"/>
        <family val="0"/>
        <charset val="1"/>
      </rPr>
      <t xml:space="preserve">2026-09-16 </t>
    </r>
    <r>
      <rPr>
        <sz val="10"/>
        <color rgb="FF000000"/>
        <rFont val="Noto Sans CJK SC"/>
        <family val="2"/>
      </rPr>
      <t xml:space="preserve">配售後）</t>
    </r>
  </si>
  <si>
    <r>
      <rPr>
        <sz val="9"/>
        <color rgb="FF595959"/>
        <rFont val="Arial"/>
        <family val="0"/>
        <charset val="1"/>
      </rPr>
      <t xml:space="preserve">SRC_ZP_563</t>
    </r>
    <r>
      <rPr>
        <sz val="9"/>
        <color rgb="FF595959"/>
        <rFont val="Noto Sans CJK SC"/>
        <family val="2"/>
      </rPr>
      <t xml:space="preserve">（含非上市股份，同價計）</t>
    </r>
  </si>
  <si>
    <t xml:space="preserve">X40</t>
  </si>
  <si>
    <r>
      <rPr>
        <sz val="10"/>
        <color rgb="FF000000"/>
        <rFont val="Noto Sans CJK SC"/>
        <family val="2"/>
      </rPr>
      <t xml:space="preserve">市值（港幣）＝股價 </t>
    </r>
    <r>
      <rPr>
        <sz val="10"/>
        <color rgb="FF000000"/>
        <rFont val="Arial"/>
        <family val="0"/>
        <charset val="1"/>
      </rPr>
      <t xml:space="preserve">× </t>
    </r>
    <r>
      <rPr>
        <sz val="10"/>
        <color rgb="FF000000"/>
        <rFont val="Noto Sans CJK SC"/>
        <family val="2"/>
      </rPr>
      <t xml:space="preserve">股數 </t>
    </r>
    <r>
      <rPr>
        <sz val="10"/>
        <color rgb="FF000000"/>
        <rFont val="Arial"/>
        <family val="0"/>
        <charset val="1"/>
      </rPr>
      <t xml:space="preserve">÷ 10^8</t>
    </r>
  </si>
  <si>
    <r>
      <rPr>
        <sz val="9"/>
        <color rgb="FF595959"/>
        <rFont val="Noto Sans CJK SC"/>
        <family val="2"/>
      </rPr>
      <t xml:space="preserve">對照：行情頁 </t>
    </r>
    <r>
      <rPr>
        <sz val="9"/>
        <color rgb="FF595959"/>
        <rFont val="Arial"/>
        <family val="0"/>
        <charset val="1"/>
      </rPr>
      <t xml:space="preserve">3,396.48</t>
    </r>
    <r>
      <rPr>
        <sz val="9"/>
        <color rgb="FF595959"/>
        <rFont val="Noto Sans CJK SC"/>
        <family val="2"/>
      </rPr>
      <t xml:space="preserve">（</t>
    </r>
    <r>
      <rPr>
        <sz val="9"/>
        <color rgb="FF595959"/>
        <rFont val="Arial"/>
        <family val="0"/>
        <charset val="1"/>
      </rPr>
      <t xml:space="preserve">SRC_ZP_571</t>
    </r>
    <r>
      <rPr>
        <sz val="9"/>
        <color rgb="FF595959"/>
        <rFont val="Noto Sans CJK SC"/>
        <family val="2"/>
      </rPr>
      <t xml:space="preserve">）</t>
    </r>
  </si>
  <si>
    <t xml:space="preserve">X41</t>
  </si>
  <si>
    <t xml:space="preserve">市值（人民幣）</t>
  </si>
  <si>
    <t xml:space="preserve">× HKD/CNY</t>
  </si>
  <si>
    <t xml:space="preserve">X42</t>
  </si>
  <si>
    <r>
      <rPr>
        <sz val="10"/>
        <color rgb="FF000000"/>
        <rFont val="Noto Sans CJK SC"/>
        <family val="2"/>
      </rPr>
      <t xml:space="preserve">淨現金（估計，</t>
    </r>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2026-06-30 </t>
    </r>
    <r>
      <rPr>
        <sz val="10"/>
        <color rgb="FF000000"/>
        <rFont val="Noto Sans CJK SC"/>
        <family val="2"/>
      </rPr>
      <t xml:space="preserve">現金＋</t>
    </r>
    <r>
      <rPr>
        <sz val="10"/>
        <color rgb="FF000000"/>
        <rFont val="Arial"/>
        <family val="0"/>
        <charset val="1"/>
      </rPr>
      <t xml:space="preserve">2H26 </t>
    </r>
    <r>
      <rPr>
        <sz val="10"/>
        <color rgb="FF000000"/>
        <rFont val="Noto Sans CJK SC"/>
        <family val="2"/>
      </rPr>
      <t xml:space="preserve">配售與可換股債券淨額 − </t>
    </r>
    <r>
      <rPr>
        <sz val="10"/>
        <color rgb="FF000000"/>
        <rFont val="Arial"/>
        <family val="0"/>
        <charset val="1"/>
      </rPr>
      <t xml:space="preserve">2026-07 </t>
    </r>
    <r>
      <rPr>
        <sz val="10"/>
        <color rgb="FF000000"/>
        <rFont val="Noto Sans CJK SC"/>
        <family val="2"/>
      </rPr>
      <t xml:space="preserve">配售款已動用 − 銀行借款 − 可換股債券本金</t>
    </r>
  </si>
  <si>
    <r>
      <rPr>
        <sz val="9"/>
        <color rgb="FF595959"/>
        <rFont val="Arial"/>
        <family val="0"/>
        <charset val="1"/>
      </rPr>
      <t xml:space="preserve">chat </t>
    </r>
    <r>
      <rPr>
        <sz val="9"/>
        <color rgb="FF595959"/>
        <rFont val="Noto Sans CJK SC"/>
        <family val="2"/>
      </rPr>
      <t xml:space="preserve">端補充：含 </t>
    </r>
    <r>
      <rPr>
        <sz val="9"/>
        <color rgb="FF595959"/>
        <rFont val="Arial"/>
        <family val="0"/>
        <charset val="1"/>
      </rPr>
      <t xml:space="preserve">2026-07</t>
    </r>
    <r>
      <rPr>
        <sz val="9"/>
        <color rgb="FF595959"/>
        <rFont val="Noto Sans CJK SC"/>
        <family val="2"/>
      </rPr>
      <t xml:space="preserve">、</t>
    </r>
    <r>
      <rPr>
        <sz val="9"/>
        <color rgb="FF595959"/>
        <rFont val="Arial"/>
        <family val="0"/>
        <charset val="1"/>
      </rPr>
      <t xml:space="preserve">09 </t>
    </r>
    <r>
      <rPr>
        <sz val="9"/>
        <color rgb="FF595959"/>
        <rFont val="Noto Sans CJK SC"/>
        <family val="2"/>
      </rPr>
      <t xml:space="preserve">新資金；</t>
    </r>
    <r>
      <rPr>
        <sz val="9"/>
        <color rgb="FF595959"/>
        <rFont val="Arial"/>
        <family val="0"/>
        <charset val="1"/>
      </rPr>
      <t xml:space="preserve">Z5b V3</t>
    </r>
    <r>
      <rPr>
        <sz val="9"/>
        <color rgb="FF595959"/>
        <rFont val="Noto Sans CJK SC"/>
        <family val="2"/>
      </rPr>
      <t xml:space="preserve">：扣 </t>
    </r>
    <r>
      <rPr>
        <sz val="9"/>
        <color rgb="FF595959"/>
        <rFont val="Arial"/>
        <family val="0"/>
        <charset val="1"/>
      </rPr>
      <t xml:space="preserve">2026-07 </t>
    </r>
    <r>
      <rPr>
        <sz val="9"/>
        <color rgb="FF595959"/>
        <rFont val="Noto Sans CJK SC"/>
        <family val="2"/>
      </rPr>
      <t xml:space="preserve">配售款截至 </t>
    </r>
    <r>
      <rPr>
        <sz val="9"/>
        <color rgb="FF595959"/>
        <rFont val="Arial"/>
        <family val="0"/>
        <charset val="1"/>
      </rPr>
      <t xml:space="preserve">2026-08-31 </t>
    </r>
    <r>
      <rPr>
        <sz val="9"/>
        <color rgb="FF595959"/>
        <rFont val="Noto Sans CJK SC"/>
        <family val="2"/>
      </rPr>
      <t xml:space="preserve">已動用（</t>
    </r>
    <r>
      <rPr>
        <sz val="9"/>
        <color rgb="FF595959"/>
        <rFont val="Arial"/>
        <family val="0"/>
        <charset val="1"/>
      </rPr>
      <t xml:space="preserve">Funding </t>
    </r>
    <r>
      <rPr>
        <sz val="9"/>
        <color rgb="FF595959"/>
        <rFont val="Noto Sans CJK SC"/>
        <family val="2"/>
      </rPr>
      <t xml:space="preserve">第七節，</t>
    </r>
    <r>
      <rPr>
        <sz val="9"/>
        <color rgb="FF595959"/>
        <rFont val="Arial"/>
        <family val="0"/>
        <charset val="1"/>
      </rPr>
      <t xml:space="preserve">SRC_ZP_540 × HKD/CNY</t>
    </r>
    <r>
      <rPr>
        <sz val="9"/>
        <color rgb="FF595959"/>
        <rFont val="Noto Sans CJK SC"/>
        <family val="2"/>
      </rPr>
      <t xml:space="preserve">）</t>
    </r>
  </si>
  <si>
    <t xml:space="preserve">X43</t>
  </si>
  <si>
    <r>
      <rPr>
        <sz val="10"/>
        <color rgb="FF000000"/>
        <rFont val="Noto Sans CJK SC"/>
        <family val="2"/>
      </rPr>
      <t xml:space="preserve">對照：模型 </t>
    </r>
    <r>
      <rPr>
        <sz val="10"/>
        <color rgb="FF000000"/>
        <rFont val="Arial"/>
        <family val="0"/>
        <charset val="1"/>
      </rPr>
      <t xml:space="preserve">2026 </t>
    </r>
    <r>
      <rPr>
        <sz val="10"/>
        <color rgb="FF000000"/>
        <rFont val="Noto Sans CJK SC"/>
        <family val="2"/>
      </rPr>
      <t xml:space="preserve">年底淨現金（期末現金 − 銀行借款 − 可換股債券本金）</t>
    </r>
  </si>
  <si>
    <r>
      <rPr>
        <sz val="9"/>
        <color rgb="FF595959"/>
        <rFont val="Noto Sans CJK SC"/>
        <family val="2"/>
      </rPr>
      <t xml:space="preserve">含 </t>
    </r>
    <r>
      <rPr>
        <sz val="9"/>
        <color rgb="FF595959"/>
        <rFont val="Arial"/>
        <family val="0"/>
        <charset val="1"/>
      </rPr>
      <t xml:space="preserve">2H26 </t>
    </r>
    <r>
      <rPr>
        <sz val="9"/>
        <color rgb="FF595959"/>
        <rFont val="Noto Sans CJK SC"/>
        <family val="2"/>
      </rPr>
      <t xml:space="preserve">模型營運消耗與中科加禾</t>
    </r>
  </si>
  <si>
    <t xml:space="preserve">X44</t>
  </si>
  <si>
    <r>
      <rPr>
        <sz val="10"/>
        <color rgb="FF000000"/>
        <rFont val="Noto Sans CJK SC"/>
        <family val="2"/>
      </rPr>
      <t xml:space="preserve">企業價值 </t>
    </r>
    <r>
      <rPr>
        <sz val="10"/>
        <color rgb="FF000000"/>
        <rFont val="Arial"/>
        <family val="0"/>
        <charset val="1"/>
      </rPr>
      <t xml:space="preserve">EV</t>
    </r>
    <r>
      <rPr>
        <sz val="10"/>
        <color rgb="FF000000"/>
        <rFont val="Noto Sans CJK SC"/>
        <family val="2"/>
      </rPr>
      <t xml:space="preserve">＝市值 − 淨現金</t>
    </r>
  </si>
  <si>
    <t xml:space="preserve">X45</t>
  </si>
  <si>
    <r>
      <rPr>
        <sz val="10"/>
        <color rgb="FF000000"/>
        <rFont val="Arial"/>
        <family val="0"/>
        <charset val="1"/>
      </rPr>
      <t xml:space="preserve">MiniMax </t>
    </r>
    <r>
      <rPr>
        <sz val="10"/>
        <color rgb="FF000000"/>
        <rFont val="Noto Sans CJK SC"/>
        <family val="2"/>
      </rPr>
      <t xml:space="preserve">市值（美元）＝港幣市值 </t>
    </r>
    <r>
      <rPr>
        <sz val="10"/>
        <color rgb="FF000000"/>
        <rFont val="Arial"/>
        <family val="0"/>
        <charset val="1"/>
      </rPr>
      <t xml:space="preserve">× HKD/CNY ÷ USD/CNY</t>
    </r>
  </si>
  <si>
    <r>
      <rPr>
        <sz val="9"/>
        <color rgb="FF595959"/>
        <rFont val="Arial"/>
        <family val="0"/>
        <charset val="1"/>
      </rPr>
      <t xml:space="preserve">SRC_ZP_596</t>
    </r>
    <r>
      <rPr>
        <sz val="9"/>
        <color rgb="FF595959"/>
        <rFont val="Noto Sans CJK SC"/>
        <family val="2"/>
      </rPr>
      <t xml:space="preserve">（</t>
    </r>
    <r>
      <rPr>
        <sz val="9"/>
        <color rgb="FF595959"/>
        <rFont val="Arial"/>
        <family val="0"/>
        <charset val="1"/>
      </rPr>
      <t xml:space="preserve">2026-10-07 </t>
    </r>
    <r>
      <rPr>
        <sz val="9"/>
        <color rgb="FF595959"/>
        <rFont val="Noto Sans CJK SC"/>
        <family val="2"/>
      </rPr>
      <t xml:space="preserve">盤中）</t>
    </r>
  </si>
  <si>
    <t xml:space="preserve">X46</t>
  </si>
  <si>
    <r>
      <rPr>
        <sz val="9"/>
        <color rgb="FF595959"/>
        <rFont val="Arial"/>
        <family val="0"/>
        <charset val="1"/>
      </rPr>
      <t xml:space="preserve">SRC_ZP_603</t>
    </r>
    <r>
      <rPr>
        <sz val="9"/>
        <color rgb="FF595959"/>
        <rFont val="Noto Sans CJK SC"/>
        <family val="2"/>
      </rPr>
      <t xml:space="preserve">（</t>
    </r>
    <r>
      <rPr>
        <sz val="9"/>
        <color rgb="FF595959"/>
        <rFont val="Arial"/>
        <family val="0"/>
        <charset val="1"/>
      </rPr>
      <t xml:space="preserve">2026-06-30</t>
    </r>
    <r>
      <rPr>
        <sz val="9"/>
        <color rgb="FF595959"/>
        <rFont val="Noto Sans CJK SC"/>
        <family val="2"/>
      </rPr>
      <t xml:space="preserve">；未扣債務，資料缺口）</t>
    </r>
  </si>
  <si>
    <t xml:space="preserve">X47</t>
  </si>
  <si>
    <t xml:space="preserve">MiniMax EV</t>
  </si>
  <si>
    <t xml:space="preserve">X48</t>
  </si>
  <si>
    <r>
      <rPr>
        <sz val="10"/>
        <color rgb="FF000000"/>
        <rFont val="Arial"/>
        <family val="0"/>
        <charset val="1"/>
      </rPr>
      <t xml:space="preserve">MiniMax </t>
    </r>
    <r>
      <rPr>
        <sz val="10"/>
        <color rgb="FF000000"/>
        <rFont val="Noto Sans CJK SC"/>
        <family val="2"/>
      </rPr>
      <t xml:space="preserve">年化營收＝</t>
    </r>
    <r>
      <rPr>
        <sz val="10"/>
        <color rgb="FF000000"/>
        <rFont val="Arial"/>
        <family val="0"/>
        <charset val="1"/>
      </rPr>
      <t xml:space="preserve">1H26 × </t>
    </r>
    <r>
      <rPr>
        <sz val="10"/>
        <color rgb="FF000000"/>
        <rFont val="Noto Sans CJK SC"/>
        <family val="2"/>
      </rPr>
      <t xml:space="preserve">半年數</t>
    </r>
  </si>
  <si>
    <t xml:space="preserve">X49</t>
  </si>
  <si>
    <r>
      <rPr>
        <sz val="10"/>
        <color rgb="FF000000"/>
        <rFont val="Arial"/>
        <family val="0"/>
        <charset val="1"/>
      </rPr>
      <t xml:space="preserve">MiniMax EV ÷ </t>
    </r>
    <r>
      <rPr>
        <sz val="10"/>
        <color rgb="FF000000"/>
        <rFont val="Noto Sans CJK SC"/>
        <family val="2"/>
      </rPr>
      <t xml:space="preserve">年化營收（推導值）</t>
    </r>
  </si>
  <si>
    <r>
      <rPr>
        <sz val="9"/>
        <color rgb="FF595959"/>
        <rFont val="Arial"/>
        <family val="0"/>
        <charset val="1"/>
      </rPr>
      <t xml:space="preserve">SRC_ZP_604 </t>
    </r>
    <r>
      <rPr>
        <sz val="9"/>
        <color rgb="FF595959"/>
        <rFont val="Noto Sans CJK SC"/>
        <family val="2"/>
      </rPr>
      <t xml:space="preserve">所述公式，改用年化營收（</t>
    </r>
    <r>
      <rPr>
        <sz val="9"/>
        <color rgb="FF595959"/>
        <rFont val="Arial"/>
        <family val="0"/>
        <charset val="1"/>
      </rPr>
      <t xml:space="preserve">chat </t>
    </r>
    <r>
      <rPr>
        <sz val="9"/>
        <color rgb="FF595959"/>
        <rFont val="Noto Sans CJK SC"/>
        <family val="2"/>
      </rPr>
      <t xml:space="preserve">端補充）</t>
    </r>
  </si>
  <si>
    <t xml:space="preserve">X50</t>
  </si>
  <si>
    <r>
      <rPr>
        <sz val="10"/>
        <color rgb="FF000000"/>
        <rFont val="Noto Sans CJK SC"/>
        <family val="2"/>
      </rPr>
      <t xml:space="preserve">同業倍數：基準（推導值 </t>
    </r>
    <r>
      <rPr>
        <sz val="10"/>
        <color rgb="FF000000"/>
        <rFont val="Arial"/>
        <family val="0"/>
        <charset val="1"/>
      </rPr>
      <t xml:space="preserve">× Inputs </t>
    </r>
    <r>
      <rPr>
        <sz val="10"/>
        <color rgb="FF000000"/>
        <rFont val="Noto Sans CJK SC"/>
        <family val="2"/>
      </rPr>
      <t xml:space="preserve">係數）</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</si>
  <si>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Analogy</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0.5–2.0</t>
    </r>
    <r>
      <rPr>
        <sz val="9"/>
        <color rgb="FF595959"/>
        <rFont val="Noto Sans CJK SC"/>
        <family val="2"/>
      </rPr>
      <t xml:space="preserve">）</t>
    </r>
  </si>
  <si>
    <t xml:space="preserve">X51</t>
  </si>
  <si>
    <t xml:space="preserve">同業倍數：低端</t>
  </si>
  <si>
    <r>
      <rPr>
        <sz val="9"/>
        <color rgb="FF595959"/>
        <rFont val="Arial"/>
        <family val="0"/>
        <charset val="1"/>
      </rPr>
      <t xml:space="preserve">Inputs </t>
    </r>
    <r>
      <rPr>
        <sz val="9"/>
        <color rgb="FF595959"/>
        <rFont val="Noto Sans CJK SC"/>
        <family val="2"/>
      </rPr>
      <t xml:space="preserve">低欄</t>
    </r>
  </si>
  <si>
    <t xml:space="preserve">X52</t>
  </si>
  <si>
    <t xml:space="preserve">同業倍數：高端</t>
  </si>
  <si>
    <r>
      <rPr>
        <sz val="9"/>
        <color rgb="FF595959"/>
        <rFont val="Arial"/>
        <family val="0"/>
        <charset val="1"/>
      </rPr>
      <t xml:space="preserve">Inputs </t>
    </r>
    <r>
      <rPr>
        <sz val="9"/>
        <color rgb="FF595959"/>
        <rFont val="Noto Sans CJK SC"/>
        <family val="2"/>
      </rPr>
      <t xml:space="preserve">高欄</t>
    </r>
  </si>
  <si>
    <t xml:space="preserve">X53</t>
  </si>
  <si>
    <r>
      <rPr>
        <sz val="10"/>
        <color rgb="FF000000"/>
        <rFont val="Noto Sans CJK SC"/>
        <family val="2"/>
      </rPr>
      <t xml:space="preserve">市值隱含營收（基準）＝</t>
    </r>
    <r>
      <rPr>
        <sz val="10"/>
        <color rgb="FF000000"/>
        <rFont val="Arial"/>
        <family val="0"/>
        <charset val="1"/>
      </rPr>
      <t xml:space="preserve">EV ÷ </t>
    </r>
    <r>
      <rPr>
        <sz val="10"/>
        <color rgb="FF000000"/>
        <rFont val="Noto Sans CJK SC"/>
        <family val="2"/>
      </rPr>
      <t xml:space="preserve">同業倍數</t>
    </r>
  </si>
  <si>
    <t xml:space="preserve">市值『要求』的年營收（以同業當前倍數計）</t>
  </si>
  <si>
    <t xml:space="preserve">X54</t>
  </si>
  <si>
    <t xml:space="preserve">市值隱含營收（倍數低端 → 營收高端）</t>
  </si>
  <si>
    <t xml:space="preserve">X55</t>
  </si>
  <si>
    <t xml:space="preserve">市值隱含營收（倍數高端 → 營收低端）</t>
  </si>
  <si>
    <t xml:space="preserve">X56</t>
  </si>
  <si>
    <t xml:space="preserve">市值隱含營收（美元）</t>
  </si>
  <si>
    <t xml:space="preserve">÷ USD/CNY ÷ 10</t>
  </si>
  <si>
    <t xml:space="preserve">X57</t>
  </si>
  <si>
    <r>
      <rPr>
        <sz val="10"/>
        <color rgb="FF000000"/>
        <rFont val="Noto Sans CJK SC"/>
        <family val="2"/>
      </rPr>
      <t xml:space="preserve">對照：智譜 </t>
    </r>
    <r>
      <rPr>
        <sz val="10"/>
        <color rgb="FF000000"/>
        <rFont val="Arial"/>
        <family val="0"/>
        <charset val="1"/>
      </rPr>
      <t xml:space="preserve">EV ÷ 1H26 </t>
    </r>
    <r>
      <rPr>
        <sz val="10"/>
        <color rgb="FF000000"/>
        <rFont val="Noto Sans CJK SC"/>
        <family val="2"/>
      </rPr>
      <t xml:space="preserve">年化營收（實際）</t>
    </r>
  </si>
  <si>
    <t xml:space="preserve">X58</t>
  </si>
  <si>
    <r>
      <rPr>
        <sz val="10"/>
        <color rgb="FF000000"/>
        <rFont val="Noto Sans CJK SC"/>
        <family val="2"/>
      </rPr>
      <t xml:space="preserve">對照：智譜 </t>
    </r>
    <r>
      <rPr>
        <sz val="10"/>
        <color rgb="FF000000"/>
        <rFont val="Arial"/>
        <family val="0"/>
        <charset val="1"/>
      </rPr>
      <t xml:space="preserve">EV ÷ </t>
    </r>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年化營收</t>
    </r>
  </si>
  <si>
    <t xml:space="preserve">X59</t>
  </si>
  <si>
    <r>
      <rPr>
        <sz val="10"/>
        <color rgb="FF000000"/>
        <rFont val="Noto Sans CJK SC"/>
        <family val="2"/>
      </rPr>
      <t xml:space="preserve">正向營收 </t>
    </r>
    <r>
      <rPr>
        <sz val="10"/>
        <color rgb="FF000000"/>
        <rFont val="Arial"/>
        <family val="0"/>
        <charset val="1"/>
      </rPr>
      <t xml:space="preserve">÷ </t>
    </r>
    <r>
      <rPr>
        <sz val="10"/>
        <color rgb="FF000000"/>
        <rFont val="Noto Sans CJK SC"/>
        <family val="2"/>
      </rPr>
      <t xml:space="preserve">市值隱含營收（基準）</t>
    </r>
  </si>
  <si>
    <r>
      <rPr>
        <sz val="9"/>
        <color rgb="FF595959"/>
        <rFont val="Arial"/>
        <family val="0"/>
        <charset val="1"/>
      </rPr>
      <t xml:space="preserve">&gt;1</t>
    </r>
    <r>
      <rPr>
        <sz val="9"/>
        <color rgb="FF595959"/>
        <rFont val="Noto Sans CJK SC"/>
        <family val="2"/>
      </rPr>
      <t xml:space="preserve">＝正向該年營收已達市值要求（以同業當前倍數計）</t>
    </r>
  </si>
  <si>
    <t xml:space="preserve">X60</t>
  </si>
  <si>
    <t xml:space="preserve">正向營收 ≥ 市值隱含營收的年度標示</t>
  </si>
  <si>
    <t xml:space="preserve">X61</t>
  </si>
  <si>
    <t xml:space="preserve">摘要：正向營收首次達到市值隱含營收的年度</t>
  </si>
  <si>
    <t xml:space="preserve">X62</t>
  </si>
  <si>
    <r>
      <rPr>
        <sz val="10"/>
        <color rgb="FF000000"/>
        <rFont val="Noto Sans CJK SC"/>
        <family val="2"/>
      </rPr>
      <t xml:space="preserve">共識 </t>
    </r>
    <r>
      <rPr>
        <sz val="10"/>
        <color rgb="FF000000"/>
        <rFont val="Arial"/>
        <family val="0"/>
        <charset val="1"/>
      </rPr>
      <t xml:space="preserve">FY2028 ÷ </t>
    </r>
    <r>
      <rPr>
        <sz val="10"/>
        <color rgb="FF000000"/>
        <rFont val="Noto Sans CJK SC"/>
        <family val="2"/>
      </rPr>
      <t xml:space="preserve">市值隱含營收</t>
    </r>
  </si>
  <si>
    <r>
      <rPr>
        <b val="true"/>
        <sz val="13"/>
        <rFont val="Arial"/>
        <family val="0"/>
        <charset val="1"/>
      </rPr>
      <t xml:space="preserve">Checks — v0.1 </t>
    </r>
    <r>
      <rPr>
        <b val="true"/>
        <sz val="13"/>
        <rFont val="Noto Sans CJK SC"/>
        <family val="2"/>
      </rPr>
      <t xml:space="preserve">檢查（公式；結果 </t>
    </r>
    <r>
      <rPr>
        <b val="true"/>
        <sz val="13"/>
        <rFont val="Arial"/>
        <family val="0"/>
        <charset val="1"/>
      </rPr>
      <t xml:space="preserve">ERR </t>
    </r>
    <r>
      <rPr>
        <b val="true"/>
        <sz val="13"/>
        <rFont val="Noto Sans CJK SC"/>
        <family val="2"/>
      </rPr>
      <t xml:space="preserve">的格數＝</t>
    </r>
    <r>
      <rPr>
        <b val="true"/>
        <sz val="13"/>
        <rFont val="Arial"/>
        <family val="0"/>
        <charset val="1"/>
      </rPr>
      <t xml:space="preserve">CHK_Errors</t>
    </r>
    <r>
      <rPr>
        <b val="true"/>
        <sz val="13"/>
        <rFont val="Noto Sans CJK SC"/>
        <family val="2"/>
      </rPr>
      <t xml:space="preserve">，必須為 </t>
    </r>
    <r>
      <rPr>
        <b val="true"/>
        <sz val="13"/>
        <rFont val="Arial"/>
        <family val="0"/>
        <charset val="1"/>
      </rPr>
      <t xml:space="preserve">0</t>
    </r>
    <r>
      <rPr>
        <b val="true"/>
        <sz val="13"/>
        <rFont val="Noto Sans CJK SC"/>
        <family val="2"/>
      </rPr>
      <t xml:space="preserve">）</t>
    </r>
  </si>
  <si>
    <r>
      <rPr>
        <sz val="9"/>
        <color rgb="FF595959"/>
        <rFont val="Arial"/>
        <family val="0"/>
        <charset val="1"/>
      </rPr>
      <t xml:space="preserve">OK</t>
    </r>
    <r>
      <rPr>
        <sz val="9"/>
        <color rgb="FF595959"/>
        <rFont val="Noto Sans CJK SC"/>
        <family val="2"/>
      </rPr>
      <t xml:space="preserve">／</t>
    </r>
    <r>
      <rPr>
        <sz val="9"/>
        <color rgb="FF595959"/>
        <rFont val="Arial"/>
        <family val="0"/>
        <charset val="1"/>
      </rPr>
      <t xml:space="preserve">ERR</t>
    </r>
    <r>
      <rPr>
        <sz val="9"/>
        <color rgb="FF595959"/>
        <rFont val="Noto Sans CJK SC"/>
        <family val="2"/>
      </rPr>
      <t xml:space="preserve">：比對期望值；</t>
    </r>
    <r>
      <rPr>
        <sz val="9"/>
        <color rgb="FF595959"/>
        <rFont val="Arial"/>
        <family val="0"/>
        <charset val="1"/>
      </rPr>
      <t xml:space="preserve">WARN</t>
    </r>
    <r>
      <rPr>
        <sz val="9"/>
        <color rgb="FF595959"/>
        <rFont val="Noto Sans CJK SC"/>
        <family val="2"/>
      </rPr>
      <t xml:space="preserve">：超出門檻只提示（不計入 </t>
    </r>
    <r>
      <rPr>
        <sz val="9"/>
        <color rgb="FF595959"/>
        <rFont val="Arial"/>
        <family val="0"/>
        <charset val="1"/>
      </rPr>
      <t xml:space="preserve">CHK_Errors</t>
    </r>
    <r>
      <rPr>
        <sz val="9"/>
        <color rgb="FF595959"/>
        <rFont val="Noto Sans CJK SC"/>
        <family val="2"/>
      </rPr>
      <t xml:space="preserve">）；</t>
    </r>
    <r>
      <rPr>
        <sz val="9"/>
        <color rgb="FF595959"/>
        <rFont val="Arial"/>
        <family val="0"/>
        <charset val="1"/>
      </rPr>
      <t xml:space="preserve">INFO</t>
    </r>
    <r>
      <rPr>
        <sz val="9"/>
        <color rgb="FF595959"/>
        <rFont val="Noto Sans CJK SC"/>
        <family val="2"/>
      </rPr>
      <t xml:space="preserve">：只列示。編號（</t>
    </r>
    <r>
      <rPr>
        <sz val="9"/>
        <color rgb="FF595959"/>
        <rFont val="Arial"/>
        <family val="0"/>
        <charset val="1"/>
      </rPr>
      <t xml:space="preserve">C##</t>
    </r>
    <r>
      <rPr>
        <sz val="9"/>
        <color rgb="FF595959"/>
        <rFont val="Noto Sans CJK SC"/>
        <family val="2"/>
      </rPr>
      <t xml:space="preserve">）由 </t>
    </r>
    <r>
      <rPr>
        <sz val="9"/>
        <color rgb="FF595959"/>
        <rFont val="Arial"/>
        <family val="0"/>
        <charset val="1"/>
      </rPr>
      <t xml:space="preserve">builder/id_registry.json </t>
    </r>
    <r>
      <rPr>
        <sz val="9"/>
        <color rgb="FF595959"/>
        <rFont val="Noto Sans CJK SC"/>
        <family val="2"/>
      </rPr>
      <t xml:space="preserve">固定，新檢查取下一號，退役號碼不重用。期望值為 </t>
    </r>
    <r>
      <rPr>
        <sz val="9"/>
        <color rgb="FF595959"/>
        <rFont val="Arial"/>
        <family val="0"/>
        <charset val="1"/>
      </rPr>
      <t xml:space="preserve">builder </t>
    </r>
    <r>
      <rPr>
        <sz val="9"/>
        <color rgb="FF595959"/>
        <rFont val="Noto Sans CJK SC"/>
        <family val="2"/>
      </rPr>
      <t xml:space="preserve">寫入的常數。</t>
    </r>
  </si>
  <si>
    <t xml:space="preserve">檢查項</t>
  </si>
  <si>
    <t xml:space="preserve">值（公式）</t>
  </si>
  <si>
    <t xml:space="preserve">期望</t>
  </si>
  <si>
    <t xml:space="preserve">結果</t>
  </si>
  <si>
    <t xml:space="preserve">C01</t>
  </si>
  <si>
    <r>
      <rPr>
        <sz val="10"/>
        <color rgb="FF000000"/>
        <rFont val="Arial"/>
        <family val="0"/>
        <charset val="1"/>
      </rPr>
      <t xml:space="preserve">SRC_ZP </t>
    </r>
    <r>
      <rPr>
        <sz val="10"/>
        <color rgb="FF000000"/>
        <rFont val="Noto Sans CJK SC"/>
        <family val="2"/>
      </rPr>
      <t xml:space="preserve">列數</t>
    </r>
  </si>
  <si>
    <r>
      <rPr>
        <sz val="9"/>
        <color rgb="FF595959"/>
        <rFont val="Arial"/>
        <family val="0"/>
        <charset val="1"/>
      </rPr>
      <t xml:space="preserve">Z1 604 </t>
    </r>
    <r>
      <rPr>
        <sz val="9"/>
        <color rgb="FF595959"/>
        <rFont val="Noto Sans CJK SC"/>
        <family val="2"/>
      </rPr>
      <t xml:space="preserve">筆（</t>
    </r>
    <r>
      <rPr>
        <sz val="9"/>
        <color rgb="FF595959"/>
        <rFont val="Arial"/>
        <family val="0"/>
        <charset val="1"/>
      </rPr>
      <t xml:space="preserve">SRC_ZP_001–604</t>
    </r>
    <r>
      <rPr>
        <sz val="9"/>
        <color rgb="FF595959"/>
        <rFont val="Noto Sans CJK SC"/>
        <family val="2"/>
      </rPr>
      <t xml:space="preserve">）＋ </t>
    </r>
    <r>
      <rPr>
        <sz val="9"/>
        <color rgb="FF595959"/>
        <rFont val="Arial"/>
        <family val="0"/>
        <charset val="1"/>
      </rPr>
      <t xml:space="preserve">Z4 </t>
    </r>
    <r>
      <rPr>
        <sz val="9"/>
        <color rgb="FF595959"/>
        <rFont val="Noto Sans CJK SC"/>
        <family val="2"/>
      </rPr>
      <t xml:space="preserve">補 </t>
    </r>
    <r>
      <rPr>
        <sz val="9"/>
        <color rgb="FF595959"/>
        <rFont val="Arial"/>
        <family val="0"/>
        <charset val="1"/>
      </rPr>
      <t xml:space="preserve">6 </t>
    </r>
    <r>
      <rPr>
        <sz val="9"/>
        <color rgb="FF595959"/>
        <rFont val="Noto Sans CJK SC"/>
        <family val="2"/>
      </rPr>
      <t xml:space="preserve">筆＋招股章程 </t>
    </r>
    <r>
      <rPr>
        <sz val="9"/>
        <color rgb="FF595959"/>
        <rFont val="Arial"/>
        <family val="0"/>
        <charset val="1"/>
      </rPr>
      <t xml:space="preserve">Z1-P 444 </t>
    </r>
    <r>
      <rPr>
        <sz val="9"/>
        <color rgb="FF595959"/>
        <rFont val="Noto Sans CJK SC"/>
        <family val="2"/>
      </rPr>
      <t xml:space="preserve">筆（</t>
    </r>
    <r>
      <rPr>
        <sz val="9"/>
        <color rgb="FF595959"/>
        <rFont val="Arial"/>
        <family val="0"/>
        <charset val="1"/>
      </rPr>
      <t xml:space="preserve">SRC_ZP_611–1054</t>
    </r>
    <r>
      <rPr>
        <sz val="9"/>
        <color rgb="FF595959"/>
        <rFont val="Noto Sans CJK SC"/>
        <family val="2"/>
      </rPr>
      <t xml:space="preserve">）</t>
    </r>
  </si>
  <si>
    <t xml:space="preserve">C02</t>
  </si>
  <si>
    <r>
      <rPr>
        <sz val="10"/>
        <color rgb="FF000000"/>
        <rFont val="Arial"/>
        <family val="0"/>
        <charset val="1"/>
      </rPr>
      <t xml:space="preserve">SRC_ZP </t>
    </r>
    <r>
      <rPr>
        <sz val="10"/>
        <color rgb="FF000000"/>
        <rFont val="Noto Sans CJK SC"/>
        <family val="2"/>
      </rPr>
      <t xml:space="preserve">無數值列數（日期、事件、找不到數值的說明列）</t>
    </r>
  </si>
  <si>
    <r>
      <rPr>
        <sz val="9"/>
        <color rgb="FF595959"/>
        <rFont val="Noto Sans CJK SC"/>
        <family val="2"/>
      </rPr>
      <t xml:space="preserve">值、低、高皆空的列數；與 </t>
    </r>
    <r>
      <rPr>
        <sz val="9"/>
        <color rgb="FF595959"/>
        <rFont val="Arial"/>
        <family val="0"/>
        <charset val="1"/>
      </rPr>
      <t xml:space="preserve">yaml </t>
    </r>
    <r>
      <rPr>
        <sz val="9"/>
        <color rgb="FF595959"/>
        <rFont val="Noto Sans CJK SC"/>
        <family val="2"/>
      </rPr>
      <t xml:space="preserve">一致（列被誤刪或誤填時轉 </t>
    </r>
    <r>
      <rPr>
        <sz val="9"/>
        <color rgb="FF595959"/>
        <rFont val="Arial"/>
        <family val="0"/>
        <charset val="1"/>
      </rPr>
      <t xml:space="preserve">ERR</t>
    </r>
    <r>
      <rPr>
        <sz val="9"/>
        <color rgb="FF595959"/>
        <rFont val="Noto Sans CJK SC"/>
        <family val="2"/>
      </rPr>
      <t xml:space="preserve">）</t>
    </r>
  </si>
  <si>
    <t xml:space="preserve">C03</t>
  </si>
  <si>
    <r>
      <rPr>
        <sz val="10"/>
        <color rgb="FF000000"/>
        <rFont val="Arial"/>
        <family val="0"/>
        <charset val="1"/>
      </rPr>
      <t xml:space="preserve">SRC_ZP </t>
    </r>
    <r>
      <rPr>
        <sz val="10"/>
        <color rgb="FF000000"/>
        <rFont val="Noto Sans CJK SC"/>
        <family val="2"/>
      </rPr>
      <t xml:space="preserve">缺出處列數</t>
    </r>
  </si>
  <si>
    <t xml:space="preserve">C04</t>
  </si>
  <si>
    <r>
      <rPr>
        <sz val="10"/>
        <color rgb="FF000000"/>
        <rFont val="Arial"/>
        <family val="0"/>
        <charset val="1"/>
      </rPr>
      <t xml:space="preserve">SRC_ZP </t>
    </r>
    <r>
      <rPr>
        <sz val="10"/>
        <color rgb="FF000000"/>
        <rFont val="Noto Sans CJK SC"/>
        <family val="2"/>
      </rPr>
      <t xml:space="preserve">區間順序異常列數（低 ≤ 值 ≤ 高）</t>
    </r>
  </si>
  <si>
    <t xml:space="preserve">C05</t>
  </si>
  <si>
    <r>
      <rPr>
        <sz val="10"/>
        <color rgb="FF000000"/>
        <rFont val="Arial"/>
        <family val="0"/>
        <charset val="1"/>
      </rPr>
      <t xml:space="preserve">Inputs </t>
    </r>
    <r>
      <rPr>
        <sz val="10"/>
        <color rgb="FF000000"/>
        <rFont val="Noto Sans CJK SC"/>
        <family val="2"/>
      </rPr>
      <t xml:space="preserve">列數</t>
    </r>
  </si>
  <si>
    <t xml:space="preserve">data/zhipu_inputs.yaml</t>
  </si>
  <si>
    <t xml:space="preserve">C06</t>
  </si>
  <si>
    <r>
      <rPr>
        <sz val="10"/>
        <color rgb="FF000000"/>
        <rFont val="Arial"/>
        <family val="0"/>
        <charset val="1"/>
      </rPr>
      <t xml:space="preserve">Inputs </t>
    </r>
    <r>
      <rPr>
        <sz val="10"/>
        <color rgb="FF000000"/>
        <rFont val="Noto Sans CJK SC"/>
        <family val="2"/>
      </rPr>
      <t xml:space="preserve">區間順序異常列數</t>
    </r>
  </si>
  <si>
    <t xml:space="preserve">低 ≤ 值 ≤ 高</t>
  </si>
  <si>
    <t xml:space="preserve">C07</t>
  </si>
  <si>
    <r>
      <rPr>
        <sz val="10"/>
        <color rgb="FF000000"/>
        <rFont val="Arial"/>
        <family val="0"/>
        <charset val="1"/>
      </rPr>
      <t xml:space="preserve">Inputs Analogy</t>
    </r>
    <r>
      <rPr>
        <sz val="10"/>
        <color rgb="FF000000"/>
        <rFont val="Noto Sans CJK SC"/>
        <family val="2"/>
      </rPr>
      <t xml:space="preserve">／</t>
    </r>
    <r>
      <rPr>
        <sz val="10"/>
        <color rgb="FF000000"/>
        <rFont val="Arial"/>
        <family val="0"/>
        <charset val="1"/>
      </rPr>
      <t xml:space="preserve">Assumed </t>
    </r>
    <r>
      <rPr>
        <sz val="10"/>
        <color rgb="FF000000"/>
        <rFont val="Noto Sans CJK SC"/>
        <family val="2"/>
      </rPr>
      <t xml:space="preserve">缺區間列數</t>
    </r>
  </si>
  <si>
    <r>
      <rPr>
        <sz val="9"/>
        <color rgb="FF595959"/>
        <rFont val="Noto Sans CJK SC"/>
        <family val="2"/>
      </rPr>
      <t xml:space="preserve">共同規則第 </t>
    </r>
    <r>
      <rPr>
        <sz val="9"/>
        <color rgb="FF595959"/>
        <rFont val="Arial"/>
        <family val="0"/>
        <charset val="1"/>
      </rPr>
      <t xml:space="preserve">4 </t>
    </r>
    <r>
      <rPr>
        <sz val="9"/>
        <color rgb="FF595959"/>
        <rFont val="Noto Sans CJK SC"/>
        <family val="2"/>
      </rPr>
      <t xml:space="preserve">節：</t>
    </r>
    <r>
      <rPr>
        <sz val="9"/>
        <color rgb="FF595959"/>
        <rFont val="Arial"/>
        <family val="0"/>
        <charset val="1"/>
      </rPr>
      <t xml:space="preserve">Analogy</t>
    </r>
    <r>
      <rPr>
        <sz val="9"/>
        <color rgb="FF595959"/>
        <rFont val="Noto Sans CJK SC"/>
        <family val="2"/>
      </rPr>
      <t xml:space="preserve">／</t>
    </r>
    <r>
      <rPr>
        <sz val="9"/>
        <color rgb="FF595959"/>
        <rFont val="Arial"/>
        <family val="0"/>
        <charset val="1"/>
      </rPr>
      <t xml:space="preserve">Assumed </t>
    </r>
    <r>
      <rPr>
        <sz val="9"/>
        <color rgb="FF595959"/>
        <rFont val="Noto Sans CJK SC"/>
        <family val="2"/>
      </rPr>
      <t xml:space="preserve">一律給區間</t>
    </r>
  </si>
  <si>
    <t xml:space="preserve">C08</t>
  </si>
  <si>
    <r>
      <rPr>
        <sz val="10"/>
        <color rgb="FF000000"/>
        <rFont val="Arial"/>
        <family val="0"/>
        <charset val="1"/>
      </rPr>
      <t xml:space="preserve">TK_Link </t>
    </r>
    <r>
      <rPr>
        <sz val="10"/>
        <color rgb="FF000000"/>
        <rFont val="Noto Sans CJK SC"/>
        <family val="2"/>
      </rPr>
      <t xml:space="preserve">具名名稱數（同 </t>
    </r>
    <r>
      <rPr>
        <sz val="10"/>
        <color rgb="FF000000"/>
        <rFont val="Arial"/>
        <family val="0"/>
        <charset val="1"/>
      </rPr>
      <t xml:space="preserve">OpenAI v0.6 </t>
    </r>
    <r>
      <rPr>
        <sz val="10"/>
        <color rgb="FF000000"/>
        <rFont val="Noto Sans CJK SC"/>
        <family val="2"/>
      </rPr>
      <t xml:space="preserve">的 </t>
    </r>
    <r>
      <rPr>
        <sz val="10"/>
        <color rgb="FF000000"/>
        <rFont val="Arial"/>
        <family val="0"/>
        <charset val="1"/>
      </rPr>
      <t xml:space="preserve">63 </t>
    </r>
    <r>
      <rPr>
        <sz val="10"/>
        <color rgb="FF000000"/>
        <rFont val="Noto Sans CJK SC"/>
        <family val="2"/>
      </rPr>
      <t xml:space="preserve">名）</t>
    </r>
  </si>
  <si>
    <r>
      <rPr>
        <sz val="9"/>
        <color rgb="FF595959"/>
        <rFont val="Noto Sans CJK SC"/>
        <family val="2"/>
      </rPr>
      <t xml:space="preserve">取自 </t>
    </r>
    <r>
      <rPr>
        <sz val="9"/>
        <color rgb="FF595959"/>
        <rFont val="Arial"/>
        <family val="0"/>
        <charset val="1"/>
      </rPr>
      <t xml:space="preserve">Tokenomics master CURRENT</t>
    </r>
  </si>
  <si>
    <t xml:space="preserve">C09</t>
  </si>
  <si>
    <r>
      <rPr>
        <sz val="10"/>
        <color rgb="FF000000"/>
        <rFont val="Arial"/>
        <family val="0"/>
        <charset val="1"/>
      </rPr>
      <t xml:space="preserve">TK_Link </t>
    </r>
    <r>
      <rPr>
        <sz val="10"/>
        <color rgb="FF000000"/>
        <rFont val="Noto Sans CJK SC"/>
        <family val="2"/>
      </rPr>
      <t xml:space="preserve">讀表列數（</t>
    </r>
    <r>
      <rPr>
        <sz val="10"/>
        <color rgb="FF000000"/>
        <rFont val="Arial"/>
        <family val="0"/>
        <charset val="1"/>
      </rPr>
      <t xml:space="preserve">Cap_In</t>
    </r>
    <r>
      <rPr>
        <sz val="10"/>
        <color rgb="FF000000"/>
        <rFont val="Noto Sans CJK SC"/>
        <family val="2"/>
      </rPr>
      <t xml:space="preserve">／</t>
    </r>
    <r>
      <rPr>
        <sz val="10"/>
        <color rgb="FF000000"/>
        <rFont val="Arial"/>
        <family val="0"/>
        <charset val="1"/>
      </rPr>
      <t xml:space="preserve">Price_Frontier </t>
    </r>
    <r>
      <rPr>
        <sz val="10"/>
        <color rgb="FF000000"/>
        <rFont val="Noto Sans CJK SC"/>
        <family val="2"/>
      </rPr>
      <t xml:space="preserve">的 </t>
    </r>
    <r>
      <rPr>
        <sz val="10"/>
        <color rgb="FF000000"/>
        <rFont val="Arial"/>
        <family val="0"/>
        <charset val="1"/>
      </rPr>
      <t xml:space="preserve">GLM </t>
    </r>
    <r>
      <rPr>
        <sz val="10"/>
        <color rgb="FF000000"/>
        <rFont val="Noto Sans CJK SC"/>
        <family val="2"/>
      </rPr>
      <t xml:space="preserve">列與中國合格前緣）</t>
    </r>
  </si>
  <si>
    <r>
      <rPr>
        <sz val="9"/>
        <color rgb="FF595959"/>
        <rFont val="Noto Sans CJK SC"/>
        <family val="2"/>
      </rPr>
      <t xml:space="preserve">以列標籤讀表；</t>
    </r>
    <r>
      <rPr>
        <sz val="9"/>
        <color rgb="FF595959"/>
        <rFont val="Arial"/>
        <family val="0"/>
        <charset val="1"/>
      </rPr>
      <t xml:space="preserve">Tokenomics </t>
    </r>
    <r>
      <rPr>
        <sz val="9"/>
        <color rgb="FF595959"/>
        <rFont val="Noto Sans CJK SC"/>
        <family val="2"/>
      </rPr>
      <t xml:space="preserve">改版找不到標籤時狀態轉 </t>
    </r>
    <r>
      <rPr>
        <sz val="9"/>
        <color rgb="FF595959"/>
        <rFont val="Arial"/>
        <family val="0"/>
        <charset val="1"/>
      </rPr>
      <t xml:space="preserve">MISSING</t>
    </r>
  </si>
  <si>
    <t xml:space="preserve">C10</t>
  </si>
  <si>
    <r>
      <rPr>
        <sz val="10"/>
        <color rgb="FF000000"/>
        <rFont val="Arial"/>
        <family val="0"/>
        <charset val="1"/>
      </rPr>
      <t xml:space="preserve">TK_Link </t>
    </r>
    <r>
      <rPr>
        <sz val="10"/>
        <color rgb="FF000000"/>
        <rFont val="Noto Sans CJK SC"/>
        <family val="2"/>
      </rPr>
      <t xml:space="preserve">錯誤值格數</t>
    </r>
  </si>
  <si>
    <t xml:space="preserve">C11</t>
  </si>
  <si>
    <r>
      <rPr>
        <sz val="10"/>
        <color rgb="FF000000"/>
        <rFont val="Arial"/>
        <family val="0"/>
        <charset val="1"/>
      </rPr>
      <t xml:space="preserve">TK </t>
    </r>
    <r>
      <rPr>
        <sz val="10"/>
        <color rgb="FF000000"/>
        <rFont val="Noto Sans CJK SC"/>
        <family val="2"/>
      </rPr>
      <t xml:space="preserve">快照版本</t>
    </r>
  </si>
  <si>
    <r>
      <rPr>
        <sz val="9"/>
        <color rgb="FF595959"/>
        <rFont val="Noto Sans CJK SC"/>
        <family val="2"/>
      </rPr>
      <t xml:space="preserve">共同規則第 </t>
    </r>
    <r>
      <rPr>
        <sz val="9"/>
        <color rgb="FF595959"/>
        <rFont val="Arial"/>
        <family val="0"/>
        <charset val="1"/>
      </rPr>
      <t xml:space="preserve">8 </t>
    </r>
    <r>
      <rPr>
        <sz val="9"/>
        <color rgb="FF595959"/>
        <rFont val="Noto Sans CJK SC"/>
        <family val="2"/>
      </rPr>
      <t xml:space="preserve">節：</t>
    </r>
    <r>
      <rPr>
        <sz val="9"/>
        <color rgb="FF595959"/>
        <rFont val="Arial"/>
        <family val="0"/>
        <charset val="1"/>
      </rPr>
      <t xml:space="preserve">master 70d859e</t>
    </r>
    <r>
      <rPr>
        <sz val="9"/>
        <color rgb="FF595959"/>
        <rFont val="Noto Sans CJK SC"/>
        <family val="2"/>
      </rPr>
      <t xml:space="preserve">；</t>
    </r>
    <r>
      <rPr>
        <sz val="9"/>
        <color rgb="FF595959"/>
        <rFont val="Arial"/>
        <family val="0"/>
        <charset val="1"/>
      </rPr>
      <t xml:space="preserve">tools/check_tk_snapshot.py </t>
    </r>
    <r>
      <rPr>
        <sz val="9"/>
        <color rgb="FF595959"/>
        <rFont val="Noto Sans CJK SC"/>
        <family val="2"/>
      </rPr>
      <t xml:space="preserve">結果見報告</t>
    </r>
  </si>
  <si>
    <t xml:space="preserve">C12</t>
  </si>
  <si>
    <r>
      <rPr>
        <sz val="10"/>
        <color rgb="FF000000"/>
        <rFont val="Arial"/>
        <family val="0"/>
        <charset val="1"/>
      </rPr>
      <t xml:space="preserve">OAI_Link </t>
    </r>
    <r>
      <rPr>
        <sz val="10"/>
        <color rgb="FF000000"/>
        <rFont val="Noto Sans CJK SC"/>
        <family val="2"/>
      </rPr>
      <t xml:space="preserve">已取值列數</t>
    </r>
  </si>
  <si>
    <r>
      <rPr>
        <sz val="9"/>
        <color rgb="FF595959"/>
        <rFont val="Arial"/>
        <family val="0"/>
        <charset val="1"/>
      </rPr>
      <t xml:space="preserve">OpenAI v0.6 </t>
    </r>
    <r>
      <rPr>
        <sz val="9"/>
        <color rgb="FF595959"/>
        <rFont val="Noto Sans CJK SC"/>
        <family val="2"/>
      </rPr>
      <t xml:space="preserve">命題輸出（美元）</t>
    </r>
  </si>
  <si>
    <t xml:space="preserve">C13</t>
  </si>
  <si>
    <r>
      <rPr>
        <sz val="10"/>
        <color rgb="FF000000"/>
        <rFont val="Arial"/>
        <family val="0"/>
        <charset val="1"/>
      </rPr>
      <t xml:space="preserve">OAI_Link </t>
    </r>
    <r>
      <rPr>
        <sz val="10"/>
        <color rgb="FF000000"/>
        <rFont val="Noto Sans CJK SC"/>
        <family val="2"/>
      </rPr>
      <t xml:space="preserve">被計算頁引用的公式格數（</t>
    </r>
    <r>
      <rPr>
        <sz val="10"/>
        <color rgb="FF000000"/>
        <rFont val="Arial"/>
        <family val="0"/>
        <charset val="1"/>
      </rPr>
      <t xml:space="preserve">builder </t>
    </r>
    <r>
      <rPr>
        <sz val="10"/>
        <color rgb="FF000000"/>
        <rFont val="Noto Sans CJK SC"/>
        <family val="2"/>
      </rPr>
      <t xml:space="preserve">掃描）</t>
    </r>
  </si>
  <si>
    <r>
      <rPr>
        <sz val="9"/>
        <color rgb="FF595959"/>
        <rFont val="Noto Sans CJK SC"/>
        <family val="2"/>
      </rPr>
      <t xml:space="preserve">規格 </t>
    </r>
    <r>
      <rPr>
        <sz val="9"/>
        <color rgb="FF595959"/>
        <rFont val="Arial"/>
        <family val="0"/>
        <charset val="1"/>
      </rPr>
      <t xml:space="preserve">D26</t>
    </r>
    <r>
      <rPr>
        <sz val="9"/>
        <color rgb="FF595959"/>
        <rFont val="Noto Sans CJK SC"/>
        <family val="2"/>
      </rPr>
      <t xml:space="preserve">：</t>
    </r>
    <r>
      <rPr>
        <sz val="9"/>
        <color rgb="FF595959"/>
        <rFont val="Arial"/>
        <family val="0"/>
        <charset val="1"/>
      </rPr>
      <t xml:space="preserve">OAI_Link </t>
    </r>
    <r>
      <rPr>
        <sz val="9"/>
        <color rgb="FF595959"/>
        <rFont val="Noto Sans CJK SC"/>
        <family val="2"/>
      </rPr>
      <t xml:space="preserve">只被 </t>
    </r>
    <r>
      <rPr>
        <sz val="9"/>
        <color rgb="FF595959"/>
        <rFont val="Arial"/>
        <family val="0"/>
        <charset val="1"/>
      </rPr>
      <t xml:space="preserve">Checks </t>
    </r>
    <r>
      <rPr>
        <sz val="9"/>
        <color rgb="FF595959"/>
        <rFont val="Noto Sans CJK SC"/>
        <family val="2"/>
      </rPr>
      <t xml:space="preserve">與 </t>
    </r>
    <r>
      <rPr>
        <sz val="9"/>
        <color rgb="FF595959"/>
        <rFont val="Arial"/>
        <family val="0"/>
        <charset val="1"/>
      </rPr>
      <t xml:space="preserve">HTML </t>
    </r>
    <r>
      <rPr>
        <sz val="9"/>
        <color rgb="FF595959"/>
        <rFont val="Noto Sans CJK SC"/>
        <family val="2"/>
      </rPr>
      <t xml:space="preserve">引用；值為 </t>
    </r>
    <r>
      <rPr>
        <sz val="9"/>
        <color rgb="FF595959"/>
        <rFont val="Arial"/>
        <family val="0"/>
        <charset val="1"/>
      </rPr>
      <t xml:space="preserve">builder </t>
    </r>
    <r>
      <rPr>
        <sz val="9"/>
        <color rgb="FF595959"/>
        <rFont val="Noto Sans CJK SC"/>
        <family val="2"/>
      </rPr>
      <t xml:space="preserve">建置時掃描結果，</t>
    </r>
    <r>
      <rPr>
        <sz val="9"/>
        <color rgb="FF595959"/>
        <rFont val="Arial"/>
        <family val="0"/>
        <charset val="1"/>
      </rPr>
      <t xml:space="preserve">tests/parity/test_builder.py </t>
    </r>
    <r>
      <rPr>
        <sz val="9"/>
        <color rgb="FF595959"/>
        <rFont val="Noto Sans CJK SC"/>
        <family val="2"/>
      </rPr>
      <t xml:space="preserve">每次逐格重驗</t>
    </r>
  </si>
  <si>
    <t xml:space="preserve">C14</t>
  </si>
  <si>
    <r>
      <rPr>
        <sz val="10"/>
        <color rgb="FF000000"/>
        <rFont val="Arial"/>
        <family val="0"/>
        <charset val="1"/>
      </rPr>
      <t xml:space="preserve">E6</t>
    </r>
    <r>
      <rPr>
        <sz val="10"/>
        <color rgb="FF000000"/>
        <rFont val="Noto Sans CJK SC"/>
        <family val="2"/>
      </rPr>
      <t xml:space="preserve">：計算頁公式含常數的格數（</t>
    </r>
    <r>
      <rPr>
        <sz val="10"/>
        <color rgb="FF000000"/>
        <rFont val="Arial"/>
        <family val="0"/>
        <charset val="1"/>
      </rPr>
      <t xml:space="preserve">builder </t>
    </r>
    <r>
      <rPr>
        <sz val="10"/>
        <color rgb="FF000000"/>
        <rFont val="Noto Sans CJK SC"/>
        <family val="2"/>
      </rPr>
      <t xml:space="preserve">掃描）</t>
    </r>
  </si>
  <si>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Revenue</t>
    </r>
    <r>
      <rPr>
        <sz val="9"/>
        <color rgb="FF595959"/>
        <rFont val="Noto Sans CJK SC"/>
        <family val="2"/>
      </rPr>
      <t xml:space="preserve">（</t>
    </r>
    <r>
      <rPr>
        <sz val="9"/>
        <color rgb="FF595959"/>
        <rFont val="Arial"/>
        <family val="0"/>
        <charset val="1"/>
      </rPr>
      <t xml:space="preserve">Z3 </t>
    </r>
    <r>
      <rPr>
        <sz val="9"/>
        <color rgb="FF595959"/>
        <rFont val="Noto Sans CJK SC"/>
        <family val="2"/>
      </rPr>
      <t xml:space="preserve">起含 </t>
    </r>
    <r>
      <rPr>
        <sz val="9"/>
        <color rgb="FF595959"/>
        <rFont val="Arial"/>
        <family val="0"/>
        <charset val="1"/>
      </rPr>
      <t xml:space="preserve">Compute</t>
    </r>
    <r>
      <rPr>
        <sz val="9"/>
        <color rgb="FF595959"/>
        <rFont val="Noto Sans CJK SC"/>
        <family val="2"/>
      </rPr>
      <t xml:space="preserve">、</t>
    </r>
    <r>
      <rPr>
        <sz val="9"/>
        <color rgb="FF595959"/>
        <rFont val="Arial"/>
        <family val="0"/>
        <charset val="1"/>
      </rPr>
      <t xml:space="preserve">Cost</t>
    </r>
    <r>
      <rPr>
        <sz val="9"/>
        <color rgb="FF595959"/>
        <rFont val="Noto Sans CJK SC"/>
        <family val="2"/>
      </rPr>
      <t xml:space="preserve">）；</t>
    </r>
    <r>
      <rPr>
        <sz val="9"/>
        <color rgb="FF595959"/>
        <rFont val="Arial"/>
        <family val="0"/>
        <charset val="1"/>
      </rPr>
      <t xml:space="preserve">tests/parity/test_builder.py </t>
    </r>
    <r>
      <rPr>
        <sz val="9"/>
        <color rgb="FF595959"/>
        <rFont val="Noto Sans CJK SC"/>
        <family val="2"/>
      </rPr>
      <t xml:space="preserve">每次逐格重驗</t>
    </r>
  </si>
  <si>
    <t xml:space="preserve">C15</t>
  </si>
  <si>
    <r>
      <rPr>
        <sz val="10"/>
        <color rgb="FF000000"/>
        <rFont val="Arial"/>
        <family val="0"/>
        <charset val="1"/>
      </rPr>
      <t xml:space="preserve">2025 </t>
    </r>
    <r>
      <rPr>
        <sz val="10"/>
        <color rgb="FF000000"/>
        <rFont val="Noto Sans CJK SC"/>
        <family val="2"/>
      </rPr>
      <t xml:space="preserve">各分部校準差距（四線絕對值合計，</t>
    </r>
    <r>
      <rPr>
        <sz val="10"/>
        <color rgb="FF000000"/>
        <rFont val="Arial"/>
        <family val="0"/>
        <charset val="1"/>
      </rPr>
      <t xml:space="preserve">RMB </t>
    </r>
    <r>
      <rPr>
        <sz val="10"/>
        <color rgb="FF000000"/>
        <rFont val="Noto Sans CJK SC"/>
        <family val="2"/>
      </rPr>
      <t xml:space="preserve">億）</t>
    </r>
  </si>
  <si>
    <r>
      <rPr>
        <sz val="9"/>
        <color rgb="FF595959"/>
        <rFont val="Arial"/>
        <family val="0"/>
        <charset val="1"/>
      </rPr>
      <t xml:space="preserve">①API</t>
    </r>
    <r>
      <rPr>
        <sz val="9"/>
        <color rgb="FF595959"/>
        <rFont val="Noto Sans CJK SC"/>
        <family val="2"/>
      </rPr>
      <t xml:space="preserve">（含 </t>
    </r>
    <r>
      <rPr>
        <sz val="9"/>
        <color rgb="FF595959"/>
        <rFont val="Arial"/>
        <family val="0"/>
        <charset val="1"/>
      </rPr>
      <t xml:space="preserve">Coding Plan</t>
    </r>
    <r>
      <rPr>
        <sz val="9"/>
        <color rgb="FF595959"/>
        <rFont val="Noto Sans CJK SC"/>
        <family val="2"/>
      </rPr>
      <t xml:space="preserve">）②③④ 模型 − 年報；按量計費為倒推項，恆為 </t>
    </r>
    <r>
      <rPr>
        <sz val="9"/>
        <color rgb="FF595959"/>
        <rFont val="Arial"/>
        <family val="0"/>
        <charset val="1"/>
      </rPr>
      <t xml:space="preserve">0</t>
    </r>
  </si>
  <si>
    <t xml:space="preserve">C16</t>
  </si>
  <si>
    <r>
      <rPr>
        <sz val="10"/>
        <color rgb="FF000000"/>
        <rFont val="Arial"/>
        <family val="0"/>
        <charset val="1"/>
      </rPr>
      <t xml:space="preserve">1H26 </t>
    </r>
    <r>
      <rPr>
        <sz val="10"/>
        <color rgb="FF000000"/>
        <rFont val="Noto Sans CJK SC"/>
        <family val="2"/>
      </rPr>
      <t xml:space="preserve">各分部校準差距（四線絕對值合計，</t>
    </r>
    <r>
      <rPr>
        <sz val="10"/>
        <color rgb="FF000000"/>
        <rFont val="Arial"/>
        <family val="0"/>
        <charset val="1"/>
      </rPr>
      <t xml:space="preserve">RMB </t>
    </r>
    <r>
      <rPr>
        <sz val="10"/>
        <color rgb="FF000000"/>
        <rFont val="Noto Sans CJK SC"/>
        <family val="2"/>
      </rPr>
      <t xml:space="preserve">億）</t>
    </r>
  </si>
  <si>
    <t xml:space="preserve">模型 − 中期公告</t>
  </si>
  <si>
    <t xml:space="preserve">C17</t>
  </si>
  <si>
    <r>
      <rPr>
        <sz val="10"/>
        <color rgb="FF000000"/>
        <rFont val="Arial"/>
        <family val="0"/>
        <charset val="1"/>
      </rPr>
      <t xml:space="preserve">2025 </t>
    </r>
    <r>
      <rPr>
        <sz val="10"/>
        <color rgb="FF000000"/>
        <rFont val="Noto Sans CJK SC"/>
        <family val="2"/>
      </rPr>
      <t xml:space="preserve">營收總額校準差距（</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</si>
  <si>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四線合計＝年報總額 </t>
    </r>
    <r>
      <rPr>
        <sz val="9"/>
        <color rgb="FF595959"/>
        <rFont val="Arial"/>
        <family val="0"/>
        <charset val="1"/>
      </rPr>
      <t xml:space="preserve">7.2433</t>
    </r>
  </si>
  <si>
    <t xml:space="preserve">C18</t>
  </si>
  <si>
    <r>
      <rPr>
        <sz val="10"/>
        <color rgb="FF000000"/>
        <rFont val="Arial"/>
        <family val="0"/>
        <charset val="1"/>
      </rPr>
      <t xml:space="preserve">1H26 </t>
    </r>
    <r>
      <rPr>
        <sz val="10"/>
        <color rgb="FF000000"/>
        <rFont val="Noto Sans CJK SC"/>
        <family val="2"/>
      </rPr>
      <t xml:space="preserve">營收總額校準差距（</t>
    </r>
    <r>
      <rPr>
        <sz val="10"/>
        <color rgb="FF000000"/>
        <rFont val="Arial"/>
        <family val="0"/>
        <charset val="1"/>
      </rPr>
      <t xml:space="preserve">RMB </t>
    </r>
    <r>
      <rPr>
        <sz val="10"/>
        <color rgb="FF000000"/>
        <rFont val="Noto Sans CJK SC"/>
        <family val="2"/>
      </rPr>
      <t xml:space="preserve">億；公告四捨五入容差 </t>
    </r>
    <r>
      <rPr>
        <sz val="10"/>
        <color rgb="FF000000"/>
        <rFont val="Arial"/>
        <family val="0"/>
        <charset val="1"/>
      </rPr>
      <t xml:space="preserve">0.0005</t>
    </r>
    <r>
      <rPr>
        <sz val="10"/>
        <color rgb="FF000000"/>
        <rFont val="Noto Sans CJK SC"/>
        <family val="2"/>
      </rPr>
      <t xml:space="preserve">）</t>
    </r>
  </si>
  <si>
    <r>
      <rPr>
        <sz val="9"/>
        <color rgb="FF595959"/>
        <rFont val="Noto Sans CJK SC"/>
        <family val="2"/>
      </rPr>
      <t xml:space="preserve">四線合計 </t>
    </r>
    <r>
      <rPr>
        <sz val="9"/>
        <color rgb="FF595959"/>
        <rFont val="Arial"/>
        <family val="0"/>
        <charset val="1"/>
      </rPr>
      <t xml:space="preserve">9.53892</t>
    </r>
    <r>
      <rPr>
        <sz val="9"/>
        <color rgb="FF595959"/>
        <rFont val="Noto Sans CJK SC"/>
        <family val="2"/>
      </rPr>
      <t xml:space="preserve">（千元加總）</t>
    </r>
    <r>
      <rPr>
        <sz val="9"/>
        <color rgb="FF595959"/>
        <rFont val="Arial"/>
        <family val="0"/>
        <charset val="1"/>
      </rPr>
      <t xml:space="preserve">vs </t>
    </r>
    <r>
      <rPr>
        <sz val="9"/>
        <color rgb="FF595959"/>
        <rFont val="Noto Sans CJK SC"/>
        <family val="2"/>
      </rPr>
      <t xml:space="preserve">總額 </t>
    </r>
    <r>
      <rPr>
        <sz val="9"/>
        <color rgb="FF595959"/>
        <rFont val="Arial"/>
        <family val="0"/>
        <charset val="1"/>
      </rPr>
      <t xml:space="preserve">9.5389</t>
    </r>
  </si>
  <si>
    <t xml:space="preserve">C19</t>
  </si>
  <si>
    <r>
      <rPr>
        <sz val="10"/>
        <color rgb="FF000000"/>
        <rFont val="Noto Sans CJK SC"/>
        <family val="2"/>
      </rPr>
      <t xml:space="preserve">分部合計＝總營收（</t>
    </r>
    <r>
      <rPr>
        <sz val="10"/>
        <color rgb="FF000000"/>
        <rFont val="Arial"/>
        <family val="0"/>
        <charset val="1"/>
      </rPr>
      <t xml:space="preserve">API</t>
    </r>
    <r>
      <rPr>
        <sz val="10"/>
        <color rgb="FF000000"/>
        <rFont val="Noto Sans CJK SC"/>
        <family val="2"/>
      </rPr>
      <t xml:space="preserve">＋本地化＋廣告 − 總額；各期絕對值合計）</t>
    </r>
  </si>
  <si>
    <r>
      <rPr>
        <sz val="9"/>
        <color rgb="FF595959"/>
        <rFont val="Arial"/>
        <family val="0"/>
        <charset val="1"/>
      </rPr>
      <t xml:space="preserve">2025–2030 </t>
    </r>
    <r>
      <rPr>
        <sz val="9"/>
        <color rgb="FF595959"/>
        <rFont val="Noto Sans CJK SC"/>
        <family val="2"/>
      </rPr>
      <t xml:space="preserve">與 </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2H26</t>
    </r>
  </si>
  <si>
    <t xml:space="preserve">C20</t>
  </si>
  <si>
    <t xml:space="preserve">企業＋個人＋廣告 − 總額（各期絕對值合計）</t>
  </si>
  <si>
    <r>
      <rPr>
        <sz val="9"/>
        <color rgb="FF595959"/>
        <rFont val="Arial"/>
        <family val="0"/>
        <charset val="1"/>
      </rPr>
      <t xml:space="preserve">D2 </t>
    </r>
    <r>
      <rPr>
        <sz val="9"/>
        <color rgb="FF595959"/>
        <rFont val="Noto Sans CJK SC"/>
        <family val="2"/>
      </rPr>
      <t xml:space="preserve">彙總列</t>
    </r>
  </si>
  <si>
    <t xml:space="preserve">C21</t>
  </si>
  <si>
    <r>
      <rPr>
        <sz val="10"/>
        <color rgb="FF000000"/>
        <rFont val="Noto Sans CJK SC"/>
        <family val="2"/>
      </rPr>
      <t xml:space="preserve">校準期按量計費營收 ≤</t>
    </r>
    <r>
      <rPr>
        <sz val="10"/>
        <color rgb="FF000000"/>
        <rFont val="Arial"/>
        <family val="0"/>
        <charset val="1"/>
      </rPr>
      <t xml:space="preserve">0 </t>
    </r>
    <r>
      <rPr>
        <sz val="10"/>
        <color rgb="FF000000"/>
        <rFont val="Noto Sans CJK SC"/>
        <family val="2"/>
      </rPr>
      <t xml:space="preserve">的期數（</t>
    </r>
    <r>
      <rPr>
        <sz val="10"/>
        <color rgb="FF000000"/>
        <rFont val="Arial"/>
        <family val="0"/>
        <charset val="1"/>
      </rPr>
      <t xml:space="preserve">Coding Plan </t>
    </r>
    <r>
      <rPr>
        <sz val="10"/>
        <color rgb="FF000000"/>
        <rFont val="Noto Sans CJK SC"/>
        <family val="2"/>
      </rPr>
      <t xml:space="preserve">估計超過 </t>
    </r>
    <r>
      <rPr>
        <sz val="10"/>
        <color rgb="FF000000"/>
        <rFont val="Arial"/>
        <family val="0"/>
        <charset val="1"/>
      </rPr>
      <t xml:space="preserve">API </t>
    </r>
    <r>
      <rPr>
        <sz val="10"/>
        <color rgb="FF000000"/>
        <rFont val="Noto Sans CJK SC"/>
        <family val="2"/>
      </rPr>
      <t xml:space="preserve">實際）</t>
    </r>
  </si>
  <si>
    <r>
      <rPr>
        <sz val="9"/>
        <color rgb="FF595959"/>
        <rFont val="Arial"/>
        <family val="0"/>
        <charset val="1"/>
      </rPr>
      <t xml:space="preserve">Coding Plan </t>
    </r>
    <r>
      <rPr>
        <sz val="9"/>
        <color rgb="FF595959"/>
        <rFont val="Noto Sans CJK SC"/>
        <family val="2"/>
      </rPr>
      <t xml:space="preserve">訂閱者 </t>
    </r>
    <r>
      <rPr>
        <sz val="9"/>
        <color rgb="FF595959"/>
        <rFont val="Arial"/>
        <family val="0"/>
        <charset val="1"/>
      </rPr>
      <t xml:space="preserve">× </t>
    </r>
    <r>
      <rPr>
        <sz val="9"/>
        <color rgb="FF595959"/>
        <rFont val="Noto Sans CJK SC"/>
        <family val="2"/>
      </rPr>
      <t xml:space="preserve">價格的 </t>
    </r>
    <r>
      <rPr>
        <sz val="9"/>
        <color rgb="FF595959"/>
        <rFont val="Arial"/>
        <family val="0"/>
        <charset val="1"/>
      </rPr>
      <t xml:space="preserve">Inputs </t>
    </r>
    <r>
      <rPr>
        <sz val="9"/>
        <color rgb="FF595959"/>
        <rFont val="Noto Sans CJK SC"/>
        <family val="2"/>
      </rPr>
      <t xml:space="preserve">使估計值超過財報 </t>
    </r>
    <r>
      <rPr>
        <sz val="9"/>
        <color rgb="FF595959"/>
        <rFont val="Arial"/>
        <family val="0"/>
        <charset val="1"/>
      </rPr>
      <t xml:space="preserve">API </t>
    </r>
    <r>
      <rPr>
        <sz val="9"/>
        <color rgb="FF595959"/>
        <rFont val="Noto Sans CJK SC"/>
        <family val="2"/>
      </rPr>
      <t xml:space="preserve">營收時轉 </t>
    </r>
    <r>
      <rPr>
        <sz val="9"/>
        <color rgb="FF595959"/>
        <rFont val="Arial"/>
        <family val="0"/>
        <charset val="1"/>
      </rPr>
      <t xml:space="preserve">ERR</t>
    </r>
  </si>
  <si>
    <t xml:space="preserve">C22</t>
  </si>
  <si>
    <r>
      <rPr>
        <sz val="10"/>
        <color rgb="FF000000"/>
        <rFont val="Arial"/>
        <family val="0"/>
        <charset val="1"/>
      </rPr>
      <t xml:space="preserve">token </t>
    </r>
    <r>
      <rPr>
        <sz val="10"/>
        <color rgb="FF000000"/>
        <rFont val="Noto Sans CJK SC"/>
        <family val="2"/>
      </rPr>
      <t xml:space="preserve">層級拆分前後總量不一致的年數（相對差 </t>
    </r>
    <r>
      <rPr>
        <sz val="10"/>
        <color rgb="FF000000"/>
        <rFont val="Arial"/>
        <family val="0"/>
        <charset val="1"/>
      </rPr>
      <t xml:space="preserve">&gt;1e-9</t>
    </r>
    <r>
      <rPr>
        <sz val="10"/>
        <color rgb="FF000000"/>
        <rFont val="Noto Sans CJK SC"/>
        <family val="2"/>
      </rPr>
      <t xml:space="preserve">）</t>
    </r>
  </si>
  <si>
    <r>
      <rPr>
        <sz val="9"/>
        <color rgb="FF595959"/>
        <rFont val="Arial"/>
        <family val="0"/>
        <charset val="1"/>
      </rPr>
      <t xml:space="preserve">API</t>
    </r>
    <r>
      <rPr>
        <sz val="9"/>
        <color rgb="FF595959"/>
        <rFont val="Noto Sans CJK SC"/>
        <family val="2"/>
      </rPr>
      <t xml:space="preserve">＋</t>
    </r>
    <r>
      <rPr>
        <sz val="9"/>
        <color rgb="FF595959"/>
        <rFont val="Arial"/>
        <family val="0"/>
        <charset val="1"/>
      </rPr>
      <t xml:space="preserve">Coding Plan</t>
    </r>
    <r>
      <rPr>
        <sz val="9"/>
        <color rgb="FF595959"/>
        <rFont val="Noto Sans CJK SC"/>
        <family val="2"/>
      </rPr>
      <t xml:space="preserve">＋清言＋免費 </t>
    </r>
    <r>
      <rPr>
        <sz val="9"/>
        <color rgb="FF595959"/>
        <rFont val="Arial"/>
        <family val="0"/>
        <charset val="1"/>
      </rPr>
      <t xml:space="preserve">API </t>
    </r>
    <r>
      <rPr>
        <sz val="9"/>
        <color rgb="FF595959"/>
        <rFont val="Noto Sans CJK SC"/>
        <family val="2"/>
      </rPr>
      <t xml:space="preserve">＝ 付費＋免費（</t>
    </r>
    <r>
      <rPr>
        <sz val="9"/>
        <color rgb="FF595959"/>
        <rFont val="Arial"/>
        <family val="0"/>
        <charset val="1"/>
      </rPr>
      <t xml:space="preserve">Sol</t>
    </r>
    <r>
      <rPr>
        <sz val="9"/>
        <color rgb="FF595959"/>
        <rFont val="Noto Sans CJK SC"/>
        <family val="2"/>
      </rPr>
      <t xml:space="preserve">／</t>
    </r>
    <r>
      <rPr>
        <sz val="9"/>
        <color rgb="FF595959"/>
        <rFont val="Arial"/>
        <family val="0"/>
        <charset val="1"/>
      </rPr>
      <t xml:space="preserve">Luna </t>
    </r>
    <r>
      <rPr>
        <sz val="9"/>
        <color rgb="FF595959"/>
        <rFont val="Noto Sans CJK SC"/>
        <family val="2"/>
      </rPr>
      <t xml:space="preserve">拆分前後）</t>
    </r>
  </si>
  <si>
    <t xml:space="preserve">C23</t>
  </si>
  <si>
    <r>
      <rPr>
        <sz val="10"/>
        <color rgb="FF000000"/>
        <rFont val="Arial"/>
        <family val="0"/>
        <charset val="1"/>
      </rPr>
      <t xml:space="preserve">Coding Plan </t>
    </r>
    <r>
      <rPr>
        <sz val="10"/>
        <color rgb="FF000000"/>
        <rFont val="Noto Sans CJK SC"/>
        <family val="2"/>
      </rPr>
      <t xml:space="preserve">方案組合 </t>
    </r>
    <r>
      <rPr>
        <sz val="10"/>
        <color rgb="FF000000"/>
        <rFont val="Arial"/>
        <family val="0"/>
        <charset val="1"/>
      </rPr>
      <t xml:space="preserve">Max</t>
    </r>
    <r>
      <rPr>
        <sz val="10"/>
        <color rgb="FF000000"/>
        <rFont val="Noto Sans CJK SC"/>
        <family val="2"/>
      </rPr>
      <t xml:space="preserve">（＝</t>
    </r>
    <r>
      <rPr>
        <sz val="10"/>
        <color rgb="FF000000"/>
        <rFont val="Arial"/>
        <family val="0"/>
        <charset val="1"/>
      </rPr>
      <t xml:space="preserve">1 − Lite − Pro</t>
    </r>
    <r>
      <rPr>
        <sz val="10"/>
        <color rgb="FF000000"/>
        <rFont val="Noto Sans CJK SC"/>
        <family val="2"/>
      </rPr>
      <t xml:space="preserve">）∉</t>
    </r>
    <r>
      <rPr>
        <sz val="10"/>
        <color rgb="FF000000"/>
        <rFont val="Arial"/>
        <family val="0"/>
        <charset val="1"/>
      </rPr>
      <t xml:space="preserve">[0,1] </t>
    </r>
    <r>
      <rPr>
        <sz val="10"/>
        <color rgb="FF000000"/>
        <rFont val="Noto Sans CJK SC"/>
        <family val="2"/>
      </rPr>
      <t xml:space="preserve">的期數</t>
    </r>
  </si>
  <si>
    <r>
      <rPr>
        <sz val="9"/>
        <color rgb="FF595959"/>
        <rFont val="Arial"/>
        <family val="0"/>
        <charset val="1"/>
      </rPr>
      <t xml:space="preserve">Inputs Lite</t>
    </r>
    <r>
      <rPr>
        <sz val="9"/>
        <color rgb="FF595959"/>
        <rFont val="Noto Sans CJK SC"/>
        <family val="2"/>
      </rPr>
      <t xml:space="preserve">＋</t>
    </r>
    <r>
      <rPr>
        <sz val="9"/>
        <color rgb="FF595959"/>
        <rFont val="Arial"/>
        <family val="0"/>
        <charset val="1"/>
      </rPr>
      <t xml:space="preserve">Pro ≤ 1</t>
    </r>
  </si>
  <si>
    <t xml:space="preserve">C24</t>
  </si>
  <si>
    <r>
      <rPr>
        <sz val="10"/>
        <color rgb="FF000000"/>
        <rFont val="Arial"/>
        <family val="0"/>
        <charset val="1"/>
      </rPr>
      <t xml:space="preserve">API </t>
    </r>
    <r>
      <rPr>
        <sz val="10"/>
        <color rgb="FF000000"/>
        <rFont val="Noto Sans CJK SC"/>
        <family val="2"/>
      </rPr>
      <t xml:space="preserve">層級組合 </t>
    </r>
    <r>
      <rPr>
        <sz val="10"/>
        <color rgb="FF000000"/>
        <rFont val="Arial"/>
        <family val="0"/>
        <charset val="1"/>
      </rPr>
      <t xml:space="preserve">Sol ∉[0,1] </t>
    </r>
    <r>
      <rPr>
        <sz val="10"/>
        <color rgb="FF000000"/>
        <rFont val="Noto Sans CJK SC"/>
        <family val="2"/>
      </rPr>
      <t xml:space="preserve">的期數</t>
    </r>
  </si>
  <si>
    <t xml:space="preserve">C25</t>
  </si>
  <si>
    <r>
      <rPr>
        <sz val="10"/>
        <color rgb="FF000000"/>
        <rFont val="Arial"/>
        <family val="0"/>
        <charset val="1"/>
      </rPr>
      <t xml:space="preserve">1H26 </t>
    </r>
    <r>
      <rPr>
        <sz val="10"/>
        <color rgb="FF000000"/>
        <rFont val="Noto Sans CJK SC"/>
        <family val="2"/>
      </rPr>
      <t xml:space="preserve">價格期間權重 </t>
    </r>
    <r>
      <rPr>
        <sz val="10"/>
        <color rgb="FF000000"/>
        <rFont val="Arial"/>
        <family val="0"/>
        <charset val="1"/>
      </rPr>
      <t xml:space="preserve">GLM-5.1 </t>
    </r>
    <r>
      <rPr>
        <sz val="10"/>
        <color rgb="FF000000"/>
        <rFont val="Noto Sans CJK SC"/>
        <family val="2"/>
      </rPr>
      <t xml:space="preserve">＜</t>
    </r>
    <r>
      <rPr>
        <sz val="10"/>
        <color rgb="FF000000"/>
        <rFont val="Arial"/>
        <family val="0"/>
        <charset val="1"/>
      </rPr>
      <t xml:space="preserve">0</t>
    </r>
    <r>
      <rPr>
        <sz val="10"/>
        <color rgb="FF000000"/>
        <rFont val="Noto Sans CJK SC"/>
        <family val="2"/>
      </rPr>
      <t xml:space="preserve">（天數超過半年）</t>
    </r>
  </si>
  <si>
    <r>
      <rPr>
        <sz val="9"/>
        <color rgb="FF595959"/>
        <rFont val="Arial"/>
        <family val="0"/>
        <charset val="1"/>
      </rPr>
      <t xml:space="preserve">Inputs </t>
    </r>
    <r>
      <rPr>
        <sz val="9"/>
        <color rgb="FF595959"/>
        <rFont val="Noto Sans CJK SC"/>
        <family val="2"/>
      </rPr>
      <t xml:space="preserve">期間天數</t>
    </r>
  </si>
  <si>
    <t xml:space="preserve">C26</t>
  </si>
  <si>
    <r>
      <rPr>
        <sz val="10"/>
        <color rgb="FF000000"/>
        <rFont val="Noto Sans CJK SC"/>
        <family val="2"/>
      </rPr>
      <t xml:space="preserve">本地化部署延續係數 ∉</t>
    </r>
    <r>
      <rPr>
        <sz val="10"/>
        <color rgb="FF000000"/>
        <rFont val="Arial"/>
        <family val="0"/>
        <charset val="1"/>
      </rPr>
      <t xml:space="preserve">[0,1]</t>
    </r>
  </si>
  <si>
    <r>
      <rPr>
        <sz val="9"/>
        <color rgb="FF595959"/>
        <rFont val="Noto Sans CJK SC"/>
        <family val="2"/>
      </rPr>
      <t xml:space="preserve">工作單：</t>
    </r>
    <r>
      <rPr>
        <sz val="9"/>
        <color rgb="FF595959"/>
        <rFont val="Arial"/>
        <family val="0"/>
        <charset val="1"/>
      </rPr>
      <t xml:space="preserve">0</t>
    </r>
    <r>
      <rPr>
        <sz val="9"/>
        <color rgb="FF595959"/>
        <rFont val="Noto Sans CJK SC"/>
        <family val="2"/>
      </rPr>
      <t xml:space="preserve">＝下半年持平、</t>
    </r>
    <r>
      <rPr>
        <sz val="9"/>
        <color rgb="FF595959"/>
        <rFont val="Arial"/>
        <family val="0"/>
        <charset val="1"/>
      </rPr>
      <t xml:space="preserve">1</t>
    </r>
    <r>
      <rPr>
        <sz val="9"/>
        <color rgb="FF595959"/>
        <rFont val="Noto Sans CJK SC"/>
        <family val="2"/>
      </rPr>
      <t xml:space="preserve">＝延續上半年同比</t>
    </r>
  </si>
  <si>
    <t xml:space="preserve">C27</t>
  </si>
  <si>
    <r>
      <rPr>
        <sz val="10"/>
        <color rgb="FF000000"/>
        <rFont val="Arial"/>
        <family val="0"/>
        <charset val="1"/>
      </rPr>
      <t xml:space="preserve">API </t>
    </r>
    <r>
      <rPr>
        <sz val="10"/>
        <color rgb="FF000000"/>
        <rFont val="Noto Sans CJK SC"/>
        <family val="2"/>
      </rPr>
      <t xml:space="preserve">任務數或每任務 </t>
    </r>
    <r>
      <rPr>
        <sz val="10"/>
        <color rgb="FF000000"/>
        <rFont val="Arial"/>
        <family val="0"/>
        <charset val="1"/>
      </rPr>
      <t xml:space="preserve">token ≤0 </t>
    </r>
    <r>
      <rPr>
        <sz val="10"/>
        <color rgb="FF000000"/>
        <rFont val="Noto Sans CJK SC"/>
        <family val="2"/>
      </rPr>
      <t xml:space="preserve">的期數</t>
    </r>
  </si>
  <si>
    <t xml:space="preserve">C28</t>
  </si>
  <si>
    <r>
      <rPr>
        <sz val="10"/>
        <color rgb="FF000000"/>
        <rFont val="Arial"/>
        <family val="0"/>
        <charset val="1"/>
      </rPr>
      <t xml:space="preserve">D14r</t>
    </r>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年化雲端營收 </t>
    </r>
    <r>
      <rPr>
        <sz val="10"/>
        <color rgb="FF000000"/>
        <rFont val="Arial"/>
        <family val="0"/>
        <charset val="1"/>
      </rPr>
      <t xml:space="preserve">÷ MaaS ARR</t>
    </r>
    <r>
      <rPr>
        <sz val="10"/>
        <color rgb="FF000000"/>
        <rFont val="Noto Sans CJK SC"/>
        <family val="2"/>
      </rPr>
      <t xml:space="preserve">（</t>
    </r>
    <r>
      <rPr>
        <sz val="10"/>
        <color rgb="FF000000"/>
        <rFont val="Arial"/>
        <family val="0"/>
        <charset val="1"/>
      </rPr>
      <t xml:space="preserve">2026-08</t>
    </r>
    <r>
      <rPr>
        <sz val="10"/>
        <color rgb="FF000000"/>
        <rFont val="Noto Sans CJK SC"/>
        <family val="2"/>
      </rPr>
      <t xml:space="preserve">，</t>
    </r>
    <r>
      <rPr>
        <sz val="10"/>
        <color rgb="FF000000"/>
        <rFont val="Arial"/>
        <family val="0"/>
        <charset val="1"/>
      </rPr>
      <t xml:space="preserve">US$16 </t>
    </r>
    <r>
      <rPr>
        <sz val="10"/>
        <color rgb="FF000000"/>
        <rFont val="Noto Sans CJK SC"/>
        <family val="2"/>
      </rPr>
      <t xml:space="preserve">億）− </t>
    </r>
    <r>
      <rPr>
        <sz val="10"/>
        <color rgb="FF000000"/>
        <rFont val="Arial"/>
        <family val="0"/>
        <charset val="1"/>
      </rPr>
      <t xml:space="preserve">1</t>
    </r>
  </si>
  <si>
    <r>
      <rPr>
        <sz val="9"/>
        <color rgb="FF595959"/>
        <rFont val="Noto Sans CJK SC"/>
        <family val="2"/>
      </rPr>
      <t xml:space="preserve">絕對值 </t>
    </r>
    <r>
      <rPr>
        <sz val="9"/>
        <color rgb="FF595959"/>
        <rFont val="Arial"/>
        <family val="0"/>
        <charset val="1"/>
      </rPr>
      <t xml:space="preserve">&gt;25% </t>
    </r>
    <r>
      <rPr>
        <sz val="9"/>
        <color rgb="FF595959"/>
        <rFont val="Noto Sans CJK SC"/>
        <family val="2"/>
      </rPr>
      <t xml:space="preserve">為 </t>
    </r>
    <r>
      <rPr>
        <sz val="9"/>
        <color rgb="FF595959"/>
        <rFont val="Arial"/>
        <family val="0"/>
        <charset val="1"/>
      </rPr>
      <t xml:space="preserve">WARN</t>
    </r>
    <r>
      <rPr>
        <sz val="9"/>
        <color rgb="FF595959"/>
        <rFont val="Noto Sans CJK SC"/>
        <family val="2"/>
      </rPr>
      <t xml:space="preserve">；</t>
    </r>
    <r>
      <rPr>
        <sz val="9"/>
        <color rgb="FF595959"/>
        <rFont val="Arial"/>
        <family val="0"/>
        <charset val="1"/>
      </rPr>
      <t xml:space="preserve">ARR </t>
    </r>
    <r>
      <rPr>
        <sz val="9"/>
        <color rgb="FF595959"/>
        <rFont val="Noto Sans CJK SC"/>
        <family val="2"/>
      </rPr>
      <t xml:space="preserve">只對照、不反推參數；原因見報告</t>
    </r>
  </si>
  <si>
    <t xml:space="preserve">C29</t>
  </si>
  <si>
    <r>
      <rPr>
        <sz val="10"/>
        <color rgb="FF000000"/>
        <rFont val="Arial"/>
        <family val="0"/>
        <charset val="1"/>
      </rPr>
      <t xml:space="preserve">D14r</t>
    </r>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年化總營收 </t>
    </r>
    <r>
      <rPr>
        <sz val="10"/>
        <color rgb="FF000000"/>
        <rFont val="Arial"/>
        <family val="0"/>
        <charset val="1"/>
      </rPr>
      <t xml:space="preserve">÷ </t>
    </r>
    <r>
      <rPr>
        <sz val="10"/>
        <color rgb="FF000000"/>
        <rFont val="Noto Sans CJK SC"/>
        <family val="2"/>
      </rPr>
      <t xml:space="preserve">全業務 </t>
    </r>
    <r>
      <rPr>
        <sz val="10"/>
        <color rgb="FF000000"/>
        <rFont val="Arial"/>
        <family val="0"/>
        <charset val="1"/>
      </rPr>
      <t xml:space="preserve">ARR</t>
    </r>
    <r>
      <rPr>
        <sz val="10"/>
        <color rgb="FF000000"/>
        <rFont val="Noto Sans CJK SC"/>
        <family val="2"/>
      </rPr>
      <t xml:space="preserve">（</t>
    </r>
    <r>
      <rPr>
        <sz val="10"/>
        <color rgb="FF000000"/>
        <rFont val="Arial"/>
        <family val="0"/>
        <charset val="1"/>
      </rPr>
      <t xml:space="preserve">2026-09</t>
    </r>
    <r>
      <rPr>
        <sz val="10"/>
        <color rgb="FF000000"/>
        <rFont val="Noto Sans CJK SC"/>
        <family val="2"/>
      </rPr>
      <t xml:space="preserve">，</t>
    </r>
    <r>
      <rPr>
        <sz val="10"/>
        <color rgb="FF000000"/>
        <rFont val="Arial"/>
        <family val="0"/>
        <charset val="1"/>
      </rPr>
      <t xml:space="preserve">US$18 </t>
    </r>
    <r>
      <rPr>
        <sz val="10"/>
        <color rgb="FF000000"/>
        <rFont val="Noto Sans CJK SC"/>
        <family val="2"/>
      </rPr>
      <t xml:space="preserve">億）− </t>
    </r>
    <r>
      <rPr>
        <sz val="10"/>
        <color rgb="FF000000"/>
        <rFont val="Arial"/>
        <family val="0"/>
        <charset val="1"/>
      </rPr>
      <t xml:space="preserve">1</t>
    </r>
  </si>
  <si>
    <t xml:space="preserve">C30</t>
  </si>
  <si>
    <r>
      <rPr>
        <sz val="10"/>
        <color rgb="FF000000"/>
        <rFont val="Noto Sans CJK SC"/>
        <family val="2"/>
      </rPr>
      <t xml:space="preserve">對照：模型組合有效單價 </t>
    </r>
    <r>
      <rPr>
        <sz val="10"/>
        <color rgb="FF000000"/>
        <rFont val="Arial"/>
        <family val="0"/>
        <charset val="1"/>
      </rPr>
      <t xml:space="preserve">1H26 </t>
    </r>
    <r>
      <rPr>
        <sz val="10"/>
        <color rgb="FF000000"/>
        <rFont val="Noto Sans CJK SC"/>
        <family val="2"/>
      </rPr>
      <t xml:space="preserve">對 </t>
    </r>
    <r>
      <rPr>
        <sz val="10"/>
        <color rgb="FF000000"/>
        <rFont val="Arial"/>
        <family val="0"/>
        <charset val="1"/>
      </rPr>
      <t xml:space="preserve">2025 </t>
    </r>
    <r>
      <rPr>
        <sz val="10"/>
        <color rgb="FF000000"/>
        <rFont val="Noto Sans CJK SC"/>
        <family val="2"/>
      </rPr>
      <t xml:space="preserve">變動</t>
    </r>
  </si>
  <si>
    <t xml:space="preserve">INFO</t>
  </si>
  <si>
    <r>
      <rPr>
        <sz val="9"/>
        <color rgb="FF595959"/>
        <rFont val="Noto Sans CJK SC"/>
        <family val="2"/>
      </rPr>
      <t xml:space="preserve">公司稱平均售價較年初 </t>
    </r>
    <r>
      <rPr>
        <sz val="9"/>
        <color rgb="FF595959"/>
        <rFont val="Arial"/>
        <family val="0"/>
        <charset val="1"/>
      </rPr>
      <t xml:space="preserve">+101%</t>
    </r>
    <r>
      <rPr>
        <sz val="9"/>
        <color rgb="FF595959"/>
        <rFont val="Noto Sans CJK SC"/>
        <family val="2"/>
      </rPr>
      <t xml:space="preserve">（實現售價口徑）；報告討論</t>
    </r>
  </si>
  <si>
    <t xml:space="preserve">C31</t>
  </si>
  <si>
    <r>
      <rPr>
        <sz val="10"/>
        <color rgb="FF000000"/>
        <rFont val="Noto Sans CJK SC"/>
        <family val="2"/>
      </rPr>
      <t xml:space="preserve">對照：模型組合有效單價 </t>
    </r>
    <r>
      <rPr>
        <sz val="10"/>
        <color rgb="FF000000"/>
        <rFont val="Arial"/>
        <family val="0"/>
        <charset val="1"/>
      </rPr>
      <t xml:space="preserve">2H26 </t>
    </r>
    <r>
      <rPr>
        <sz val="10"/>
        <color rgb="FF000000"/>
        <rFont val="Noto Sans CJK SC"/>
        <family val="2"/>
      </rPr>
      <t xml:space="preserve">對 </t>
    </r>
    <r>
      <rPr>
        <sz val="10"/>
        <color rgb="FF000000"/>
        <rFont val="Arial"/>
        <family val="0"/>
        <charset val="1"/>
      </rPr>
      <t xml:space="preserve">2025 </t>
    </r>
    <r>
      <rPr>
        <sz val="10"/>
        <color rgb="FF000000"/>
        <rFont val="Noto Sans CJK SC"/>
        <family val="2"/>
      </rPr>
      <t xml:space="preserve">變動</t>
    </r>
  </si>
  <si>
    <r>
      <rPr>
        <sz val="9"/>
        <color rgb="FF595959"/>
        <rFont val="Noto Sans CJK SC"/>
        <family val="2"/>
      </rPr>
      <t xml:space="preserve">公司稱較 </t>
    </r>
    <r>
      <rPr>
        <sz val="9"/>
        <color rgb="FF595959"/>
        <rFont val="Arial"/>
        <family val="0"/>
        <charset val="1"/>
      </rPr>
      <t xml:space="preserve">2025 </t>
    </r>
    <r>
      <rPr>
        <sz val="9"/>
        <color rgb="FF595959"/>
        <rFont val="Noto Sans CJK SC"/>
        <family val="2"/>
      </rPr>
      <t xml:space="preserve">年底 </t>
    </r>
    <r>
      <rPr>
        <sz val="9"/>
        <color rgb="FF595959"/>
        <rFont val="Arial"/>
        <family val="0"/>
        <charset val="1"/>
      </rPr>
      <t xml:space="preserve">+83%</t>
    </r>
    <r>
      <rPr>
        <sz val="9"/>
        <color rgb="FF595959"/>
        <rFont val="Noto Sans CJK SC"/>
        <family val="2"/>
      </rPr>
      <t xml:space="preserve">（截至 </t>
    </r>
    <r>
      <rPr>
        <sz val="9"/>
        <color rgb="FF595959"/>
        <rFont val="Arial"/>
        <family val="0"/>
        <charset val="1"/>
      </rPr>
      <t xml:space="preserve">2026-03</t>
    </r>
    <r>
      <rPr>
        <sz val="9"/>
        <color rgb="FF595959"/>
        <rFont val="Noto Sans CJK SC"/>
        <family val="2"/>
      </rPr>
      <t xml:space="preserve">）</t>
    </r>
  </si>
  <si>
    <t xml:space="preserve">C32</t>
  </si>
  <si>
    <r>
      <rPr>
        <sz val="10"/>
        <color rgb="FF000000"/>
        <rFont val="Noto Sans CJK SC"/>
        <family val="2"/>
      </rPr>
      <t xml:space="preserve">對照：模型 </t>
    </r>
    <r>
      <rPr>
        <sz val="10"/>
        <color rgb="FF000000"/>
        <rFont val="Arial"/>
        <family val="0"/>
        <charset val="1"/>
      </rPr>
      <t xml:space="preserve">2H26 ÷ 1H26 API token</t>
    </r>
  </si>
  <si>
    <r>
      <rPr>
        <sz val="9"/>
        <color rgb="FF595959"/>
        <rFont val="Noto Sans CJK SC"/>
        <family val="2"/>
      </rPr>
      <t xml:space="preserve">公司稱 </t>
    </r>
    <r>
      <rPr>
        <sz val="9"/>
        <color rgb="FF595959"/>
        <rFont val="Arial"/>
        <family val="0"/>
        <charset val="1"/>
      </rPr>
      <t xml:space="preserve">MaaS </t>
    </r>
    <r>
      <rPr>
        <sz val="9"/>
        <color rgb="FF595959"/>
        <rFont val="Noto Sans CJK SC"/>
        <family val="2"/>
      </rPr>
      <t xml:space="preserve">呼叫量較年初 </t>
    </r>
    <r>
      <rPr>
        <sz val="9"/>
        <color rgb="FF595959"/>
        <rFont val="Arial"/>
        <family val="0"/>
        <charset val="1"/>
      </rPr>
      <t xml:space="preserve">40 </t>
    </r>
    <r>
      <rPr>
        <sz val="9"/>
        <color rgb="FF595959"/>
        <rFont val="Noto Sans CJK SC"/>
        <family val="2"/>
      </rPr>
      <t xml:space="preserve">倍以上（時點對時點，口徑不同）</t>
    </r>
  </si>
  <si>
    <t xml:space="preserve">C33</t>
  </si>
  <si>
    <r>
      <rPr>
        <sz val="10"/>
        <color rgb="FF000000"/>
        <rFont val="Noto Sans CJK SC"/>
        <family val="2"/>
      </rPr>
      <t xml:space="preserve">對照：</t>
    </r>
    <r>
      <rPr>
        <sz val="10"/>
        <color rgb="FF000000"/>
        <rFont val="Arial"/>
        <family val="0"/>
        <charset val="1"/>
      </rPr>
      <t xml:space="preserve">2H25→1H26 </t>
    </r>
    <r>
      <rPr>
        <sz val="10"/>
        <color rgb="FF000000"/>
        <rFont val="Noto Sans CJK SC"/>
        <family val="2"/>
      </rPr>
      <t xml:space="preserve">實際隱含量成長（倍）</t>
    </r>
  </si>
  <si>
    <r>
      <rPr>
        <sz val="9"/>
        <color rgb="FF595959"/>
        <rFont val="Arial"/>
        <family val="0"/>
        <charset val="1"/>
      </rPr>
      <t xml:space="preserve">Inputs 2H26 </t>
    </r>
    <r>
      <rPr>
        <sz val="9"/>
        <color rgb="FF595959"/>
        <rFont val="Noto Sans CJK SC"/>
        <family val="2"/>
      </rPr>
      <t xml:space="preserve">任務數成長（</t>
    </r>
    <r>
      <rPr>
        <sz val="9"/>
        <color rgb="FF595959"/>
        <rFont val="Arial"/>
        <family val="0"/>
        <charset val="1"/>
      </rPr>
      <t xml:space="preserve">R1</t>
    </r>
    <r>
      <rPr>
        <sz val="9"/>
        <color rgb="FF595959"/>
        <rFont val="Noto Sans CJK SC"/>
        <family val="2"/>
      </rPr>
      <t xml:space="preserve">：延續此實際動能 </t>
    </r>
    <r>
      <rPr>
        <sz val="9"/>
        <color rgb="FF595959"/>
        <rFont val="Arial"/>
        <family val="0"/>
        <charset val="1"/>
      </rPr>
      <t xml:space="preserve">2.24</t>
    </r>
    <r>
      <rPr>
        <sz val="9"/>
        <color rgb="FF595959"/>
        <rFont val="Noto Sans CJK SC"/>
        <family val="2"/>
      </rPr>
      <t xml:space="preserve">）的依據</t>
    </r>
  </si>
  <si>
    <t xml:space="preserve">C34</t>
  </si>
  <si>
    <r>
      <rPr>
        <sz val="10"/>
        <color rgb="FF000000"/>
        <rFont val="Noto Sans CJK SC"/>
        <family val="2"/>
      </rPr>
      <t xml:space="preserve">對照：</t>
    </r>
    <r>
      <rPr>
        <sz val="10"/>
        <color rgb="FF000000"/>
        <rFont val="Arial"/>
        <family val="0"/>
        <charset val="1"/>
      </rPr>
      <t xml:space="preserve">2025 </t>
    </r>
    <r>
      <rPr>
        <sz val="10"/>
        <color rgb="FF000000"/>
        <rFont val="Noto Sans CJK SC"/>
        <family val="2"/>
      </rPr>
      <t xml:space="preserve">未校準差距（</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</si>
  <si>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日均 </t>
    </r>
    <r>
      <rPr>
        <sz val="9"/>
        <color rgb="FF595959"/>
        <rFont val="Arial"/>
        <family val="0"/>
        <charset val="1"/>
      </rPr>
      <t xml:space="preserve">4.2T </t>
    </r>
    <r>
      <rPr>
        <sz val="9"/>
        <color rgb="FF595959"/>
        <rFont val="Noto Sans CJK SC"/>
        <family val="2"/>
      </rPr>
      <t xml:space="preserve">全數按有效單價計的假想營收 − 年報</t>
    </r>
  </si>
  <si>
    <t xml:space="preserve">C35</t>
  </si>
  <si>
    <r>
      <rPr>
        <sz val="10"/>
        <color rgb="FF000000"/>
        <rFont val="Noto Sans CJK SC"/>
        <family val="2"/>
      </rPr>
      <t xml:space="preserve">對照：</t>
    </r>
    <r>
      <rPr>
        <sz val="10"/>
        <color rgb="FF000000"/>
        <rFont val="Arial"/>
        <family val="0"/>
        <charset val="1"/>
      </rPr>
      <t xml:space="preserve">2025 </t>
    </r>
    <r>
      <rPr>
        <sz val="10"/>
        <color rgb="FF000000"/>
        <rFont val="Noto Sans CJK SC"/>
        <family val="2"/>
      </rPr>
      <t xml:space="preserve">計費比例（按量計費 </t>
    </r>
    <r>
      <rPr>
        <sz val="10"/>
        <color rgb="FF000000"/>
        <rFont val="Arial"/>
        <family val="0"/>
        <charset val="1"/>
      </rPr>
      <t xml:space="preserve">token ÷ </t>
    </r>
    <r>
      <rPr>
        <sz val="10"/>
        <color rgb="FF000000"/>
        <rFont val="Noto Sans CJK SC"/>
        <family val="2"/>
      </rPr>
      <t xml:space="preserve">揭露日均 </t>
    </r>
    <r>
      <rPr>
        <sz val="10"/>
        <color rgb="FF000000"/>
        <rFont val="Arial"/>
        <family val="0"/>
        <charset val="1"/>
      </rPr>
      <t xml:space="preserve">× 365</t>
    </r>
    <r>
      <rPr>
        <sz val="10"/>
        <color rgb="FF000000"/>
        <rFont val="Noto Sans CJK SC"/>
        <family val="2"/>
      </rPr>
      <t xml:space="preserve">）</t>
    </r>
  </si>
  <si>
    <t xml:space="preserve">C36</t>
  </si>
  <si>
    <r>
      <rPr>
        <sz val="10"/>
        <color rgb="FF000000"/>
        <rFont val="Noto Sans CJK SC"/>
        <family val="2"/>
      </rPr>
      <t xml:space="preserve">對照：模型 </t>
    </r>
    <r>
      <rPr>
        <sz val="10"/>
        <color rgb="FF000000"/>
        <rFont val="Arial"/>
        <family val="0"/>
        <charset val="1"/>
      </rPr>
      <t xml:space="preserve">2026 </t>
    </r>
    <r>
      <rPr>
        <sz val="10"/>
        <color rgb="FF000000"/>
        <rFont val="Noto Sans CJK SC"/>
        <family val="2"/>
      </rPr>
      <t xml:space="preserve">總額 − 分析師共識（</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</si>
  <si>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共識 </t>
    </r>
    <r>
      <rPr>
        <sz val="9"/>
        <color rgb="FF595959"/>
        <rFont val="Arial"/>
        <family val="0"/>
        <charset val="1"/>
      </rPr>
      <t xml:space="preserve">60.48 </t>
    </r>
    <r>
      <rPr>
        <sz val="9"/>
        <color rgb="FF595959"/>
        <rFont val="Noto Sans CJK SC"/>
        <family val="2"/>
      </rPr>
      <t xml:space="preserve">億（</t>
    </r>
    <r>
      <rPr>
        <sz val="9"/>
        <color rgb="FF595959"/>
        <rFont val="Arial"/>
        <family val="0"/>
        <charset val="1"/>
      </rPr>
      <t xml:space="preserve">Interested-party</t>
    </r>
    <r>
      <rPr>
        <sz val="9"/>
        <color rgb="FF595959"/>
        <rFont val="Noto Sans CJK SC"/>
        <family val="2"/>
      </rPr>
      <t xml:space="preserve">）</t>
    </r>
  </si>
  <si>
    <t xml:space="preserve">C37</t>
  </si>
  <si>
    <r>
      <rPr>
        <sz val="10"/>
        <color rgb="FF000000"/>
        <rFont val="Noto Sans CJK SC"/>
        <family val="2"/>
      </rPr>
      <t xml:space="preserve">對照：本模型 </t>
    </r>
    <r>
      <rPr>
        <sz val="10"/>
        <color rgb="FF000000"/>
        <rFont val="Arial"/>
        <family val="0"/>
        <charset val="1"/>
      </rPr>
      <t xml:space="preserve">2H26 Sol </t>
    </r>
    <r>
      <rPr>
        <sz val="10"/>
        <color rgb="FF000000"/>
        <rFont val="Noto Sans CJK SC"/>
        <family val="2"/>
      </rPr>
      <t xml:space="preserve">有效單價 </t>
    </r>
    <r>
      <rPr>
        <sz val="10"/>
        <color rgb="FF000000"/>
        <rFont val="Arial"/>
        <family val="0"/>
        <charset val="1"/>
      </rPr>
      <t xml:space="preserve">÷ TK GLM-5.3 </t>
    </r>
    <r>
      <rPr>
        <sz val="10"/>
        <color rgb="FF000000"/>
        <rFont val="Noto Sans CJK SC"/>
        <family val="2"/>
      </rPr>
      <t xml:space="preserve">混合單價 </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</si>
  <si>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TK_Link </t>
    </r>
    <r>
      <rPr>
        <sz val="9"/>
        <color rgb="FF595959"/>
        <rFont val="Noto Sans CJK SC"/>
        <family val="2"/>
      </rPr>
      <t xml:space="preserve">讀表列</t>
    </r>
  </si>
  <si>
    <t xml:space="preserve">C38</t>
  </si>
  <si>
    <r>
      <rPr>
        <sz val="10"/>
        <color rgb="FF000000"/>
        <rFont val="Noto Sans CJK SC"/>
        <family val="2"/>
      </rPr>
      <t xml:space="preserve">對照：本模型 </t>
    </r>
    <r>
      <rPr>
        <sz val="10"/>
        <color rgb="FF000000"/>
        <rFont val="Arial"/>
        <family val="0"/>
        <charset val="1"/>
      </rPr>
      <t xml:space="preserve">2H26 Luna </t>
    </r>
    <r>
      <rPr>
        <sz val="10"/>
        <color rgb="FF000000"/>
        <rFont val="Noto Sans CJK SC"/>
        <family val="2"/>
      </rPr>
      <t xml:space="preserve">有效單價 </t>
    </r>
    <r>
      <rPr>
        <sz val="10"/>
        <color rgb="FF000000"/>
        <rFont val="Arial"/>
        <family val="0"/>
        <charset val="1"/>
      </rPr>
      <t xml:space="preserve">÷ TK </t>
    </r>
    <r>
      <rPr>
        <sz val="10"/>
        <color rgb="FF000000"/>
        <rFont val="Noto Sans CJK SC"/>
        <family val="2"/>
      </rPr>
      <t xml:space="preserve">中國合格前緣 </t>
    </r>
    <r>
      <rPr>
        <sz val="10"/>
        <color rgb="FF000000"/>
        <rFont val="Arial"/>
        <family val="0"/>
        <charset val="1"/>
      </rPr>
      <t xml:space="preserve">× </t>
    </r>
    <r>
      <rPr>
        <sz val="10"/>
        <color rgb="FF000000"/>
        <rFont val="Noto Sans CJK SC"/>
        <family val="2"/>
      </rPr>
      <t xml:space="preserve">匯率</t>
    </r>
  </si>
  <si>
    <t xml:space="preserve">C39</t>
  </si>
  <si>
    <r>
      <rPr>
        <sz val="10"/>
        <color rgb="FF000000"/>
        <rFont val="Noto Sans CJK SC"/>
        <family val="2"/>
      </rPr>
      <t xml:space="preserve">對照：</t>
    </r>
    <r>
      <rPr>
        <sz val="10"/>
        <color rgb="FF000000"/>
        <rFont val="Arial"/>
        <family val="0"/>
        <charset val="1"/>
      </rPr>
      <t xml:space="preserve">OpenAI v0.6 2030 </t>
    </r>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差額（</t>
    </r>
    <r>
      <rPr>
        <sz val="10"/>
        <color rgb="FF000000"/>
        <rFont val="Arial"/>
        <family val="0"/>
        <charset val="1"/>
      </rPr>
      <t xml:space="preserve">$B/GW</t>
    </r>
    <r>
      <rPr>
        <sz val="10"/>
        <color rgb="FF000000"/>
        <rFont val="Noto Sans CJK SC"/>
        <family val="2"/>
      </rPr>
      <t xml:space="preserve">）</t>
    </r>
  </si>
  <si>
    <r>
      <rPr>
        <sz val="9"/>
        <color rgb="FF595959"/>
        <rFont val="Arial"/>
        <family val="0"/>
        <charset val="1"/>
      </rPr>
      <t xml:space="preserve">OAI_Link</t>
    </r>
    <r>
      <rPr>
        <sz val="9"/>
        <color rgb="FF595959"/>
        <rFont val="Noto Sans CJK SC"/>
        <family val="2"/>
      </rPr>
      <t xml:space="preserve">；只並排（</t>
    </r>
    <r>
      <rPr>
        <sz val="9"/>
        <color rgb="FF595959"/>
        <rFont val="Arial"/>
        <family val="0"/>
        <charset val="1"/>
      </rPr>
      <t xml:space="preserve">Z5 HTML</t>
    </r>
    <r>
      <rPr>
        <sz val="9"/>
        <color rgb="FF595959"/>
        <rFont val="Noto Sans CJK SC"/>
        <family val="2"/>
      </rPr>
      <t xml:space="preserve">）</t>
    </r>
  </si>
  <si>
    <t xml:space="preserve">C40</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</si>
  <si>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營收總額（截頂後，</t>
    </r>
    <r>
      <rPr>
        <sz val="10"/>
        <color rgb="FF000000"/>
        <rFont val="Arial"/>
        <family val="0"/>
        <charset val="1"/>
      </rPr>
      <t xml:space="preserve">RMB </t>
    </r>
    <r>
      <rPr>
        <sz val="10"/>
        <color rgb="FF000000"/>
        <rFont val="Noto Sans CJK SC"/>
        <family val="2"/>
      </rPr>
      <t xml:space="preserve">億）</t>
    </r>
  </si>
  <si>
    <t xml:space="preserve">C41</t>
  </si>
  <si>
    <r>
      <rPr>
        <sz val="10"/>
        <color rgb="FF000000"/>
        <rFont val="Noto Sans CJK SC"/>
        <family val="2"/>
      </rPr>
      <t xml:space="preserve">預覽：</t>
    </r>
    <r>
      <rPr>
        <sz val="10"/>
        <color rgb="FF000000"/>
        <rFont val="Arial"/>
        <family val="0"/>
        <charset val="1"/>
      </rPr>
      <t xml:space="preserve">2030 token </t>
    </r>
    <r>
      <rPr>
        <sz val="10"/>
        <color rgb="FF000000"/>
        <rFont val="Noto Sans CJK SC"/>
        <family val="2"/>
      </rPr>
      <t xml:space="preserve">合計（</t>
    </r>
    <r>
      <rPr>
        <sz val="10"/>
        <color rgb="FF000000"/>
        <rFont val="Arial"/>
        <family val="0"/>
        <charset val="1"/>
      </rPr>
      <t xml:space="preserve">T</t>
    </r>
    <r>
      <rPr>
        <sz val="10"/>
        <color rgb="FF000000"/>
        <rFont val="Noto Sans CJK SC"/>
        <family val="2"/>
      </rPr>
      <t xml:space="preserve">）</t>
    </r>
  </si>
  <si>
    <r>
      <rPr>
        <sz val="9"/>
        <color rgb="FF595959"/>
        <rFont val="Noto Sans CJK SC"/>
        <family val="2"/>
      </rPr>
      <t xml:space="preserve">供 </t>
    </r>
    <r>
      <rPr>
        <sz val="9"/>
        <color rgb="FF595959"/>
        <rFont val="Arial"/>
        <family val="0"/>
        <charset val="1"/>
      </rPr>
      <t xml:space="preserve">Z3</t>
    </r>
  </si>
  <si>
    <t xml:space="preserve">C43</t>
  </si>
  <si>
    <r>
      <rPr>
        <sz val="10"/>
        <color rgb="FF000000"/>
        <rFont val="Arial"/>
        <family val="0"/>
        <charset val="1"/>
      </rPr>
      <t xml:space="preserve">Compute</t>
    </r>
    <r>
      <rPr>
        <sz val="10"/>
        <color rgb="FF000000"/>
        <rFont val="Noto Sans CJK SC"/>
        <family val="2"/>
      </rPr>
      <t xml:space="preserve">：晶片族 </t>
    </r>
    <r>
      <rPr>
        <sz val="10"/>
        <color rgb="FF000000"/>
        <rFont val="Arial"/>
        <family val="0"/>
        <charset val="1"/>
      </rPr>
      <t xml:space="preserve">GW </t>
    </r>
    <r>
      <rPr>
        <sz val="10"/>
        <color rgb="FF000000"/>
        <rFont val="Noto Sans CJK SC"/>
        <family val="2"/>
      </rPr>
      <t xml:space="preserve">占比 ∉</t>
    </r>
    <r>
      <rPr>
        <sz val="10"/>
        <color rgb="FF000000"/>
        <rFont val="Arial"/>
        <family val="0"/>
        <charset val="1"/>
      </rPr>
      <t xml:space="preserve">[0,1] </t>
    </r>
    <r>
      <rPr>
        <sz val="10"/>
        <color rgb="FF000000"/>
        <rFont val="Noto Sans CJK SC"/>
        <family val="2"/>
      </rPr>
      <t xml:space="preserve">的格數（</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1 − </t>
    </r>
    <r>
      <rPr>
        <sz val="10"/>
        <color rgb="FF000000"/>
        <rFont val="Noto Sans CJK SC"/>
        <family val="2"/>
      </rPr>
      <t xml:space="preserve">國產 − </t>
    </r>
    <r>
      <rPr>
        <sz val="10"/>
        <color rgb="FF000000"/>
        <rFont val="Arial"/>
        <family val="0"/>
        <charset val="1"/>
      </rPr>
      <t xml:space="preserve">H20</t>
    </r>
    <r>
      <rPr>
        <sz val="10"/>
        <color rgb="FF000000"/>
        <rFont val="Noto Sans CJK SC"/>
        <family val="2"/>
      </rPr>
      <t xml:space="preserve">）</t>
    </r>
  </si>
  <si>
    <r>
      <rPr>
        <sz val="9"/>
        <color rgb="FF595959"/>
        <rFont val="Arial"/>
        <family val="0"/>
        <charset val="1"/>
      </rPr>
      <t xml:space="preserve">Inputs </t>
    </r>
    <r>
      <rPr>
        <sz val="9"/>
        <color rgb="FF595959"/>
        <rFont val="Noto Sans CJK SC"/>
        <family val="2"/>
      </rPr>
      <t xml:space="preserve">國產＋</t>
    </r>
    <r>
      <rPr>
        <sz val="9"/>
        <color rgb="FF595959"/>
        <rFont val="Arial"/>
        <family val="0"/>
        <charset val="1"/>
      </rPr>
      <t xml:space="preserve">H20 ≤ 1</t>
    </r>
  </si>
  <si>
    <t xml:space="preserve">C44</t>
  </si>
  <si>
    <r>
      <rPr>
        <sz val="10"/>
        <color rgb="FF000000"/>
        <rFont val="Arial"/>
        <family val="0"/>
        <charset val="1"/>
      </rPr>
      <t xml:space="preserve">Compute</t>
    </r>
    <r>
      <rPr>
        <sz val="10"/>
        <color rgb="FF000000"/>
        <rFont val="Noto Sans CJK SC"/>
        <family val="2"/>
      </rPr>
      <t xml:space="preserve">：供給 </t>
    </r>
    <r>
      <rPr>
        <sz val="10"/>
        <color rgb="FF000000"/>
        <rFont val="Arial"/>
        <family val="0"/>
        <charset val="1"/>
      </rPr>
      <t xml:space="preserve">GW &lt; </t>
    </r>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（截頂後）的期數</t>
    </r>
  </si>
  <si>
    <r>
      <rPr>
        <sz val="9"/>
        <color rgb="FF595959"/>
        <rFont val="Noto Sans CJK SC"/>
        <family val="2"/>
      </rPr>
      <t xml:space="preserve">工作單 </t>
    </r>
    <r>
      <rPr>
        <sz val="9"/>
        <color rgb="FF595959"/>
        <rFont val="Arial"/>
        <family val="0"/>
        <charset val="1"/>
      </rPr>
      <t xml:space="preserve">Z3 </t>
    </r>
    <r>
      <rPr>
        <sz val="9"/>
        <color rgb="FF595959"/>
        <rFont val="Noto Sans CJK SC"/>
        <family val="2"/>
      </rPr>
      <t xml:space="preserve">第 </t>
    </r>
    <r>
      <rPr>
        <sz val="9"/>
        <color rgb="FF595959"/>
        <rFont val="Arial"/>
        <family val="0"/>
        <charset val="1"/>
      </rPr>
      <t xml:space="preserve">3 </t>
    </r>
    <r>
      <rPr>
        <sz val="9"/>
        <color rgb="FF595959"/>
        <rFont val="Noto Sans CJK SC"/>
        <family val="2"/>
      </rPr>
      <t xml:space="preserve">步：供給 ≥ 推論</t>
    </r>
  </si>
  <si>
    <t xml:space="preserve">C45</t>
  </si>
  <si>
    <r>
      <rPr>
        <sz val="10"/>
        <color rgb="FF000000"/>
        <rFont val="Arial"/>
        <family val="0"/>
        <charset val="1"/>
      </rPr>
      <t xml:space="preserve">Compute</t>
    </r>
    <r>
      <rPr>
        <sz val="10"/>
        <color rgb="FF000000"/>
        <rFont val="Noto Sans CJK SC"/>
        <family val="2"/>
      </rPr>
      <t xml:space="preserve">：研發 </t>
    </r>
    <r>
      <rPr>
        <sz val="10"/>
        <color rgb="FF000000"/>
        <rFont val="Arial"/>
        <family val="0"/>
        <charset val="1"/>
      </rPr>
      <t xml:space="preserve">GW</t>
    </r>
    <r>
      <rPr>
        <sz val="10"/>
        <color rgb="FF000000"/>
        <rFont val="Noto Sans CJK SC"/>
        <family val="2"/>
      </rPr>
      <t xml:space="preserve">（殘差）</t>
    </r>
    <r>
      <rPr>
        <sz val="10"/>
        <color rgb="FF000000"/>
        <rFont val="Arial"/>
        <family val="0"/>
        <charset val="1"/>
      </rPr>
      <t xml:space="preserve">&lt; 0 </t>
    </r>
    <r>
      <rPr>
        <sz val="10"/>
        <color rgb="FF000000"/>
        <rFont val="Noto Sans CJK SC"/>
        <family val="2"/>
      </rPr>
      <t xml:space="preserve">的期數</t>
    </r>
  </si>
  <si>
    <r>
      <rPr>
        <sz val="9"/>
        <color rgb="FF595959"/>
        <rFont val="Noto Sans CJK SC"/>
        <family val="2"/>
      </rPr>
      <t xml:space="preserve">研發 </t>
    </r>
    <r>
      <rPr>
        <sz val="9"/>
        <color rgb="FF595959"/>
        <rFont val="Arial"/>
        <family val="0"/>
        <charset val="1"/>
      </rPr>
      <t xml:space="preserve">GW </t>
    </r>
    <r>
      <rPr>
        <sz val="9"/>
        <color rgb="FF595959"/>
        <rFont val="Noto Sans CJK SC"/>
        <family val="2"/>
      </rPr>
      <t xml:space="preserve">非負旗標（校準期：研發算力費 </t>
    </r>
    <r>
      <rPr>
        <sz val="9"/>
        <color rgb="FF595959"/>
        <rFont val="Arial"/>
        <family val="0"/>
        <charset val="1"/>
      </rPr>
      <t xml:space="preserve">&lt; 0 </t>
    </r>
    <r>
      <rPr>
        <sz val="9"/>
        <color rgb="FF595959"/>
        <rFont val="Noto Sans CJK SC"/>
        <family val="2"/>
      </rPr>
      <t xml:space="preserve">或推論超過供給時轉 </t>
    </r>
    <r>
      <rPr>
        <sz val="9"/>
        <color rgb="FF595959"/>
        <rFont val="Arial"/>
        <family val="0"/>
        <charset val="1"/>
      </rPr>
      <t xml:space="preserve">ERR</t>
    </r>
    <r>
      <rPr>
        <sz val="9"/>
        <color rgb="FF595959"/>
        <rFont val="Noto Sans CJK SC"/>
        <family val="2"/>
      </rPr>
      <t xml:space="preserve">）</t>
    </r>
  </si>
  <si>
    <t xml:space="preserve">C46</t>
  </si>
  <si>
    <r>
      <rPr>
        <sz val="10"/>
        <color rgb="FF000000"/>
        <rFont val="Arial"/>
        <family val="0"/>
        <charset val="1"/>
      </rPr>
      <t xml:space="preserve">Compute</t>
    </r>
    <r>
      <rPr>
        <sz val="10"/>
        <color rgb="FF000000"/>
        <rFont val="Noto Sans CJK SC"/>
        <family val="2"/>
      </rPr>
      <t xml:space="preserve">：推論（截頂後）＋研發＋閒置 − 供給（各期最大絕對值，</t>
    </r>
    <r>
      <rPr>
        <sz val="10"/>
        <color rgb="FF000000"/>
        <rFont val="Arial"/>
        <family val="0"/>
        <charset val="1"/>
      </rPr>
      <t xml:space="preserve">GW</t>
    </r>
    <r>
      <rPr>
        <sz val="10"/>
        <color rgb="FF000000"/>
        <rFont val="Noto Sans CJK SC"/>
        <family val="2"/>
      </rPr>
      <t xml:space="preserve">）</t>
    </r>
  </si>
  <si>
    <t xml:space="preserve">恆等式</t>
  </si>
  <si>
    <t xml:space="preserve">C47</t>
  </si>
  <si>
    <r>
      <rPr>
        <sz val="10"/>
        <color rgb="FF000000"/>
        <rFont val="Arial"/>
        <family val="0"/>
        <charset val="1"/>
      </rPr>
      <t xml:space="preserve">Compute</t>
    </r>
    <r>
      <rPr>
        <sz val="10"/>
        <color rgb="FF000000"/>
        <rFont val="Noto Sans CJK SC"/>
        <family val="2"/>
      </rPr>
      <t xml:space="preserve">：容量上限係數 ∉</t>
    </r>
    <r>
      <rPr>
        <sz val="10"/>
        <color rgb="FF000000"/>
        <rFont val="Arial"/>
        <family val="0"/>
        <charset val="1"/>
      </rPr>
      <t xml:space="preserve">(0,1] </t>
    </r>
    <r>
      <rPr>
        <sz val="10"/>
        <color rgb="FF000000"/>
        <rFont val="Noto Sans CJK SC"/>
        <family val="2"/>
      </rPr>
      <t xml:space="preserve">的期數</t>
    </r>
  </si>
  <si>
    <t xml:space="preserve">C48</t>
  </si>
  <si>
    <r>
      <rPr>
        <sz val="10"/>
        <color rgb="FF000000"/>
        <rFont val="Arial"/>
        <family val="0"/>
        <charset val="1"/>
      </rPr>
      <t xml:space="preserve">Revenue</t>
    </r>
    <r>
      <rPr>
        <sz val="10"/>
        <color rgb="FF000000"/>
        <rFont val="Noto Sans CJK SC"/>
        <family val="2"/>
      </rPr>
      <t xml:space="preserve">：截頂後營收總額 </t>
    </r>
    <r>
      <rPr>
        <sz val="10"/>
        <color rgb="FF000000"/>
        <rFont val="Arial"/>
        <family val="0"/>
        <charset val="1"/>
      </rPr>
      <t xml:space="preserve">&gt; </t>
    </r>
    <r>
      <rPr>
        <sz val="10"/>
        <color rgb="FF000000"/>
        <rFont val="Noto Sans CJK SC"/>
        <family val="2"/>
      </rPr>
      <t xml:space="preserve">未截頂的年數</t>
    </r>
  </si>
  <si>
    <t xml:space="preserve">容量上限只能使營收下降</t>
  </si>
  <si>
    <t xml:space="preserve">C49</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</si>
  <si>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算力成本 −（推論＋研發算力服務費）（</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</si>
  <si>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工作單：</t>
    </r>
    <r>
      <rPr>
        <sz val="9"/>
        <color rgb="FF595959"/>
        <rFont val="Arial"/>
        <family val="0"/>
        <charset val="1"/>
      </rPr>
      <t xml:space="preserve">2025 </t>
    </r>
    <r>
      <rPr>
        <sz val="9"/>
        <color rgb="FF595959"/>
        <rFont val="Noto Sans CJK SC"/>
        <family val="2"/>
      </rPr>
      <t xml:space="preserve">算力費對帳</t>
    </r>
  </si>
  <si>
    <t xml:space="preserve">C50</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</si>
  <si>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算力成本 −（推論＋研發算力服務費）（</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</si>
  <si>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工作單：</t>
    </r>
    <r>
      <rPr>
        <sz val="9"/>
        <color rgb="FF595959"/>
        <rFont val="Arial"/>
        <family val="0"/>
        <charset val="1"/>
      </rPr>
      <t xml:space="preserve">1H26 </t>
    </r>
    <r>
      <rPr>
        <sz val="9"/>
        <color rgb="FF595959"/>
        <rFont val="Noto Sans CJK SC"/>
        <family val="2"/>
      </rPr>
      <t xml:space="preserve">算力費對帳</t>
    </r>
  </si>
  <si>
    <t xml:space="preserve">C51</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</si>
  <si>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全成本 − 財報費用合計（銷售成本＋研發＋銷售＋管理）（</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</si>
  <si>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工作單 </t>
    </r>
    <r>
      <rPr>
        <sz val="9"/>
        <color rgb="FF595959"/>
        <rFont val="Arial"/>
        <family val="0"/>
        <charset val="1"/>
      </rPr>
      <t xml:space="preserve">Z3 </t>
    </r>
    <r>
      <rPr>
        <sz val="9"/>
        <color rgb="FF595959"/>
        <rFont val="Noto Sans CJK SC"/>
        <family val="2"/>
      </rPr>
      <t xml:space="preserve">第 </t>
    </r>
    <r>
      <rPr>
        <sz val="9"/>
        <color rgb="FF595959"/>
        <rFont val="Arial"/>
        <family val="0"/>
        <charset val="1"/>
      </rPr>
      <t xml:space="preserve">2 </t>
    </r>
    <r>
      <rPr>
        <sz val="9"/>
        <color rgb="FF595959"/>
        <rFont val="Noto Sans CJK SC"/>
        <family val="2"/>
      </rPr>
      <t xml:space="preserve">步：差距＝</t>
    </r>
    <r>
      <rPr>
        <sz val="9"/>
        <color rgb="FF595959"/>
        <rFont val="Arial"/>
        <family val="0"/>
        <charset val="1"/>
      </rPr>
      <t xml:space="preserve">0</t>
    </r>
  </si>
  <si>
    <t xml:space="preserve">C52</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</si>
  <si>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全成本 − 財報費用合計（</t>
    </r>
    <r>
      <rPr>
        <sz val="10"/>
        <color rgb="FF000000"/>
        <rFont val="Arial"/>
        <family val="0"/>
        <charset val="1"/>
      </rPr>
      <t xml:space="preserve">RMB </t>
    </r>
    <r>
      <rPr>
        <sz val="10"/>
        <color rgb="FF000000"/>
        <rFont val="Noto Sans CJK SC"/>
        <family val="2"/>
      </rPr>
      <t xml:space="preserve">億）</t>
    </r>
  </si>
  <si>
    <t xml:space="preserve">C53</t>
  </si>
  <si>
    <r>
      <rPr>
        <sz val="10"/>
        <color rgb="FF000000"/>
        <rFont val="Arial"/>
        <family val="0"/>
        <charset val="1"/>
      </rPr>
      <t xml:space="preserve">Cost</t>
    </r>
    <r>
      <rPr>
        <sz val="10"/>
        <color rgb="FF000000"/>
        <rFont val="Noto Sans CJK SC"/>
        <family val="2"/>
      </rPr>
      <t xml:space="preserve">：校準期非算力成本（財報殘差）</t>
    </r>
    <r>
      <rPr>
        <sz val="10"/>
        <color rgb="FF000000"/>
        <rFont val="Arial"/>
        <family val="0"/>
        <charset val="1"/>
      </rPr>
      <t xml:space="preserve">&lt; 0 </t>
    </r>
    <r>
      <rPr>
        <sz val="10"/>
        <color rgb="FF000000"/>
        <rFont val="Noto Sans CJK SC"/>
        <family val="2"/>
      </rPr>
      <t xml:space="preserve">的期數</t>
    </r>
  </si>
  <si>
    <r>
      <rPr>
        <sz val="9"/>
        <color rgb="FF595959"/>
        <rFont val="Noto Sans CJK SC"/>
        <family val="2"/>
      </rPr>
      <t xml:space="preserve">算力服務費估計（推論占比、研發算力占比）超過財報費用時轉 </t>
    </r>
    <r>
      <rPr>
        <sz val="9"/>
        <color rgb="FF595959"/>
        <rFont val="Arial"/>
        <family val="0"/>
        <charset val="1"/>
      </rPr>
      <t xml:space="preserve">ERR</t>
    </r>
  </si>
  <si>
    <t xml:space="preserve">C54</t>
  </si>
  <si>
    <r>
      <rPr>
        <sz val="10"/>
        <color rgb="FF000000"/>
        <rFont val="Arial"/>
        <family val="0"/>
        <charset val="1"/>
      </rPr>
      <t xml:space="preserve">η 2025 ∉</t>
    </r>
    <r>
      <rPr>
        <sz val="10"/>
        <color rgb="FF000000"/>
        <rFont val="Noto Sans CJK SC"/>
        <family val="2"/>
      </rPr>
      <t xml:space="preserve">［下限</t>
    </r>
    <r>
      <rPr>
        <sz val="10"/>
        <color rgb="FF000000"/>
        <rFont val="Arial"/>
        <family val="0"/>
        <charset val="1"/>
      </rPr>
      <t xml:space="preserve">, </t>
    </r>
    <r>
      <rPr>
        <sz val="10"/>
        <color rgb="FF000000"/>
        <rFont val="Noto Sans CJK SC"/>
        <family val="2"/>
      </rPr>
      <t xml:space="preserve">上限］</t>
    </r>
  </si>
  <si>
    <r>
      <rPr>
        <sz val="10"/>
        <color rgb="FF000000"/>
        <rFont val="Arial"/>
        <family val="0"/>
        <charset val="1"/>
      </rPr>
      <t xml:space="preserve">INP_079</t>
    </r>
    <r>
      <rPr>
        <sz val="10"/>
        <color rgb="FF000000"/>
        <rFont val="Noto Sans CJK SC"/>
        <family val="2"/>
      </rPr>
      <t xml:space="preserve">～</t>
    </r>
    <r>
      <rPr>
        <sz val="10"/>
        <color rgb="FF000000"/>
        <rFont val="Arial"/>
        <family val="0"/>
        <charset val="1"/>
      </rPr>
      <t xml:space="preserve">INP_080</t>
    </r>
  </si>
  <si>
    <r>
      <rPr>
        <sz val="9"/>
        <color rgb="FF595959"/>
        <rFont val="Arial"/>
        <family val="0"/>
        <charset val="1"/>
      </rPr>
      <t xml:space="preserve">η </t>
    </r>
    <r>
      <rPr>
        <sz val="9"/>
        <color rgb="FF595959"/>
        <rFont val="Noto Sans CJK SC"/>
        <family val="2"/>
      </rPr>
      <t xml:space="preserve">合理範圍 </t>
    </r>
    <r>
      <rPr>
        <sz val="9"/>
        <color rgb="FF595959"/>
        <rFont val="Arial"/>
        <family val="0"/>
        <charset val="1"/>
      </rPr>
      <t xml:space="preserve">WARN</t>
    </r>
    <r>
      <rPr>
        <sz val="9"/>
        <color rgb="FF595959"/>
        <rFont val="Noto Sans CJK SC"/>
        <family val="2"/>
      </rPr>
      <t xml:space="preserve">（</t>
    </r>
    <r>
      <rPr>
        <sz val="9"/>
        <color rgb="FF595959"/>
        <rFont val="Arial"/>
        <family val="0"/>
        <charset val="1"/>
      </rPr>
      <t xml:space="preserve">Inputs 0.1–1</t>
    </r>
    <r>
      <rPr>
        <sz val="9"/>
        <color rgb="FF595959"/>
        <rFont val="Noto Sans CJK SC"/>
        <family val="2"/>
      </rPr>
      <t xml:space="preserve">）；</t>
    </r>
    <r>
      <rPr>
        <sz val="9"/>
        <color rgb="FF595959"/>
        <rFont val="Arial"/>
        <family val="0"/>
        <charset val="1"/>
      </rPr>
      <t xml:space="preserve">&gt;1</t>
    </r>
    <r>
      <rPr>
        <sz val="9"/>
        <color rgb="FF595959"/>
        <rFont val="Noto Sans CJK SC"/>
        <family val="2"/>
      </rPr>
      <t xml:space="preserve">＝模型 </t>
    </r>
    <r>
      <rPr>
        <sz val="9"/>
        <color rgb="FF595959"/>
        <rFont val="Arial"/>
        <family val="0"/>
        <charset val="1"/>
      </rPr>
      <t xml:space="preserve">token </t>
    </r>
    <r>
      <rPr>
        <sz val="9"/>
        <color rgb="FF595959"/>
        <rFont val="Noto Sans CJK SC"/>
        <family val="2"/>
      </rPr>
      <t xml:space="preserve">量超過推論算力支出以 </t>
    </r>
    <r>
      <rPr>
        <sz val="9"/>
        <color rgb="FF595959"/>
        <rFont val="Arial"/>
        <family val="0"/>
        <charset val="1"/>
      </rPr>
      <t xml:space="preserve">TK </t>
    </r>
    <r>
      <rPr>
        <sz val="9"/>
        <color rgb="FF595959"/>
        <rFont val="Noto Sans CJK SC"/>
        <family val="2"/>
      </rPr>
      <t xml:space="preserve">產能買得到的量（見報告 </t>
    </r>
    <r>
      <rPr>
        <sz val="9"/>
        <color rgb="FF595959"/>
        <rFont val="Arial"/>
        <family val="0"/>
        <charset val="1"/>
      </rPr>
      <t xml:space="preserve">R4</t>
    </r>
    <r>
      <rPr>
        <sz val="9"/>
        <color rgb="FF595959"/>
        <rFont val="Noto Sans CJK SC"/>
        <family val="2"/>
      </rPr>
      <t xml:space="preserve">）</t>
    </r>
  </si>
  <si>
    <t xml:space="preserve">C55</t>
  </si>
  <si>
    <r>
      <rPr>
        <sz val="10"/>
        <color rgb="FF000000"/>
        <rFont val="Arial"/>
        <family val="0"/>
        <charset val="1"/>
      </rPr>
      <t xml:space="preserve">η 1H26 ∉</t>
    </r>
    <r>
      <rPr>
        <sz val="10"/>
        <color rgb="FF000000"/>
        <rFont val="Noto Sans CJK SC"/>
        <family val="2"/>
      </rPr>
      <t xml:space="preserve">［下限</t>
    </r>
    <r>
      <rPr>
        <sz val="10"/>
        <color rgb="FF000000"/>
        <rFont val="Arial"/>
        <family val="0"/>
        <charset val="1"/>
      </rPr>
      <t xml:space="preserve">, </t>
    </r>
    <r>
      <rPr>
        <sz val="10"/>
        <color rgb="FF000000"/>
        <rFont val="Noto Sans CJK SC"/>
        <family val="2"/>
      </rPr>
      <t xml:space="preserve">上限］</t>
    </r>
  </si>
  <si>
    <t xml:space="preserve">C56</t>
  </si>
  <si>
    <r>
      <rPr>
        <sz val="10"/>
        <color rgb="FF000000"/>
        <rFont val="Noto Sans CJK SC"/>
        <family val="2"/>
      </rPr>
      <t xml:space="preserve">國產晶片 </t>
    </r>
    <r>
      <rPr>
        <sz val="10"/>
        <color rgb="FF000000"/>
        <rFont val="Arial"/>
        <family val="0"/>
        <charset val="1"/>
      </rPr>
      <t xml:space="preserve">GW </t>
    </r>
    <r>
      <rPr>
        <sz val="10"/>
        <color rgb="FF000000"/>
        <rFont val="Noto Sans CJK SC"/>
        <family val="2"/>
      </rPr>
      <t xml:space="preserve">對照：模型 </t>
    </r>
    <r>
      <rPr>
        <sz val="10"/>
        <color rgb="FF000000"/>
        <rFont val="Arial"/>
        <family val="0"/>
        <charset val="1"/>
      </rPr>
      <t xml:space="preserve">2H26 </t>
    </r>
    <r>
      <rPr>
        <sz val="10"/>
        <color rgb="FF000000"/>
        <rFont val="Noto Sans CJK SC"/>
        <family val="2"/>
      </rPr>
      <t xml:space="preserve">國產供給 </t>
    </r>
    <r>
      <rPr>
        <sz val="10"/>
        <color rgb="FF000000"/>
        <rFont val="Arial"/>
        <family val="0"/>
        <charset val="1"/>
      </rPr>
      <t xml:space="preserve">GW ÷</t>
    </r>
    <r>
      <rPr>
        <sz val="10"/>
        <color rgb="FF000000"/>
        <rFont val="Noto Sans CJK SC"/>
        <family val="2"/>
      </rPr>
      <t xml:space="preserve">『</t>
    </r>
    <r>
      <rPr>
        <sz val="10"/>
        <color rgb="FF000000"/>
        <rFont val="Arial"/>
        <family val="0"/>
        <charset val="1"/>
      </rPr>
      <t xml:space="preserve">10 </t>
    </r>
    <r>
      <rPr>
        <sz val="10"/>
        <color rgb="FF000000"/>
        <rFont val="Noto Sans CJK SC"/>
        <family val="2"/>
      </rPr>
      <t xml:space="preserve">萬級國產晶片』換算 </t>
    </r>
    <r>
      <rPr>
        <sz val="10"/>
        <color rgb="FF000000"/>
        <rFont val="Arial"/>
        <family val="0"/>
        <charset val="1"/>
      </rPr>
      <t xml:space="preserve">GW − 1</t>
    </r>
  </si>
  <si>
    <r>
      <rPr>
        <sz val="9"/>
        <color rgb="FF595959"/>
        <rFont val="Noto Sans CJK SC"/>
        <family val="2"/>
      </rPr>
      <t xml:space="preserve">絕對值 </t>
    </r>
    <r>
      <rPr>
        <sz val="9"/>
        <color rgb="FF595959"/>
        <rFont val="Arial"/>
        <family val="0"/>
        <charset val="1"/>
      </rPr>
      <t xml:space="preserve">&gt;50% </t>
    </r>
    <r>
      <rPr>
        <sz val="9"/>
        <color rgb="FF595959"/>
        <rFont val="Noto Sans CJK SC"/>
        <family val="2"/>
      </rPr>
      <t xml:space="preserve">為 </t>
    </r>
    <r>
      <rPr>
        <sz val="9"/>
        <color rgb="FF595959"/>
        <rFont val="Arial"/>
        <family val="0"/>
        <charset val="1"/>
      </rPr>
      <t xml:space="preserve">WARN</t>
    </r>
    <r>
      <rPr>
        <sz val="9"/>
        <color rgb="FF595959"/>
        <rFont val="Noto Sans CJK SC"/>
        <family val="2"/>
      </rPr>
      <t xml:space="preserve">；只對照</t>
    </r>
  </si>
  <si>
    <t xml:space="preserve">C57</t>
  </si>
  <si>
    <r>
      <rPr>
        <sz val="10"/>
        <color rgb="FF000000"/>
        <rFont val="Noto Sans CJK SC"/>
        <family val="2"/>
      </rPr>
      <t xml:space="preserve">對照：</t>
    </r>
    <r>
      <rPr>
        <sz val="10"/>
        <color rgb="FF000000"/>
        <rFont val="Arial"/>
        <family val="0"/>
        <charset val="1"/>
      </rPr>
      <t xml:space="preserve">Coding Plan token GW ÷ </t>
    </r>
    <r>
      <rPr>
        <sz val="10"/>
        <color rgb="FF000000"/>
        <rFont val="Noto Sans CJK SC"/>
        <family val="2"/>
      </rPr>
      <t xml:space="preserve">支出換算推論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</si>
  <si>
    <t xml:space="preserve">R4</t>
  </si>
  <si>
    <t xml:space="preserve">C58</t>
  </si>
  <si>
    <r>
      <rPr>
        <sz val="10"/>
        <color rgb="FF000000"/>
        <rFont val="Noto Sans CJK SC"/>
        <family val="2"/>
      </rPr>
      <t xml:space="preserve">對照：</t>
    </r>
    <r>
      <rPr>
        <sz val="10"/>
        <color rgb="FF000000"/>
        <rFont val="Arial"/>
        <family val="0"/>
        <charset val="1"/>
      </rPr>
      <t xml:space="preserve">Coding Plan token GW ÷ </t>
    </r>
    <r>
      <rPr>
        <sz val="10"/>
        <color rgb="FF000000"/>
        <rFont val="Noto Sans CJK SC"/>
        <family val="2"/>
      </rPr>
      <t xml:space="preserve">支出換算推論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t>
    </r>
  </si>
  <si>
    <t xml:space="preserve">C59</t>
  </si>
  <si>
    <r>
      <rPr>
        <sz val="10"/>
        <color rgb="FF000000"/>
        <rFont val="Noto Sans CJK SC"/>
        <family val="2"/>
      </rPr>
      <t xml:space="preserve">對照：組合後每 </t>
    </r>
    <r>
      <rPr>
        <sz val="10"/>
        <color rgb="FF000000"/>
        <rFont val="Arial"/>
        <family val="0"/>
        <charset val="1"/>
      </rPr>
      <t xml:space="preserve">GW </t>
    </r>
    <r>
      <rPr>
        <sz val="10"/>
        <color rgb="FF000000"/>
        <rFont val="Noto Sans CJK SC"/>
        <family val="2"/>
      </rPr>
      <t xml:space="preserve">年價格 </t>
    </r>
    <r>
      <rPr>
        <sz val="10"/>
        <color rgb="FF000000"/>
        <rFont val="Arial"/>
        <family val="0"/>
        <charset val="1"/>
      </rPr>
      <t xml:space="preserve">1H26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億）</t>
    </r>
  </si>
  <si>
    <t xml:space="preserve">D9r</t>
  </si>
  <si>
    <t xml:space="preserve">C60</t>
  </si>
  <si>
    <r>
      <rPr>
        <sz val="10"/>
        <color rgb="FF000000"/>
        <rFont val="Noto Sans CJK SC"/>
        <family val="2"/>
      </rPr>
      <t xml:space="preserve">對照：研發 </t>
    </r>
    <r>
      <rPr>
        <sz val="10"/>
        <color rgb="FF000000"/>
        <rFont val="Arial"/>
        <family val="0"/>
        <charset val="1"/>
      </rPr>
      <t xml:space="preserve">GW 1H26</t>
    </r>
    <r>
      <rPr>
        <sz val="10"/>
        <color rgb="FF000000"/>
        <rFont val="Noto Sans CJK SC"/>
        <family val="2"/>
      </rPr>
      <t xml:space="preserve">（殘差）</t>
    </r>
    <r>
      <rPr>
        <sz val="10"/>
        <color rgb="FF000000"/>
        <rFont val="Arial"/>
        <family val="0"/>
        <charset val="1"/>
      </rPr>
      <t xml:space="preserve">÷ </t>
    </r>
    <r>
      <rPr>
        <sz val="10"/>
        <color rgb="FF000000"/>
        <rFont val="Noto Sans CJK SC"/>
        <family val="2"/>
      </rPr>
      <t xml:space="preserve">扣除法研發算力費換算 </t>
    </r>
    <r>
      <rPr>
        <sz val="10"/>
        <color rgb="FF000000"/>
        <rFont val="Arial"/>
        <family val="0"/>
        <charset val="1"/>
      </rPr>
      <t xml:space="preserve">GW</t>
    </r>
  </si>
  <si>
    <r>
      <rPr>
        <sz val="9"/>
        <color rgb="FF595959"/>
        <rFont val="Arial"/>
        <family val="0"/>
        <charset val="1"/>
      </rPr>
      <t xml:space="preserve">D12 </t>
    </r>
    <r>
      <rPr>
        <sz val="9"/>
        <color rgb="FF595959"/>
        <rFont val="Noto Sans CJK SC"/>
        <family val="2"/>
      </rPr>
      <t xml:space="preserve">獨立對照</t>
    </r>
  </si>
  <si>
    <t xml:space="preserve">C61</t>
  </si>
  <si>
    <r>
      <rPr>
        <sz val="10"/>
        <color rgb="FF000000"/>
        <rFont val="Noto Sans CJK SC"/>
        <family val="2"/>
      </rPr>
      <t xml:space="preserve">對照：雲端毛利率 </t>
    </r>
    <r>
      <rPr>
        <sz val="10"/>
        <color rgb="FF000000"/>
        <rFont val="Arial"/>
        <family val="0"/>
        <charset val="1"/>
      </rPr>
      <t xml:space="preserve">2025</t>
    </r>
    <r>
      <rPr>
        <sz val="10"/>
        <color rgb="FF000000"/>
        <rFont val="Noto Sans CJK SC"/>
        <family val="2"/>
      </rPr>
      <t xml:space="preserve">（供應商）</t>
    </r>
  </si>
  <si>
    <r>
      <rPr>
        <sz val="9"/>
        <color rgb="FF595959"/>
        <rFont val="Arial"/>
        <family val="0"/>
        <charset val="1"/>
      </rPr>
      <t xml:space="preserve">Z5b </t>
    </r>
    <r>
      <rPr>
        <sz val="9"/>
        <color rgb="FF595959"/>
        <rFont val="Noto Sans CJK SC"/>
        <family val="2"/>
      </rPr>
      <t xml:space="preserve">起顯示名為『供應商推算毛利率』</t>
    </r>
  </si>
  <si>
    <t xml:space="preserve">C62</t>
  </si>
  <si>
    <r>
      <rPr>
        <sz val="10"/>
        <color rgb="FF000000"/>
        <rFont val="Noto Sans CJK SC"/>
        <family val="2"/>
      </rPr>
      <t xml:space="preserve">預覽：</t>
    </r>
    <r>
      <rPr>
        <sz val="10"/>
        <color rgb="FF000000"/>
        <rFont val="Arial"/>
        <family val="0"/>
        <charset val="1"/>
      </rPr>
      <t xml:space="preserve">2026 </t>
    </r>
    <r>
      <rPr>
        <sz val="10"/>
        <color rgb="FF000000"/>
        <rFont val="Noto Sans CJK SC"/>
        <family val="2"/>
      </rPr>
      <t xml:space="preserve">供給 </t>
    </r>
    <r>
      <rPr>
        <sz val="10"/>
        <color rgb="FF000000"/>
        <rFont val="Arial"/>
        <family val="0"/>
        <charset val="1"/>
      </rPr>
      <t xml:space="preserve">GW</t>
    </r>
  </si>
  <si>
    <t xml:space="preserve">C63</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</si>
  <si>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供給 </t>
    </r>
    <r>
      <rPr>
        <sz val="10"/>
        <color rgb="FF000000"/>
        <rFont val="Arial"/>
        <family val="0"/>
        <charset val="1"/>
      </rPr>
      <t xml:space="preserve">GW</t>
    </r>
  </si>
  <si>
    <t xml:space="preserve">C64</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</si>
  <si>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差額（</t>
    </r>
    <r>
      <rPr>
        <sz val="10"/>
        <color rgb="FF000000"/>
        <rFont val="Arial"/>
        <family val="0"/>
        <charset val="1"/>
      </rPr>
      <t xml:space="preserve">RMB </t>
    </r>
    <r>
      <rPr>
        <sz val="10"/>
        <color rgb="FF000000"/>
        <rFont val="Noto Sans CJK SC"/>
        <family val="2"/>
      </rPr>
      <t xml:space="preserve">億）</t>
    </r>
  </si>
  <si>
    <t xml:space="preserve">命題</t>
  </si>
  <si>
    <t xml:space="preserve">C65</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</si>
  <si>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雲端口徑差額（</t>
    </r>
    <r>
      <rPr>
        <sz val="10"/>
        <color rgb="FF000000"/>
        <rFont val="Arial"/>
        <family val="0"/>
        <charset val="1"/>
      </rPr>
      <t xml:space="preserve">RMB </t>
    </r>
    <r>
      <rPr>
        <sz val="10"/>
        <color rgb="FF000000"/>
        <rFont val="Noto Sans CJK SC"/>
        <family val="2"/>
      </rPr>
      <t xml:space="preserve">億）</t>
    </r>
  </si>
  <si>
    <t xml:space="preserve">C66</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</si>
  <si>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覆蓋率</t>
    </r>
  </si>
  <si>
    <t xml:space="preserve">C67</t>
  </si>
  <si>
    <r>
      <rPr>
        <sz val="10"/>
        <color rgb="FF000000"/>
        <rFont val="Noto Sans CJK SC"/>
        <family val="2"/>
      </rPr>
      <t xml:space="preserve">對照：</t>
    </r>
    <r>
      <rPr>
        <sz val="10"/>
        <color rgb="FF000000"/>
        <rFont val="Arial"/>
        <family val="0"/>
        <charset val="1"/>
      </rPr>
      <t xml:space="preserve">2030 </t>
    </r>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差額：智譜（</t>
    </r>
    <r>
      <rPr>
        <sz val="10"/>
        <color rgb="FF000000"/>
        <rFont val="Arial"/>
        <family val="0"/>
        <charset val="1"/>
      </rPr>
      <t xml:space="preserve">$B</t>
    </r>
    <r>
      <rPr>
        <sz val="10"/>
        <color rgb="FF000000"/>
        <rFont val="Noto Sans CJK SC"/>
        <family val="2"/>
      </rPr>
      <t xml:space="preserve">）− </t>
    </r>
    <r>
      <rPr>
        <sz val="10"/>
        <color rgb="FF000000"/>
        <rFont val="Arial"/>
        <family val="0"/>
        <charset val="1"/>
      </rPr>
      <t xml:space="preserve">OpenAI v0.6</t>
    </r>
    <r>
      <rPr>
        <sz val="10"/>
        <color rgb="FF000000"/>
        <rFont val="Noto Sans CJK SC"/>
        <family val="2"/>
      </rPr>
      <t xml:space="preserve">（</t>
    </r>
    <r>
      <rPr>
        <sz val="10"/>
        <color rgb="FF000000"/>
        <rFont val="Arial"/>
        <family val="0"/>
        <charset val="1"/>
      </rPr>
      <t xml:space="preserve">$B</t>
    </r>
    <r>
      <rPr>
        <sz val="10"/>
        <color rgb="FF000000"/>
        <rFont val="Noto Sans CJK SC"/>
        <family val="2"/>
      </rPr>
      <t xml:space="preserve">）</t>
    </r>
  </si>
  <si>
    <r>
      <rPr>
        <sz val="9"/>
        <color rgb="FF595959"/>
        <rFont val="Arial"/>
        <family val="0"/>
        <charset val="1"/>
      </rPr>
      <t xml:space="preserve">OAI_Link</t>
    </r>
    <r>
      <rPr>
        <sz val="9"/>
        <color rgb="FF595959"/>
        <rFont val="Noto Sans CJK SC"/>
        <family val="2"/>
      </rPr>
      <t xml:space="preserve">；只並排</t>
    </r>
  </si>
  <si>
    <t xml:space="preserve">C68</t>
  </si>
  <si>
    <r>
      <rPr>
        <sz val="10"/>
        <color rgb="FF000000"/>
        <rFont val="Arial"/>
        <family val="0"/>
        <charset val="1"/>
      </rPr>
      <t xml:space="preserve">Funding</t>
    </r>
    <r>
      <rPr>
        <sz val="10"/>
        <color rgb="FF000000"/>
        <rFont val="Noto Sans CJK SC"/>
        <family val="2"/>
      </rPr>
      <t xml:space="preserve">：自由現金流恆等式（營收 − 算力 − 本地化交付 − 非算力 ＋ 其他收益 − 利息；各期最大絕對差）</t>
    </r>
  </si>
  <si>
    <r>
      <rPr>
        <sz val="9"/>
        <color rgb="FF595959"/>
        <rFont val="Noto Sans CJK SC"/>
        <family val="2"/>
      </rPr>
      <t xml:space="preserve">工作單 </t>
    </r>
    <r>
      <rPr>
        <sz val="9"/>
        <color rgb="FF595959"/>
        <rFont val="Arial"/>
        <family val="0"/>
        <charset val="1"/>
      </rPr>
      <t xml:space="preserve">Z4 </t>
    </r>
    <r>
      <rPr>
        <sz val="9"/>
        <color rgb="FF595959"/>
        <rFont val="Noto Sans CJK SC"/>
        <family val="2"/>
      </rPr>
      <t xml:space="preserve">第 </t>
    </r>
    <r>
      <rPr>
        <sz val="9"/>
        <color rgb="FF595959"/>
        <rFont val="Arial"/>
        <family val="0"/>
        <charset val="1"/>
      </rPr>
      <t xml:space="preserve">1 </t>
    </r>
    <r>
      <rPr>
        <sz val="9"/>
        <color rgb="FF595959"/>
        <rFont val="Noto Sans CJK SC"/>
        <family val="2"/>
      </rPr>
      <t xml:space="preserve">步</t>
    </r>
  </si>
  <si>
    <t xml:space="preserve">C69</t>
  </si>
  <si>
    <r>
      <rPr>
        <sz val="10"/>
        <color rgb="FF000000"/>
        <rFont val="Arial"/>
        <family val="0"/>
        <charset val="1"/>
      </rPr>
      <t xml:space="preserve">Funding</t>
    </r>
    <r>
      <rPr>
        <sz val="10"/>
        <color rgb="FF000000"/>
        <rFont val="Noto Sans CJK SC"/>
        <family val="2"/>
      </rPr>
      <t xml:space="preserve">：差額 − </t>
    </r>
    <r>
      <rPr>
        <sz val="10"/>
        <color rgb="FF000000"/>
        <rFont val="Arial"/>
        <family val="0"/>
        <charset val="1"/>
      </rPr>
      <t xml:space="preserve">Cost COST_GapCash</t>
    </r>
    <r>
      <rPr>
        <sz val="10"/>
        <color rgb="FF000000"/>
        <rFont val="Noto Sans CJK SC"/>
        <family val="2"/>
      </rPr>
      <t xml:space="preserve">（年度欄最大絕對差）</t>
    </r>
  </si>
  <si>
    <t xml:space="preserve">融資缺口起點＝命題全成本口徑</t>
  </si>
  <si>
    <t xml:space="preserve">C70</t>
  </si>
  <si>
    <r>
      <rPr>
        <sz val="10"/>
        <color rgb="FF000000"/>
        <rFont val="Arial"/>
        <family val="0"/>
        <charset val="1"/>
      </rPr>
      <t xml:space="preserve">Funding</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營收（</t>
    </r>
    <r>
      <rPr>
        <sz val="10"/>
        <color rgb="FF000000"/>
        <rFont val="Arial"/>
        <family val="0"/>
        <charset val="1"/>
      </rPr>
      <t xml:space="preserve">1H</t>
    </r>
    <r>
      <rPr>
        <sz val="10"/>
        <color rgb="FF000000"/>
        <rFont val="Noto Sans CJK SC"/>
        <family val="2"/>
      </rPr>
      <t xml:space="preserve">＋</t>
    </r>
    <r>
      <rPr>
        <sz val="10"/>
        <color rgb="FF000000"/>
        <rFont val="Arial"/>
        <family val="0"/>
        <charset val="1"/>
      </rPr>
      <t xml:space="preserve">2H</t>
    </r>
    <r>
      <rPr>
        <sz val="10"/>
        <color rgb="FF000000"/>
        <rFont val="Noto Sans CJK SC"/>
        <family val="2"/>
      </rPr>
      <t xml:space="preserve">）− </t>
    </r>
    <r>
      <rPr>
        <sz val="10"/>
        <color rgb="FF000000"/>
        <rFont val="Arial"/>
        <family val="0"/>
        <charset val="1"/>
      </rPr>
      <t xml:space="preserve">Revenue REV_NetCapped 2026</t>
    </r>
  </si>
  <si>
    <t xml:space="preserve">C71</t>
  </si>
  <si>
    <r>
      <rPr>
        <sz val="10"/>
        <color rgb="FF000000"/>
        <rFont val="Arial"/>
        <family val="0"/>
        <charset val="1"/>
      </rPr>
      <t xml:space="preserve">Funding</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流量列 </t>
    </r>
    <r>
      <rPr>
        <sz val="10"/>
        <color rgb="FF000000"/>
        <rFont val="Arial"/>
        <family val="0"/>
        <charset val="1"/>
      </rPr>
      <t xml:space="preserve">E −</t>
    </r>
    <r>
      <rPr>
        <sz val="10"/>
        <color rgb="FF000000"/>
        <rFont val="Noto Sans CJK SC"/>
        <family val="2"/>
      </rPr>
      <t xml:space="preserve">（</t>
    </r>
    <r>
      <rPr>
        <sz val="10"/>
        <color rgb="FF000000"/>
        <rFont val="Arial"/>
        <family val="0"/>
        <charset val="1"/>
      </rPr>
      <t xml:space="preserve">K</t>
    </r>
    <r>
      <rPr>
        <sz val="10"/>
        <color rgb="FF000000"/>
        <rFont val="Noto Sans CJK SC"/>
        <family val="2"/>
      </rPr>
      <t xml:space="preserve">＋</t>
    </r>
    <r>
      <rPr>
        <sz val="10"/>
        <color rgb="FF000000"/>
        <rFont val="Arial"/>
        <family val="0"/>
        <charset val="1"/>
      </rPr>
      <t xml:space="preserve">L</t>
    </r>
    <r>
      <rPr>
        <sz val="10"/>
        <color rgb="FF000000"/>
        <rFont val="Noto Sans CJK SC"/>
        <family val="2"/>
      </rPr>
      <t xml:space="preserve">）最大絕對差</t>
    </r>
  </si>
  <si>
    <t xml:space="preserve">C72</t>
  </si>
  <si>
    <r>
      <rPr>
        <sz val="10"/>
        <color rgb="FF000000"/>
        <rFont val="Arial"/>
        <family val="0"/>
        <charset val="1"/>
      </rPr>
      <t xml:space="preserve">Funding</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期末現金 − 中期報告（</t>
    </r>
    <r>
      <rPr>
        <sz val="10"/>
        <color rgb="FF000000"/>
        <rFont val="Arial"/>
        <family val="0"/>
        <charset val="1"/>
      </rPr>
      <t xml:space="preserve">SRC_ZP_211</t>
    </r>
    <r>
      <rPr>
        <sz val="10"/>
        <color rgb="FF000000"/>
        <rFont val="Noto Sans CJK SC"/>
        <family val="2"/>
      </rPr>
      <t xml:space="preserve">）</t>
    </r>
  </si>
  <si>
    <r>
      <rPr>
        <sz val="9"/>
        <color rgb="FF595959"/>
        <rFont val="Arial"/>
        <family val="0"/>
        <charset val="1"/>
      </rPr>
      <t xml:space="preserve">1H26 </t>
    </r>
    <r>
      <rPr>
        <sz val="9"/>
        <color rgb="FF595959"/>
        <rFont val="Noto Sans CJK SC"/>
        <family val="2"/>
      </rPr>
      <t xml:space="preserve">對帳差使期末＝實際</t>
    </r>
  </si>
  <si>
    <t xml:space="preserve">C73</t>
  </si>
  <si>
    <r>
      <rPr>
        <sz val="10"/>
        <color rgb="FF000000"/>
        <rFont val="Arial"/>
        <family val="0"/>
        <charset val="1"/>
      </rPr>
      <t xml:space="preserve">Funding</t>
    </r>
    <r>
      <rPr>
        <sz val="10"/>
        <color rgb="FF000000"/>
        <rFont val="Noto Sans CJK SC"/>
        <family val="2"/>
      </rPr>
      <t xml:space="preserve">：外部資金需求 </t>
    </r>
    <r>
      <rPr>
        <sz val="10"/>
        <color rgb="FF000000"/>
        <rFont val="Arial"/>
        <family val="0"/>
        <charset val="1"/>
      </rPr>
      <t xml:space="preserve">&lt; 0 </t>
    </r>
    <r>
      <rPr>
        <sz val="10"/>
        <color rgb="FF000000"/>
        <rFont val="Noto Sans CJK SC"/>
        <family val="2"/>
      </rPr>
      <t xml:space="preserve">的年數</t>
    </r>
  </si>
  <si>
    <t xml:space="preserve">C74</t>
  </si>
  <si>
    <r>
      <rPr>
        <sz val="10"/>
        <color rgb="FF000000"/>
        <rFont val="Arial"/>
        <family val="0"/>
        <charset val="1"/>
      </rPr>
      <t xml:space="preserve">Funding</t>
    </r>
    <r>
      <rPr>
        <sz val="10"/>
        <color rgb="FF000000"/>
        <rFont val="Noto Sans CJK SC"/>
        <family val="2"/>
      </rPr>
      <t xml:space="preserve">：年底現金 </t>
    </r>
    <r>
      <rPr>
        <sz val="10"/>
        <color rgb="FF000000"/>
        <rFont val="Arial"/>
        <family val="0"/>
        <charset val="1"/>
      </rPr>
      <t xml:space="preserve">&lt; </t>
    </r>
    <r>
      <rPr>
        <sz val="10"/>
        <color rgb="FF000000"/>
        <rFont val="Noto Sans CJK SC"/>
        <family val="2"/>
      </rPr>
      <t xml:space="preserve">最低現金的年數（補足後）</t>
    </r>
  </si>
  <si>
    <r>
      <rPr>
        <sz val="9"/>
        <color rgb="FF595959"/>
        <rFont val="Noto Sans CJK SC"/>
        <family val="2"/>
      </rPr>
      <t xml:space="preserve">外部資金需求補足至最低現金（容差 </t>
    </r>
    <r>
      <rPr>
        <sz val="9"/>
        <color rgb="FF595959"/>
        <rFont val="Arial"/>
        <family val="0"/>
        <charset val="1"/>
      </rPr>
      <t xml:space="preserve">1e-8 </t>
    </r>
    <r>
      <rPr>
        <sz val="9"/>
        <color rgb="FF595959"/>
        <rFont val="Noto Sans CJK SC"/>
        <family val="2"/>
      </rPr>
      <t xml:space="preserve">億）</t>
    </r>
  </si>
  <si>
    <t xml:space="preserve">C75</t>
  </si>
  <si>
    <r>
      <rPr>
        <sz val="10"/>
        <color rgb="FF000000"/>
        <rFont val="Arial"/>
        <family val="0"/>
        <charset val="1"/>
      </rPr>
      <t xml:space="preserve">Funding</t>
    </r>
    <r>
      <rPr>
        <sz val="10"/>
        <color rgb="FF000000"/>
        <rFont val="Noto Sans CJK SC"/>
        <family val="2"/>
      </rPr>
      <t xml:space="preserve">：轉股情境累計外部資金需求 </t>
    </r>
    <r>
      <rPr>
        <sz val="10"/>
        <color rgb="FF000000"/>
        <rFont val="Arial"/>
        <family val="0"/>
        <charset val="1"/>
      </rPr>
      <t xml:space="preserve">&gt; </t>
    </r>
    <r>
      <rPr>
        <sz val="10"/>
        <color rgb="FF000000"/>
        <rFont val="Noto Sans CJK SC"/>
        <family val="2"/>
      </rPr>
      <t xml:space="preserve">基準的年數</t>
    </r>
  </si>
  <si>
    <t xml:space="preserve">轉股不需償還，需求不得增加</t>
  </si>
  <si>
    <t xml:space="preserve">C76</t>
  </si>
  <si>
    <r>
      <rPr>
        <sz val="10"/>
        <color rgb="FF000000"/>
        <rFont val="Arial"/>
        <family val="0"/>
        <charset val="1"/>
      </rPr>
      <t xml:space="preserve">Funding</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年底現金 − </t>
    </r>
    <r>
      <rPr>
        <sz val="10"/>
        <color rgb="FF000000"/>
        <rFont val="Arial"/>
        <family val="0"/>
        <charset val="1"/>
      </rPr>
      <t xml:space="preserve">2H26 </t>
    </r>
    <r>
      <rPr>
        <sz val="10"/>
        <color rgb="FF000000"/>
        <rFont val="Noto Sans CJK SC"/>
        <family val="2"/>
      </rPr>
      <t xml:space="preserve">期末現金</t>
    </r>
  </si>
  <si>
    <t xml:space="preserve">C77</t>
  </si>
  <si>
    <r>
      <rPr>
        <sz val="10"/>
        <color rgb="FF000000"/>
        <rFont val="Arial"/>
        <family val="0"/>
        <charset val="1"/>
      </rPr>
      <t xml:space="preserve">Reverse</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目標營收 − 正向（應為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為實際）</t>
    </r>
  </si>
  <si>
    <t xml:space="preserve">C78</t>
  </si>
  <si>
    <r>
      <rPr>
        <sz val="10"/>
        <color rgb="FF000000"/>
        <rFont val="Arial"/>
        <family val="0"/>
        <charset val="1"/>
      </rPr>
      <t xml:space="preserve">Reverse</t>
    </r>
    <r>
      <rPr>
        <sz val="10"/>
        <color rgb="FF000000"/>
        <rFont val="Noto Sans CJK SC"/>
        <family val="2"/>
      </rPr>
      <t xml:space="preserve">：共識登錄筆數 </t>
    </r>
    <r>
      <rPr>
        <sz val="10"/>
        <color rgb="FF000000"/>
        <rFont val="Arial"/>
        <family val="0"/>
        <charset val="1"/>
      </rPr>
      <t xml:space="preserve">&lt; 1 </t>
    </r>
    <r>
      <rPr>
        <sz val="10"/>
        <color rgb="FF000000"/>
        <rFont val="Noto Sans CJK SC"/>
        <family val="2"/>
      </rPr>
      <t xml:space="preserve">的年數</t>
    </r>
  </si>
  <si>
    <t xml:space="preserve">C79</t>
  </si>
  <si>
    <r>
      <rPr>
        <sz val="10"/>
        <color rgb="FF000000"/>
        <rFont val="Arial"/>
        <family val="0"/>
        <charset val="1"/>
      </rPr>
      <t xml:space="preserve">Reverse</t>
    </r>
    <r>
      <rPr>
        <sz val="10"/>
        <color rgb="FF000000"/>
        <rFont val="Noto Sans CJK SC"/>
        <family val="2"/>
      </rPr>
      <t xml:space="preserve">：共識 最低 ≤ 平均 ≤ 最高 不成立的年數</t>
    </r>
  </si>
  <si>
    <t xml:space="preserve">C80</t>
  </si>
  <si>
    <r>
      <rPr>
        <sz val="10"/>
        <color rgb="FF000000"/>
        <rFont val="Noto Sans CJK SC"/>
        <family val="2"/>
      </rPr>
      <t xml:space="preserve">對照：</t>
    </r>
    <r>
      <rPr>
        <sz val="10"/>
        <color rgb="FF000000"/>
        <rFont val="Arial"/>
        <family val="0"/>
        <charset val="1"/>
      </rPr>
      <t xml:space="preserve">1H26 </t>
    </r>
    <r>
      <rPr>
        <sz val="10"/>
        <color rgb="FF000000"/>
        <rFont val="Noto Sans CJK SC"/>
        <family val="2"/>
      </rPr>
      <t xml:space="preserve">其他現金流（對帳差，</t>
    </r>
    <r>
      <rPr>
        <sz val="10"/>
        <color rgb="FF000000"/>
        <rFont val="Arial"/>
        <family val="0"/>
        <charset val="1"/>
      </rPr>
      <t xml:space="preserve">RMB </t>
    </r>
    <r>
      <rPr>
        <sz val="10"/>
        <color rgb="FF000000"/>
        <rFont val="Noto Sans CJK SC"/>
        <family val="2"/>
      </rPr>
      <t xml:space="preserve">億）</t>
    </r>
  </si>
  <si>
    <t xml:space="preserve">營運資金、租賃、匯兌等未建模項目</t>
  </si>
  <si>
    <t xml:space="preserve">C81</t>
  </si>
  <si>
    <r>
      <rPr>
        <sz val="10"/>
        <color rgb="FF000000"/>
        <rFont val="Noto Sans CJK SC"/>
        <family val="2"/>
      </rPr>
      <t xml:space="preserve">對照：</t>
    </r>
    <r>
      <rPr>
        <sz val="10"/>
        <color rgb="FF000000"/>
        <rFont val="Arial"/>
        <family val="0"/>
        <charset val="1"/>
      </rPr>
      <t xml:space="preserve">2025 </t>
    </r>
    <r>
      <rPr>
        <sz val="10"/>
        <color rgb="FF000000"/>
        <rFont val="Noto Sans CJK SC"/>
        <family val="2"/>
      </rPr>
      <t xml:space="preserve">現金對帳差異（隱含 − 模型，</t>
    </r>
    <r>
      <rPr>
        <sz val="10"/>
        <color rgb="FF000000"/>
        <rFont val="Arial"/>
        <family val="0"/>
        <charset val="1"/>
      </rPr>
      <t xml:space="preserve">RMB </t>
    </r>
    <r>
      <rPr>
        <sz val="10"/>
        <color rgb="FF000000"/>
        <rFont val="Noto Sans CJK SC"/>
        <family val="2"/>
      </rPr>
      <t xml:space="preserve">億）</t>
    </r>
  </si>
  <si>
    <t xml:space="preserve">含理財、定期存款、上市前融資到帳時點</t>
  </si>
  <si>
    <t xml:space="preserve">C82</t>
  </si>
  <si>
    <r>
      <rPr>
        <sz val="10"/>
        <color rgb="FF000000"/>
        <rFont val="Noto Sans CJK SC"/>
        <family val="2"/>
      </rPr>
      <t xml:space="preserve">對照：</t>
    </r>
    <r>
      <rPr>
        <sz val="10"/>
        <color rgb="FF000000"/>
        <rFont val="Arial"/>
        <family val="0"/>
        <charset val="1"/>
      </rPr>
      <t xml:space="preserve">2026-07 </t>
    </r>
    <r>
      <rPr>
        <sz val="10"/>
        <color rgb="FF000000"/>
        <rFont val="Noto Sans CJK SC"/>
        <family val="2"/>
      </rPr>
      <t xml:space="preserve">配售已動用 </t>
    </r>
    <r>
      <rPr>
        <sz val="10"/>
        <color rgb="FF000000"/>
        <rFont val="Arial"/>
        <family val="0"/>
        <charset val="1"/>
      </rPr>
      <t xml:space="preserve">÷ </t>
    </r>
    <r>
      <rPr>
        <sz val="10"/>
        <color rgb="FF000000"/>
        <rFont val="Noto Sans CJK SC"/>
        <family val="2"/>
      </rPr>
      <t xml:space="preserve">模型同期流出</t>
    </r>
  </si>
  <si>
    <r>
      <rPr>
        <sz val="9"/>
        <color rgb="FF595959"/>
        <rFont val="Noto Sans CJK SC"/>
        <family val="2"/>
      </rPr>
      <t xml:space="preserve">公司實際動用速度 </t>
    </r>
    <r>
      <rPr>
        <sz val="9"/>
        <color rgb="FF595959"/>
        <rFont val="Arial"/>
        <family val="0"/>
        <charset val="1"/>
      </rPr>
      <t xml:space="preserve">vs </t>
    </r>
    <r>
      <rPr>
        <sz val="9"/>
        <color rgb="FF595959"/>
        <rFont val="Noto Sans CJK SC"/>
        <family val="2"/>
      </rPr>
      <t xml:space="preserve">模型</t>
    </r>
  </si>
  <si>
    <t xml:space="preserve">C83</t>
  </si>
  <si>
    <r>
      <rPr>
        <sz val="10"/>
        <color rgb="FF000000"/>
        <rFont val="Noto Sans CJK SC"/>
        <family val="2"/>
      </rPr>
      <t xml:space="preserve">預覽：累計外部資金需求 </t>
    </r>
    <r>
      <rPr>
        <sz val="10"/>
        <color rgb="FF000000"/>
        <rFont val="Arial"/>
        <family val="0"/>
        <charset val="1"/>
      </rPr>
      <t xml:space="preserve">2030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億）</t>
    </r>
  </si>
  <si>
    <t xml:space="preserve">C84</t>
  </si>
  <si>
    <r>
      <rPr>
        <sz val="10"/>
        <color rgb="FF000000"/>
        <rFont val="Noto Sans CJK SC"/>
        <family val="2"/>
      </rPr>
      <t xml:space="preserve">預覽：累計外部資金需求 </t>
    </r>
    <r>
      <rPr>
        <sz val="10"/>
        <color rgb="FF000000"/>
        <rFont val="Arial"/>
        <family val="0"/>
        <charset val="1"/>
      </rPr>
      <t xml:space="preserve">2030</t>
    </r>
    <r>
      <rPr>
        <sz val="10"/>
        <color rgb="FF000000"/>
        <rFont val="Noto Sans CJK SC"/>
        <family val="2"/>
      </rPr>
      <t xml:space="preserve">（轉股情境）</t>
    </r>
  </si>
  <si>
    <t xml:space="preserve">C85</t>
  </si>
  <si>
    <t xml:space="preserve">預覽：首次缺口年</t>
  </si>
  <si>
    <t xml:space="preserve">C86</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</si>
  <si>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年底現金（</t>
    </r>
    <r>
      <rPr>
        <sz val="10"/>
        <color rgb="FF000000"/>
        <rFont val="Arial"/>
        <family val="0"/>
        <charset val="1"/>
      </rPr>
      <t xml:space="preserve">RMB </t>
    </r>
    <r>
      <rPr>
        <sz val="10"/>
        <color rgb="FF000000"/>
        <rFont val="Noto Sans CJK SC"/>
        <family val="2"/>
      </rPr>
      <t xml:space="preserve">億）</t>
    </r>
  </si>
  <si>
    <t xml:space="preserve">C87</t>
  </si>
  <si>
    <t xml:space="preserve">預覽：只靠已到位融資撐不過的第一年</t>
  </si>
  <si>
    <t xml:space="preserve">C88</t>
  </si>
  <si>
    <r>
      <rPr>
        <sz val="10"/>
        <color rgb="FF000000"/>
        <rFont val="Noto Sans CJK SC"/>
        <family val="2"/>
      </rPr>
      <t xml:space="preserve">預覽：反向累計外部資金需求 </t>
    </r>
    <r>
      <rPr>
        <sz val="10"/>
        <color rgb="FF000000"/>
        <rFont val="Arial"/>
        <family val="0"/>
        <charset val="1"/>
      </rPr>
      <t xml:space="preserve">2030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億）</t>
    </r>
  </si>
  <si>
    <t xml:space="preserve">只對照</t>
  </si>
  <si>
    <t xml:space="preserve">C89</t>
  </si>
  <si>
    <r>
      <rPr>
        <sz val="10"/>
        <color rgb="FF000000"/>
        <rFont val="Noto Sans CJK SC"/>
        <family val="2"/>
      </rPr>
      <t xml:space="preserve">預覽：市值隱含營收（</t>
    </r>
    <r>
      <rPr>
        <sz val="10"/>
        <color rgb="FF000000"/>
        <rFont val="Arial"/>
        <family val="0"/>
        <charset val="1"/>
      </rPr>
      <t xml:space="preserve">RMB </t>
    </r>
    <r>
      <rPr>
        <sz val="10"/>
        <color rgb="FF000000"/>
        <rFont val="Noto Sans CJK SC"/>
        <family val="2"/>
      </rPr>
      <t xml:space="preserve">億）</t>
    </r>
  </si>
  <si>
    <t xml:space="preserve">D22r</t>
  </si>
  <si>
    <t xml:space="preserve">C90</t>
  </si>
  <si>
    <t xml:space="preserve">預覽：正向營收首次達到市值隱含營收的年度</t>
  </si>
  <si>
    <t xml:space="preserve">C91</t>
  </si>
  <si>
    <r>
      <rPr>
        <sz val="10"/>
        <color rgb="FF000000"/>
        <rFont val="Noto Sans CJK SC"/>
        <family val="2"/>
      </rPr>
      <t xml:space="preserve">對照：</t>
    </r>
    <r>
      <rPr>
        <sz val="10"/>
        <color rgb="FF000000"/>
        <rFont val="Arial"/>
        <family val="0"/>
        <charset val="1"/>
      </rPr>
      <t xml:space="preserve">MiniMax EV ÷ </t>
    </r>
    <r>
      <rPr>
        <sz val="10"/>
        <color rgb="FF000000"/>
        <rFont val="Noto Sans CJK SC"/>
        <family val="2"/>
      </rPr>
      <t xml:space="preserve">年化營收</t>
    </r>
  </si>
  <si>
    <t xml:space="preserve">C92</t>
  </si>
  <si>
    <r>
      <rPr>
        <sz val="10"/>
        <color rgb="FF000000"/>
        <rFont val="Noto Sans CJK SC"/>
        <family val="2"/>
      </rPr>
      <t xml:space="preserve">對照：</t>
    </r>
    <r>
      <rPr>
        <sz val="10"/>
        <color rgb="FF000000"/>
        <rFont val="Arial"/>
        <family val="0"/>
        <charset val="1"/>
      </rPr>
      <t xml:space="preserve">2030 </t>
    </r>
    <r>
      <rPr>
        <sz val="10"/>
        <color rgb="FF000000"/>
        <rFont val="Noto Sans CJK SC"/>
        <family val="2"/>
      </rPr>
      <t xml:space="preserve">累計外部資金需求：智譜（</t>
    </r>
    <r>
      <rPr>
        <sz val="10"/>
        <color rgb="FF000000"/>
        <rFont val="Arial"/>
        <family val="0"/>
        <charset val="1"/>
      </rPr>
      <t xml:space="preserve">$B</t>
    </r>
    <r>
      <rPr>
        <sz val="10"/>
        <color rgb="FF000000"/>
        <rFont val="Noto Sans CJK SC"/>
        <family val="2"/>
      </rPr>
      <t xml:space="preserve">）− </t>
    </r>
    <r>
      <rPr>
        <sz val="10"/>
        <color rgb="FF000000"/>
        <rFont val="Arial"/>
        <family val="0"/>
        <charset val="1"/>
      </rPr>
      <t xml:space="preserve">OpenAI v0.6</t>
    </r>
    <r>
      <rPr>
        <sz val="10"/>
        <color rgb="FF000000"/>
        <rFont val="Noto Sans CJK SC"/>
        <family val="2"/>
      </rPr>
      <t xml:space="preserve">（</t>
    </r>
    <r>
      <rPr>
        <sz val="10"/>
        <color rgb="FF000000"/>
        <rFont val="Arial"/>
        <family val="0"/>
        <charset val="1"/>
      </rPr>
      <t xml:space="preserve">$B</t>
    </r>
    <r>
      <rPr>
        <sz val="10"/>
        <color rgb="FF000000"/>
        <rFont val="Noto Sans CJK SC"/>
        <family val="2"/>
      </rPr>
      <t xml:space="preserve">）</t>
    </r>
  </si>
  <si>
    <t xml:space="preserve">C93</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</si>
  <si>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起供應商推算毛利 </t>
    </r>
    <r>
      <rPr>
        <sz val="10"/>
        <color rgb="FF000000"/>
        <rFont val="Arial"/>
        <family val="0"/>
        <charset val="1"/>
      </rPr>
      <t xml:space="preserve">&lt; 0 </t>
    </r>
    <r>
      <rPr>
        <sz val="10"/>
        <color rgb="FF000000"/>
        <rFont val="Noto Sans CJK SC"/>
        <family val="2"/>
      </rPr>
      <t xml:space="preserve">的期數（</t>
    </r>
    <r>
      <rPr>
        <sz val="10"/>
        <color rgb="FF000000"/>
        <rFont val="Arial"/>
        <family val="0"/>
        <charset val="1"/>
      </rPr>
      <t xml:space="preserve">Z5b V1</t>
    </r>
    <r>
      <rPr>
        <sz val="10"/>
        <color rgb="FF000000"/>
        <rFont val="Noto Sans CJK SC"/>
        <family val="2"/>
      </rPr>
      <t xml:space="preserve">：租價下限）</t>
    </r>
  </si>
  <si>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租價 ≥ 供應商持有成本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＋最低毛利）</t>
    </r>
  </si>
  <si>
    <t xml:space="preserve">C94</t>
  </si>
  <si>
    <r>
      <rPr>
        <sz val="10"/>
        <color rgb="FF000000"/>
        <rFont val="Arial"/>
        <family val="0"/>
        <charset val="1"/>
      </rPr>
      <t xml:space="preserve">r2 P1</t>
    </r>
    <r>
      <rPr>
        <sz val="10"/>
        <color rgb="FF000000"/>
        <rFont val="Noto Sans CJK SC"/>
        <family val="2"/>
      </rPr>
      <t xml:space="preserve">：</t>
    </r>
    <r>
      <rPr>
        <sz val="10"/>
        <color rgb="FF000000"/>
        <rFont val="Arial"/>
        <family val="0"/>
        <charset val="1"/>
      </rPr>
      <t xml:space="preserve">η </t>
    </r>
    <r>
      <rPr>
        <sz val="10"/>
        <color rgb="FF000000"/>
        <rFont val="Noto Sans CJK SC"/>
        <family val="2"/>
      </rPr>
      <t xml:space="preserve">上調（研發殘差觸及訓練最低占比）的校準期數</t>
    </r>
  </si>
  <si>
    <r>
      <rPr>
        <sz val="9"/>
        <color rgb="FF595959"/>
        <rFont val="Noto Sans CJK SC"/>
        <family val="2"/>
      </rPr>
      <t xml:space="preserve">工作單 </t>
    </r>
    <r>
      <rPr>
        <sz val="9"/>
        <color rgb="FF595959"/>
        <rFont val="Arial"/>
        <family val="0"/>
        <charset val="1"/>
      </rPr>
      <t xml:space="preserve">P1</t>
    </r>
    <r>
      <rPr>
        <sz val="9"/>
        <color rgb="FF595959"/>
        <rFont val="Noto Sans CJK SC"/>
        <family val="2"/>
      </rPr>
      <t xml:space="preserve">：</t>
    </r>
    <r>
      <rPr>
        <sz val="9"/>
        <color rgb="FF595959"/>
        <rFont val="Arial"/>
        <family val="0"/>
        <charset val="1"/>
      </rPr>
      <t xml:space="preserve">η </t>
    </r>
    <r>
      <rPr>
        <sz val="9"/>
        <color rgb="FF595959"/>
        <rFont val="Noto Sans CJK SC"/>
        <family val="2"/>
      </rPr>
      <t xml:space="preserve">基準 </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&gt;0</t>
    </r>
    <r>
      <rPr>
        <sz val="9"/>
        <color rgb="FF595959"/>
        <rFont val="Noto Sans CJK SC"/>
        <family val="2"/>
      </rPr>
      <t xml:space="preserve">＝以 </t>
    </r>
    <r>
      <rPr>
        <sz val="9"/>
        <color rgb="FF595959"/>
        <rFont val="Arial"/>
        <family val="0"/>
        <charset val="1"/>
      </rPr>
      <t xml:space="preserve">TK </t>
    </r>
    <r>
      <rPr>
        <sz val="9"/>
        <color rgb="FF595959"/>
        <rFont val="Noto Sans CJK SC"/>
        <family val="2"/>
      </rPr>
      <t xml:space="preserve">物理計，</t>
    </r>
    <r>
      <rPr>
        <sz val="9"/>
        <color rgb="FF595959"/>
        <rFont val="Arial"/>
        <family val="0"/>
        <charset val="1"/>
      </rPr>
      <t xml:space="preserve">token </t>
    </r>
    <r>
      <rPr>
        <sz val="9"/>
        <color rgb="FF595959"/>
        <rFont val="Noto Sans CJK SC"/>
        <family val="2"/>
      </rPr>
      <t xml:space="preserve">換算 </t>
    </r>
    <r>
      <rPr>
        <sz val="9"/>
        <color rgb="FF595959"/>
        <rFont val="Arial"/>
        <family val="0"/>
        <charset val="1"/>
      </rPr>
      <t xml:space="preserve">GW </t>
    </r>
    <r>
      <rPr>
        <sz val="9"/>
        <color rgb="FF595959"/>
        <rFont val="Noto Sans CJK SC"/>
        <family val="2"/>
      </rPr>
      <t xml:space="preserve">超過供給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訓練最低占比），</t>
    </r>
    <r>
      <rPr>
        <sz val="9"/>
        <color rgb="FF595959"/>
        <rFont val="Arial"/>
        <family val="0"/>
        <charset val="1"/>
      </rPr>
      <t xml:space="preserve">η </t>
    </r>
    <r>
      <rPr>
        <sz val="9"/>
        <color rgb="FF595959"/>
        <rFont val="Noto Sans CJK SC"/>
        <family val="2"/>
      </rPr>
      <t xml:space="preserve">上調使殘差＝最低占比（見報告）</t>
    </r>
  </si>
  <si>
    <t xml:space="preserve">C95</t>
  </si>
  <si>
    <r>
      <rPr>
        <sz val="10"/>
        <color rgb="FF000000"/>
        <rFont val="Noto Sans CJK SC"/>
        <family val="2"/>
      </rPr>
      <t xml:space="preserve">對照：研發 </t>
    </r>
    <r>
      <rPr>
        <sz val="10"/>
        <color rgb="FF000000"/>
        <rFont val="Arial"/>
        <family val="0"/>
        <charset val="1"/>
      </rPr>
      <t xml:space="preserve">GW 1H26</t>
    </r>
    <r>
      <rPr>
        <sz val="10"/>
        <color rgb="FF000000"/>
        <rFont val="Noto Sans CJK SC"/>
        <family val="2"/>
      </rPr>
      <t xml:space="preserve">（殘差）</t>
    </r>
    <r>
      <rPr>
        <sz val="10"/>
        <color rgb="FF000000"/>
        <rFont val="Arial"/>
        <family val="0"/>
        <charset val="1"/>
      </rPr>
      <t xml:space="preserve">÷ </t>
    </r>
    <r>
      <rPr>
        <sz val="10"/>
        <color rgb="FF000000"/>
        <rFont val="Noto Sans CJK SC"/>
        <family val="2"/>
      </rPr>
      <t xml:space="preserve">研發項下算力費換算 </t>
    </r>
    <r>
      <rPr>
        <sz val="10"/>
        <color rgb="FF000000"/>
        <rFont val="Arial"/>
        <family val="0"/>
        <charset val="1"/>
      </rPr>
      <t xml:space="preserve">GW</t>
    </r>
  </si>
  <si>
    <r>
      <rPr>
        <sz val="9"/>
        <color rgb="FF595959"/>
        <rFont val="Arial"/>
        <family val="0"/>
        <charset val="1"/>
      </rPr>
      <t xml:space="preserve">r2 P1</t>
    </r>
    <r>
      <rPr>
        <sz val="9"/>
        <color rgb="FF595959"/>
        <rFont val="Noto Sans CJK SC"/>
        <family val="2"/>
      </rPr>
      <t xml:space="preserve">：研發科目算力費含推論，比值 </t>
    </r>
    <r>
      <rPr>
        <sz val="9"/>
        <color rgb="FF595959"/>
        <rFont val="Arial"/>
        <family val="0"/>
        <charset val="1"/>
      </rPr>
      <t xml:space="preserve">&lt;1</t>
    </r>
  </si>
  <si>
    <t xml:space="preserve">CHK_Errors</t>
  </si>
  <si>
    <t xml:space="preserve">sheet</t>
  </si>
  <si>
    <t xml:space="preserve">id</t>
  </si>
  <si>
    <t xml:space="preserve">col</t>
  </si>
  <si>
    <r>
      <rPr>
        <sz val="11"/>
        <color theme="1"/>
        <rFont val="Calibri"/>
        <family val="2"/>
        <charset val="1"/>
      </rPr>
      <t xml:space="preserve">builder </t>
    </r>
    <r>
      <rPr>
        <sz val="11"/>
        <color theme="1"/>
        <rFont val="Noto Sans CJK SC"/>
        <family val="2"/>
      </rPr>
      <t xml:space="preserve">預設值（上次寫入）</t>
    </r>
  </si>
  <si>
    <t xml:space="preserve">D</t>
  </si>
  <si>
    <t xml:space="preserve">E</t>
  </si>
  <si>
    <t xml:space="preserve">F</t>
  </si>
  <si>
    <t xml:space="preserve">G</t>
  </si>
  <si>
    <t xml:space="preserve">H</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</si>
</sst>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3"/>
      <name val="Noto Sans CJK SC"/>
      <family val="2"/>
    </font>
    <font>
      <b val="true"/>
      <sz val="13"/>
      <name val="Arial"/>
      <family val="0"/>
      <charset val="1"/>
    </font>
    <font>
      <sz val="9"/>
      <color rgb="FF595959"/>
      <name val="Noto Sans CJK SC"/>
      <family val="2"/>
    </font>
    <font>
      <sz val="9"/>
      <color rgb="FF595959"/>
      <name val="Arial"/>
      <family val="0"/>
      <charset val="1"/>
    </font>
    <font>
      <b val="true"/>
      <sz val="10"/>
      <name val="Noto Sans CJK SC"/>
      <family val="2"/>
    </font>
    <font>
      <sz val="10"/>
      <color rgb="FF000000"/>
      <name val="Arial"/>
      <family val="0"/>
      <charset val="1"/>
    </font>
    <font>
      <sz val="10"/>
      <color rgb="FF000000"/>
      <name val="Noto Sans CJK SC"/>
      <family val="2"/>
    </font>
    <font>
      <b val="true"/>
      <sz val="10"/>
      <name val="Arial"/>
      <family val="0"/>
      <charset val="1"/>
    </font>
    <font>
      <sz val="10"/>
      <color rgb="FF0000FF"/>
      <name val="Arial"/>
      <family val="0"/>
      <charset val="1"/>
    </font>
    <font>
      <sz val="10"/>
      <color rgb="FF0000FF"/>
      <name val="Noto Sans CJK SC"/>
      <family val="2"/>
    </font>
    <font>
      <sz val="10"/>
      <color rgb="FF008000"/>
      <name val="Arial"/>
      <family val="0"/>
      <charset val="1"/>
    </font>
    <font>
      <sz val="11"/>
      <color theme="1"/>
      <name val="Noto Sans CJK SC"/>
      <family val="2"/>
    </font>
  </fonts>
  <fills count="4">
    <fill>
      <patternFill patternType="none"/>
    </fill>
    <fill>
      <patternFill patternType="gray125"/>
    </fill>
    <fill>
      <patternFill patternType="solid">
        <fgColor rgb="FFEDEDED"/>
        <bgColor rgb="FFD9E1F2"/>
      </patternFill>
    </fill>
    <fill>
      <patternFill patternType="solid">
        <fgColor rgb="FFD9E1F2"/>
        <bgColor rgb="FFEDEDE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DEDED"/>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30"/>
  </cols>
  <sheetData>
    <row r="1" customFormat="false" ht="20.1" hidden="false" customHeight="false" outlineLevel="0" collapsed="false">
      <c r="A1" s="1" t="s">
        <v>0</v>
      </c>
    </row>
    <row r="2" customFormat="false" ht="15" hidden="false" customHeight="false" outlineLevel="0" collapsed="false">
      <c r="A2" s="2" t="s">
        <v>1</v>
      </c>
    </row>
    <row r="4" customFormat="false" ht="29.85" hidden="false" customHeight="false" outlineLevel="0" collapsed="false">
      <c r="A4" s="3" t="s">
        <v>2</v>
      </c>
      <c r="B4" s="4" t="s">
        <v>3</v>
      </c>
    </row>
    <row r="5" customFormat="false" ht="44" hidden="false" customHeight="false" outlineLevel="0" collapsed="false">
      <c r="A5" s="3" t="s">
        <v>4</v>
      </c>
      <c r="B5" s="5" t="s">
        <v>5</v>
      </c>
    </row>
    <row r="6" customFormat="false" ht="29.85" hidden="false" customHeight="false" outlineLevel="0" collapsed="false">
      <c r="A6" s="6" t="s">
        <v>6</v>
      </c>
      <c r="B6" s="5" t="s">
        <v>7</v>
      </c>
    </row>
    <row r="7" customFormat="false" ht="29.85" hidden="false" customHeight="false" outlineLevel="0" collapsed="false">
      <c r="A7" s="6" t="s">
        <v>8</v>
      </c>
      <c r="B7" s="4" t="s">
        <v>9</v>
      </c>
    </row>
    <row r="8" customFormat="false" ht="29.85" hidden="false" customHeight="false" outlineLevel="0" collapsed="false">
      <c r="A8" s="6" t="s">
        <v>10</v>
      </c>
      <c r="B8" s="4" t="s">
        <v>11</v>
      </c>
    </row>
    <row r="9" customFormat="false" ht="29.85" hidden="false" customHeight="false" outlineLevel="0" collapsed="false">
      <c r="A9" s="6" t="s">
        <v>12</v>
      </c>
      <c r="B9" s="4" t="s">
        <v>13</v>
      </c>
    </row>
    <row r="10" customFormat="false" ht="15" hidden="false" customHeight="false" outlineLevel="0" collapsed="false">
      <c r="A10" s="6" t="s">
        <v>14</v>
      </c>
      <c r="B10" s="4" t="s">
        <v>15</v>
      </c>
    </row>
    <row r="11" customFormat="false" ht="29.85" hidden="false" customHeight="false" outlineLevel="0" collapsed="false">
      <c r="A11" s="6" t="s">
        <v>16</v>
      </c>
      <c r="B11" s="5" t="s">
        <v>17</v>
      </c>
    </row>
    <row r="12" customFormat="false" ht="44" hidden="false" customHeight="false" outlineLevel="0" collapsed="false">
      <c r="A12" s="6" t="s">
        <v>18</v>
      </c>
      <c r="B12" s="5" t="s">
        <v>19</v>
      </c>
    </row>
    <row r="13" customFormat="false" ht="44" hidden="false" customHeight="false" outlineLevel="0" collapsed="false">
      <c r="A13" s="6" t="s">
        <v>20</v>
      </c>
      <c r="B13" s="5" t="s">
        <v>21</v>
      </c>
    </row>
    <row r="14" customFormat="false" ht="44" hidden="false" customHeight="false" outlineLevel="0" collapsed="false">
      <c r="A14" s="6" t="s">
        <v>22</v>
      </c>
      <c r="B14" s="5" t="s">
        <v>23</v>
      </c>
    </row>
    <row r="15" customFormat="false" ht="44" hidden="false" customHeight="false" outlineLevel="0" collapsed="false">
      <c r="A15" s="6" t="s">
        <v>24</v>
      </c>
      <c r="B15" s="5" t="s">
        <v>25</v>
      </c>
    </row>
    <row r="16" customFormat="false" ht="29.85" hidden="false" customHeight="false" outlineLevel="0" collapsed="false">
      <c r="A16" s="6" t="s">
        <v>26</v>
      </c>
      <c r="B16" s="5" t="s">
        <v>27</v>
      </c>
    </row>
    <row r="17" customFormat="false" ht="15" hidden="false" customHeight="false" outlineLevel="0" collapsed="false">
      <c r="A17" s="6" t="s">
        <v>28</v>
      </c>
      <c r="B17" s="4" t="s">
        <v>29</v>
      </c>
    </row>
    <row r="18" customFormat="false" ht="15" hidden="false" customHeight="false" outlineLevel="0" collapsed="false">
      <c r="A18" s="3" t="s">
        <v>30</v>
      </c>
      <c r="B18" s="4" t="s">
        <v>31</v>
      </c>
    </row>
    <row r="19" customFormat="false" ht="15" hidden="false" customHeight="false" outlineLevel="0" collapsed="false">
      <c r="A19" s="3" t="s">
        <v>32</v>
      </c>
      <c r="B19" s="5"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34"/>
    <col collapsed="false" customWidth="true" hidden="false" outlineLevel="0" max="4" min="4" style="0" width="10"/>
    <col collapsed="false" customWidth="true" hidden="false" outlineLevel="0" max="6" min="5" style="0" width="8"/>
    <col collapsed="false" customWidth="true" hidden="false" outlineLevel="0" max="8" min="7" style="0" width="14"/>
    <col collapsed="false" customWidth="true" hidden="false" outlineLevel="0" max="9" min="9" style="0" width="44"/>
  </cols>
  <sheetData>
    <row r="1" customFormat="false" ht="20.1" hidden="false" customHeight="false" outlineLevel="0" collapsed="false">
      <c r="A1" s="7" t="s">
        <v>34</v>
      </c>
    </row>
    <row r="2" customFormat="false" ht="15" hidden="false" customHeight="false" outlineLevel="0" collapsed="false">
      <c r="A2" s="2" t="s">
        <v>35</v>
      </c>
    </row>
    <row r="3" customFormat="false" ht="15" hidden="false" customHeight="false" outlineLevel="0" collapsed="false">
      <c r="A3" s="2" t="s">
        <v>36</v>
      </c>
    </row>
    <row r="4" customFormat="false" ht="44" hidden="false" customHeight="false" outlineLevel="0" collapsed="false">
      <c r="A4" s="8" t="s">
        <v>37</v>
      </c>
      <c r="B4" s="9" t="s">
        <v>38</v>
      </c>
      <c r="C4" s="9" t="s">
        <v>39</v>
      </c>
      <c r="D4" s="9" t="s">
        <v>40</v>
      </c>
      <c r="E4" s="9" t="s">
        <v>41</v>
      </c>
      <c r="F4" s="9" t="s">
        <v>42</v>
      </c>
      <c r="G4" s="9" t="s">
        <v>43</v>
      </c>
      <c r="H4" s="9" t="s">
        <v>44</v>
      </c>
      <c r="I4" s="9" t="s">
        <v>45</v>
      </c>
      <c r="J4" s="9" t="s">
        <v>46</v>
      </c>
      <c r="K4" s="9" t="s">
        <v>47</v>
      </c>
      <c r="L4" s="9" t="s">
        <v>48</v>
      </c>
      <c r="M4" s="9" t="s">
        <v>30</v>
      </c>
      <c r="N4" s="9" t="s">
        <v>49</v>
      </c>
      <c r="O4" s="9" t="s">
        <v>50</v>
      </c>
      <c r="P4" s="9" t="s">
        <v>51</v>
      </c>
      <c r="Q4" s="9" t="s">
        <v>52</v>
      </c>
      <c r="R4" s="9" t="s">
        <v>53</v>
      </c>
      <c r="S4" s="9" t="s">
        <v>54</v>
      </c>
      <c r="T4" s="9" t="s">
        <v>55</v>
      </c>
      <c r="U4" s="9" t="s">
        <v>56</v>
      </c>
      <c r="V4" s="9" t="s">
        <v>57</v>
      </c>
      <c r="W4" s="9" t="s">
        <v>58</v>
      </c>
      <c r="X4" s="9" t="s">
        <v>59</v>
      </c>
    </row>
    <row r="5" customFormat="false" ht="15" hidden="false" customHeight="false" outlineLevel="0" collapsed="false">
      <c r="A5" s="10" t="s">
        <v>60</v>
      </c>
      <c r="B5" s="10" t="s">
        <v>61</v>
      </c>
      <c r="C5" s="11" t="s">
        <v>62</v>
      </c>
      <c r="D5" s="12" t="n">
        <v>0.5741</v>
      </c>
      <c r="E5" s="12"/>
      <c r="F5" s="12"/>
      <c r="G5" s="10" t="s">
        <v>63</v>
      </c>
      <c r="H5" s="10" t="s">
        <v>64</v>
      </c>
      <c r="I5" s="11" t="s">
        <v>65</v>
      </c>
      <c r="J5" s="10" t="s">
        <v>66</v>
      </c>
      <c r="K5" s="10" t="s">
        <v>67</v>
      </c>
      <c r="L5" s="10" t="s">
        <v>68</v>
      </c>
      <c r="M5" s="10" t="s">
        <v>69</v>
      </c>
      <c r="N5" s="10"/>
      <c r="O5" s="11" t="s">
        <v>70</v>
      </c>
      <c r="P5" s="10" t="s">
        <v>71</v>
      </c>
      <c r="Q5" s="11" t="s">
        <v>72</v>
      </c>
      <c r="R5" s="11" t="s">
        <v>73</v>
      </c>
      <c r="S5" s="11" t="s">
        <v>74</v>
      </c>
      <c r="T5" s="11" t="s">
        <v>75</v>
      </c>
      <c r="U5" s="10" t="n">
        <f aca="false">IF(AND($D5="",$E5="",$F5=""),1,0)</f>
        <v>0</v>
      </c>
      <c r="V5" s="10" t="n">
        <f aca="false">IF(OR($I5="",$I5="—"),1,0)</f>
        <v>0</v>
      </c>
      <c r="W5" s="10" t="n">
        <f aca="false">IF(AND(ISNUMBER($D5),ISNUMBER($E5)),IF($E5&gt;$D5,1,0),0)+IF(AND(ISNUMBER($D5),ISNUMBER($F5)),IF($D5&gt;$F5,1,0),0)+IF(AND(ISNUMBER($E5),ISNUMBER($F5)),IF($E5&gt;$F5,1,0),0)</f>
        <v>0</v>
      </c>
      <c r="X5" s="13" t="s">
        <v>76</v>
      </c>
    </row>
    <row r="6" customFormat="false" ht="15" hidden="false" customHeight="false" outlineLevel="0" collapsed="false">
      <c r="A6" s="10" t="s">
        <v>77</v>
      </c>
      <c r="B6" s="10" t="s">
        <v>78</v>
      </c>
      <c r="C6" s="11" t="s">
        <v>62</v>
      </c>
      <c r="D6" s="12" t="n">
        <v>1.2454</v>
      </c>
      <c r="E6" s="12"/>
      <c r="F6" s="12"/>
      <c r="G6" s="10" t="s">
        <v>63</v>
      </c>
      <c r="H6" s="10" t="s">
        <v>79</v>
      </c>
      <c r="I6" s="11" t="s">
        <v>65</v>
      </c>
      <c r="J6" s="10" t="s">
        <v>66</v>
      </c>
      <c r="K6" s="10" t="s">
        <v>67</v>
      </c>
      <c r="L6" s="10" t="s">
        <v>68</v>
      </c>
      <c r="M6" s="10" t="s">
        <v>69</v>
      </c>
      <c r="N6" s="10"/>
      <c r="O6" s="11" t="s">
        <v>70</v>
      </c>
      <c r="P6" s="10" t="s">
        <v>71</v>
      </c>
      <c r="Q6" s="11" t="s">
        <v>72</v>
      </c>
      <c r="R6" s="11" t="s">
        <v>73</v>
      </c>
      <c r="S6" s="11" t="s">
        <v>74</v>
      </c>
      <c r="T6" s="11" t="s">
        <v>80</v>
      </c>
      <c r="U6" s="10" t="n">
        <f aca="false">IF(AND($D6="",$E6="",$F6=""),1,0)</f>
        <v>0</v>
      </c>
      <c r="V6" s="10" t="n">
        <f aca="false">IF(OR($I6="",$I6="—"),1,0)</f>
        <v>0</v>
      </c>
      <c r="W6" s="10" t="n">
        <f aca="false">IF(AND(ISNUMBER($D6),ISNUMBER($E6)),IF($E6&gt;$D6,1,0),0)+IF(AND(ISNUMBER($D6),ISNUMBER($F6)),IF($D6&gt;$F6,1,0),0)+IF(AND(ISNUMBER($E6),ISNUMBER($F6)),IF($E6&gt;$F6,1,0),0)</f>
        <v>0</v>
      </c>
      <c r="X6" s="13" t="s">
        <v>76</v>
      </c>
    </row>
    <row r="7" customFormat="false" ht="15" hidden="false" customHeight="false" outlineLevel="0" collapsed="false">
      <c r="A7" s="10" t="s">
        <v>81</v>
      </c>
      <c r="B7" s="10" t="s">
        <v>82</v>
      </c>
      <c r="C7" s="11" t="s">
        <v>62</v>
      </c>
      <c r="D7" s="12" t="n">
        <v>3.1241</v>
      </c>
      <c r="E7" s="12"/>
      <c r="F7" s="12"/>
      <c r="G7" s="10" t="s">
        <v>63</v>
      </c>
      <c r="H7" s="10" t="s">
        <v>83</v>
      </c>
      <c r="I7" s="11" t="s">
        <v>65</v>
      </c>
      <c r="J7" s="10" t="s">
        <v>66</v>
      </c>
      <c r="K7" s="10" t="s">
        <v>67</v>
      </c>
      <c r="L7" s="10" t="s">
        <v>68</v>
      </c>
      <c r="M7" s="10" t="s">
        <v>69</v>
      </c>
      <c r="N7" s="10"/>
      <c r="O7" s="11" t="s">
        <v>70</v>
      </c>
      <c r="P7" s="10" t="s">
        <v>71</v>
      </c>
      <c r="Q7" s="11" t="s">
        <v>72</v>
      </c>
      <c r="R7" s="11" t="s">
        <v>73</v>
      </c>
      <c r="S7" s="11" t="s">
        <v>74</v>
      </c>
      <c r="T7" s="11" t="s">
        <v>84</v>
      </c>
      <c r="U7" s="10" t="n">
        <f aca="false">IF(AND($D7="",$E7="",$F7=""),1,0)</f>
        <v>0</v>
      </c>
      <c r="V7" s="10" t="n">
        <f aca="false">IF(OR($I7="",$I7="—"),1,0)</f>
        <v>0</v>
      </c>
      <c r="W7" s="10" t="n">
        <f aca="false">IF(AND(ISNUMBER($D7),ISNUMBER($E7)),IF($E7&gt;$D7,1,0),0)+IF(AND(ISNUMBER($D7),ISNUMBER($F7)),IF($D7&gt;$F7,1,0),0)+IF(AND(ISNUMBER($E7),ISNUMBER($F7)),IF($E7&gt;$F7,1,0),0)</f>
        <v>0</v>
      </c>
      <c r="X7" s="13" t="s">
        <v>76</v>
      </c>
    </row>
    <row r="8" customFormat="false" ht="15" hidden="false" customHeight="false" outlineLevel="0" collapsed="false">
      <c r="A8" s="10" t="s">
        <v>85</v>
      </c>
      <c r="B8" s="10" t="s">
        <v>86</v>
      </c>
      <c r="C8" s="11" t="s">
        <v>62</v>
      </c>
      <c r="D8" s="12" t="n">
        <v>0.4491</v>
      </c>
      <c r="E8" s="12"/>
      <c r="F8" s="12"/>
      <c r="G8" s="10" t="s">
        <v>63</v>
      </c>
      <c r="H8" s="10" t="s">
        <v>87</v>
      </c>
      <c r="I8" s="11" t="s">
        <v>65</v>
      </c>
      <c r="J8" s="10" t="s">
        <v>66</v>
      </c>
      <c r="K8" s="10" t="s">
        <v>67</v>
      </c>
      <c r="L8" s="10" t="s">
        <v>68</v>
      </c>
      <c r="M8" s="10" t="s">
        <v>69</v>
      </c>
      <c r="N8" s="10"/>
      <c r="O8" s="11" t="s">
        <v>88</v>
      </c>
      <c r="P8" s="10" t="s">
        <v>71</v>
      </c>
      <c r="Q8" s="11" t="s">
        <v>72</v>
      </c>
      <c r="R8" s="11" t="s">
        <v>73</v>
      </c>
      <c r="S8" s="11" t="s">
        <v>74</v>
      </c>
      <c r="T8" s="11" t="s">
        <v>89</v>
      </c>
      <c r="U8" s="10" t="n">
        <f aca="false">IF(AND($D8="",$E8="",$F8=""),1,0)</f>
        <v>0</v>
      </c>
      <c r="V8" s="10" t="n">
        <f aca="false">IF(OR($I8="",$I8="—"),1,0)</f>
        <v>0</v>
      </c>
      <c r="W8" s="10" t="n">
        <f aca="false">IF(AND(ISNUMBER($D8),ISNUMBER($E8)),IF($E8&gt;$D8,1,0),0)+IF(AND(ISNUMBER($D8),ISNUMBER($F8)),IF($D8&gt;$F8,1,0),0)+IF(AND(ISNUMBER($E8),ISNUMBER($F8)),IF($E8&gt;$F8,1,0),0)</f>
        <v>0</v>
      </c>
      <c r="X8" s="13" t="s">
        <v>76</v>
      </c>
    </row>
    <row r="9" customFormat="false" ht="15" hidden="false" customHeight="false" outlineLevel="0" collapsed="false">
      <c r="A9" s="10" t="s">
        <v>90</v>
      </c>
      <c r="B9" s="10" t="s">
        <v>91</v>
      </c>
      <c r="C9" s="11" t="s">
        <v>62</v>
      </c>
      <c r="D9" s="12" t="n">
        <v>1.9088</v>
      </c>
      <c r="E9" s="12"/>
      <c r="F9" s="12"/>
      <c r="G9" s="10" t="s">
        <v>63</v>
      </c>
      <c r="H9" s="10" t="s">
        <v>92</v>
      </c>
      <c r="I9" s="11" t="s">
        <v>65</v>
      </c>
      <c r="J9" s="10" t="s">
        <v>66</v>
      </c>
      <c r="K9" s="10" t="s">
        <v>67</v>
      </c>
      <c r="L9" s="10" t="s">
        <v>68</v>
      </c>
      <c r="M9" s="10" t="s">
        <v>69</v>
      </c>
      <c r="N9" s="10"/>
      <c r="O9" s="11" t="s">
        <v>70</v>
      </c>
      <c r="P9" s="10" t="s">
        <v>71</v>
      </c>
      <c r="Q9" s="11" t="s">
        <v>72</v>
      </c>
      <c r="R9" s="11" t="s">
        <v>73</v>
      </c>
      <c r="S9" s="11" t="s">
        <v>74</v>
      </c>
      <c r="T9" s="11" t="s">
        <v>93</v>
      </c>
      <c r="U9" s="10" t="n">
        <f aca="false">IF(AND($D9="",$E9="",$F9=""),1,0)</f>
        <v>0</v>
      </c>
      <c r="V9" s="10" t="n">
        <f aca="false">IF(OR($I9="",$I9="—"),1,0)</f>
        <v>0</v>
      </c>
      <c r="W9" s="10" t="n">
        <f aca="false">IF(AND(ISNUMBER($D9),ISNUMBER($E9)),IF($E9&gt;$D9,1,0),0)+IF(AND(ISNUMBER($D9),ISNUMBER($F9)),IF($D9&gt;$F9,1,0),0)+IF(AND(ISNUMBER($E9),ISNUMBER($F9)),IF($E9&gt;$F9,1,0),0)</f>
        <v>0</v>
      </c>
      <c r="X9" s="13" t="s">
        <v>76</v>
      </c>
    </row>
    <row r="10" customFormat="false" ht="15" hidden="false" customHeight="false" outlineLevel="0" collapsed="false">
      <c r="A10" s="10" t="s">
        <v>94</v>
      </c>
      <c r="B10" s="10" t="s">
        <v>95</v>
      </c>
      <c r="C10" s="11" t="s">
        <v>96</v>
      </c>
      <c r="D10" s="12" t="n">
        <v>0.5482</v>
      </c>
      <c r="E10" s="12"/>
      <c r="F10" s="12"/>
      <c r="G10" s="10" t="s">
        <v>63</v>
      </c>
      <c r="H10" s="10" t="s">
        <v>64</v>
      </c>
      <c r="I10" s="11" t="s">
        <v>65</v>
      </c>
      <c r="J10" s="10" t="s">
        <v>66</v>
      </c>
      <c r="K10" s="10" t="s">
        <v>67</v>
      </c>
      <c r="L10" s="10" t="s">
        <v>68</v>
      </c>
      <c r="M10" s="10" t="s">
        <v>69</v>
      </c>
      <c r="N10" s="10"/>
      <c r="O10" s="11" t="s">
        <v>70</v>
      </c>
      <c r="P10" s="10" t="s">
        <v>71</v>
      </c>
      <c r="Q10" s="11" t="s">
        <v>72</v>
      </c>
      <c r="R10" s="11" t="s">
        <v>73</v>
      </c>
      <c r="S10" s="11" t="s">
        <v>74</v>
      </c>
      <c r="T10" s="11" t="s">
        <v>97</v>
      </c>
      <c r="U10" s="10" t="n">
        <f aca="false">IF(AND($D10="",$E10="",$F10=""),1,0)</f>
        <v>0</v>
      </c>
      <c r="V10" s="10" t="n">
        <f aca="false">IF(OR($I10="",$I10="—"),1,0)</f>
        <v>0</v>
      </c>
      <c r="W10" s="10" t="n">
        <f aca="false">IF(AND(ISNUMBER($D10),ISNUMBER($E10)),IF($E10&gt;$D10,1,0),0)+IF(AND(ISNUMBER($D10),ISNUMBER($F10)),IF($D10&gt;$F10,1,0),0)+IF(AND(ISNUMBER($E10),ISNUMBER($F10)),IF($E10&gt;$F10,1,0),0)</f>
        <v>0</v>
      </c>
      <c r="X10" s="13" t="s">
        <v>76</v>
      </c>
    </row>
    <row r="11" customFormat="false" ht="15" hidden="false" customHeight="false" outlineLevel="0" collapsed="false">
      <c r="A11" s="10" t="s">
        <v>98</v>
      </c>
      <c r="B11" s="10" t="s">
        <v>99</v>
      </c>
      <c r="C11" s="11" t="s">
        <v>96</v>
      </c>
      <c r="D11" s="12" t="n">
        <v>1.1261</v>
      </c>
      <c r="E11" s="12"/>
      <c r="F11" s="12"/>
      <c r="G11" s="10" t="s">
        <v>63</v>
      </c>
      <c r="H11" s="10" t="s">
        <v>79</v>
      </c>
      <c r="I11" s="11" t="s">
        <v>65</v>
      </c>
      <c r="J11" s="10" t="s">
        <v>66</v>
      </c>
      <c r="K11" s="10" t="s">
        <v>67</v>
      </c>
      <c r="L11" s="10" t="s">
        <v>68</v>
      </c>
      <c r="M11" s="10" t="s">
        <v>69</v>
      </c>
      <c r="N11" s="10"/>
      <c r="O11" s="11" t="s">
        <v>70</v>
      </c>
      <c r="P11" s="10" t="s">
        <v>71</v>
      </c>
      <c r="Q11" s="11" t="s">
        <v>72</v>
      </c>
      <c r="R11" s="11" t="s">
        <v>73</v>
      </c>
      <c r="S11" s="11" t="s">
        <v>74</v>
      </c>
      <c r="T11" s="11" t="s">
        <v>100</v>
      </c>
      <c r="U11" s="10" t="n">
        <f aca="false">IF(AND($D11="",$E11="",$F11=""),1,0)</f>
        <v>0</v>
      </c>
      <c r="V11" s="10" t="n">
        <f aca="false">IF(OR($I11="",$I11="—"),1,0)</f>
        <v>0</v>
      </c>
      <c r="W11" s="10" t="n">
        <f aca="false">IF(AND(ISNUMBER($D11),ISNUMBER($E11)),IF($E11&gt;$D11,1,0),0)+IF(AND(ISNUMBER($D11),ISNUMBER($F11)),IF($D11&gt;$F11,1,0),0)+IF(AND(ISNUMBER($E11),ISNUMBER($F11)),IF($E11&gt;$F11,1,0),0)</f>
        <v>0</v>
      </c>
      <c r="X11" s="13" t="s">
        <v>76</v>
      </c>
    </row>
    <row r="12" customFormat="false" ht="15" hidden="false" customHeight="false" outlineLevel="0" collapsed="false">
      <c r="A12" s="10" t="s">
        <v>101</v>
      </c>
      <c r="B12" s="10" t="s">
        <v>102</v>
      </c>
      <c r="C12" s="11" t="s">
        <v>96</v>
      </c>
      <c r="D12" s="12" t="n">
        <v>2.6393</v>
      </c>
      <c r="E12" s="12"/>
      <c r="F12" s="12"/>
      <c r="G12" s="10" t="s">
        <v>63</v>
      </c>
      <c r="H12" s="10" t="s">
        <v>83</v>
      </c>
      <c r="I12" s="11" t="s">
        <v>65</v>
      </c>
      <c r="J12" s="10" t="s">
        <v>66</v>
      </c>
      <c r="K12" s="10" t="s">
        <v>67</v>
      </c>
      <c r="L12" s="10" t="s">
        <v>68</v>
      </c>
      <c r="M12" s="10" t="s">
        <v>69</v>
      </c>
      <c r="N12" s="10"/>
      <c r="O12" s="11" t="s">
        <v>70</v>
      </c>
      <c r="P12" s="10" t="s">
        <v>71</v>
      </c>
      <c r="Q12" s="11" t="s">
        <v>72</v>
      </c>
      <c r="R12" s="11" t="s">
        <v>73</v>
      </c>
      <c r="S12" s="11" t="s">
        <v>74</v>
      </c>
      <c r="T12" s="11" t="s">
        <v>103</v>
      </c>
      <c r="U12" s="10" t="n">
        <f aca="false">IF(AND($D12="",$E12="",$F12=""),1,0)</f>
        <v>0</v>
      </c>
      <c r="V12" s="10" t="n">
        <f aca="false">IF(OR($I12="",$I12="—"),1,0)</f>
        <v>0</v>
      </c>
      <c r="W12" s="10" t="n">
        <f aca="false">IF(AND(ISNUMBER($D12),ISNUMBER($E12)),IF($E12&gt;$D12,1,0),0)+IF(AND(ISNUMBER($D12),ISNUMBER($F12)),IF($D12&gt;$F12,1,0),0)+IF(AND(ISNUMBER($E12),ISNUMBER($F12)),IF($E12&gt;$F12,1,0),0)</f>
        <v>0</v>
      </c>
      <c r="X12" s="13" t="s">
        <v>76</v>
      </c>
    </row>
    <row r="13" customFormat="false" ht="15" hidden="false" customHeight="false" outlineLevel="0" collapsed="false">
      <c r="A13" s="10" t="s">
        <v>104</v>
      </c>
      <c r="B13" s="10" t="s">
        <v>105</v>
      </c>
      <c r="C13" s="11" t="s">
        <v>96</v>
      </c>
      <c r="D13" s="12" t="n">
        <v>0.2681</v>
      </c>
      <c r="E13" s="12"/>
      <c r="F13" s="12"/>
      <c r="G13" s="10" t="s">
        <v>63</v>
      </c>
      <c r="H13" s="10" t="s">
        <v>87</v>
      </c>
      <c r="I13" s="11" t="s">
        <v>65</v>
      </c>
      <c r="J13" s="10" t="s">
        <v>66</v>
      </c>
      <c r="K13" s="10" t="s">
        <v>67</v>
      </c>
      <c r="L13" s="10" t="s">
        <v>68</v>
      </c>
      <c r="M13" s="10" t="s">
        <v>69</v>
      </c>
      <c r="N13" s="10"/>
      <c r="O13" s="11" t="s">
        <v>88</v>
      </c>
      <c r="P13" s="10" t="s">
        <v>71</v>
      </c>
      <c r="Q13" s="11" t="s">
        <v>72</v>
      </c>
      <c r="R13" s="11" t="s">
        <v>73</v>
      </c>
      <c r="S13" s="11" t="s">
        <v>74</v>
      </c>
      <c r="T13" s="11" t="s">
        <v>106</v>
      </c>
      <c r="U13" s="10" t="n">
        <f aca="false">IF(AND($D13="",$E13="",$F13=""),1,0)</f>
        <v>0</v>
      </c>
      <c r="V13" s="10" t="n">
        <f aca="false">IF(OR($I13="",$I13="—"),1,0)</f>
        <v>0</v>
      </c>
      <c r="W13" s="10" t="n">
        <f aca="false">IF(AND(ISNUMBER($D13),ISNUMBER($E13)),IF($E13&gt;$D13,1,0),0)+IF(AND(ISNUMBER($D13),ISNUMBER($F13)),IF($D13&gt;$F13,1,0),0)+IF(AND(ISNUMBER($E13),ISNUMBER($F13)),IF($E13&gt;$F13,1,0),0)</f>
        <v>0</v>
      </c>
      <c r="X13" s="13" t="s">
        <v>76</v>
      </c>
    </row>
    <row r="14" customFormat="false" ht="15" hidden="false" customHeight="false" outlineLevel="0" collapsed="false">
      <c r="A14" s="10" t="s">
        <v>107</v>
      </c>
      <c r="B14" s="10" t="s">
        <v>108</v>
      </c>
      <c r="C14" s="11" t="s">
        <v>96</v>
      </c>
      <c r="D14" s="12" t="n">
        <v>1.6178</v>
      </c>
      <c r="E14" s="12"/>
      <c r="F14" s="12"/>
      <c r="G14" s="10" t="s">
        <v>63</v>
      </c>
      <c r="H14" s="10" t="s">
        <v>92</v>
      </c>
      <c r="I14" s="11" t="s">
        <v>65</v>
      </c>
      <c r="J14" s="10" t="s">
        <v>66</v>
      </c>
      <c r="K14" s="10" t="s">
        <v>67</v>
      </c>
      <c r="L14" s="10" t="s">
        <v>68</v>
      </c>
      <c r="M14" s="10" t="s">
        <v>69</v>
      </c>
      <c r="N14" s="10"/>
      <c r="O14" s="11" t="s">
        <v>70</v>
      </c>
      <c r="P14" s="10" t="s">
        <v>71</v>
      </c>
      <c r="Q14" s="11" t="s">
        <v>72</v>
      </c>
      <c r="R14" s="11" t="s">
        <v>73</v>
      </c>
      <c r="S14" s="11" t="s">
        <v>74</v>
      </c>
      <c r="T14" s="11" t="s">
        <v>109</v>
      </c>
      <c r="U14" s="10" t="n">
        <f aca="false">IF(AND($D14="",$E14="",$F14=""),1,0)</f>
        <v>0</v>
      </c>
      <c r="V14" s="10" t="n">
        <f aca="false">IF(OR($I14="",$I14="—"),1,0)</f>
        <v>0</v>
      </c>
      <c r="W14" s="10" t="n">
        <f aca="false">IF(AND(ISNUMBER($D14),ISNUMBER($E14)),IF($E14&gt;$D14,1,0),0)+IF(AND(ISNUMBER($D14),ISNUMBER($F14)),IF($D14&gt;$F14,1,0),0)+IF(AND(ISNUMBER($E14),ISNUMBER($F14)),IF($E14&gt;$F14,1,0),0)</f>
        <v>0</v>
      </c>
      <c r="X14" s="13" t="s">
        <v>76</v>
      </c>
    </row>
    <row r="15" customFormat="false" ht="15" hidden="false" customHeight="false" outlineLevel="0" collapsed="false">
      <c r="A15" s="10" t="s">
        <v>110</v>
      </c>
      <c r="B15" s="10" t="s">
        <v>111</v>
      </c>
      <c r="C15" s="11" t="s">
        <v>112</v>
      </c>
      <c r="D15" s="12" t="n">
        <v>0.0259</v>
      </c>
      <c r="E15" s="12"/>
      <c r="F15" s="12"/>
      <c r="G15" s="10" t="s">
        <v>63</v>
      </c>
      <c r="H15" s="10" t="s">
        <v>64</v>
      </c>
      <c r="I15" s="11" t="s">
        <v>65</v>
      </c>
      <c r="J15" s="10" t="s">
        <v>66</v>
      </c>
      <c r="K15" s="10" t="s">
        <v>67</v>
      </c>
      <c r="L15" s="10" t="s">
        <v>68</v>
      </c>
      <c r="M15" s="10" t="s">
        <v>69</v>
      </c>
      <c r="N15" s="10"/>
      <c r="O15" s="11" t="s">
        <v>70</v>
      </c>
      <c r="P15" s="10" t="s">
        <v>71</v>
      </c>
      <c r="Q15" s="11" t="s">
        <v>72</v>
      </c>
      <c r="R15" s="11" t="s">
        <v>73</v>
      </c>
      <c r="S15" s="11" t="s">
        <v>74</v>
      </c>
      <c r="T15" s="11" t="s">
        <v>113</v>
      </c>
      <c r="U15" s="10" t="n">
        <f aca="false">IF(AND($D15="",$E15="",$F15=""),1,0)</f>
        <v>0</v>
      </c>
      <c r="V15" s="10" t="n">
        <f aca="false">IF(OR($I15="",$I15="—"),1,0)</f>
        <v>0</v>
      </c>
      <c r="W15" s="10" t="n">
        <f aca="false">IF(AND(ISNUMBER($D15),ISNUMBER($E15)),IF($E15&gt;$D15,1,0),0)+IF(AND(ISNUMBER($D15),ISNUMBER($F15)),IF($D15&gt;$F15,1,0),0)+IF(AND(ISNUMBER($E15),ISNUMBER($F15)),IF($E15&gt;$F15,1,0),0)</f>
        <v>0</v>
      </c>
      <c r="X15" s="13" t="s">
        <v>76</v>
      </c>
    </row>
    <row r="16" customFormat="false" ht="15" hidden="false" customHeight="false" outlineLevel="0" collapsed="false">
      <c r="A16" s="10" t="s">
        <v>114</v>
      </c>
      <c r="B16" s="10" t="s">
        <v>115</v>
      </c>
      <c r="C16" s="11" t="s">
        <v>112</v>
      </c>
      <c r="D16" s="12" t="n">
        <v>0.1192</v>
      </c>
      <c r="E16" s="12"/>
      <c r="F16" s="12"/>
      <c r="G16" s="10" t="s">
        <v>63</v>
      </c>
      <c r="H16" s="10" t="s">
        <v>79</v>
      </c>
      <c r="I16" s="11" t="s">
        <v>65</v>
      </c>
      <c r="J16" s="10" t="s">
        <v>66</v>
      </c>
      <c r="K16" s="10" t="s">
        <v>67</v>
      </c>
      <c r="L16" s="10" t="s">
        <v>68</v>
      </c>
      <c r="M16" s="10" t="s">
        <v>69</v>
      </c>
      <c r="N16" s="10"/>
      <c r="O16" s="11" t="s">
        <v>70</v>
      </c>
      <c r="P16" s="10" t="s">
        <v>71</v>
      </c>
      <c r="Q16" s="11" t="s">
        <v>72</v>
      </c>
      <c r="R16" s="11" t="s">
        <v>73</v>
      </c>
      <c r="S16" s="11" t="s">
        <v>74</v>
      </c>
      <c r="T16" s="11" t="s">
        <v>116</v>
      </c>
      <c r="U16" s="10" t="n">
        <f aca="false">IF(AND($D16="",$E16="",$F16=""),1,0)</f>
        <v>0</v>
      </c>
      <c r="V16" s="10" t="n">
        <f aca="false">IF(OR($I16="",$I16="—"),1,0)</f>
        <v>0</v>
      </c>
      <c r="W16" s="10" t="n">
        <f aca="false">IF(AND(ISNUMBER($D16),ISNUMBER($E16)),IF($E16&gt;$D16,1,0),0)+IF(AND(ISNUMBER($D16),ISNUMBER($F16)),IF($D16&gt;$F16,1,0),0)+IF(AND(ISNUMBER($E16),ISNUMBER($F16)),IF($E16&gt;$F16,1,0),0)</f>
        <v>0</v>
      </c>
      <c r="X16" s="13" t="s">
        <v>76</v>
      </c>
    </row>
    <row r="17" customFormat="false" ht="15" hidden="false" customHeight="false" outlineLevel="0" collapsed="false">
      <c r="A17" s="10" t="s">
        <v>117</v>
      </c>
      <c r="B17" s="10" t="s">
        <v>118</v>
      </c>
      <c r="C17" s="11" t="s">
        <v>112</v>
      </c>
      <c r="D17" s="12" t="n">
        <v>0.4848</v>
      </c>
      <c r="E17" s="12"/>
      <c r="F17" s="12"/>
      <c r="G17" s="10" t="s">
        <v>63</v>
      </c>
      <c r="H17" s="10" t="s">
        <v>83</v>
      </c>
      <c r="I17" s="11" t="s">
        <v>65</v>
      </c>
      <c r="J17" s="10" t="s">
        <v>66</v>
      </c>
      <c r="K17" s="10" t="s">
        <v>67</v>
      </c>
      <c r="L17" s="10" t="s">
        <v>68</v>
      </c>
      <c r="M17" s="10" t="s">
        <v>69</v>
      </c>
      <c r="N17" s="10"/>
      <c r="O17" s="11" t="s">
        <v>70</v>
      </c>
      <c r="P17" s="10" t="s">
        <v>71</v>
      </c>
      <c r="Q17" s="11" t="s">
        <v>72</v>
      </c>
      <c r="R17" s="11" t="s">
        <v>73</v>
      </c>
      <c r="S17" s="11" t="s">
        <v>74</v>
      </c>
      <c r="T17" s="11" t="s">
        <v>119</v>
      </c>
      <c r="U17" s="10" t="n">
        <f aca="false">IF(AND($D17="",$E17="",$F17=""),1,0)</f>
        <v>0</v>
      </c>
      <c r="V17" s="10" t="n">
        <f aca="false">IF(OR($I17="",$I17="—"),1,0)</f>
        <v>0</v>
      </c>
      <c r="W17" s="10" t="n">
        <f aca="false">IF(AND(ISNUMBER($D17),ISNUMBER($E17)),IF($E17&gt;$D17,1,0),0)+IF(AND(ISNUMBER($D17),ISNUMBER($F17)),IF($D17&gt;$F17,1,0),0)+IF(AND(ISNUMBER($E17),ISNUMBER($F17)),IF($E17&gt;$F17,1,0),0)</f>
        <v>0</v>
      </c>
      <c r="X17" s="13" t="s">
        <v>76</v>
      </c>
    </row>
    <row r="18" customFormat="false" ht="15" hidden="false" customHeight="false" outlineLevel="0" collapsed="false">
      <c r="A18" s="10" t="s">
        <v>120</v>
      </c>
      <c r="B18" s="10" t="s">
        <v>121</v>
      </c>
      <c r="C18" s="11" t="s">
        <v>112</v>
      </c>
      <c r="D18" s="12" t="n">
        <v>0.181</v>
      </c>
      <c r="E18" s="12"/>
      <c r="F18" s="12"/>
      <c r="G18" s="10" t="s">
        <v>63</v>
      </c>
      <c r="H18" s="10" t="s">
        <v>87</v>
      </c>
      <c r="I18" s="11" t="s">
        <v>65</v>
      </c>
      <c r="J18" s="10" t="s">
        <v>66</v>
      </c>
      <c r="K18" s="10" t="s">
        <v>67</v>
      </c>
      <c r="L18" s="10" t="s">
        <v>68</v>
      </c>
      <c r="M18" s="10" t="s">
        <v>69</v>
      </c>
      <c r="N18" s="10"/>
      <c r="O18" s="11" t="s">
        <v>88</v>
      </c>
      <c r="P18" s="10" t="s">
        <v>71</v>
      </c>
      <c r="Q18" s="11" t="s">
        <v>72</v>
      </c>
      <c r="R18" s="11" t="s">
        <v>73</v>
      </c>
      <c r="S18" s="11" t="s">
        <v>74</v>
      </c>
      <c r="T18" s="11" t="s">
        <v>122</v>
      </c>
      <c r="U18" s="10" t="n">
        <f aca="false">IF(AND($D18="",$E18="",$F18=""),1,0)</f>
        <v>0</v>
      </c>
      <c r="V18" s="10" t="n">
        <f aca="false">IF(OR($I18="",$I18="—"),1,0)</f>
        <v>0</v>
      </c>
      <c r="W18" s="10" t="n">
        <f aca="false">IF(AND(ISNUMBER($D18),ISNUMBER($E18)),IF($E18&gt;$D18,1,0),0)+IF(AND(ISNUMBER($D18),ISNUMBER($F18)),IF($D18&gt;$F18,1,0),0)+IF(AND(ISNUMBER($E18),ISNUMBER($F18)),IF($E18&gt;$F18,1,0),0)</f>
        <v>0</v>
      </c>
      <c r="X18" s="13" t="s">
        <v>76</v>
      </c>
    </row>
    <row r="19" customFormat="false" ht="15" hidden="false" customHeight="false" outlineLevel="0" collapsed="false">
      <c r="A19" s="10" t="s">
        <v>123</v>
      </c>
      <c r="B19" s="10" t="s">
        <v>124</v>
      </c>
      <c r="C19" s="11" t="s">
        <v>112</v>
      </c>
      <c r="D19" s="12" t="n">
        <v>0.291</v>
      </c>
      <c r="E19" s="12"/>
      <c r="F19" s="12"/>
      <c r="G19" s="10" t="s">
        <v>63</v>
      </c>
      <c r="H19" s="10" t="s">
        <v>92</v>
      </c>
      <c r="I19" s="11" t="s">
        <v>65</v>
      </c>
      <c r="J19" s="10" t="s">
        <v>66</v>
      </c>
      <c r="K19" s="10" t="s">
        <v>67</v>
      </c>
      <c r="L19" s="10" t="s">
        <v>68</v>
      </c>
      <c r="M19" s="10" t="s">
        <v>69</v>
      </c>
      <c r="N19" s="10"/>
      <c r="O19" s="11" t="s">
        <v>70</v>
      </c>
      <c r="P19" s="10" t="s">
        <v>71</v>
      </c>
      <c r="Q19" s="11" t="s">
        <v>72</v>
      </c>
      <c r="R19" s="11" t="s">
        <v>73</v>
      </c>
      <c r="S19" s="11" t="s">
        <v>74</v>
      </c>
      <c r="T19" s="11" t="s">
        <v>125</v>
      </c>
      <c r="U19" s="10" t="n">
        <f aca="false">IF(AND($D19="",$E19="",$F19=""),1,0)</f>
        <v>0</v>
      </c>
      <c r="V19" s="10" t="n">
        <f aca="false">IF(OR($I19="",$I19="—"),1,0)</f>
        <v>0</v>
      </c>
      <c r="W19" s="10" t="n">
        <f aca="false">IF(AND(ISNUMBER($D19),ISNUMBER($E19)),IF($E19&gt;$D19,1,0),0)+IF(AND(ISNUMBER($D19),ISNUMBER($F19)),IF($D19&gt;$F19,1,0),0)+IF(AND(ISNUMBER($E19),ISNUMBER($F19)),IF($E19&gt;$F19,1,0),0)</f>
        <v>0</v>
      </c>
      <c r="X19" s="13" t="s">
        <v>76</v>
      </c>
    </row>
    <row r="20" customFormat="false" ht="15" hidden="false" customHeight="false" outlineLevel="0" collapsed="false">
      <c r="A20" s="10" t="s">
        <v>126</v>
      </c>
      <c r="B20" s="10" t="s">
        <v>127</v>
      </c>
      <c r="C20" s="11" t="s">
        <v>128</v>
      </c>
      <c r="D20" s="12" t="n">
        <v>0.2605</v>
      </c>
      <c r="E20" s="12"/>
      <c r="F20" s="12"/>
      <c r="G20" s="10" t="s">
        <v>63</v>
      </c>
      <c r="H20" s="10" t="s">
        <v>64</v>
      </c>
      <c r="I20" s="11" t="s">
        <v>65</v>
      </c>
      <c r="J20" s="10" t="s">
        <v>66</v>
      </c>
      <c r="K20" s="10" t="s">
        <v>67</v>
      </c>
      <c r="L20" s="10" t="s">
        <v>68</v>
      </c>
      <c r="M20" s="10" t="s">
        <v>69</v>
      </c>
      <c r="N20" s="10"/>
      <c r="O20" s="11" t="s">
        <v>70</v>
      </c>
      <c r="P20" s="10" t="s">
        <v>71</v>
      </c>
      <c r="Q20" s="11" t="s">
        <v>72</v>
      </c>
      <c r="R20" s="11" t="s">
        <v>73</v>
      </c>
      <c r="S20" s="11" t="s">
        <v>74</v>
      </c>
      <c r="T20" s="11" t="s">
        <v>129</v>
      </c>
      <c r="U20" s="10" t="n">
        <f aca="false">IF(AND($D20="",$E20="",$F20=""),1,0)</f>
        <v>0</v>
      </c>
      <c r="V20" s="10" t="n">
        <f aca="false">IF(OR($I20="",$I20="—"),1,0)</f>
        <v>0</v>
      </c>
      <c r="W20" s="10" t="n">
        <f aca="false">IF(AND(ISNUMBER($D20),ISNUMBER($E20)),IF($E20&gt;$D20,1,0),0)+IF(AND(ISNUMBER($D20),ISNUMBER($F20)),IF($D20&gt;$F20,1,0),0)+IF(AND(ISNUMBER($E20),ISNUMBER($F20)),IF($E20&gt;$F20,1,0),0)</f>
        <v>0</v>
      </c>
      <c r="X20" s="13" t="s">
        <v>76</v>
      </c>
    </row>
    <row r="21" customFormat="false" ht="15" hidden="false" customHeight="false" outlineLevel="0" collapsed="false">
      <c r="A21" s="10" t="s">
        <v>130</v>
      </c>
      <c r="B21" s="10" t="s">
        <v>131</v>
      </c>
      <c r="C21" s="11" t="s">
        <v>128</v>
      </c>
      <c r="D21" s="12" t="n">
        <v>0.4406</v>
      </c>
      <c r="E21" s="12"/>
      <c r="F21" s="12"/>
      <c r="G21" s="10" t="s">
        <v>63</v>
      </c>
      <c r="H21" s="10" t="s">
        <v>79</v>
      </c>
      <c r="I21" s="11" t="s">
        <v>65</v>
      </c>
      <c r="J21" s="10" t="s">
        <v>66</v>
      </c>
      <c r="K21" s="10" t="s">
        <v>67</v>
      </c>
      <c r="L21" s="10" t="s">
        <v>68</v>
      </c>
      <c r="M21" s="10" t="s">
        <v>69</v>
      </c>
      <c r="N21" s="10"/>
      <c r="O21" s="11" t="s">
        <v>70</v>
      </c>
      <c r="P21" s="10" t="s">
        <v>71</v>
      </c>
      <c r="Q21" s="11" t="s">
        <v>72</v>
      </c>
      <c r="R21" s="11" t="s">
        <v>73</v>
      </c>
      <c r="S21" s="11" t="s">
        <v>74</v>
      </c>
      <c r="T21" s="11" t="s">
        <v>132</v>
      </c>
      <c r="U21" s="10" t="n">
        <f aca="false">IF(AND($D21="",$E21="",$F21=""),1,0)</f>
        <v>0</v>
      </c>
      <c r="V21" s="10" t="n">
        <f aca="false">IF(OR($I21="",$I21="—"),1,0)</f>
        <v>0</v>
      </c>
      <c r="W21" s="10" t="n">
        <f aca="false">IF(AND(ISNUMBER($D21),ISNUMBER($E21)),IF($E21&gt;$D21,1,0),0)+IF(AND(ISNUMBER($D21),ISNUMBER($F21)),IF($D21&gt;$F21,1,0),0)+IF(AND(ISNUMBER($E21),ISNUMBER($F21)),IF($E21&gt;$F21,1,0),0)</f>
        <v>0</v>
      </c>
      <c r="X21" s="13" t="s">
        <v>76</v>
      </c>
    </row>
    <row r="22" customFormat="false" ht="15" hidden="false" customHeight="false" outlineLevel="0" collapsed="false">
      <c r="A22" s="10" t="s">
        <v>133</v>
      </c>
      <c r="B22" s="10" t="s">
        <v>134</v>
      </c>
      <c r="C22" s="11" t="s">
        <v>128</v>
      </c>
      <c r="D22" s="12" t="n">
        <v>1.3653</v>
      </c>
      <c r="E22" s="12"/>
      <c r="F22" s="12"/>
      <c r="G22" s="10" t="s">
        <v>63</v>
      </c>
      <c r="H22" s="10" t="s">
        <v>83</v>
      </c>
      <c r="I22" s="11" t="s">
        <v>65</v>
      </c>
      <c r="J22" s="10" t="s">
        <v>66</v>
      </c>
      <c r="K22" s="10" t="s">
        <v>67</v>
      </c>
      <c r="L22" s="10" t="s">
        <v>68</v>
      </c>
      <c r="M22" s="10" t="s">
        <v>69</v>
      </c>
      <c r="N22" s="10"/>
      <c r="O22" s="11" t="s">
        <v>70</v>
      </c>
      <c r="P22" s="10" t="s">
        <v>71</v>
      </c>
      <c r="Q22" s="11" t="s">
        <v>72</v>
      </c>
      <c r="R22" s="11" t="s">
        <v>73</v>
      </c>
      <c r="S22" s="11" t="s">
        <v>74</v>
      </c>
      <c r="T22" s="11" t="s">
        <v>135</v>
      </c>
      <c r="U22" s="10" t="n">
        <f aca="false">IF(AND($D22="",$E22="",$F22=""),1,0)</f>
        <v>0</v>
      </c>
      <c r="V22" s="10" t="n">
        <f aca="false">IF(OR($I22="",$I22="—"),1,0)</f>
        <v>0</v>
      </c>
      <c r="W22" s="10" t="n">
        <f aca="false">IF(AND(ISNUMBER($D22),ISNUMBER($E22)),IF($E22&gt;$D22,1,0),0)+IF(AND(ISNUMBER($D22),ISNUMBER($F22)),IF($D22&gt;$F22,1,0),0)+IF(AND(ISNUMBER($E22),ISNUMBER($F22)),IF($E22&gt;$F22,1,0),0)</f>
        <v>0</v>
      </c>
      <c r="X22" s="13" t="s">
        <v>76</v>
      </c>
    </row>
    <row r="23" customFormat="false" ht="15" hidden="false" customHeight="false" outlineLevel="0" collapsed="false">
      <c r="A23" s="10" t="s">
        <v>136</v>
      </c>
      <c r="B23" s="10" t="s">
        <v>137</v>
      </c>
      <c r="C23" s="11" t="s">
        <v>128</v>
      </c>
      <c r="D23" s="12" t="n">
        <v>0.2295</v>
      </c>
      <c r="E23" s="12"/>
      <c r="F23" s="12"/>
      <c r="G23" s="10" t="s">
        <v>63</v>
      </c>
      <c r="H23" s="10" t="s">
        <v>87</v>
      </c>
      <c r="I23" s="11" t="s">
        <v>65</v>
      </c>
      <c r="J23" s="10" t="s">
        <v>66</v>
      </c>
      <c r="K23" s="10" t="s">
        <v>67</v>
      </c>
      <c r="L23" s="10" t="s">
        <v>68</v>
      </c>
      <c r="M23" s="10" t="s">
        <v>69</v>
      </c>
      <c r="N23" s="10"/>
      <c r="O23" s="11" t="s">
        <v>88</v>
      </c>
      <c r="P23" s="10" t="s">
        <v>71</v>
      </c>
      <c r="Q23" s="11" t="s">
        <v>72</v>
      </c>
      <c r="R23" s="11" t="s">
        <v>73</v>
      </c>
      <c r="S23" s="11" t="s">
        <v>74</v>
      </c>
      <c r="T23" s="11" t="s">
        <v>138</v>
      </c>
      <c r="U23" s="10" t="n">
        <f aca="false">IF(AND($D23="",$E23="",$F23=""),1,0)</f>
        <v>0</v>
      </c>
      <c r="V23" s="10" t="n">
        <f aca="false">IF(OR($I23="",$I23="—"),1,0)</f>
        <v>0</v>
      </c>
      <c r="W23" s="10" t="n">
        <f aca="false">IF(AND(ISNUMBER($D23),ISNUMBER($E23)),IF($E23&gt;$D23,1,0),0)+IF(AND(ISNUMBER($D23),ISNUMBER($F23)),IF($D23&gt;$F23,1,0),0)+IF(AND(ISNUMBER($E23),ISNUMBER($F23)),IF($E23&gt;$F23,1,0),0)</f>
        <v>0</v>
      </c>
      <c r="X23" s="13" t="s">
        <v>76</v>
      </c>
    </row>
    <row r="24" customFormat="false" ht="15" hidden="false" customHeight="false" outlineLevel="0" collapsed="false">
      <c r="A24" s="10" t="s">
        <v>139</v>
      </c>
      <c r="B24" s="10" t="s">
        <v>140</v>
      </c>
      <c r="C24" s="11" t="s">
        <v>128</v>
      </c>
      <c r="D24" s="12" t="n">
        <v>0.9545</v>
      </c>
      <c r="E24" s="12"/>
      <c r="F24" s="12"/>
      <c r="G24" s="10" t="s">
        <v>63</v>
      </c>
      <c r="H24" s="10" t="s">
        <v>92</v>
      </c>
      <c r="I24" s="11" t="s">
        <v>65</v>
      </c>
      <c r="J24" s="10" t="s">
        <v>66</v>
      </c>
      <c r="K24" s="10" t="s">
        <v>67</v>
      </c>
      <c r="L24" s="10" t="s">
        <v>68</v>
      </c>
      <c r="M24" s="10" t="s">
        <v>69</v>
      </c>
      <c r="N24" s="10"/>
      <c r="O24" s="11" t="s">
        <v>70</v>
      </c>
      <c r="P24" s="10" t="s">
        <v>71</v>
      </c>
      <c r="Q24" s="11" t="s">
        <v>72</v>
      </c>
      <c r="R24" s="11" t="s">
        <v>73</v>
      </c>
      <c r="S24" s="11" t="s">
        <v>74</v>
      </c>
      <c r="T24" s="11" t="s">
        <v>141</v>
      </c>
      <c r="U24" s="10" t="n">
        <f aca="false">IF(AND($D24="",$E24="",$F24=""),1,0)</f>
        <v>0</v>
      </c>
      <c r="V24" s="10" t="n">
        <f aca="false">IF(OR($I24="",$I24="—"),1,0)</f>
        <v>0</v>
      </c>
      <c r="W24" s="10" t="n">
        <f aca="false">IF(AND(ISNUMBER($D24),ISNUMBER($E24)),IF($E24&gt;$D24,1,0),0)+IF(AND(ISNUMBER($D24),ISNUMBER($F24)),IF($D24&gt;$F24,1,0),0)+IF(AND(ISNUMBER($E24),ISNUMBER($F24)),IF($E24&gt;$F24,1,0),0)</f>
        <v>0</v>
      </c>
      <c r="X24" s="13" t="s">
        <v>76</v>
      </c>
    </row>
    <row r="25" customFormat="false" ht="15" hidden="false" customHeight="false" outlineLevel="0" collapsed="false">
      <c r="A25" s="10" t="s">
        <v>142</v>
      </c>
      <c r="B25" s="10" t="s">
        <v>143</v>
      </c>
      <c r="C25" s="11" t="s">
        <v>144</v>
      </c>
      <c r="D25" s="12" t="n">
        <v>0</v>
      </c>
      <c r="E25" s="12"/>
      <c r="F25" s="12"/>
      <c r="G25" s="10" t="s">
        <v>63</v>
      </c>
      <c r="H25" s="10" t="s">
        <v>64</v>
      </c>
      <c r="I25" s="11" t="s">
        <v>65</v>
      </c>
      <c r="J25" s="10" t="s">
        <v>66</v>
      </c>
      <c r="K25" s="10" t="s">
        <v>67</v>
      </c>
      <c r="L25" s="10" t="s">
        <v>68</v>
      </c>
      <c r="M25" s="10" t="s">
        <v>69</v>
      </c>
      <c r="N25" s="10"/>
      <c r="O25" s="11" t="s">
        <v>70</v>
      </c>
      <c r="P25" s="10" t="s">
        <v>71</v>
      </c>
      <c r="Q25" s="11" t="s">
        <v>72</v>
      </c>
      <c r="R25" s="11" t="s">
        <v>73</v>
      </c>
      <c r="S25" s="11" t="s">
        <v>74</v>
      </c>
      <c r="T25" s="11" t="s">
        <v>145</v>
      </c>
      <c r="U25" s="10" t="n">
        <f aca="false">IF(AND($D25="",$E25="",$F25=""),1,0)</f>
        <v>0</v>
      </c>
      <c r="V25" s="10" t="n">
        <f aca="false">IF(OR($I25="",$I25="—"),1,0)</f>
        <v>0</v>
      </c>
      <c r="W25" s="10" t="n">
        <f aca="false">IF(AND(ISNUMBER($D25),ISNUMBER($E25)),IF($E25&gt;$D25,1,0),0)+IF(AND(ISNUMBER($D25),ISNUMBER($F25)),IF($D25&gt;$F25,1,0),0)+IF(AND(ISNUMBER($E25),ISNUMBER($F25)),IF($E25&gt;$F25,1,0),0)</f>
        <v>0</v>
      </c>
      <c r="X25" s="13" t="s">
        <v>76</v>
      </c>
    </row>
    <row r="26" customFormat="false" ht="15" hidden="false" customHeight="false" outlineLevel="0" collapsed="false">
      <c r="A26" s="10" t="s">
        <v>146</v>
      </c>
      <c r="B26" s="10" t="s">
        <v>147</v>
      </c>
      <c r="C26" s="11" t="s">
        <v>144</v>
      </c>
      <c r="D26" s="12" t="n">
        <v>0.12</v>
      </c>
      <c r="E26" s="12"/>
      <c r="F26" s="12"/>
      <c r="G26" s="10" t="s">
        <v>63</v>
      </c>
      <c r="H26" s="10" t="s">
        <v>79</v>
      </c>
      <c r="I26" s="11" t="s">
        <v>65</v>
      </c>
      <c r="J26" s="10" t="s">
        <v>66</v>
      </c>
      <c r="K26" s="10" t="s">
        <v>67</v>
      </c>
      <c r="L26" s="10" t="s">
        <v>68</v>
      </c>
      <c r="M26" s="10" t="s">
        <v>69</v>
      </c>
      <c r="N26" s="10"/>
      <c r="O26" s="11" t="s">
        <v>70</v>
      </c>
      <c r="P26" s="10" t="s">
        <v>71</v>
      </c>
      <c r="Q26" s="11" t="s">
        <v>72</v>
      </c>
      <c r="R26" s="11" t="s">
        <v>73</v>
      </c>
      <c r="S26" s="11" t="s">
        <v>74</v>
      </c>
      <c r="T26" s="11" t="s">
        <v>148</v>
      </c>
      <c r="U26" s="10" t="n">
        <f aca="false">IF(AND($D26="",$E26="",$F26=""),1,0)</f>
        <v>0</v>
      </c>
      <c r="V26" s="10" t="n">
        <f aca="false">IF(OR($I26="",$I26="—"),1,0)</f>
        <v>0</v>
      </c>
      <c r="W26" s="10" t="n">
        <f aca="false">IF(AND(ISNUMBER($D26),ISNUMBER($E26)),IF($E26&gt;$D26,1,0),0)+IF(AND(ISNUMBER($D26),ISNUMBER($F26)),IF($D26&gt;$F26,1,0),0)+IF(AND(ISNUMBER($E26),ISNUMBER($F26)),IF($E26&gt;$F26,1,0),0)</f>
        <v>0</v>
      </c>
      <c r="X26" s="13" t="s">
        <v>76</v>
      </c>
    </row>
    <row r="27" customFormat="false" ht="15" hidden="false" customHeight="false" outlineLevel="0" collapsed="false">
      <c r="A27" s="10" t="s">
        <v>149</v>
      </c>
      <c r="B27" s="10" t="s">
        <v>150</v>
      </c>
      <c r="C27" s="11" t="s">
        <v>144</v>
      </c>
      <c r="D27" s="12" t="n">
        <v>0.3017</v>
      </c>
      <c r="E27" s="12"/>
      <c r="F27" s="12"/>
      <c r="G27" s="10" t="s">
        <v>63</v>
      </c>
      <c r="H27" s="10" t="s">
        <v>83</v>
      </c>
      <c r="I27" s="11" t="s">
        <v>65</v>
      </c>
      <c r="J27" s="10" t="s">
        <v>66</v>
      </c>
      <c r="K27" s="10" t="s">
        <v>67</v>
      </c>
      <c r="L27" s="10" t="s">
        <v>68</v>
      </c>
      <c r="M27" s="10" t="s">
        <v>69</v>
      </c>
      <c r="N27" s="10"/>
      <c r="O27" s="11" t="s">
        <v>70</v>
      </c>
      <c r="P27" s="10" t="s">
        <v>71</v>
      </c>
      <c r="Q27" s="11" t="s">
        <v>72</v>
      </c>
      <c r="R27" s="11" t="s">
        <v>73</v>
      </c>
      <c r="S27" s="11" t="s">
        <v>74</v>
      </c>
      <c r="T27" s="11" t="s">
        <v>151</v>
      </c>
      <c r="U27" s="10" t="n">
        <f aca="false">IF(AND($D27="",$E27="",$F27=""),1,0)</f>
        <v>0</v>
      </c>
      <c r="V27" s="10" t="n">
        <f aca="false">IF(OR($I27="",$I27="—"),1,0)</f>
        <v>0</v>
      </c>
      <c r="W27" s="10" t="n">
        <f aca="false">IF(AND(ISNUMBER($D27),ISNUMBER($E27)),IF($E27&gt;$D27,1,0),0)+IF(AND(ISNUMBER($D27),ISNUMBER($F27)),IF($D27&gt;$F27,1,0),0)+IF(AND(ISNUMBER($E27),ISNUMBER($F27)),IF($E27&gt;$F27,1,0),0)</f>
        <v>0</v>
      </c>
      <c r="X27" s="13" t="s">
        <v>76</v>
      </c>
    </row>
    <row r="28" customFormat="false" ht="15" hidden="false" customHeight="false" outlineLevel="0" collapsed="false">
      <c r="A28" s="10" t="s">
        <v>152</v>
      </c>
      <c r="B28" s="10" t="s">
        <v>153</v>
      </c>
      <c r="C28" s="11" t="s">
        <v>144</v>
      </c>
      <c r="D28" s="12" t="n">
        <v>0.0845</v>
      </c>
      <c r="E28" s="12"/>
      <c r="F28" s="12"/>
      <c r="G28" s="10" t="s">
        <v>63</v>
      </c>
      <c r="H28" s="10" t="s">
        <v>87</v>
      </c>
      <c r="I28" s="11" t="s">
        <v>65</v>
      </c>
      <c r="J28" s="10" t="s">
        <v>66</v>
      </c>
      <c r="K28" s="10" t="s">
        <v>67</v>
      </c>
      <c r="L28" s="10" t="s">
        <v>68</v>
      </c>
      <c r="M28" s="10" t="s">
        <v>69</v>
      </c>
      <c r="N28" s="10"/>
      <c r="O28" s="11" t="s">
        <v>88</v>
      </c>
      <c r="P28" s="10" t="s">
        <v>71</v>
      </c>
      <c r="Q28" s="11" t="s">
        <v>72</v>
      </c>
      <c r="R28" s="11" t="s">
        <v>73</v>
      </c>
      <c r="S28" s="11" t="s">
        <v>74</v>
      </c>
      <c r="T28" s="11" t="s">
        <v>154</v>
      </c>
      <c r="U28" s="10" t="n">
        <f aca="false">IF(AND($D28="",$E28="",$F28=""),1,0)</f>
        <v>0</v>
      </c>
      <c r="V28" s="10" t="n">
        <f aca="false">IF(OR($I28="",$I28="—"),1,0)</f>
        <v>0</v>
      </c>
      <c r="W28" s="10" t="n">
        <f aca="false">IF(AND(ISNUMBER($D28),ISNUMBER($E28)),IF($E28&gt;$D28,1,0),0)+IF(AND(ISNUMBER($D28),ISNUMBER($F28)),IF($D28&gt;$F28,1,0),0)+IF(AND(ISNUMBER($E28),ISNUMBER($F28)),IF($E28&gt;$F28,1,0),0)</f>
        <v>0</v>
      </c>
      <c r="X28" s="13" t="s">
        <v>76</v>
      </c>
    </row>
    <row r="29" customFormat="false" ht="15" hidden="false" customHeight="false" outlineLevel="0" collapsed="false">
      <c r="A29" s="10" t="s">
        <v>155</v>
      </c>
      <c r="B29" s="10" t="s">
        <v>156</v>
      </c>
      <c r="C29" s="11" t="s">
        <v>144</v>
      </c>
      <c r="D29" s="12" t="n">
        <v>0.3584</v>
      </c>
      <c r="E29" s="12"/>
      <c r="F29" s="12"/>
      <c r="G29" s="10" t="s">
        <v>63</v>
      </c>
      <c r="H29" s="10" t="s">
        <v>92</v>
      </c>
      <c r="I29" s="11" t="s">
        <v>65</v>
      </c>
      <c r="J29" s="10" t="s">
        <v>66</v>
      </c>
      <c r="K29" s="10" t="s">
        <v>67</v>
      </c>
      <c r="L29" s="10" t="s">
        <v>68</v>
      </c>
      <c r="M29" s="10" t="s">
        <v>69</v>
      </c>
      <c r="N29" s="10"/>
      <c r="O29" s="11" t="s">
        <v>70</v>
      </c>
      <c r="P29" s="10" t="s">
        <v>71</v>
      </c>
      <c r="Q29" s="11" t="s">
        <v>72</v>
      </c>
      <c r="R29" s="11" t="s">
        <v>73</v>
      </c>
      <c r="S29" s="11" t="s">
        <v>74</v>
      </c>
      <c r="T29" s="11" t="s">
        <v>157</v>
      </c>
      <c r="U29" s="10" t="n">
        <f aca="false">IF(AND($D29="",$E29="",$F29=""),1,0)</f>
        <v>0</v>
      </c>
      <c r="V29" s="10" t="n">
        <f aca="false">IF(OR($I29="",$I29="—"),1,0)</f>
        <v>0</v>
      </c>
      <c r="W29" s="10" t="n">
        <f aca="false">IF(AND(ISNUMBER($D29),ISNUMBER($E29)),IF($E29&gt;$D29,1,0),0)+IF(AND(ISNUMBER($D29),ISNUMBER($F29)),IF($D29&gt;$F29,1,0),0)+IF(AND(ISNUMBER($E29),ISNUMBER($F29)),IF($E29&gt;$F29,1,0),0)</f>
        <v>0</v>
      </c>
      <c r="X29" s="13" t="s">
        <v>76</v>
      </c>
    </row>
    <row r="30" customFormat="false" ht="15" hidden="false" customHeight="false" outlineLevel="0" collapsed="false">
      <c r="A30" s="10" t="s">
        <v>158</v>
      </c>
      <c r="B30" s="10" t="s">
        <v>159</v>
      </c>
      <c r="C30" s="11" t="s">
        <v>160</v>
      </c>
      <c r="D30" s="12" t="n">
        <v>0.1643</v>
      </c>
      <c r="E30" s="12"/>
      <c r="F30" s="12"/>
      <c r="G30" s="10" t="s">
        <v>63</v>
      </c>
      <c r="H30" s="10" t="s">
        <v>64</v>
      </c>
      <c r="I30" s="11" t="s">
        <v>65</v>
      </c>
      <c r="J30" s="10" t="s">
        <v>66</v>
      </c>
      <c r="K30" s="10" t="s">
        <v>67</v>
      </c>
      <c r="L30" s="10" t="s">
        <v>68</v>
      </c>
      <c r="M30" s="10" t="s">
        <v>69</v>
      </c>
      <c r="N30" s="10"/>
      <c r="O30" s="11" t="s">
        <v>70</v>
      </c>
      <c r="P30" s="10" t="s">
        <v>71</v>
      </c>
      <c r="Q30" s="11" t="s">
        <v>72</v>
      </c>
      <c r="R30" s="11" t="s">
        <v>73</v>
      </c>
      <c r="S30" s="11" t="s">
        <v>74</v>
      </c>
      <c r="T30" s="11" t="s">
        <v>161</v>
      </c>
      <c r="U30" s="10" t="n">
        <f aca="false">IF(AND($D30="",$E30="",$F30=""),1,0)</f>
        <v>0</v>
      </c>
      <c r="V30" s="10" t="n">
        <f aca="false">IF(OR($I30="",$I30="—"),1,0)</f>
        <v>0</v>
      </c>
      <c r="W30" s="10" t="n">
        <f aca="false">IF(AND(ISNUMBER($D30),ISNUMBER($E30)),IF($E30&gt;$D30,1,0),0)+IF(AND(ISNUMBER($D30),ISNUMBER($F30)),IF($D30&gt;$F30,1,0),0)+IF(AND(ISNUMBER($E30),ISNUMBER($F30)),IF($E30&gt;$F30,1,0),0)</f>
        <v>0</v>
      </c>
      <c r="X30" s="13" t="s">
        <v>76</v>
      </c>
    </row>
    <row r="31" customFormat="false" ht="15" hidden="false" customHeight="false" outlineLevel="0" collapsed="false">
      <c r="A31" s="10" t="s">
        <v>162</v>
      </c>
      <c r="B31" s="10" t="s">
        <v>163</v>
      </c>
      <c r="C31" s="11" t="s">
        <v>160</v>
      </c>
      <c r="D31" s="12" t="n">
        <v>0.1537</v>
      </c>
      <c r="E31" s="12"/>
      <c r="F31" s="12"/>
      <c r="G31" s="10" t="s">
        <v>63</v>
      </c>
      <c r="H31" s="10" t="s">
        <v>79</v>
      </c>
      <c r="I31" s="11" t="s">
        <v>65</v>
      </c>
      <c r="J31" s="10" t="s">
        <v>66</v>
      </c>
      <c r="K31" s="10" t="s">
        <v>67</v>
      </c>
      <c r="L31" s="10" t="s">
        <v>68</v>
      </c>
      <c r="M31" s="10" t="s">
        <v>69</v>
      </c>
      <c r="N31" s="10"/>
      <c r="O31" s="11" t="s">
        <v>70</v>
      </c>
      <c r="P31" s="10" t="s">
        <v>71</v>
      </c>
      <c r="Q31" s="11" t="s">
        <v>72</v>
      </c>
      <c r="R31" s="11" t="s">
        <v>73</v>
      </c>
      <c r="S31" s="11" t="s">
        <v>74</v>
      </c>
      <c r="T31" s="11" t="s">
        <v>164</v>
      </c>
      <c r="U31" s="10" t="n">
        <f aca="false">IF(AND($D31="",$E31="",$F31=""),1,0)</f>
        <v>0</v>
      </c>
      <c r="V31" s="10" t="n">
        <f aca="false">IF(OR($I31="",$I31="—"),1,0)</f>
        <v>0</v>
      </c>
      <c r="W31" s="10" t="n">
        <f aca="false">IF(AND(ISNUMBER($D31),ISNUMBER($E31)),IF($E31&gt;$D31,1,0),0)+IF(AND(ISNUMBER($D31),ISNUMBER($F31)),IF($D31&gt;$F31,1,0),0)+IF(AND(ISNUMBER($E31),ISNUMBER($F31)),IF($E31&gt;$F31,1,0),0)</f>
        <v>0</v>
      </c>
      <c r="X31" s="13" t="s">
        <v>76</v>
      </c>
    </row>
    <row r="32" customFormat="false" ht="15" hidden="false" customHeight="false" outlineLevel="0" collapsed="false">
      <c r="A32" s="10" t="s">
        <v>165</v>
      </c>
      <c r="B32" s="10" t="s">
        <v>166</v>
      </c>
      <c r="C32" s="11" t="s">
        <v>160</v>
      </c>
      <c r="D32" s="12" t="n">
        <v>0.7426</v>
      </c>
      <c r="E32" s="12"/>
      <c r="F32" s="12"/>
      <c r="G32" s="10" t="s">
        <v>63</v>
      </c>
      <c r="H32" s="10" t="s">
        <v>83</v>
      </c>
      <c r="I32" s="11" t="s">
        <v>65</v>
      </c>
      <c r="J32" s="10" t="s">
        <v>66</v>
      </c>
      <c r="K32" s="10" t="s">
        <v>67</v>
      </c>
      <c r="L32" s="10" t="s">
        <v>68</v>
      </c>
      <c r="M32" s="10" t="s">
        <v>69</v>
      </c>
      <c r="N32" s="10"/>
      <c r="O32" s="11" t="s">
        <v>70</v>
      </c>
      <c r="P32" s="10" t="s">
        <v>71</v>
      </c>
      <c r="Q32" s="11" t="s">
        <v>72</v>
      </c>
      <c r="R32" s="11" t="s">
        <v>73</v>
      </c>
      <c r="S32" s="11" t="s">
        <v>74</v>
      </c>
      <c r="T32" s="11" t="s">
        <v>167</v>
      </c>
      <c r="U32" s="10" t="n">
        <f aca="false">IF(AND($D32="",$E32="",$F32=""),1,0)</f>
        <v>0</v>
      </c>
      <c r="V32" s="10" t="n">
        <f aca="false">IF(OR($I32="",$I32="—"),1,0)</f>
        <v>0</v>
      </c>
      <c r="W32" s="10" t="n">
        <f aca="false">IF(AND(ISNUMBER($D32),ISNUMBER($E32)),IF($E32&gt;$D32,1,0),0)+IF(AND(ISNUMBER($D32),ISNUMBER($F32)),IF($D32&gt;$F32,1,0),0)+IF(AND(ISNUMBER($E32),ISNUMBER($F32)),IF($E32&gt;$F32,1,0),0)</f>
        <v>0</v>
      </c>
      <c r="X32" s="13" t="s">
        <v>76</v>
      </c>
    </row>
    <row r="33" customFormat="false" ht="15" hidden="false" customHeight="false" outlineLevel="0" collapsed="false">
      <c r="A33" s="10" t="s">
        <v>168</v>
      </c>
      <c r="B33" s="10" t="s">
        <v>169</v>
      </c>
      <c r="C33" s="11" t="s">
        <v>160</v>
      </c>
      <c r="D33" s="12" t="n">
        <v>0.1083</v>
      </c>
      <c r="E33" s="12"/>
      <c r="F33" s="12"/>
      <c r="G33" s="10" t="s">
        <v>63</v>
      </c>
      <c r="H33" s="10" t="s">
        <v>87</v>
      </c>
      <c r="I33" s="11" t="s">
        <v>65</v>
      </c>
      <c r="J33" s="10" t="s">
        <v>66</v>
      </c>
      <c r="K33" s="10" t="s">
        <v>67</v>
      </c>
      <c r="L33" s="10" t="s">
        <v>68</v>
      </c>
      <c r="M33" s="10" t="s">
        <v>69</v>
      </c>
      <c r="N33" s="10"/>
      <c r="O33" s="11" t="s">
        <v>88</v>
      </c>
      <c r="P33" s="10" t="s">
        <v>71</v>
      </c>
      <c r="Q33" s="11" t="s">
        <v>72</v>
      </c>
      <c r="R33" s="11" t="s">
        <v>73</v>
      </c>
      <c r="S33" s="11" t="s">
        <v>74</v>
      </c>
      <c r="T33" s="11" t="s">
        <v>170</v>
      </c>
      <c r="U33" s="10" t="n">
        <f aca="false">IF(AND($D33="",$E33="",$F33=""),1,0)</f>
        <v>0</v>
      </c>
      <c r="V33" s="10" t="n">
        <f aca="false">IF(OR($I33="",$I33="—"),1,0)</f>
        <v>0</v>
      </c>
      <c r="W33" s="10" t="n">
        <f aca="false">IF(AND(ISNUMBER($D33),ISNUMBER($E33)),IF($E33&gt;$D33,1,0),0)+IF(AND(ISNUMBER($D33),ISNUMBER($F33)),IF($D33&gt;$F33,1,0),0)+IF(AND(ISNUMBER($E33),ISNUMBER($F33)),IF($E33&gt;$F33,1,0),0)</f>
        <v>0</v>
      </c>
      <c r="X33" s="13" t="s">
        <v>76</v>
      </c>
    </row>
    <row r="34" customFormat="false" ht="15" hidden="false" customHeight="false" outlineLevel="0" collapsed="false">
      <c r="A34" s="10" t="s">
        <v>171</v>
      </c>
      <c r="B34" s="10" t="s">
        <v>172</v>
      </c>
      <c r="C34" s="11" t="s">
        <v>160</v>
      </c>
      <c r="D34" s="12" t="n">
        <v>0.3763</v>
      </c>
      <c r="E34" s="12"/>
      <c r="F34" s="12"/>
      <c r="G34" s="10" t="s">
        <v>63</v>
      </c>
      <c r="H34" s="10" t="s">
        <v>92</v>
      </c>
      <c r="I34" s="11" t="s">
        <v>65</v>
      </c>
      <c r="J34" s="10" t="s">
        <v>66</v>
      </c>
      <c r="K34" s="10" t="s">
        <v>67</v>
      </c>
      <c r="L34" s="10" t="s">
        <v>68</v>
      </c>
      <c r="M34" s="10" t="s">
        <v>69</v>
      </c>
      <c r="N34" s="10"/>
      <c r="O34" s="11" t="s">
        <v>70</v>
      </c>
      <c r="P34" s="10" t="s">
        <v>71</v>
      </c>
      <c r="Q34" s="11" t="s">
        <v>72</v>
      </c>
      <c r="R34" s="11" t="s">
        <v>73</v>
      </c>
      <c r="S34" s="11" t="s">
        <v>74</v>
      </c>
      <c r="T34" s="11" t="s">
        <v>173</v>
      </c>
      <c r="U34" s="10" t="n">
        <f aca="false">IF(AND($D34="",$E34="",$F34=""),1,0)</f>
        <v>0</v>
      </c>
      <c r="V34" s="10" t="n">
        <f aca="false">IF(OR($I34="",$I34="—"),1,0)</f>
        <v>0</v>
      </c>
      <c r="W34" s="10" t="n">
        <f aca="false">IF(AND(ISNUMBER($D34),ISNUMBER($E34)),IF($E34&gt;$D34,1,0),0)+IF(AND(ISNUMBER($D34),ISNUMBER($F34)),IF($D34&gt;$F34,1,0),0)+IF(AND(ISNUMBER($E34),ISNUMBER($F34)),IF($E34&gt;$F34,1,0),0)</f>
        <v>0</v>
      </c>
      <c r="X34" s="13" t="s">
        <v>76</v>
      </c>
    </row>
    <row r="35" customFormat="false" ht="15" hidden="false" customHeight="false" outlineLevel="0" collapsed="false">
      <c r="A35" s="10" t="s">
        <v>174</v>
      </c>
      <c r="B35" s="10" t="s">
        <v>175</v>
      </c>
      <c r="C35" s="11" t="s">
        <v>176</v>
      </c>
      <c r="D35" s="12" t="n">
        <v>0.3136</v>
      </c>
      <c r="E35" s="12"/>
      <c r="F35" s="12"/>
      <c r="G35" s="10" t="s">
        <v>63</v>
      </c>
      <c r="H35" s="10" t="s">
        <v>64</v>
      </c>
      <c r="I35" s="11" t="s">
        <v>65</v>
      </c>
      <c r="J35" s="10" t="s">
        <v>66</v>
      </c>
      <c r="K35" s="10" t="s">
        <v>67</v>
      </c>
      <c r="L35" s="10" t="s">
        <v>68</v>
      </c>
      <c r="M35" s="10" t="s">
        <v>69</v>
      </c>
      <c r="N35" s="10"/>
      <c r="O35" s="11" t="s">
        <v>70</v>
      </c>
      <c r="P35" s="10" t="s">
        <v>71</v>
      </c>
      <c r="Q35" s="11" t="s">
        <v>72</v>
      </c>
      <c r="R35" s="11" t="s">
        <v>73</v>
      </c>
      <c r="S35" s="11" t="s">
        <v>74</v>
      </c>
      <c r="T35" s="11" t="s">
        <v>177</v>
      </c>
      <c r="U35" s="10" t="n">
        <f aca="false">IF(AND($D35="",$E35="",$F35=""),1,0)</f>
        <v>0</v>
      </c>
      <c r="V35" s="10" t="n">
        <f aca="false">IF(OR($I35="",$I35="—"),1,0)</f>
        <v>0</v>
      </c>
      <c r="W35" s="10" t="n">
        <f aca="false">IF(AND(ISNUMBER($D35),ISNUMBER($E35)),IF($E35&gt;$D35,1,0),0)+IF(AND(ISNUMBER($D35),ISNUMBER($F35)),IF($D35&gt;$F35,1,0),0)+IF(AND(ISNUMBER($E35),ISNUMBER($F35)),IF($E35&gt;$F35,1,0),0)</f>
        <v>0</v>
      </c>
      <c r="X35" s="13" t="s">
        <v>76</v>
      </c>
    </row>
    <row r="36" customFormat="false" ht="15" hidden="false" customHeight="false" outlineLevel="0" collapsed="false">
      <c r="A36" s="10" t="s">
        <v>178</v>
      </c>
      <c r="B36" s="10" t="s">
        <v>179</v>
      </c>
      <c r="C36" s="11" t="s">
        <v>176</v>
      </c>
      <c r="D36" s="12" t="n">
        <v>0.8048</v>
      </c>
      <c r="E36" s="12"/>
      <c r="F36" s="12"/>
      <c r="G36" s="10" t="s">
        <v>63</v>
      </c>
      <c r="H36" s="10" t="s">
        <v>79</v>
      </c>
      <c r="I36" s="11" t="s">
        <v>65</v>
      </c>
      <c r="J36" s="10" t="s">
        <v>66</v>
      </c>
      <c r="K36" s="10" t="s">
        <v>67</v>
      </c>
      <c r="L36" s="10" t="s">
        <v>68</v>
      </c>
      <c r="M36" s="10" t="s">
        <v>69</v>
      </c>
      <c r="N36" s="10"/>
      <c r="O36" s="11" t="s">
        <v>70</v>
      </c>
      <c r="P36" s="10" t="s">
        <v>71</v>
      </c>
      <c r="Q36" s="11" t="s">
        <v>72</v>
      </c>
      <c r="R36" s="11" t="s">
        <v>73</v>
      </c>
      <c r="S36" s="11" t="s">
        <v>74</v>
      </c>
      <c r="T36" s="11" t="s">
        <v>180</v>
      </c>
      <c r="U36" s="10" t="n">
        <f aca="false">IF(AND($D36="",$E36="",$F36=""),1,0)</f>
        <v>0</v>
      </c>
      <c r="V36" s="10" t="n">
        <f aca="false">IF(OR($I36="",$I36="—"),1,0)</f>
        <v>0</v>
      </c>
      <c r="W36" s="10" t="n">
        <f aca="false">IF(AND(ISNUMBER($D36),ISNUMBER($E36)),IF($E36&gt;$D36,1,0),0)+IF(AND(ISNUMBER($D36),ISNUMBER($F36)),IF($D36&gt;$F36,1,0),0)+IF(AND(ISNUMBER($E36),ISNUMBER($F36)),IF($E36&gt;$F36,1,0),0)</f>
        <v>0</v>
      </c>
      <c r="X36" s="13" t="s">
        <v>76</v>
      </c>
    </row>
    <row r="37" customFormat="false" ht="15" hidden="false" customHeight="false" outlineLevel="0" collapsed="false">
      <c r="A37" s="10" t="s">
        <v>181</v>
      </c>
      <c r="B37" s="10" t="s">
        <v>182</v>
      </c>
      <c r="C37" s="11" t="s">
        <v>176</v>
      </c>
      <c r="D37" s="12" t="n">
        <v>1.7589</v>
      </c>
      <c r="E37" s="12"/>
      <c r="F37" s="12"/>
      <c r="G37" s="10" t="s">
        <v>63</v>
      </c>
      <c r="H37" s="10" t="s">
        <v>83</v>
      </c>
      <c r="I37" s="11" t="s">
        <v>65</v>
      </c>
      <c r="J37" s="10" t="s">
        <v>66</v>
      </c>
      <c r="K37" s="10" t="s">
        <v>67</v>
      </c>
      <c r="L37" s="10" t="s">
        <v>68</v>
      </c>
      <c r="M37" s="10" t="s">
        <v>69</v>
      </c>
      <c r="N37" s="10"/>
      <c r="O37" s="11" t="s">
        <v>70</v>
      </c>
      <c r="P37" s="10" t="s">
        <v>71</v>
      </c>
      <c r="Q37" s="11" t="s">
        <v>72</v>
      </c>
      <c r="R37" s="11" t="s">
        <v>73</v>
      </c>
      <c r="S37" s="11" t="s">
        <v>74</v>
      </c>
      <c r="T37" s="11" t="s">
        <v>183</v>
      </c>
      <c r="U37" s="10" t="n">
        <f aca="false">IF(AND($D37="",$E37="",$F37=""),1,0)</f>
        <v>0</v>
      </c>
      <c r="V37" s="10" t="n">
        <f aca="false">IF(OR($I37="",$I37="—"),1,0)</f>
        <v>0</v>
      </c>
      <c r="W37" s="10" t="n">
        <f aca="false">IF(AND(ISNUMBER($D37),ISNUMBER($E37)),IF($E37&gt;$D37,1,0),0)+IF(AND(ISNUMBER($D37),ISNUMBER($F37)),IF($D37&gt;$F37,1,0),0)+IF(AND(ISNUMBER($E37),ISNUMBER($F37)),IF($E37&gt;$F37,1,0),0)</f>
        <v>0</v>
      </c>
      <c r="X37" s="13" t="s">
        <v>76</v>
      </c>
    </row>
    <row r="38" customFormat="false" ht="15" hidden="false" customHeight="false" outlineLevel="0" collapsed="false">
      <c r="A38" s="10" t="s">
        <v>184</v>
      </c>
      <c r="B38" s="10" t="s">
        <v>185</v>
      </c>
      <c r="C38" s="11" t="s">
        <v>176</v>
      </c>
      <c r="D38" s="12" t="n">
        <v>0.2196</v>
      </c>
      <c r="E38" s="12"/>
      <c r="F38" s="12"/>
      <c r="G38" s="10" t="s">
        <v>63</v>
      </c>
      <c r="H38" s="10" t="s">
        <v>87</v>
      </c>
      <c r="I38" s="11" t="s">
        <v>65</v>
      </c>
      <c r="J38" s="10" t="s">
        <v>66</v>
      </c>
      <c r="K38" s="10" t="s">
        <v>67</v>
      </c>
      <c r="L38" s="10" t="s">
        <v>68</v>
      </c>
      <c r="M38" s="10" t="s">
        <v>69</v>
      </c>
      <c r="N38" s="10"/>
      <c r="O38" s="11" t="s">
        <v>88</v>
      </c>
      <c r="P38" s="10" t="s">
        <v>71</v>
      </c>
      <c r="Q38" s="11" t="s">
        <v>72</v>
      </c>
      <c r="R38" s="11" t="s">
        <v>73</v>
      </c>
      <c r="S38" s="11" t="s">
        <v>74</v>
      </c>
      <c r="T38" s="11" t="s">
        <v>186</v>
      </c>
      <c r="U38" s="10" t="n">
        <f aca="false">IF(AND($D38="",$E38="",$F38=""),1,0)</f>
        <v>0</v>
      </c>
      <c r="V38" s="10" t="n">
        <f aca="false">IF(OR($I38="",$I38="—"),1,0)</f>
        <v>0</v>
      </c>
      <c r="W38" s="10" t="n">
        <f aca="false">IF(AND(ISNUMBER($D38),ISNUMBER($E38)),IF($E38&gt;$D38,1,0),0)+IF(AND(ISNUMBER($D38),ISNUMBER($F38)),IF($D38&gt;$F38,1,0),0)+IF(AND(ISNUMBER($E38),ISNUMBER($F38)),IF($E38&gt;$F38,1,0),0)</f>
        <v>0</v>
      </c>
      <c r="X38" s="13" t="s">
        <v>76</v>
      </c>
    </row>
    <row r="39" customFormat="false" ht="15" hidden="false" customHeight="false" outlineLevel="0" collapsed="false">
      <c r="A39" s="10" t="s">
        <v>187</v>
      </c>
      <c r="B39" s="10" t="s">
        <v>188</v>
      </c>
      <c r="C39" s="11" t="s">
        <v>176</v>
      </c>
      <c r="D39" s="12" t="n">
        <v>0.9542</v>
      </c>
      <c r="E39" s="12"/>
      <c r="F39" s="12"/>
      <c r="G39" s="10" t="s">
        <v>63</v>
      </c>
      <c r="H39" s="10" t="s">
        <v>92</v>
      </c>
      <c r="I39" s="11" t="s">
        <v>65</v>
      </c>
      <c r="J39" s="10" t="s">
        <v>66</v>
      </c>
      <c r="K39" s="10" t="s">
        <v>67</v>
      </c>
      <c r="L39" s="10" t="s">
        <v>68</v>
      </c>
      <c r="M39" s="10" t="s">
        <v>69</v>
      </c>
      <c r="N39" s="10"/>
      <c r="O39" s="11" t="s">
        <v>70</v>
      </c>
      <c r="P39" s="10" t="s">
        <v>71</v>
      </c>
      <c r="Q39" s="11" t="s">
        <v>72</v>
      </c>
      <c r="R39" s="11" t="s">
        <v>73</v>
      </c>
      <c r="S39" s="11" t="s">
        <v>74</v>
      </c>
      <c r="T39" s="11" t="s">
        <v>189</v>
      </c>
      <c r="U39" s="10" t="n">
        <f aca="false">IF(AND($D39="",$E39="",$F39=""),1,0)</f>
        <v>0</v>
      </c>
      <c r="V39" s="10" t="n">
        <f aca="false">IF(OR($I39="",$I39="—"),1,0)</f>
        <v>0</v>
      </c>
      <c r="W39" s="10" t="n">
        <f aca="false">IF(AND(ISNUMBER($D39),ISNUMBER($E39)),IF($E39&gt;$D39,1,0),0)+IF(AND(ISNUMBER($D39),ISNUMBER($F39)),IF($D39&gt;$F39,1,0),0)+IF(AND(ISNUMBER($E39),ISNUMBER($F39)),IF($E39&gt;$F39,1,0),0)</f>
        <v>0</v>
      </c>
      <c r="X39" s="13" t="s">
        <v>76</v>
      </c>
    </row>
    <row r="40" customFormat="false" ht="15" hidden="false" customHeight="false" outlineLevel="0" collapsed="false">
      <c r="A40" s="10" t="s">
        <v>190</v>
      </c>
      <c r="B40" s="10" t="s">
        <v>191</v>
      </c>
      <c r="C40" s="11" t="s">
        <v>192</v>
      </c>
      <c r="D40" s="12" t="n">
        <v>0.2939</v>
      </c>
      <c r="E40" s="12"/>
      <c r="F40" s="12"/>
      <c r="G40" s="10" t="s">
        <v>63</v>
      </c>
      <c r="H40" s="10" t="s">
        <v>64</v>
      </c>
      <c r="I40" s="11" t="s">
        <v>65</v>
      </c>
      <c r="J40" s="10" t="s">
        <v>66</v>
      </c>
      <c r="K40" s="10" t="s">
        <v>67</v>
      </c>
      <c r="L40" s="10" t="s">
        <v>68</v>
      </c>
      <c r="M40" s="10" t="s">
        <v>69</v>
      </c>
      <c r="N40" s="10"/>
      <c r="O40" s="11" t="s">
        <v>70</v>
      </c>
      <c r="P40" s="10" t="s">
        <v>71</v>
      </c>
      <c r="Q40" s="11" t="s">
        <v>72</v>
      </c>
      <c r="R40" s="11" t="s">
        <v>73</v>
      </c>
      <c r="S40" s="11" t="s">
        <v>74</v>
      </c>
      <c r="T40" s="11" t="s">
        <v>193</v>
      </c>
      <c r="U40" s="10" t="n">
        <f aca="false">IF(AND($D40="",$E40="",$F40=""),1,0)</f>
        <v>0</v>
      </c>
      <c r="V40" s="10" t="n">
        <f aca="false">IF(OR($I40="",$I40="—"),1,0)</f>
        <v>0</v>
      </c>
      <c r="W40" s="10" t="n">
        <f aca="false">IF(AND(ISNUMBER($D40),ISNUMBER($E40)),IF($E40&gt;$D40,1,0),0)+IF(AND(ISNUMBER($D40),ISNUMBER($F40)),IF($D40&gt;$F40,1,0),0)+IF(AND(ISNUMBER($E40),ISNUMBER($F40)),IF($E40&gt;$F40,1,0),0)</f>
        <v>0</v>
      </c>
      <c r="X40" s="13" t="s">
        <v>76</v>
      </c>
    </row>
    <row r="41" customFormat="false" ht="15" hidden="false" customHeight="false" outlineLevel="0" collapsed="false">
      <c r="A41" s="10" t="s">
        <v>194</v>
      </c>
      <c r="B41" s="10" t="s">
        <v>195</v>
      </c>
      <c r="C41" s="11" t="s">
        <v>192</v>
      </c>
      <c r="D41" s="12" t="n">
        <v>0.7678</v>
      </c>
      <c r="E41" s="12"/>
      <c r="F41" s="12"/>
      <c r="G41" s="10" t="s">
        <v>63</v>
      </c>
      <c r="H41" s="10" t="s">
        <v>79</v>
      </c>
      <c r="I41" s="11" t="s">
        <v>65</v>
      </c>
      <c r="J41" s="10" t="s">
        <v>66</v>
      </c>
      <c r="K41" s="10" t="s">
        <v>67</v>
      </c>
      <c r="L41" s="10" t="s">
        <v>68</v>
      </c>
      <c r="M41" s="10" t="s">
        <v>69</v>
      </c>
      <c r="N41" s="10"/>
      <c r="O41" s="11" t="s">
        <v>70</v>
      </c>
      <c r="P41" s="10" t="s">
        <v>71</v>
      </c>
      <c r="Q41" s="11" t="s">
        <v>72</v>
      </c>
      <c r="R41" s="11" t="s">
        <v>73</v>
      </c>
      <c r="S41" s="11" t="s">
        <v>74</v>
      </c>
      <c r="T41" s="11" t="s">
        <v>196</v>
      </c>
      <c r="U41" s="10" t="n">
        <f aca="false">IF(AND($D41="",$E41="",$F41=""),1,0)</f>
        <v>0</v>
      </c>
      <c r="V41" s="10" t="n">
        <f aca="false">IF(OR($I41="",$I41="—"),1,0)</f>
        <v>0</v>
      </c>
      <c r="W41" s="10" t="n">
        <f aca="false">IF(AND(ISNUMBER($D41),ISNUMBER($E41)),IF($E41&gt;$D41,1,0),0)+IF(AND(ISNUMBER($D41),ISNUMBER($F41)),IF($D41&gt;$F41,1,0),0)+IF(AND(ISNUMBER($E41),ISNUMBER($F41)),IF($E41&gt;$F41,1,0),0)</f>
        <v>0</v>
      </c>
      <c r="X41" s="13" t="s">
        <v>76</v>
      </c>
    </row>
    <row r="42" customFormat="false" ht="15" hidden="false" customHeight="false" outlineLevel="0" collapsed="false">
      <c r="A42" s="10" t="s">
        <v>197</v>
      </c>
      <c r="B42" s="10" t="s">
        <v>198</v>
      </c>
      <c r="C42" s="11" t="s">
        <v>192</v>
      </c>
      <c r="D42" s="12" t="n">
        <v>1.7426</v>
      </c>
      <c r="E42" s="12"/>
      <c r="F42" s="12"/>
      <c r="G42" s="10" t="s">
        <v>63</v>
      </c>
      <c r="H42" s="10" t="s">
        <v>83</v>
      </c>
      <c r="I42" s="11" t="s">
        <v>65</v>
      </c>
      <c r="J42" s="10" t="s">
        <v>66</v>
      </c>
      <c r="K42" s="10" t="s">
        <v>67</v>
      </c>
      <c r="L42" s="10" t="s">
        <v>68</v>
      </c>
      <c r="M42" s="10" t="s">
        <v>69</v>
      </c>
      <c r="N42" s="10"/>
      <c r="O42" s="11" t="s">
        <v>70</v>
      </c>
      <c r="P42" s="10" t="s">
        <v>71</v>
      </c>
      <c r="Q42" s="11" t="s">
        <v>72</v>
      </c>
      <c r="R42" s="11" t="s">
        <v>73</v>
      </c>
      <c r="S42" s="11" t="s">
        <v>74</v>
      </c>
      <c r="T42" s="11" t="s">
        <v>199</v>
      </c>
      <c r="U42" s="10" t="n">
        <f aca="false">IF(AND($D42="",$E42="",$F42=""),1,0)</f>
        <v>0</v>
      </c>
      <c r="V42" s="10" t="n">
        <f aca="false">IF(OR($I42="",$I42="—"),1,0)</f>
        <v>0</v>
      </c>
      <c r="W42" s="10" t="n">
        <f aca="false">IF(AND(ISNUMBER($D42),ISNUMBER($E42)),IF($E42&gt;$D42,1,0),0)+IF(AND(ISNUMBER($D42),ISNUMBER($F42)),IF($D42&gt;$F42,1,0),0)+IF(AND(ISNUMBER($E42),ISNUMBER($F42)),IF($E42&gt;$F42,1,0),0)</f>
        <v>0</v>
      </c>
      <c r="X42" s="13" t="s">
        <v>76</v>
      </c>
    </row>
    <row r="43" customFormat="false" ht="15" hidden="false" customHeight="false" outlineLevel="0" collapsed="false">
      <c r="A43" s="10" t="s">
        <v>200</v>
      </c>
      <c r="B43" s="10" t="s">
        <v>201</v>
      </c>
      <c r="C43" s="11" t="s">
        <v>192</v>
      </c>
      <c r="D43" s="12" t="n">
        <v>0.1678</v>
      </c>
      <c r="E43" s="12"/>
      <c r="F43" s="12"/>
      <c r="G43" s="10" t="s">
        <v>63</v>
      </c>
      <c r="H43" s="10" t="s">
        <v>87</v>
      </c>
      <c r="I43" s="11" t="s">
        <v>65</v>
      </c>
      <c r="J43" s="10" t="s">
        <v>66</v>
      </c>
      <c r="K43" s="10" t="s">
        <v>67</v>
      </c>
      <c r="L43" s="10" t="s">
        <v>68</v>
      </c>
      <c r="M43" s="10" t="s">
        <v>69</v>
      </c>
      <c r="N43" s="10"/>
      <c r="O43" s="11" t="s">
        <v>88</v>
      </c>
      <c r="P43" s="10" t="s">
        <v>71</v>
      </c>
      <c r="Q43" s="11" t="s">
        <v>72</v>
      </c>
      <c r="R43" s="11" t="s">
        <v>73</v>
      </c>
      <c r="S43" s="11" t="s">
        <v>74</v>
      </c>
      <c r="T43" s="11" t="s">
        <v>202</v>
      </c>
      <c r="U43" s="10" t="n">
        <f aca="false">IF(AND($D43="",$E43="",$F43=""),1,0)</f>
        <v>0</v>
      </c>
      <c r="V43" s="10" t="n">
        <f aca="false">IF(OR($I43="",$I43="—"),1,0)</f>
        <v>0</v>
      </c>
      <c r="W43" s="10" t="n">
        <f aca="false">IF(AND(ISNUMBER($D43),ISNUMBER($E43)),IF($E43&gt;$D43,1,0),0)+IF(AND(ISNUMBER($D43),ISNUMBER($F43)),IF($D43&gt;$F43,1,0),0)+IF(AND(ISNUMBER($E43),ISNUMBER($F43)),IF($E43&gt;$F43,1,0),0)</f>
        <v>0</v>
      </c>
      <c r="X43" s="13" t="s">
        <v>76</v>
      </c>
    </row>
    <row r="44" customFormat="false" ht="15" hidden="false" customHeight="false" outlineLevel="0" collapsed="false">
      <c r="A44" s="10" t="s">
        <v>203</v>
      </c>
      <c r="B44" s="10" t="s">
        <v>204</v>
      </c>
      <c r="C44" s="11" t="s">
        <v>192</v>
      </c>
      <c r="D44" s="12" t="n">
        <v>0.9554</v>
      </c>
      <c r="E44" s="12"/>
      <c r="F44" s="12"/>
      <c r="G44" s="10" t="s">
        <v>63</v>
      </c>
      <c r="H44" s="10" t="s">
        <v>92</v>
      </c>
      <c r="I44" s="11" t="s">
        <v>65</v>
      </c>
      <c r="J44" s="10" t="s">
        <v>66</v>
      </c>
      <c r="K44" s="10" t="s">
        <v>67</v>
      </c>
      <c r="L44" s="10" t="s">
        <v>68</v>
      </c>
      <c r="M44" s="10" t="s">
        <v>69</v>
      </c>
      <c r="N44" s="10"/>
      <c r="O44" s="11" t="s">
        <v>70</v>
      </c>
      <c r="P44" s="10" t="s">
        <v>71</v>
      </c>
      <c r="Q44" s="11" t="s">
        <v>72</v>
      </c>
      <c r="R44" s="11" t="s">
        <v>73</v>
      </c>
      <c r="S44" s="11" t="s">
        <v>74</v>
      </c>
      <c r="T44" s="11" t="s">
        <v>205</v>
      </c>
      <c r="U44" s="10" t="n">
        <f aca="false">IF(AND($D44="",$E44="",$F44=""),1,0)</f>
        <v>0</v>
      </c>
      <c r="V44" s="10" t="n">
        <f aca="false">IF(OR($I44="",$I44="—"),1,0)</f>
        <v>0</v>
      </c>
      <c r="W44" s="10" t="n">
        <f aca="false">IF(AND(ISNUMBER($D44),ISNUMBER($E44)),IF($E44&gt;$D44,1,0),0)+IF(AND(ISNUMBER($D44),ISNUMBER($F44)),IF($D44&gt;$F44,1,0),0)+IF(AND(ISNUMBER($E44),ISNUMBER($F44)),IF($E44&gt;$F44,1,0),0)</f>
        <v>0</v>
      </c>
      <c r="X44" s="13" t="s">
        <v>76</v>
      </c>
    </row>
    <row r="45" customFormat="false" ht="15" hidden="false" customHeight="false" outlineLevel="0" collapsed="false">
      <c r="A45" s="10" t="s">
        <v>206</v>
      </c>
      <c r="B45" s="10" t="s">
        <v>207</v>
      </c>
      <c r="C45" s="11" t="s">
        <v>208</v>
      </c>
      <c r="D45" s="12" t="n">
        <v>0.0197</v>
      </c>
      <c r="E45" s="12"/>
      <c r="F45" s="12"/>
      <c r="G45" s="10" t="s">
        <v>63</v>
      </c>
      <c r="H45" s="10" t="s">
        <v>64</v>
      </c>
      <c r="I45" s="11" t="s">
        <v>65</v>
      </c>
      <c r="J45" s="10" t="s">
        <v>66</v>
      </c>
      <c r="K45" s="10" t="s">
        <v>67</v>
      </c>
      <c r="L45" s="10" t="s">
        <v>68</v>
      </c>
      <c r="M45" s="10" t="s">
        <v>69</v>
      </c>
      <c r="N45" s="10"/>
      <c r="O45" s="11" t="s">
        <v>70</v>
      </c>
      <c r="P45" s="10" t="s">
        <v>71</v>
      </c>
      <c r="Q45" s="11" t="s">
        <v>72</v>
      </c>
      <c r="R45" s="11" t="s">
        <v>73</v>
      </c>
      <c r="S45" s="11" t="s">
        <v>74</v>
      </c>
      <c r="T45" s="11" t="s">
        <v>209</v>
      </c>
      <c r="U45" s="10" t="n">
        <f aca="false">IF(AND($D45="",$E45="",$F45=""),1,0)</f>
        <v>0</v>
      </c>
      <c r="V45" s="10" t="n">
        <f aca="false">IF(OR($I45="",$I45="—"),1,0)</f>
        <v>0</v>
      </c>
      <c r="W45" s="10" t="n">
        <f aca="false">IF(AND(ISNUMBER($D45),ISNUMBER($E45)),IF($E45&gt;$D45,1,0),0)+IF(AND(ISNUMBER($D45),ISNUMBER($F45)),IF($D45&gt;$F45,1,0),0)+IF(AND(ISNUMBER($E45),ISNUMBER($F45)),IF($E45&gt;$F45,1,0),0)</f>
        <v>0</v>
      </c>
      <c r="X45" s="13" t="s">
        <v>76</v>
      </c>
    </row>
    <row r="46" customFormat="false" ht="15" hidden="false" customHeight="false" outlineLevel="0" collapsed="false">
      <c r="A46" s="10" t="s">
        <v>210</v>
      </c>
      <c r="B46" s="10" t="s">
        <v>211</v>
      </c>
      <c r="C46" s="11" t="s">
        <v>208</v>
      </c>
      <c r="D46" s="12" t="n">
        <v>0.037</v>
      </c>
      <c r="E46" s="12"/>
      <c r="F46" s="12"/>
      <c r="G46" s="10" t="s">
        <v>63</v>
      </c>
      <c r="H46" s="10" t="s">
        <v>79</v>
      </c>
      <c r="I46" s="11" t="s">
        <v>65</v>
      </c>
      <c r="J46" s="10" t="s">
        <v>66</v>
      </c>
      <c r="K46" s="10" t="s">
        <v>67</v>
      </c>
      <c r="L46" s="10" t="s">
        <v>68</v>
      </c>
      <c r="M46" s="10" t="s">
        <v>69</v>
      </c>
      <c r="N46" s="10"/>
      <c r="O46" s="11" t="s">
        <v>70</v>
      </c>
      <c r="P46" s="10" t="s">
        <v>71</v>
      </c>
      <c r="Q46" s="11" t="s">
        <v>72</v>
      </c>
      <c r="R46" s="11" t="s">
        <v>73</v>
      </c>
      <c r="S46" s="11" t="s">
        <v>74</v>
      </c>
      <c r="T46" s="11" t="s">
        <v>212</v>
      </c>
      <c r="U46" s="10" t="n">
        <f aca="false">IF(AND($D46="",$E46="",$F46=""),1,0)</f>
        <v>0</v>
      </c>
      <c r="V46" s="10" t="n">
        <f aca="false">IF(OR($I46="",$I46="—"),1,0)</f>
        <v>0</v>
      </c>
      <c r="W46" s="10" t="n">
        <f aca="false">IF(AND(ISNUMBER($D46),ISNUMBER($E46)),IF($E46&gt;$D46,1,0),0)+IF(AND(ISNUMBER($D46),ISNUMBER($F46)),IF($D46&gt;$F46,1,0),0)+IF(AND(ISNUMBER($E46),ISNUMBER($F46)),IF($E46&gt;$F46,1,0),0)</f>
        <v>0</v>
      </c>
      <c r="X46" s="13" t="s">
        <v>76</v>
      </c>
    </row>
    <row r="47" customFormat="false" ht="15" hidden="false" customHeight="false" outlineLevel="0" collapsed="false">
      <c r="A47" s="10" t="s">
        <v>213</v>
      </c>
      <c r="B47" s="10" t="s">
        <v>214</v>
      </c>
      <c r="C47" s="11" t="s">
        <v>208</v>
      </c>
      <c r="D47" s="12" t="n">
        <v>0.0163</v>
      </c>
      <c r="E47" s="12"/>
      <c r="F47" s="12"/>
      <c r="G47" s="10" t="s">
        <v>63</v>
      </c>
      <c r="H47" s="10" t="s">
        <v>83</v>
      </c>
      <c r="I47" s="11" t="s">
        <v>65</v>
      </c>
      <c r="J47" s="10" t="s">
        <v>66</v>
      </c>
      <c r="K47" s="10" t="s">
        <v>67</v>
      </c>
      <c r="L47" s="10" t="s">
        <v>68</v>
      </c>
      <c r="M47" s="10" t="s">
        <v>69</v>
      </c>
      <c r="N47" s="10"/>
      <c r="O47" s="11" t="s">
        <v>70</v>
      </c>
      <c r="P47" s="10" t="s">
        <v>71</v>
      </c>
      <c r="Q47" s="11" t="s">
        <v>72</v>
      </c>
      <c r="R47" s="11" t="s">
        <v>73</v>
      </c>
      <c r="S47" s="11" t="s">
        <v>74</v>
      </c>
      <c r="T47" s="11" t="s">
        <v>215</v>
      </c>
      <c r="U47" s="10" t="n">
        <f aca="false">IF(AND($D47="",$E47="",$F47=""),1,0)</f>
        <v>0</v>
      </c>
      <c r="V47" s="10" t="n">
        <f aca="false">IF(OR($I47="",$I47="—"),1,0)</f>
        <v>0</v>
      </c>
      <c r="W47" s="10" t="n">
        <f aca="false">IF(AND(ISNUMBER($D47),ISNUMBER($E47)),IF($E47&gt;$D47,1,0),0)+IF(AND(ISNUMBER($D47),ISNUMBER($F47)),IF($D47&gt;$F47,1,0),0)+IF(AND(ISNUMBER($E47),ISNUMBER($F47)),IF($E47&gt;$F47,1,0),0)</f>
        <v>0</v>
      </c>
      <c r="X47" s="13" t="s">
        <v>76</v>
      </c>
    </row>
    <row r="48" customFormat="false" ht="15" hidden="false" customHeight="false" outlineLevel="0" collapsed="false">
      <c r="A48" s="10" t="s">
        <v>216</v>
      </c>
      <c r="B48" s="10" t="s">
        <v>217</v>
      </c>
      <c r="C48" s="11" t="s">
        <v>208</v>
      </c>
      <c r="D48" s="12" t="n">
        <v>0.0518</v>
      </c>
      <c r="E48" s="12"/>
      <c r="F48" s="12"/>
      <c r="G48" s="10" t="s">
        <v>63</v>
      </c>
      <c r="H48" s="10" t="s">
        <v>87</v>
      </c>
      <c r="I48" s="11" t="s">
        <v>65</v>
      </c>
      <c r="J48" s="10" t="s">
        <v>66</v>
      </c>
      <c r="K48" s="10" t="s">
        <v>67</v>
      </c>
      <c r="L48" s="10" t="s">
        <v>68</v>
      </c>
      <c r="M48" s="10" t="s">
        <v>69</v>
      </c>
      <c r="N48" s="10"/>
      <c r="O48" s="11" t="s">
        <v>88</v>
      </c>
      <c r="P48" s="10" t="s">
        <v>71</v>
      </c>
      <c r="Q48" s="11" t="s">
        <v>72</v>
      </c>
      <c r="R48" s="11" t="s">
        <v>73</v>
      </c>
      <c r="S48" s="11" t="s">
        <v>74</v>
      </c>
      <c r="T48" s="11" t="s">
        <v>218</v>
      </c>
      <c r="U48" s="10" t="n">
        <f aca="false">IF(AND($D48="",$E48="",$F48=""),1,0)</f>
        <v>0</v>
      </c>
      <c r="V48" s="10" t="n">
        <f aca="false">IF(OR($I48="",$I48="—"),1,0)</f>
        <v>0</v>
      </c>
      <c r="W48" s="10" t="n">
        <f aca="false">IF(AND(ISNUMBER($D48),ISNUMBER($E48)),IF($E48&gt;$D48,1,0),0)+IF(AND(ISNUMBER($D48),ISNUMBER($F48)),IF($D48&gt;$F48,1,0),0)+IF(AND(ISNUMBER($E48),ISNUMBER($F48)),IF($E48&gt;$F48,1,0),0)</f>
        <v>0</v>
      </c>
      <c r="X48" s="13" t="s">
        <v>76</v>
      </c>
    </row>
    <row r="49" customFormat="false" ht="15" hidden="false" customHeight="false" outlineLevel="0" collapsed="false">
      <c r="A49" s="10" t="s">
        <v>219</v>
      </c>
      <c r="B49" s="10" t="s">
        <v>220</v>
      </c>
      <c r="C49" s="11" t="s">
        <v>208</v>
      </c>
      <c r="D49" s="12" t="n">
        <v>-0.0012</v>
      </c>
      <c r="E49" s="12"/>
      <c r="F49" s="12"/>
      <c r="G49" s="10" t="s">
        <v>63</v>
      </c>
      <c r="H49" s="10" t="s">
        <v>92</v>
      </c>
      <c r="I49" s="11" t="s">
        <v>65</v>
      </c>
      <c r="J49" s="10" t="s">
        <v>66</v>
      </c>
      <c r="K49" s="10" t="s">
        <v>67</v>
      </c>
      <c r="L49" s="10" t="s">
        <v>68</v>
      </c>
      <c r="M49" s="10" t="s">
        <v>69</v>
      </c>
      <c r="N49" s="10"/>
      <c r="O49" s="11" t="s">
        <v>70</v>
      </c>
      <c r="P49" s="10" t="s">
        <v>71</v>
      </c>
      <c r="Q49" s="11" t="s">
        <v>72</v>
      </c>
      <c r="R49" s="11" t="s">
        <v>73</v>
      </c>
      <c r="S49" s="11" t="s">
        <v>74</v>
      </c>
      <c r="T49" s="11" t="s">
        <v>221</v>
      </c>
      <c r="U49" s="10" t="n">
        <f aca="false">IF(AND($D49="",$E49="",$F49=""),1,0)</f>
        <v>0</v>
      </c>
      <c r="V49" s="10" t="n">
        <f aca="false">IF(OR($I49="",$I49="—"),1,0)</f>
        <v>0</v>
      </c>
      <c r="W49" s="10" t="n">
        <f aca="false">IF(AND(ISNUMBER($D49),ISNUMBER($E49)),IF($E49&gt;$D49,1,0),0)+IF(AND(ISNUMBER($D49),ISNUMBER($F49)),IF($D49&gt;$F49,1,0),0)+IF(AND(ISNUMBER($E49),ISNUMBER($F49)),IF($E49&gt;$F49,1,0),0)</f>
        <v>0</v>
      </c>
      <c r="X49" s="13" t="s">
        <v>76</v>
      </c>
    </row>
    <row r="50" customFormat="false" ht="15" hidden="false" customHeight="false" outlineLevel="0" collapsed="false">
      <c r="A50" s="10" t="s">
        <v>222</v>
      </c>
      <c r="B50" s="10" t="s">
        <v>223</v>
      </c>
      <c r="C50" s="11" t="s">
        <v>224</v>
      </c>
      <c r="D50" s="12" t="n">
        <v>0.8438</v>
      </c>
      <c r="E50" s="12"/>
      <c r="F50" s="12"/>
      <c r="G50" s="10" t="s">
        <v>63</v>
      </c>
      <c r="H50" s="10" t="s">
        <v>64</v>
      </c>
      <c r="I50" s="11" t="s">
        <v>65</v>
      </c>
      <c r="J50" s="10" t="s">
        <v>66</v>
      </c>
      <c r="K50" s="10" t="s">
        <v>67</v>
      </c>
      <c r="L50" s="10" t="s">
        <v>68</v>
      </c>
      <c r="M50" s="10" t="s">
        <v>69</v>
      </c>
      <c r="N50" s="10"/>
      <c r="O50" s="11" t="s">
        <v>70</v>
      </c>
      <c r="P50" s="10" t="s">
        <v>71</v>
      </c>
      <c r="Q50" s="11" t="s">
        <v>72</v>
      </c>
      <c r="R50" s="11" t="s">
        <v>73</v>
      </c>
      <c r="S50" s="11" t="s">
        <v>74</v>
      </c>
      <c r="T50" s="11" t="s">
        <v>225</v>
      </c>
      <c r="U50" s="10" t="n">
        <f aca="false">IF(AND($D50="",$E50="",$F50=""),1,0)</f>
        <v>0</v>
      </c>
      <c r="V50" s="10" t="n">
        <f aca="false">IF(OR($I50="",$I50="—"),1,0)</f>
        <v>0</v>
      </c>
      <c r="W50" s="10" t="n">
        <f aca="false">IF(AND(ISNUMBER($D50),ISNUMBER($E50)),IF($E50&gt;$D50,1,0),0)+IF(AND(ISNUMBER($D50),ISNUMBER($F50)),IF($D50&gt;$F50,1,0),0)+IF(AND(ISNUMBER($E50),ISNUMBER($F50)),IF($E50&gt;$F50,1,0),0)</f>
        <v>0</v>
      </c>
      <c r="X50" s="13" t="s">
        <v>76</v>
      </c>
    </row>
    <row r="51" customFormat="false" ht="15" hidden="false" customHeight="false" outlineLevel="0" collapsed="false">
      <c r="A51" s="10" t="s">
        <v>226</v>
      </c>
      <c r="B51" s="10" t="s">
        <v>227</v>
      </c>
      <c r="C51" s="11" t="s">
        <v>224</v>
      </c>
      <c r="D51" s="12" t="n">
        <v>5.2888</v>
      </c>
      <c r="E51" s="12"/>
      <c r="F51" s="12"/>
      <c r="G51" s="10" t="s">
        <v>63</v>
      </c>
      <c r="H51" s="10" t="s">
        <v>79</v>
      </c>
      <c r="I51" s="11" t="s">
        <v>65</v>
      </c>
      <c r="J51" s="10" t="s">
        <v>66</v>
      </c>
      <c r="K51" s="10" t="s">
        <v>67</v>
      </c>
      <c r="L51" s="10" t="s">
        <v>68</v>
      </c>
      <c r="M51" s="10" t="s">
        <v>69</v>
      </c>
      <c r="N51" s="10"/>
      <c r="O51" s="11" t="s">
        <v>70</v>
      </c>
      <c r="P51" s="10" t="s">
        <v>71</v>
      </c>
      <c r="Q51" s="11" t="s">
        <v>72</v>
      </c>
      <c r="R51" s="11" t="s">
        <v>73</v>
      </c>
      <c r="S51" s="11" t="s">
        <v>74</v>
      </c>
      <c r="T51" s="11" t="s">
        <v>228</v>
      </c>
      <c r="U51" s="10" t="n">
        <f aca="false">IF(AND($D51="",$E51="",$F51=""),1,0)</f>
        <v>0</v>
      </c>
      <c r="V51" s="10" t="n">
        <f aca="false">IF(OR($I51="",$I51="—"),1,0)</f>
        <v>0</v>
      </c>
      <c r="W51" s="10" t="n">
        <f aca="false">IF(AND(ISNUMBER($D51),ISNUMBER($E51)),IF($E51&gt;$D51,1,0),0)+IF(AND(ISNUMBER($D51),ISNUMBER($F51)),IF($D51&gt;$F51,1,0),0)+IF(AND(ISNUMBER($E51),ISNUMBER($F51)),IF($E51&gt;$F51,1,0),0)</f>
        <v>0</v>
      </c>
      <c r="X51" s="13" t="s">
        <v>76</v>
      </c>
    </row>
    <row r="52" customFormat="false" ht="15" hidden="false" customHeight="false" outlineLevel="0" collapsed="false">
      <c r="A52" s="10" t="s">
        <v>229</v>
      </c>
      <c r="B52" s="10" t="s">
        <v>230</v>
      </c>
      <c r="C52" s="11" t="s">
        <v>224</v>
      </c>
      <c r="D52" s="12" t="n">
        <v>21.9544</v>
      </c>
      <c r="E52" s="12"/>
      <c r="F52" s="12"/>
      <c r="G52" s="10" t="s">
        <v>63</v>
      </c>
      <c r="H52" s="10" t="s">
        <v>83</v>
      </c>
      <c r="I52" s="11" t="s">
        <v>65</v>
      </c>
      <c r="J52" s="10" t="s">
        <v>66</v>
      </c>
      <c r="K52" s="10" t="s">
        <v>67</v>
      </c>
      <c r="L52" s="10" t="s">
        <v>68</v>
      </c>
      <c r="M52" s="10" t="s">
        <v>69</v>
      </c>
      <c r="N52" s="10"/>
      <c r="O52" s="11" t="s">
        <v>70</v>
      </c>
      <c r="P52" s="10" t="s">
        <v>71</v>
      </c>
      <c r="Q52" s="11" t="s">
        <v>72</v>
      </c>
      <c r="R52" s="11" t="s">
        <v>73</v>
      </c>
      <c r="S52" s="11" t="s">
        <v>74</v>
      </c>
      <c r="T52" s="11" t="s">
        <v>231</v>
      </c>
      <c r="U52" s="10" t="n">
        <f aca="false">IF(AND($D52="",$E52="",$F52=""),1,0)</f>
        <v>0</v>
      </c>
      <c r="V52" s="10" t="n">
        <f aca="false">IF(OR($I52="",$I52="—"),1,0)</f>
        <v>0</v>
      </c>
      <c r="W52" s="10" t="n">
        <f aca="false">IF(AND(ISNUMBER($D52),ISNUMBER($E52)),IF($E52&gt;$D52,1,0),0)+IF(AND(ISNUMBER($D52),ISNUMBER($F52)),IF($D52&gt;$F52,1,0),0)+IF(AND(ISNUMBER($E52),ISNUMBER($F52)),IF($E52&gt;$F52,1,0),0)</f>
        <v>0</v>
      </c>
      <c r="X52" s="13" t="s">
        <v>76</v>
      </c>
    </row>
    <row r="53" customFormat="false" ht="15" hidden="false" customHeight="false" outlineLevel="0" collapsed="false">
      <c r="A53" s="10" t="s">
        <v>232</v>
      </c>
      <c r="B53" s="10" t="s">
        <v>233</v>
      </c>
      <c r="C53" s="11" t="s">
        <v>224</v>
      </c>
      <c r="D53" s="12" t="n">
        <v>8.5922</v>
      </c>
      <c r="E53" s="12"/>
      <c r="F53" s="12"/>
      <c r="G53" s="10" t="s">
        <v>63</v>
      </c>
      <c r="H53" s="10" t="s">
        <v>87</v>
      </c>
      <c r="I53" s="11" t="s">
        <v>65</v>
      </c>
      <c r="J53" s="10" t="s">
        <v>66</v>
      </c>
      <c r="K53" s="10" t="s">
        <v>67</v>
      </c>
      <c r="L53" s="10" t="s">
        <v>68</v>
      </c>
      <c r="M53" s="10" t="s">
        <v>69</v>
      </c>
      <c r="N53" s="10"/>
      <c r="O53" s="11" t="s">
        <v>88</v>
      </c>
      <c r="P53" s="10" t="s">
        <v>71</v>
      </c>
      <c r="Q53" s="11" t="s">
        <v>72</v>
      </c>
      <c r="R53" s="11" t="s">
        <v>73</v>
      </c>
      <c r="S53" s="11" t="s">
        <v>74</v>
      </c>
      <c r="T53" s="11" t="s">
        <v>234</v>
      </c>
      <c r="U53" s="10" t="n">
        <f aca="false">IF(AND($D53="",$E53="",$F53=""),1,0)</f>
        <v>0</v>
      </c>
      <c r="V53" s="10" t="n">
        <f aca="false">IF(OR($I53="",$I53="—"),1,0)</f>
        <v>0</v>
      </c>
      <c r="W53" s="10" t="n">
        <f aca="false">IF(AND(ISNUMBER($D53),ISNUMBER($E53)),IF($E53&gt;$D53,1,0),0)+IF(AND(ISNUMBER($D53),ISNUMBER($F53)),IF($D53&gt;$F53,1,0),0)+IF(AND(ISNUMBER($E53),ISNUMBER($F53)),IF($E53&gt;$F53,1,0),0)</f>
        <v>0</v>
      </c>
      <c r="X53" s="13" t="s">
        <v>76</v>
      </c>
    </row>
    <row r="54" customFormat="false" ht="15" hidden="false" customHeight="false" outlineLevel="0" collapsed="false">
      <c r="A54" s="10" t="s">
        <v>235</v>
      </c>
      <c r="B54" s="10" t="s">
        <v>236</v>
      </c>
      <c r="C54" s="11" t="s">
        <v>224</v>
      </c>
      <c r="D54" s="12" t="n">
        <v>15.9466</v>
      </c>
      <c r="E54" s="12"/>
      <c r="F54" s="12"/>
      <c r="G54" s="10" t="s">
        <v>63</v>
      </c>
      <c r="H54" s="10" t="s">
        <v>92</v>
      </c>
      <c r="I54" s="11" t="s">
        <v>65</v>
      </c>
      <c r="J54" s="10" t="s">
        <v>66</v>
      </c>
      <c r="K54" s="10" t="s">
        <v>67</v>
      </c>
      <c r="L54" s="10" t="s">
        <v>68</v>
      </c>
      <c r="M54" s="10" t="s">
        <v>69</v>
      </c>
      <c r="N54" s="10"/>
      <c r="O54" s="11" t="s">
        <v>70</v>
      </c>
      <c r="P54" s="10" t="s">
        <v>71</v>
      </c>
      <c r="Q54" s="11" t="s">
        <v>72</v>
      </c>
      <c r="R54" s="11" t="s">
        <v>73</v>
      </c>
      <c r="S54" s="11" t="s">
        <v>74</v>
      </c>
      <c r="T54" s="11" t="s">
        <v>237</v>
      </c>
      <c r="U54" s="10" t="n">
        <f aca="false">IF(AND($D54="",$E54="",$F54=""),1,0)</f>
        <v>0</v>
      </c>
      <c r="V54" s="10" t="n">
        <f aca="false">IF(OR($I54="",$I54="—"),1,0)</f>
        <v>0</v>
      </c>
      <c r="W54" s="10" t="n">
        <f aca="false">IF(AND(ISNUMBER($D54),ISNUMBER($E54)),IF($E54&gt;$D54,1,0),0)+IF(AND(ISNUMBER($D54),ISNUMBER($F54)),IF($D54&gt;$F54,1,0),0)+IF(AND(ISNUMBER($E54),ISNUMBER($F54)),IF($E54&gt;$F54,1,0),0)</f>
        <v>0</v>
      </c>
      <c r="X54" s="13" t="s">
        <v>76</v>
      </c>
    </row>
    <row r="55" customFormat="false" ht="15" hidden="false" customHeight="false" outlineLevel="0" collapsed="false">
      <c r="A55" s="10" t="s">
        <v>238</v>
      </c>
      <c r="B55" s="10" t="s">
        <v>239</v>
      </c>
      <c r="C55" s="11" t="s">
        <v>240</v>
      </c>
      <c r="D55" s="12" t="n">
        <v>0.1514</v>
      </c>
      <c r="E55" s="12"/>
      <c r="F55" s="12"/>
      <c r="G55" s="10" t="s">
        <v>63</v>
      </c>
      <c r="H55" s="10" t="s">
        <v>64</v>
      </c>
      <c r="I55" s="11" t="s">
        <v>65</v>
      </c>
      <c r="J55" s="10" t="s">
        <v>66</v>
      </c>
      <c r="K55" s="10" t="s">
        <v>67</v>
      </c>
      <c r="L55" s="10" t="s">
        <v>68</v>
      </c>
      <c r="M55" s="10" t="s">
        <v>69</v>
      </c>
      <c r="N55" s="10"/>
      <c r="O55" s="11" t="s">
        <v>70</v>
      </c>
      <c r="P55" s="10" t="s">
        <v>71</v>
      </c>
      <c r="Q55" s="11" t="s">
        <v>72</v>
      </c>
      <c r="R55" s="11" t="s">
        <v>73</v>
      </c>
      <c r="S55" s="11" t="s">
        <v>74</v>
      </c>
      <c r="T55" s="11" t="s">
        <v>241</v>
      </c>
      <c r="U55" s="10" t="n">
        <f aca="false">IF(AND($D55="",$E55="",$F55=""),1,0)</f>
        <v>0</v>
      </c>
      <c r="V55" s="10" t="n">
        <f aca="false">IF(OR($I55="",$I55="—"),1,0)</f>
        <v>0</v>
      </c>
      <c r="W55" s="10" t="n">
        <f aca="false">IF(AND(ISNUMBER($D55),ISNUMBER($E55)),IF($E55&gt;$D55,1,0),0)+IF(AND(ISNUMBER($D55),ISNUMBER($F55)),IF($D55&gt;$F55,1,0),0)+IF(AND(ISNUMBER($E55),ISNUMBER($F55)),IF($E55&gt;$F55,1,0),0)</f>
        <v>0</v>
      </c>
      <c r="X55" s="13" t="s">
        <v>76</v>
      </c>
    </row>
    <row r="56" customFormat="false" ht="15" hidden="false" customHeight="false" outlineLevel="0" collapsed="false">
      <c r="A56" s="10" t="s">
        <v>242</v>
      </c>
      <c r="B56" s="10" t="s">
        <v>243</v>
      </c>
      <c r="C56" s="11" t="s">
        <v>240</v>
      </c>
      <c r="D56" s="12" t="n">
        <v>1.012</v>
      </c>
      <c r="E56" s="12"/>
      <c r="F56" s="12"/>
      <c r="G56" s="10" t="s">
        <v>63</v>
      </c>
      <c r="H56" s="10" t="s">
        <v>79</v>
      </c>
      <c r="I56" s="11" t="s">
        <v>65</v>
      </c>
      <c r="J56" s="10" t="s">
        <v>66</v>
      </c>
      <c r="K56" s="10" t="s">
        <v>67</v>
      </c>
      <c r="L56" s="10" t="s">
        <v>68</v>
      </c>
      <c r="M56" s="10" t="s">
        <v>69</v>
      </c>
      <c r="N56" s="10"/>
      <c r="O56" s="11" t="s">
        <v>70</v>
      </c>
      <c r="P56" s="10" t="s">
        <v>71</v>
      </c>
      <c r="Q56" s="11" t="s">
        <v>72</v>
      </c>
      <c r="R56" s="11" t="s">
        <v>73</v>
      </c>
      <c r="S56" s="11" t="s">
        <v>74</v>
      </c>
      <c r="T56" s="11" t="s">
        <v>244</v>
      </c>
      <c r="U56" s="10" t="n">
        <f aca="false">IF(AND($D56="",$E56="",$F56=""),1,0)</f>
        <v>0</v>
      </c>
      <c r="V56" s="10" t="n">
        <f aca="false">IF(OR($I56="",$I56="—"),1,0)</f>
        <v>0</v>
      </c>
      <c r="W56" s="10" t="n">
        <f aca="false">IF(AND(ISNUMBER($D56),ISNUMBER($E56)),IF($E56&gt;$D56,1,0),0)+IF(AND(ISNUMBER($D56),ISNUMBER($F56)),IF($D56&gt;$F56,1,0),0)+IF(AND(ISNUMBER($E56),ISNUMBER($F56)),IF($E56&gt;$F56,1,0),0)</f>
        <v>0</v>
      </c>
      <c r="X56" s="13" t="s">
        <v>76</v>
      </c>
    </row>
    <row r="57" customFormat="false" ht="15" hidden="false" customHeight="false" outlineLevel="0" collapsed="false">
      <c r="A57" s="10" t="s">
        <v>245</v>
      </c>
      <c r="B57" s="10" t="s">
        <v>246</v>
      </c>
      <c r="C57" s="11" t="s">
        <v>240</v>
      </c>
      <c r="D57" s="12" t="n">
        <v>3.8748</v>
      </c>
      <c r="E57" s="12"/>
      <c r="F57" s="12"/>
      <c r="G57" s="10" t="s">
        <v>63</v>
      </c>
      <c r="H57" s="10" t="s">
        <v>83</v>
      </c>
      <c r="I57" s="11" t="s">
        <v>65</v>
      </c>
      <c r="J57" s="10" t="s">
        <v>66</v>
      </c>
      <c r="K57" s="10" t="s">
        <v>67</v>
      </c>
      <c r="L57" s="10" t="s">
        <v>68</v>
      </c>
      <c r="M57" s="10" t="s">
        <v>69</v>
      </c>
      <c r="N57" s="10"/>
      <c r="O57" s="11" t="s">
        <v>70</v>
      </c>
      <c r="P57" s="10" t="s">
        <v>71</v>
      </c>
      <c r="Q57" s="11" t="s">
        <v>72</v>
      </c>
      <c r="R57" s="11" t="s">
        <v>73</v>
      </c>
      <c r="S57" s="11" t="s">
        <v>74</v>
      </c>
      <c r="T57" s="11" t="s">
        <v>247</v>
      </c>
      <c r="U57" s="10" t="n">
        <f aca="false">IF(AND($D57="",$E57="",$F57=""),1,0)</f>
        <v>0</v>
      </c>
      <c r="V57" s="10" t="n">
        <f aca="false">IF(OR($I57="",$I57="—"),1,0)</f>
        <v>0</v>
      </c>
      <c r="W57" s="10" t="n">
        <f aca="false">IF(AND(ISNUMBER($D57),ISNUMBER($E57)),IF($E57&gt;$D57,1,0),0)+IF(AND(ISNUMBER($D57),ISNUMBER($F57)),IF($D57&gt;$F57,1,0),0)+IF(AND(ISNUMBER($E57),ISNUMBER($F57)),IF($E57&gt;$F57,1,0),0)</f>
        <v>0</v>
      </c>
      <c r="X57" s="13" t="s">
        <v>76</v>
      </c>
    </row>
    <row r="58" customFormat="false" ht="15" hidden="false" customHeight="false" outlineLevel="0" collapsed="false">
      <c r="A58" s="10" t="s">
        <v>248</v>
      </c>
      <c r="B58" s="10" t="s">
        <v>249</v>
      </c>
      <c r="C58" s="11" t="s">
        <v>240</v>
      </c>
      <c r="D58" s="12" t="n">
        <v>1.4419</v>
      </c>
      <c r="E58" s="12"/>
      <c r="F58" s="12"/>
      <c r="G58" s="10" t="s">
        <v>63</v>
      </c>
      <c r="H58" s="10" t="s">
        <v>87</v>
      </c>
      <c r="I58" s="11" t="s">
        <v>65</v>
      </c>
      <c r="J58" s="10" t="s">
        <v>66</v>
      </c>
      <c r="K58" s="10" t="s">
        <v>67</v>
      </c>
      <c r="L58" s="10" t="s">
        <v>68</v>
      </c>
      <c r="M58" s="10" t="s">
        <v>69</v>
      </c>
      <c r="N58" s="10"/>
      <c r="O58" s="11" t="s">
        <v>88</v>
      </c>
      <c r="P58" s="10" t="s">
        <v>71</v>
      </c>
      <c r="Q58" s="11" t="s">
        <v>72</v>
      </c>
      <c r="R58" s="11" t="s">
        <v>73</v>
      </c>
      <c r="S58" s="11" t="s">
        <v>74</v>
      </c>
      <c r="T58" s="11" t="s">
        <v>250</v>
      </c>
      <c r="U58" s="10" t="n">
        <f aca="false">IF(AND($D58="",$E58="",$F58=""),1,0)</f>
        <v>0</v>
      </c>
      <c r="V58" s="10" t="n">
        <f aca="false">IF(OR($I58="",$I58="—"),1,0)</f>
        <v>0</v>
      </c>
      <c r="W58" s="10" t="n">
        <f aca="false">IF(AND(ISNUMBER($D58),ISNUMBER($E58)),IF($E58&gt;$D58,1,0),0)+IF(AND(ISNUMBER($D58),ISNUMBER($F58)),IF($D58&gt;$F58,1,0),0)+IF(AND(ISNUMBER($E58),ISNUMBER($F58)),IF($E58&gt;$F58,1,0),0)</f>
        <v>0</v>
      </c>
      <c r="X58" s="13" t="s">
        <v>76</v>
      </c>
    </row>
    <row r="59" customFormat="false" ht="15" hidden="false" customHeight="false" outlineLevel="0" collapsed="false">
      <c r="A59" s="10" t="s">
        <v>251</v>
      </c>
      <c r="B59" s="10" t="s">
        <v>252</v>
      </c>
      <c r="C59" s="11" t="s">
        <v>240</v>
      </c>
      <c r="D59" s="12" t="n">
        <v>2.0857</v>
      </c>
      <c r="E59" s="12"/>
      <c r="F59" s="12"/>
      <c r="G59" s="10" t="s">
        <v>63</v>
      </c>
      <c r="H59" s="10" t="s">
        <v>92</v>
      </c>
      <c r="I59" s="11" t="s">
        <v>65</v>
      </c>
      <c r="J59" s="10" t="s">
        <v>66</v>
      </c>
      <c r="K59" s="10" t="s">
        <v>67</v>
      </c>
      <c r="L59" s="10" t="s">
        <v>68</v>
      </c>
      <c r="M59" s="10" t="s">
        <v>69</v>
      </c>
      <c r="N59" s="10"/>
      <c r="O59" s="11" t="s">
        <v>70</v>
      </c>
      <c r="P59" s="10" t="s">
        <v>71</v>
      </c>
      <c r="Q59" s="11" t="s">
        <v>72</v>
      </c>
      <c r="R59" s="11" t="s">
        <v>73</v>
      </c>
      <c r="S59" s="11" t="s">
        <v>74</v>
      </c>
      <c r="T59" s="11" t="s">
        <v>253</v>
      </c>
      <c r="U59" s="10" t="n">
        <f aca="false">IF(AND($D59="",$E59="",$F59=""),1,0)</f>
        <v>0</v>
      </c>
      <c r="V59" s="10" t="n">
        <f aca="false">IF(OR($I59="",$I59="—"),1,0)</f>
        <v>0</v>
      </c>
      <c r="W59" s="10" t="n">
        <f aca="false">IF(AND(ISNUMBER($D59),ISNUMBER($E59)),IF($E59&gt;$D59,1,0),0)+IF(AND(ISNUMBER($D59),ISNUMBER($F59)),IF($D59&gt;$F59,1,0),0)+IF(AND(ISNUMBER($E59),ISNUMBER($F59)),IF($E59&gt;$F59,1,0),0)</f>
        <v>0</v>
      </c>
      <c r="X59" s="13" t="s">
        <v>76</v>
      </c>
    </row>
    <row r="60" customFormat="false" ht="15" hidden="false" customHeight="false" outlineLevel="0" collapsed="false">
      <c r="A60" s="10" t="s">
        <v>254</v>
      </c>
      <c r="B60" s="10" t="s">
        <v>255</v>
      </c>
      <c r="C60" s="11" t="s">
        <v>256</v>
      </c>
      <c r="D60" s="12" t="n">
        <v>0.3232</v>
      </c>
      <c r="E60" s="12"/>
      <c r="F60" s="12"/>
      <c r="G60" s="10" t="s">
        <v>63</v>
      </c>
      <c r="H60" s="10" t="s">
        <v>64</v>
      </c>
      <c r="I60" s="11" t="s">
        <v>65</v>
      </c>
      <c r="J60" s="10" t="s">
        <v>66</v>
      </c>
      <c r="K60" s="10" t="s">
        <v>67</v>
      </c>
      <c r="L60" s="10" t="s">
        <v>68</v>
      </c>
      <c r="M60" s="10" t="s">
        <v>69</v>
      </c>
      <c r="N60" s="10"/>
      <c r="O60" s="11" t="s">
        <v>70</v>
      </c>
      <c r="P60" s="10" t="s">
        <v>71</v>
      </c>
      <c r="Q60" s="11" t="s">
        <v>72</v>
      </c>
      <c r="R60" s="11" t="s">
        <v>73</v>
      </c>
      <c r="S60" s="11" t="s">
        <v>74</v>
      </c>
      <c r="T60" s="11" t="s">
        <v>257</v>
      </c>
      <c r="U60" s="10" t="n">
        <f aca="false">IF(AND($D60="",$E60="",$F60=""),1,0)</f>
        <v>0</v>
      </c>
      <c r="V60" s="10" t="n">
        <f aca="false">IF(OR($I60="",$I60="—"),1,0)</f>
        <v>0</v>
      </c>
      <c r="W60" s="10" t="n">
        <f aca="false">IF(AND(ISNUMBER($D60),ISNUMBER($E60)),IF($E60&gt;$D60,1,0),0)+IF(AND(ISNUMBER($D60),ISNUMBER($F60)),IF($D60&gt;$F60,1,0),0)+IF(AND(ISNUMBER($E60),ISNUMBER($F60)),IF($E60&gt;$F60,1,0),0)</f>
        <v>0</v>
      </c>
      <c r="X60" s="13" t="s">
        <v>76</v>
      </c>
    </row>
    <row r="61" customFormat="false" ht="15" hidden="false" customHeight="false" outlineLevel="0" collapsed="false">
      <c r="A61" s="10" t="s">
        <v>258</v>
      </c>
      <c r="B61" s="10" t="s">
        <v>259</v>
      </c>
      <c r="C61" s="11" t="s">
        <v>256</v>
      </c>
      <c r="D61" s="12" t="n">
        <v>0.663</v>
      </c>
      <c r="E61" s="12"/>
      <c r="F61" s="12"/>
      <c r="G61" s="10" t="s">
        <v>63</v>
      </c>
      <c r="H61" s="10" t="s">
        <v>79</v>
      </c>
      <c r="I61" s="11" t="s">
        <v>65</v>
      </c>
      <c r="J61" s="10" t="s">
        <v>66</v>
      </c>
      <c r="K61" s="10" t="s">
        <v>67</v>
      </c>
      <c r="L61" s="10" t="s">
        <v>68</v>
      </c>
      <c r="M61" s="10" t="s">
        <v>69</v>
      </c>
      <c r="N61" s="10"/>
      <c r="O61" s="11" t="s">
        <v>70</v>
      </c>
      <c r="P61" s="10" t="s">
        <v>71</v>
      </c>
      <c r="Q61" s="11" t="s">
        <v>72</v>
      </c>
      <c r="R61" s="11" t="s">
        <v>73</v>
      </c>
      <c r="S61" s="11" t="s">
        <v>74</v>
      </c>
      <c r="T61" s="11" t="s">
        <v>260</v>
      </c>
      <c r="U61" s="10" t="n">
        <f aca="false">IF(AND($D61="",$E61="",$F61=""),1,0)</f>
        <v>0</v>
      </c>
      <c r="V61" s="10" t="n">
        <f aca="false">IF(OR($I61="",$I61="—"),1,0)</f>
        <v>0</v>
      </c>
      <c r="W61" s="10" t="n">
        <f aca="false">IF(AND(ISNUMBER($D61),ISNUMBER($E61)),IF($E61&gt;$D61,1,0),0)+IF(AND(ISNUMBER($D61),ISNUMBER($F61)),IF($D61&gt;$F61,1,0),0)+IF(AND(ISNUMBER($E61),ISNUMBER($F61)),IF($E61&gt;$F61,1,0),0)</f>
        <v>0</v>
      </c>
      <c r="X61" s="13" t="s">
        <v>76</v>
      </c>
    </row>
    <row r="62" customFormat="false" ht="15" hidden="false" customHeight="false" outlineLevel="0" collapsed="false">
      <c r="A62" s="10" t="s">
        <v>261</v>
      </c>
      <c r="B62" s="10" t="s">
        <v>262</v>
      </c>
      <c r="C62" s="11" t="s">
        <v>256</v>
      </c>
      <c r="D62" s="12" t="n">
        <v>1.336</v>
      </c>
      <c r="E62" s="12"/>
      <c r="F62" s="12"/>
      <c r="G62" s="10" t="s">
        <v>63</v>
      </c>
      <c r="H62" s="10" t="s">
        <v>83</v>
      </c>
      <c r="I62" s="11" t="s">
        <v>65</v>
      </c>
      <c r="J62" s="10" t="s">
        <v>66</v>
      </c>
      <c r="K62" s="10" t="s">
        <v>67</v>
      </c>
      <c r="L62" s="10" t="s">
        <v>68</v>
      </c>
      <c r="M62" s="10" t="s">
        <v>69</v>
      </c>
      <c r="N62" s="10"/>
      <c r="O62" s="11" t="s">
        <v>70</v>
      </c>
      <c r="P62" s="10" t="s">
        <v>71</v>
      </c>
      <c r="Q62" s="11" t="s">
        <v>72</v>
      </c>
      <c r="R62" s="11" t="s">
        <v>73</v>
      </c>
      <c r="S62" s="11" t="s">
        <v>74</v>
      </c>
      <c r="T62" s="11" t="s">
        <v>263</v>
      </c>
      <c r="U62" s="10" t="n">
        <f aca="false">IF(AND($D62="",$E62="",$F62=""),1,0)</f>
        <v>0</v>
      </c>
      <c r="V62" s="10" t="n">
        <f aca="false">IF(OR($I62="",$I62="—"),1,0)</f>
        <v>0</v>
      </c>
      <c r="W62" s="10" t="n">
        <f aca="false">IF(AND(ISNUMBER($D62),ISNUMBER($E62)),IF($E62&gt;$D62,1,0),0)+IF(AND(ISNUMBER($D62),ISNUMBER($F62)),IF($D62&gt;$F62,1,0),0)+IF(AND(ISNUMBER($E62),ISNUMBER($F62)),IF($E62&gt;$F62,1,0),0)</f>
        <v>0</v>
      </c>
      <c r="X62" s="13" t="s">
        <v>76</v>
      </c>
    </row>
    <row r="63" customFormat="false" ht="15" hidden="false" customHeight="false" outlineLevel="0" collapsed="false">
      <c r="A63" s="10" t="s">
        <v>264</v>
      </c>
      <c r="B63" s="10" t="s">
        <v>265</v>
      </c>
      <c r="C63" s="11" t="s">
        <v>256</v>
      </c>
      <c r="D63" s="12" t="n">
        <v>0.5145</v>
      </c>
      <c r="E63" s="12"/>
      <c r="F63" s="12"/>
      <c r="G63" s="10" t="s">
        <v>63</v>
      </c>
      <c r="H63" s="10" t="s">
        <v>87</v>
      </c>
      <c r="I63" s="11" t="s">
        <v>65</v>
      </c>
      <c r="J63" s="10" t="s">
        <v>66</v>
      </c>
      <c r="K63" s="10" t="s">
        <v>67</v>
      </c>
      <c r="L63" s="10" t="s">
        <v>68</v>
      </c>
      <c r="M63" s="10" t="s">
        <v>69</v>
      </c>
      <c r="N63" s="10"/>
      <c r="O63" s="11" t="s">
        <v>88</v>
      </c>
      <c r="P63" s="10" t="s">
        <v>71</v>
      </c>
      <c r="Q63" s="11" t="s">
        <v>72</v>
      </c>
      <c r="R63" s="11" t="s">
        <v>73</v>
      </c>
      <c r="S63" s="11" t="s">
        <v>74</v>
      </c>
      <c r="T63" s="11" t="s">
        <v>266</v>
      </c>
      <c r="U63" s="10" t="n">
        <f aca="false">IF(AND($D63="",$E63="",$F63=""),1,0)</f>
        <v>0</v>
      </c>
      <c r="V63" s="10" t="n">
        <f aca="false">IF(OR($I63="",$I63="—"),1,0)</f>
        <v>0</v>
      </c>
      <c r="W63" s="10" t="n">
        <f aca="false">IF(AND(ISNUMBER($D63),ISNUMBER($E63)),IF($E63&gt;$D63,1,0),0)+IF(AND(ISNUMBER($D63),ISNUMBER($F63)),IF($D63&gt;$F63,1,0),0)+IF(AND(ISNUMBER($E63),ISNUMBER($F63)),IF($E63&gt;$F63,1,0),0)</f>
        <v>0</v>
      </c>
      <c r="X63" s="13" t="s">
        <v>76</v>
      </c>
    </row>
    <row r="64" customFormat="false" ht="15" hidden="false" customHeight="false" outlineLevel="0" collapsed="false">
      <c r="A64" s="10" t="s">
        <v>267</v>
      </c>
      <c r="B64" s="10" t="s">
        <v>268</v>
      </c>
      <c r="C64" s="11" t="s">
        <v>256</v>
      </c>
      <c r="D64" s="12" t="n">
        <v>1.8517</v>
      </c>
      <c r="E64" s="12"/>
      <c r="F64" s="12"/>
      <c r="G64" s="10" t="s">
        <v>63</v>
      </c>
      <c r="H64" s="10" t="s">
        <v>92</v>
      </c>
      <c r="I64" s="11" t="s">
        <v>65</v>
      </c>
      <c r="J64" s="10" t="s">
        <v>66</v>
      </c>
      <c r="K64" s="10" t="s">
        <v>67</v>
      </c>
      <c r="L64" s="10" t="s">
        <v>68</v>
      </c>
      <c r="M64" s="10" t="s">
        <v>69</v>
      </c>
      <c r="N64" s="10"/>
      <c r="O64" s="11" t="s">
        <v>70</v>
      </c>
      <c r="P64" s="10" t="s">
        <v>71</v>
      </c>
      <c r="Q64" s="11" t="s">
        <v>72</v>
      </c>
      <c r="R64" s="11" t="s">
        <v>73</v>
      </c>
      <c r="S64" s="11" t="s">
        <v>74</v>
      </c>
      <c r="T64" s="11" t="s">
        <v>269</v>
      </c>
      <c r="U64" s="10" t="n">
        <f aca="false">IF(AND($D64="",$E64="",$F64=""),1,0)</f>
        <v>0</v>
      </c>
      <c r="V64" s="10" t="n">
        <f aca="false">IF(OR($I64="",$I64="—"),1,0)</f>
        <v>0</v>
      </c>
      <c r="W64" s="10" t="n">
        <f aca="false">IF(AND(ISNUMBER($D64),ISNUMBER($E64)),IF($E64&gt;$D64,1,0),0)+IF(AND(ISNUMBER($D64),ISNUMBER($F64)),IF($D64&gt;$F64,1,0),0)+IF(AND(ISNUMBER($E64),ISNUMBER($F64)),IF($E64&gt;$F64,1,0),0)</f>
        <v>0</v>
      </c>
      <c r="X64" s="13" t="s">
        <v>76</v>
      </c>
    </row>
    <row r="65" customFormat="false" ht="15" hidden="false" customHeight="false" outlineLevel="0" collapsed="false">
      <c r="A65" s="10" t="s">
        <v>270</v>
      </c>
      <c r="B65" s="10" t="s">
        <v>271</v>
      </c>
      <c r="C65" s="11" t="s">
        <v>272</v>
      </c>
      <c r="D65" s="12" t="n">
        <v>0.0178</v>
      </c>
      <c r="E65" s="12"/>
      <c r="F65" s="12"/>
      <c r="G65" s="10" t="s">
        <v>63</v>
      </c>
      <c r="H65" s="10" t="s">
        <v>64</v>
      </c>
      <c r="I65" s="11" t="s">
        <v>65</v>
      </c>
      <c r="J65" s="10" t="s">
        <v>66</v>
      </c>
      <c r="K65" s="10" t="s">
        <v>67</v>
      </c>
      <c r="L65" s="10" t="s">
        <v>68</v>
      </c>
      <c r="M65" s="10" t="s">
        <v>69</v>
      </c>
      <c r="N65" s="10"/>
      <c r="O65" s="11" t="s">
        <v>70</v>
      </c>
      <c r="P65" s="10" t="s">
        <v>71</v>
      </c>
      <c r="Q65" s="11" t="s">
        <v>72</v>
      </c>
      <c r="R65" s="11" t="s">
        <v>73</v>
      </c>
      <c r="S65" s="11" t="s">
        <v>74</v>
      </c>
      <c r="T65" s="11" t="s">
        <v>273</v>
      </c>
      <c r="U65" s="10" t="n">
        <f aca="false">IF(AND($D65="",$E65="",$F65=""),1,0)</f>
        <v>0</v>
      </c>
      <c r="V65" s="10" t="n">
        <f aca="false">IF(OR($I65="",$I65="—"),1,0)</f>
        <v>0</v>
      </c>
      <c r="W65" s="10" t="n">
        <f aca="false">IF(AND(ISNUMBER($D65),ISNUMBER($E65)),IF($E65&gt;$D65,1,0),0)+IF(AND(ISNUMBER($D65),ISNUMBER($F65)),IF($D65&gt;$F65,1,0),0)+IF(AND(ISNUMBER($E65),ISNUMBER($F65)),IF($E65&gt;$F65,1,0),0)</f>
        <v>0</v>
      </c>
      <c r="X65" s="13" t="s">
        <v>76</v>
      </c>
    </row>
    <row r="66" customFormat="false" ht="15" hidden="false" customHeight="false" outlineLevel="0" collapsed="false">
      <c r="A66" s="10" t="s">
        <v>274</v>
      </c>
      <c r="B66" s="10" t="s">
        <v>275</v>
      </c>
      <c r="C66" s="11" t="s">
        <v>272</v>
      </c>
      <c r="D66" s="12" t="n">
        <v>0.0997</v>
      </c>
      <c r="E66" s="12"/>
      <c r="F66" s="12"/>
      <c r="G66" s="10" t="s">
        <v>63</v>
      </c>
      <c r="H66" s="10" t="s">
        <v>79</v>
      </c>
      <c r="I66" s="11" t="s">
        <v>65</v>
      </c>
      <c r="J66" s="10" t="s">
        <v>66</v>
      </c>
      <c r="K66" s="10" t="s">
        <v>67</v>
      </c>
      <c r="L66" s="10" t="s">
        <v>68</v>
      </c>
      <c r="M66" s="10" t="s">
        <v>69</v>
      </c>
      <c r="N66" s="10"/>
      <c r="O66" s="11" t="s">
        <v>70</v>
      </c>
      <c r="P66" s="10" t="s">
        <v>71</v>
      </c>
      <c r="Q66" s="11" t="s">
        <v>72</v>
      </c>
      <c r="R66" s="11" t="s">
        <v>73</v>
      </c>
      <c r="S66" s="11" t="s">
        <v>74</v>
      </c>
      <c r="T66" s="11" t="s">
        <v>276</v>
      </c>
      <c r="U66" s="10" t="n">
        <f aca="false">IF(AND($D66="",$E66="",$F66=""),1,0)</f>
        <v>0</v>
      </c>
      <c r="V66" s="10" t="n">
        <f aca="false">IF(OR($I66="",$I66="—"),1,0)</f>
        <v>0</v>
      </c>
      <c r="W66" s="10" t="n">
        <f aca="false">IF(AND(ISNUMBER($D66),ISNUMBER($E66)),IF($E66&gt;$D66,1,0),0)+IF(AND(ISNUMBER($D66),ISNUMBER($F66)),IF($D66&gt;$F66,1,0),0)+IF(AND(ISNUMBER($E66),ISNUMBER($F66)),IF($E66&gt;$F66,1,0),0)</f>
        <v>0</v>
      </c>
      <c r="X66" s="13" t="s">
        <v>76</v>
      </c>
    </row>
    <row r="67" customFormat="false" ht="15" hidden="false" customHeight="false" outlineLevel="0" collapsed="false">
      <c r="A67" s="10" t="s">
        <v>277</v>
      </c>
      <c r="B67" s="10" t="s">
        <v>278</v>
      </c>
      <c r="C67" s="11" t="s">
        <v>272</v>
      </c>
      <c r="D67" s="12" t="n">
        <v>0.1928</v>
      </c>
      <c r="E67" s="12"/>
      <c r="F67" s="12"/>
      <c r="G67" s="10" t="s">
        <v>63</v>
      </c>
      <c r="H67" s="10" t="s">
        <v>83</v>
      </c>
      <c r="I67" s="11" t="s">
        <v>65</v>
      </c>
      <c r="J67" s="10" t="s">
        <v>66</v>
      </c>
      <c r="K67" s="10" t="s">
        <v>67</v>
      </c>
      <c r="L67" s="10" t="s">
        <v>68</v>
      </c>
      <c r="M67" s="10" t="s">
        <v>69</v>
      </c>
      <c r="N67" s="10"/>
      <c r="O67" s="11" t="s">
        <v>70</v>
      </c>
      <c r="P67" s="10" t="s">
        <v>71</v>
      </c>
      <c r="Q67" s="11" t="s">
        <v>72</v>
      </c>
      <c r="R67" s="11" t="s">
        <v>73</v>
      </c>
      <c r="S67" s="11" t="s">
        <v>74</v>
      </c>
      <c r="T67" s="11" t="s">
        <v>279</v>
      </c>
      <c r="U67" s="10" t="n">
        <f aca="false">IF(AND($D67="",$E67="",$F67=""),1,0)</f>
        <v>0</v>
      </c>
      <c r="V67" s="10" t="n">
        <f aca="false">IF(OR($I67="",$I67="—"),1,0)</f>
        <v>0</v>
      </c>
      <c r="W67" s="10" t="n">
        <f aca="false">IF(AND(ISNUMBER($D67),ISNUMBER($E67)),IF($E67&gt;$D67,1,0),0)+IF(AND(ISNUMBER($D67),ISNUMBER($F67)),IF($D67&gt;$F67,1,0),0)+IF(AND(ISNUMBER($E67),ISNUMBER($F67)),IF($E67&gt;$F67,1,0),0)</f>
        <v>0</v>
      </c>
      <c r="X67" s="13" t="s">
        <v>76</v>
      </c>
    </row>
    <row r="68" customFormat="false" ht="15" hidden="false" customHeight="false" outlineLevel="0" collapsed="false">
      <c r="A68" s="10" t="s">
        <v>280</v>
      </c>
      <c r="B68" s="10" t="s">
        <v>281</v>
      </c>
      <c r="C68" s="11" t="s">
        <v>272</v>
      </c>
      <c r="D68" s="12" t="n">
        <v>0.0417</v>
      </c>
      <c r="E68" s="12"/>
      <c r="F68" s="12"/>
      <c r="G68" s="10" t="s">
        <v>63</v>
      </c>
      <c r="H68" s="10" t="s">
        <v>87</v>
      </c>
      <c r="I68" s="11" t="s">
        <v>65</v>
      </c>
      <c r="J68" s="10" t="s">
        <v>66</v>
      </c>
      <c r="K68" s="10" t="s">
        <v>67</v>
      </c>
      <c r="L68" s="10" t="s">
        <v>68</v>
      </c>
      <c r="M68" s="10" t="s">
        <v>69</v>
      </c>
      <c r="N68" s="10"/>
      <c r="O68" s="11" t="s">
        <v>88</v>
      </c>
      <c r="P68" s="10" t="s">
        <v>71</v>
      </c>
      <c r="Q68" s="11" t="s">
        <v>72</v>
      </c>
      <c r="R68" s="11" t="s">
        <v>73</v>
      </c>
      <c r="S68" s="11" t="s">
        <v>74</v>
      </c>
      <c r="T68" s="11" t="s">
        <v>282</v>
      </c>
      <c r="U68" s="10" t="n">
        <f aca="false">IF(AND($D68="",$E68="",$F68=""),1,0)</f>
        <v>0</v>
      </c>
      <c r="V68" s="10" t="n">
        <f aca="false">IF(OR($I68="",$I68="—"),1,0)</f>
        <v>0</v>
      </c>
      <c r="W68" s="10" t="n">
        <f aca="false">IF(AND(ISNUMBER($D68),ISNUMBER($E68)),IF($E68&gt;$D68,1,0),0)+IF(AND(ISNUMBER($D68),ISNUMBER($F68)),IF($D68&gt;$F68,1,0),0)+IF(AND(ISNUMBER($E68),ISNUMBER($F68)),IF($E68&gt;$F68,1,0),0)</f>
        <v>0</v>
      </c>
      <c r="X68" s="13" t="s">
        <v>76</v>
      </c>
    </row>
    <row r="69" customFormat="false" ht="15" hidden="false" customHeight="false" outlineLevel="0" collapsed="false">
      <c r="A69" s="10" t="s">
        <v>283</v>
      </c>
      <c r="B69" s="10" t="s">
        <v>284</v>
      </c>
      <c r="C69" s="11" t="s">
        <v>272</v>
      </c>
      <c r="D69" s="12" t="n">
        <v>0.0461</v>
      </c>
      <c r="E69" s="12"/>
      <c r="F69" s="12"/>
      <c r="G69" s="10" t="s">
        <v>63</v>
      </c>
      <c r="H69" s="10" t="s">
        <v>92</v>
      </c>
      <c r="I69" s="11" t="s">
        <v>65</v>
      </c>
      <c r="J69" s="10" t="s">
        <v>66</v>
      </c>
      <c r="K69" s="10" t="s">
        <v>67</v>
      </c>
      <c r="L69" s="10" t="s">
        <v>68</v>
      </c>
      <c r="M69" s="10" t="s">
        <v>69</v>
      </c>
      <c r="N69" s="10"/>
      <c r="O69" s="11" t="s">
        <v>70</v>
      </c>
      <c r="P69" s="10" t="s">
        <v>71</v>
      </c>
      <c r="Q69" s="11" t="s">
        <v>72</v>
      </c>
      <c r="R69" s="11" t="s">
        <v>73</v>
      </c>
      <c r="S69" s="11" t="s">
        <v>74</v>
      </c>
      <c r="T69" s="11" t="s">
        <v>285</v>
      </c>
      <c r="U69" s="10" t="n">
        <f aca="false">IF(AND($D69="",$E69="",$F69=""),1,0)</f>
        <v>0</v>
      </c>
      <c r="V69" s="10" t="n">
        <f aca="false">IF(OR($I69="",$I69="—"),1,0)</f>
        <v>0</v>
      </c>
      <c r="W69" s="10" t="n">
        <f aca="false">IF(AND(ISNUMBER($D69),ISNUMBER($E69)),IF($E69&gt;$D69,1,0),0)+IF(AND(ISNUMBER($D69),ISNUMBER($F69)),IF($D69&gt;$F69,1,0),0)+IF(AND(ISNUMBER($E69),ISNUMBER($F69)),IF($E69&gt;$F69,1,0),0)</f>
        <v>0</v>
      </c>
      <c r="X69" s="13" t="s">
        <v>76</v>
      </c>
    </row>
    <row r="70" customFormat="false" ht="15" hidden="false" customHeight="false" outlineLevel="0" collapsed="false">
      <c r="A70" s="10" t="s">
        <v>286</v>
      </c>
      <c r="B70" s="10" t="s">
        <v>287</v>
      </c>
      <c r="C70" s="11" t="s">
        <v>288</v>
      </c>
      <c r="D70" s="12" t="n">
        <v>0.0569</v>
      </c>
      <c r="E70" s="12"/>
      <c r="F70" s="12"/>
      <c r="G70" s="10" t="s">
        <v>63</v>
      </c>
      <c r="H70" s="10" t="s">
        <v>64</v>
      </c>
      <c r="I70" s="11" t="s">
        <v>65</v>
      </c>
      <c r="J70" s="10" t="s">
        <v>66</v>
      </c>
      <c r="K70" s="10" t="s">
        <v>67</v>
      </c>
      <c r="L70" s="10" t="s">
        <v>68</v>
      </c>
      <c r="M70" s="10" t="s">
        <v>69</v>
      </c>
      <c r="N70" s="10"/>
      <c r="O70" s="11" t="s">
        <v>70</v>
      </c>
      <c r="P70" s="10" t="s">
        <v>71</v>
      </c>
      <c r="Q70" s="11" t="s">
        <v>72</v>
      </c>
      <c r="R70" s="11" t="s">
        <v>73</v>
      </c>
      <c r="S70" s="11" t="s">
        <v>74</v>
      </c>
      <c r="T70" s="11" t="s">
        <v>289</v>
      </c>
      <c r="U70" s="10" t="n">
        <f aca="false">IF(AND($D70="",$E70="",$F70=""),1,0)</f>
        <v>0</v>
      </c>
      <c r="V70" s="10" t="n">
        <f aca="false">IF(OR($I70="",$I70="—"),1,0)</f>
        <v>0</v>
      </c>
      <c r="W70" s="10" t="n">
        <f aca="false">IF(AND(ISNUMBER($D70),ISNUMBER($E70)),IF($E70&gt;$D70,1,0),0)+IF(AND(ISNUMBER($D70),ISNUMBER($F70)),IF($D70&gt;$F70,1,0),0)+IF(AND(ISNUMBER($E70),ISNUMBER($F70)),IF($E70&gt;$F70,1,0),0)</f>
        <v>0</v>
      </c>
      <c r="X70" s="13" t="s">
        <v>76</v>
      </c>
    </row>
    <row r="71" customFormat="false" ht="15" hidden="false" customHeight="false" outlineLevel="0" collapsed="false">
      <c r="A71" s="10" t="s">
        <v>290</v>
      </c>
      <c r="B71" s="10" t="s">
        <v>291</v>
      </c>
      <c r="C71" s="11" t="s">
        <v>288</v>
      </c>
      <c r="D71" s="12" t="n">
        <v>0.2633</v>
      </c>
      <c r="E71" s="12"/>
      <c r="F71" s="12"/>
      <c r="G71" s="10" t="s">
        <v>63</v>
      </c>
      <c r="H71" s="10" t="s">
        <v>79</v>
      </c>
      <c r="I71" s="11" t="s">
        <v>65</v>
      </c>
      <c r="J71" s="10" t="s">
        <v>66</v>
      </c>
      <c r="K71" s="10" t="s">
        <v>67</v>
      </c>
      <c r="L71" s="10" t="s">
        <v>68</v>
      </c>
      <c r="M71" s="10" t="s">
        <v>69</v>
      </c>
      <c r="N71" s="10"/>
      <c r="O71" s="11" t="s">
        <v>70</v>
      </c>
      <c r="P71" s="10" t="s">
        <v>71</v>
      </c>
      <c r="Q71" s="11" t="s">
        <v>72</v>
      </c>
      <c r="R71" s="11" t="s">
        <v>73</v>
      </c>
      <c r="S71" s="11" t="s">
        <v>74</v>
      </c>
      <c r="T71" s="11" t="s">
        <v>292</v>
      </c>
      <c r="U71" s="10" t="n">
        <f aca="false">IF(AND($D71="",$E71="",$F71=""),1,0)</f>
        <v>0</v>
      </c>
      <c r="V71" s="10" t="n">
        <f aca="false">IF(OR($I71="",$I71="—"),1,0)</f>
        <v>0</v>
      </c>
      <c r="W71" s="10" t="n">
        <f aca="false">IF(AND(ISNUMBER($D71),ISNUMBER($E71)),IF($E71&gt;$D71,1,0),0)+IF(AND(ISNUMBER($D71),ISNUMBER($F71)),IF($D71&gt;$F71,1,0),0)+IF(AND(ISNUMBER($E71),ISNUMBER($F71)),IF($E71&gt;$F71,1,0),0)</f>
        <v>0</v>
      </c>
      <c r="X71" s="13" t="s">
        <v>76</v>
      </c>
    </row>
    <row r="72" customFormat="false" ht="15" hidden="false" customHeight="false" outlineLevel="0" collapsed="false">
      <c r="A72" s="10" t="s">
        <v>293</v>
      </c>
      <c r="B72" s="10" t="s">
        <v>294</v>
      </c>
      <c r="C72" s="11" t="s">
        <v>288</v>
      </c>
      <c r="D72" s="12" t="n">
        <v>0.3832</v>
      </c>
      <c r="E72" s="12"/>
      <c r="F72" s="12"/>
      <c r="G72" s="10" t="s">
        <v>63</v>
      </c>
      <c r="H72" s="10" t="s">
        <v>83</v>
      </c>
      <c r="I72" s="11" t="s">
        <v>65</v>
      </c>
      <c r="J72" s="10" t="s">
        <v>66</v>
      </c>
      <c r="K72" s="10" t="s">
        <v>67</v>
      </c>
      <c r="L72" s="10" t="s">
        <v>68</v>
      </c>
      <c r="M72" s="10" t="s">
        <v>69</v>
      </c>
      <c r="N72" s="10"/>
      <c r="O72" s="11" t="s">
        <v>70</v>
      </c>
      <c r="P72" s="10" t="s">
        <v>71</v>
      </c>
      <c r="Q72" s="11" t="s">
        <v>72</v>
      </c>
      <c r="R72" s="11" t="s">
        <v>73</v>
      </c>
      <c r="S72" s="11" t="s">
        <v>74</v>
      </c>
      <c r="T72" s="11" t="s">
        <v>295</v>
      </c>
      <c r="U72" s="10" t="n">
        <f aca="false">IF(AND($D72="",$E72="",$F72=""),1,0)</f>
        <v>0</v>
      </c>
      <c r="V72" s="10" t="n">
        <f aca="false">IF(OR($I72="",$I72="—"),1,0)</f>
        <v>0</v>
      </c>
      <c r="W72" s="10" t="n">
        <f aca="false">IF(AND(ISNUMBER($D72),ISNUMBER($E72)),IF($E72&gt;$D72,1,0),0)+IF(AND(ISNUMBER($D72),ISNUMBER($F72)),IF($D72&gt;$F72,1,0),0)+IF(AND(ISNUMBER($E72),ISNUMBER($F72)),IF($E72&gt;$F72,1,0),0)</f>
        <v>0</v>
      </c>
      <c r="X72" s="13" t="s">
        <v>76</v>
      </c>
    </row>
    <row r="73" customFormat="false" ht="15" hidden="false" customHeight="false" outlineLevel="0" collapsed="false">
      <c r="A73" s="10" t="s">
        <v>296</v>
      </c>
      <c r="B73" s="10" t="s">
        <v>297</v>
      </c>
      <c r="C73" s="11" t="s">
        <v>288</v>
      </c>
      <c r="D73" s="12" t="n">
        <v>0.1221</v>
      </c>
      <c r="E73" s="12"/>
      <c r="F73" s="12"/>
      <c r="G73" s="10" t="s">
        <v>63</v>
      </c>
      <c r="H73" s="10" t="s">
        <v>87</v>
      </c>
      <c r="I73" s="11" t="s">
        <v>65</v>
      </c>
      <c r="J73" s="10" t="s">
        <v>66</v>
      </c>
      <c r="K73" s="10" t="s">
        <v>67</v>
      </c>
      <c r="L73" s="10" t="s">
        <v>68</v>
      </c>
      <c r="M73" s="10" t="s">
        <v>69</v>
      </c>
      <c r="N73" s="10"/>
      <c r="O73" s="11" t="s">
        <v>88</v>
      </c>
      <c r="P73" s="10" t="s">
        <v>71</v>
      </c>
      <c r="Q73" s="11" t="s">
        <v>72</v>
      </c>
      <c r="R73" s="11" t="s">
        <v>73</v>
      </c>
      <c r="S73" s="11" t="s">
        <v>74</v>
      </c>
      <c r="T73" s="11" t="s">
        <v>298</v>
      </c>
      <c r="U73" s="10" t="n">
        <f aca="false">IF(AND($D73="",$E73="",$F73=""),1,0)</f>
        <v>0</v>
      </c>
      <c r="V73" s="10" t="n">
        <f aca="false">IF(OR($I73="",$I73="—"),1,0)</f>
        <v>0</v>
      </c>
      <c r="W73" s="10" t="n">
        <f aca="false">IF(AND(ISNUMBER($D73),ISNUMBER($E73)),IF($E73&gt;$D73,1,0),0)+IF(AND(ISNUMBER($D73),ISNUMBER($F73)),IF($D73&gt;$F73,1,0),0)+IF(AND(ISNUMBER($E73),ISNUMBER($F73)),IF($E73&gt;$F73,1,0),0)</f>
        <v>0</v>
      </c>
      <c r="X73" s="13" t="s">
        <v>76</v>
      </c>
    </row>
    <row r="74" customFormat="false" ht="15" hidden="false" customHeight="false" outlineLevel="0" collapsed="false">
      <c r="A74" s="10" t="s">
        <v>299</v>
      </c>
      <c r="B74" s="10" t="s">
        <v>300</v>
      </c>
      <c r="C74" s="11" t="s">
        <v>288</v>
      </c>
      <c r="D74" s="12" t="n">
        <v>0.5327</v>
      </c>
      <c r="E74" s="12"/>
      <c r="F74" s="12"/>
      <c r="G74" s="10" t="s">
        <v>63</v>
      </c>
      <c r="H74" s="10" t="s">
        <v>92</v>
      </c>
      <c r="I74" s="11" t="s">
        <v>65</v>
      </c>
      <c r="J74" s="10" t="s">
        <v>66</v>
      </c>
      <c r="K74" s="10" t="s">
        <v>67</v>
      </c>
      <c r="L74" s="10" t="s">
        <v>68</v>
      </c>
      <c r="M74" s="10" t="s">
        <v>69</v>
      </c>
      <c r="N74" s="10"/>
      <c r="O74" s="11" t="s">
        <v>70</v>
      </c>
      <c r="P74" s="10" t="s">
        <v>71</v>
      </c>
      <c r="Q74" s="11" t="s">
        <v>72</v>
      </c>
      <c r="R74" s="11" t="s">
        <v>73</v>
      </c>
      <c r="S74" s="11" t="s">
        <v>74</v>
      </c>
      <c r="T74" s="11" t="s">
        <v>301</v>
      </c>
      <c r="U74" s="10" t="n">
        <f aca="false">IF(AND($D74="",$E74="",$F74=""),1,0)</f>
        <v>0</v>
      </c>
      <c r="V74" s="10" t="n">
        <f aca="false">IF(OR($I74="",$I74="—"),1,0)</f>
        <v>0</v>
      </c>
      <c r="W74" s="10" t="n">
        <f aca="false">IF(AND(ISNUMBER($D74),ISNUMBER($E74)),IF($E74&gt;$D74,1,0),0)+IF(AND(ISNUMBER($D74),ISNUMBER($F74)),IF($D74&gt;$F74,1,0),0)+IF(AND(ISNUMBER($E74),ISNUMBER($F74)),IF($E74&gt;$F74,1,0),0)</f>
        <v>0</v>
      </c>
      <c r="X74" s="13" t="s">
        <v>76</v>
      </c>
    </row>
    <row r="75" customFormat="false" ht="15" hidden="false" customHeight="false" outlineLevel="0" collapsed="false">
      <c r="A75" s="10" t="s">
        <v>302</v>
      </c>
      <c r="B75" s="10" t="s">
        <v>303</v>
      </c>
      <c r="C75" s="11" t="s">
        <v>304</v>
      </c>
      <c r="D75" s="12" t="n">
        <v>0.0102</v>
      </c>
      <c r="E75" s="12"/>
      <c r="F75" s="12"/>
      <c r="G75" s="10" t="s">
        <v>63</v>
      </c>
      <c r="H75" s="10" t="s">
        <v>64</v>
      </c>
      <c r="I75" s="11" t="s">
        <v>65</v>
      </c>
      <c r="J75" s="10" t="s">
        <v>66</v>
      </c>
      <c r="K75" s="10" t="s">
        <v>67</v>
      </c>
      <c r="L75" s="10" t="s">
        <v>68</v>
      </c>
      <c r="M75" s="10" t="s">
        <v>69</v>
      </c>
      <c r="N75" s="10"/>
      <c r="O75" s="11" t="s">
        <v>70</v>
      </c>
      <c r="P75" s="10" t="s">
        <v>71</v>
      </c>
      <c r="Q75" s="11" t="s">
        <v>72</v>
      </c>
      <c r="R75" s="11" t="s">
        <v>73</v>
      </c>
      <c r="S75" s="11" t="s">
        <v>74</v>
      </c>
      <c r="T75" s="11" t="s">
        <v>305</v>
      </c>
      <c r="U75" s="10" t="n">
        <f aca="false">IF(AND($D75="",$E75="",$F75=""),1,0)</f>
        <v>0</v>
      </c>
      <c r="V75" s="10" t="n">
        <f aca="false">IF(OR($I75="",$I75="—"),1,0)</f>
        <v>0</v>
      </c>
      <c r="W75" s="10" t="n">
        <f aca="false">IF(AND(ISNUMBER($D75),ISNUMBER($E75)),IF($E75&gt;$D75,1,0),0)+IF(AND(ISNUMBER($D75),ISNUMBER($F75)),IF($D75&gt;$F75,1,0),0)+IF(AND(ISNUMBER($E75),ISNUMBER($F75)),IF($E75&gt;$F75,1,0),0)</f>
        <v>0</v>
      </c>
      <c r="X75" s="13" t="s">
        <v>76</v>
      </c>
    </row>
    <row r="76" customFormat="false" ht="15" hidden="false" customHeight="false" outlineLevel="0" collapsed="false">
      <c r="A76" s="10" t="s">
        <v>306</v>
      </c>
      <c r="B76" s="10" t="s">
        <v>307</v>
      </c>
      <c r="C76" s="11" t="s">
        <v>304</v>
      </c>
      <c r="D76" s="12" t="n">
        <v>0.055</v>
      </c>
      <c r="E76" s="12"/>
      <c r="F76" s="12"/>
      <c r="G76" s="10" t="s">
        <v>63</v>
      </c>
      <c r="H76" s="10" t="s">
        <v>79</v>
      </c>
      <c r="I76" s="11" t="s">
        <v>65</v>
      </c>
      <c r="J76" s="10" t="s">
        <v>66</v>
      </c>
      <c r="K76" s="10" t="s">
        <v>67</v>
      </c>
      <c r="L76" s="10" t="s">
        <v>68</v>
      </c>
      <c r="M76" s="10" t="s">
        <v>69</v>
      </c>
      <c r="N76" s="10"/>
      <c r="O76" s="11" t="s">
        <v>70</v>
      </c>
      <c r="P76" s="10" t="s">
        <v>71</v>
      </c>
      <c r="Q76" s="11" t="s">
        <v>72</v>
      </c>
      <c r="R76" s="11" t="s">
        <v>73</v>
      </c>
      <c r="S76" s="11" t="s">
        <v>74</v>
      </c>
      <c r="T76" s="11" t="s">
        <v>308</v>
      </c>
      <c r="U76" s="10" t="n">
        <f aca="false">IF(AND($D76="",$E76="",$F76=""),1,0)</f>
        <v>0</v>
      </c>
      <c r="V76" s="10" t="n">
        <f aca="false">IF(OR($I76="",$I76="—"),1,0)</f>
        <v>0</v>
      </c>
      <c r="W76" s="10" t="n">
        <f aca="false">IF(AND(ISNUMBER($D76),ISNUMBER($E76)),IF($E76&gt;$D76,1,0),0)+IF(AND(ISNUMBER($D76),ISNUMBER($F76)),IF($D76&gt;$F76,1,0),0)+IF(AND(ISNUMBER($E76),ISNUMBER($F76)),IF($E76&gt;$F76,1,0),0)</f>
        <v>0</v>
      </c>
      <c r="X76" s="13" t="s">
        <v>76</v>
      </c>
    </row>
    <row r="77" customFormat="false" ht="15" hidden="false" customHeight="false" outlineLevel="0" collapsed="false">
      <c r="A77" s="10" t="s">
        <v>309</v>
      </c>
      <c r="B77" s="10" t="s">
        <v>310</v>
      </c>
      <c r="C77" s="11" t="s">
        <v>304</v>
      </c>
      <c r="D77" s="12" t="n">
        <v>0.2358</v>
      </c>
      <c r="E77" s="12"/>
      <c r="F77" s="12"/>
      <c r="G77" s="10" t="s">
        <v>63</v>
      </c>
      <c r="H77" s="10" t="s">
        <v>83</v>
      </c>
      <c r="I77" s="11" t="s">
        <v>65</v>
      </c>
      <c r="J77" s="10" t="s">
        <v>66</v>
      </c>
      <c r="K77" s="10" t="s">
        <v>67</v>
      </c>
      <c r="L77" s="10" t="s">
        <v>68</v>
      </c>
      <c r="M77" s="10" t="s">
        <v>69</v>
      </c>
      <c r="N77" s="10"/>
      <c r="O77" s="11" t="s">
        <v>70</v>
      </c>
      <c r="P77" s="10" t="s">
        <v>71</v>
      </c>
      <c r="Q77" s="11" t="s">
        <v>72</v>
      </c>
      <c r="R77" s="11" t="s">
        <v>73</v>
      </c>
      <c r="S77" s="11" t="s">
        <v>74</v>
      </c>
      <c r="T77" s="11" t="s">
        <v>311</v>
      </c>
      <c r="U77" s="10" t="n">
        <f aca="false">IF(AND($D77="",$E77="",$F77=""),1,0)</f>
        <v>0</v>
      </c>
      <c r="V77" s="10" t="n">
        <f aca="false">IF(OR($I77="",$I77="—"),1,0)</f>
        <v>0</v>
      </c>
      <c r="W77" s="10" t="n">
        <f aca="false">IF(AND(ISNUMBER($D77),ISNUMBER($E77)),IF($E77&gt;$D77,1,0),0)+IF(AND(ISNUMBER($D77),ISNUMBER($F77)),IF($D77&gt;$F77,1,0),0)+IF(AND(ISNUMBER($E77),ISNUMBER($F77)),IF($E77&gt;$F77,1,0),0)</f>
        <v>0</v>
      </c>
      <c r="X77" s="13" t="s">
        <v>76</v>
      </c>
    </row>
    <row r="78" customFormat="false" ht="15" hidden="false" customHeight="false" outlineLevel="0" collapsed="false">
      <c r="A78" s="10" t="s">
        <v>312</v>
      </c>
      <c r="B78" s="10" t="s">
        <v>313</v>
      </c>
      <c r="C78" s="11" t="s">
        <v>304</v>
      </c>
      <c r="D78" s="12" t="n">
        <v>0.0422</v>
      </c>
      <c r="E78" s="12"/>
      <c r="F78" s="12"/>
      <c r="G78" s="10" t="s">
        <v>63</v>
      </c>
      <c r="H78" s="10" t="s">
        <v>87</v>
      </c>
      <c r="I78" s="11" t="s">
        <v>65</v>
      </c>
      <c r="J78" s="10" t="s">
        <v>66</v>
      </c>
      <c r="K78" s="10" t="s">
        <v>67</v>
      </c>
      <c r="L78" s="10" t="s">
        <v>68</v>
      </c>
      <c r="M78" s="10" t="s">
        <v>69</v>
      </c>
      <c r="N78" s="10"/>
      <c r="O78" s="11" t="s">
        <v>88</v>
      </c>
      <c r="P78" s="10" t="s">
        <v>71</v>
      </c>
      <c r="Q78" s="11" t="s">
        <v>72</v>
      </c>
      <c r="R78" s="11" t="s">
        <v>73</v>
      </c>
      <c r="S78" s="11" t="s">
        <v>74</v>
      </c>
      <c r="T78" s="11" t="s">
        <v>314</v>
      </c>
      <c r="U78" s="10" t="n">
        <f aca="false">IF(AND($D78="",$E78="",$F78=""),1,0)</f>
        <v>0</v>
      </c>
      <c r="V78" s="10" t="n">
        <f aca="false">IF(OR($I78="",$I78="—"),1,0)</f>
        <v>0</v>
      </c>
      <c r="W78" s="10" t="n">
        <f aca="false">IF(AND(ISNUMBER($D78),ISNUMBER($E78)),IF($E78&gt;$D78,1,0),0)+IF(AND(ISNUMBER($D78),ISNUMBER($F78)),IF($D78&gt;$F78,1,0),0)+IF(AND(ISNUMBER($E78),ISNUMBER($F78)),IF($E78&gt;$F78,1,0),0)</f>
        <v>0</v>
      </c>
      <c r="X78" s="13" t="s">
        <v>76</v>
      </c>
    </row>
    <row r="79" customFormat="false" ht="15" hidden="false" customHeight="false" outlineLevel="0" collapsed="false">
      <c r="A79" s="10" t="s">
        <v>315</v>
      </c>
      <c r="B79" s="10" t="s">
        <v>316</v>
      </c>
      <c r="C79" s="11" t="s">
        <v>304</v>
      </c>
      <c r="D79" s="12" t="n">
        <v>1.5885</v>
      </c>
      <c r="E79" s="12"/>
      <c r="F79" s="12"/>
      <c r="G79" s="10" t="s">
        <v>63</v>
      </c>
      <c r="H79" s="10" t="s">
        <v>92</v>
      </c>
      <c r="I79" s="11" t="s">
        <v>65</v>
      </c>
      <c r="J79" s="10" t="s">
        <v>66</v>
      </c>
      <c r="K79" s="10" t="s">
        <v>67</v>
      </c>
      <c r="L79" s="10" t="s">
        <v>68</v>
      </c>
      <c r="M79" s="10" t="s">
        <v>69</v>
      </c>
      <c r="N79" s="10"/>
      <c r="O79" s="11" t="s">
        <v>70</v>
      </c>
      <c r="P79" s="10" t="s">
        <v>71</v>
      </c>
      <c r="Q79" s="11" t="s">
        <v>72</v>
      </c>
      <c r="R79" s="11" t="s">
        <v>73</v>
      </c>
      <c r="S79" s="11" t="s">
        <v>74</v>
      </c>
      <c r="T79" s="11" t="s">
        <v>317</v>
      </c>
      <c r="U79" s="10" t="n">
        <f aca="false">IF(AND($D79="",$E79="",$F79=""),1,0)</f>
        <v>0</v>
      </c>
      <c r="V79" s="10" t="n">
        <f aca="false">IF(OR($I79="",$I79="—"),1,0)</f>
        <v>0</v>
      </c>
      <c r="W79" s="10" t="n">
        <f aca="false">IF(AND(ISNUMBER($D79),ISNUMBER($E79)),IF($E79&gt;$D79,1,0),0)+IF(AND(ISNUMBER($D79),ISNUMBER($F79)),IF($D79&gt;$F79,1,0),0)+IF(AND(ISNUMBER($E79),ISNUMBER($F79)),IF($E79&gt;$F79,1,0),0)</f>
        <v>0</v>
      </c>
      <c r="X79" s="13" t="s">
        <v>76</v>
      </c>
    </row>
    <row r="80" customFormat="false" ht="15" hidden="false" customHeight="false" outlineLevel="0" collapsed="false">
      <c r="A80" s="10" t="s">
        <v>318</v>
      </c>
      <c r="B80" s="10" t="s">
        <v>319</v>
      </c>
      <c r="C80" s="11" t="s">
        <v>320</v>
      </c>
      <c r="D80" s="12" t="n">
        <v>1.4365</v>
      </c>
      <c r="E80" s="12"/>
      <c r="F80" s="12"/>
      <c r="G80" s="10" t="s">
        <v>63</v>
      </c>
      <c r="H80" s="10" t="s">
        <v>64</v>
      </c>
      <c r="I80" s="11" t="s">
        <v>65</v>
      </c>
      <c r="J80" s="10" t="s">
        <v>66</v>
      </c>
      <c r="K80" s="10" t="s">
        <v>67</v>
      </c>
      <c r="L80" s="10" t="s">
        <v>68</v>
      </c>
      <c r="M80" s="10" t="s">
        <v>69</v>
      </c>
      <c r="N80" s="10"/>
      <c r="O80" s="11" t="s">
        <v>70</v>
      </c>
      <c r="P80" s="10" t="s">
        <v>71</v>
      </c>
      <c r="Q80" s="11" t="s">
        <v>72</v>
      </c>
      <c r="R80" s="11" t="s">
        <v>73</v>
      </c>
      <c r="S80" s="11" t="s">
        <v>74</v>
      </c>
      <c r="T80" s="11" t="s">
        <v>321</v>
      </c>
      <c r="U80" s="10" t="n">
        <f aca="false">IF(AND($D80="",$E80="",$F80=""),1,0)</f>
        <v>0</v>
      </c>
      <c r="V80" s="10" t="n">
        <f aca="false">IF(OR($I80="",$I80="—"),1,0)</f>
        <v>0</v>
      </c>
      <c r="W80" s="10" t="n">
        <f aca="false">IF(AND(ISNUMBER($D80),ISNUMBER($E80)),IF($E80&gt;$D80,1,0),0)+IF(AND(ISNUMBER($D80),ISNUMBER($F80)),IF($D80&gt;$F80,1,0),0)+IF(AND(ISNUMBER($E80),ISNUMBER($F80)),IF($E80&gt;$F80,1,0),0)</f>
        <v>0</v>
      </c>
      <c r="X80" s="13" t="s">
        <v>76</v>
      </c>
    </row>
    <row r="81" customFormat="false" ht="15" hidden="false" customHeight="false" outlineLevel="0" collapsed="false">
      <c r="A81" s="10" t="s">
        <v>322</v>
      </c>
      <c r="B81" s="10" t="s">
        <v>323</v>
      </c>
      <c r="C81" s="11" t="s">
        <v>320</v>
      </c>
      <c r="D81" s="12" t="n">
        <v>7.8796</v>
      </c>
      <c r="E81" s="12"/>
      <c r="F81" s="12"/>
      <c r="G81" s="10" t="s">
        <v>63</v>
      </c>
      <c r="H81" s="10" t="s">
        <v>79</v>
      </c>
      <c r="I81" s="11" t="s">
        <v>65</v>
      </c>
      <c r="J81" s="10" t="s">
        <v>66</v>
      </c>
      <c r="K81" s="10" t="s">
        <v>67</v>
      </c>
      <c r="L81" s="10" t="s">
        <v>68</v>
      </c>
      <c r="M81" s="10" t="s">
        <v>69</v>
      </c>
      <c r="N81" s="10"/>
      <c r="O81" s="11" t="s">
        <v>70</v>
      </c>
      <c r="P81" s="10" t="s">
        <v>71</v>
      </c>
      <c r="Q81" s="11" t="s">
        <v>72</v>
      </c>
      <c r="R81" s="11" t="s">
        <v>73</v>
      </c>
      <c r="S81" s="11" t="s">
        <v>74</v>
      </c>
      <c r="T81" s="11" t="s">
        <v>324</v>
      </c>
      <c r="U81" s="10" t="n">
        <f aca="false">IF(AND($D81="",$E81="",$F81=""),1,0)</f>
        <v>0</v>
      </c>
      <c r="V81" s="10" t="n">
        <f aca="false">IF(OR($I81="",$I81="—"),1,0)</f>
        <v>0</v>
      </c>
      <c r="W81" s="10" t="n">
        <f aca="false">IF(AND(ISNUMBER($D81),ISNUMBER($E81)),IF($E81&gt;$D81,1,0),0)+IF(AND(ISNUMBER($D81),ISNUMBER($F81)),IF($D81&gt;$F81,1,0),0)+IF(AND(ISNUMBER($E81),ISNUMBER($F81)),IF($E81&gt;$F81,1,0),0)</f>
        <v>0</v>
      </c>
      <c r="X81" s="13" t="s">
        <v>76</v>
      </c>
    </row>
    <row r="82" customFormat="false" ht="15" hidden="false" customHeight="false" outlineLevel="0" collapsed="false">
      <c r="A82" s="10" t="s">
        <v>325</v>
      </c>
      <c r="B82" s="10" t="s">
        <v>326</v>
      </c>
      <c r="C82" s="11" t="s">
        <v>320</v>
      </c>
      <c r="D82" s="12" t="n">
        <v>29.5801</v>
      </c>
      <c r="E82" s="12"/>
      <c r="F82" s="12"/>
      <c r="G82" s="10" t="s">
        <v>63</v>
      </c>
      <c r="H82" s="10" t="s">
        <v>83</v>
      </c>
      <c r="I82" s="11" t="s">
        <v>65</v>
      </c>
      <c r="J82" s="10" t="s">
        <v>66</v>
      </c>
      <c r="K82" s="10" t="s">
        <v>67</v>
      </c>
      <c r="L82" s="10" t="s">
        <v>68</v>
      </c>
      <c r="M82" s="10" t="s">
        <v>69</v>
      </c>
      <c r="N82" s="10"/>
      <c r="O82" s="11" t="s">
        <v>70</v>
      </c>
      <c r="P82" s="10" t="s">
        <v>71</v>
      </c>
      <c r="Q82" s="11" t="s">
        <v>72</v>
      </c>
      <c r="R82" s="11" t="s">
        <v>73</v>
      </c>
      <c r="S82" s="11" t="s">
        <v>74</v>
      </c>
      <c r="T82" s="11" t="s">
        <v>327</v>
      </c>
      <c r="U82" s="10" t="n">
        <f aca="false">IF(AND($D82="",$E82="",$F82=""),1,0)</f>
        <v>0</v>
      </c>
      <c r="V82" s="10" t="n">
        <f aca="false">IF(OR($I82="",$I82="—"),1,0)</f>
        <v>0</v>
      </c>
      <c r="W82" s="10" t="n">
        <f aca="false">IF(AND(ISNUMBER($D82),ISNUMBER($E82)),IF($E82&gt;$D82,1,0),0)+IF(AND(ISNUMBER($D82),ISNUMBER($F82)),IF($D82&gt;$F82,1,0),0)+IF(AND(ISNUMBER($E82),ISNUMBER($F82)),IF($E82&gt;$F82,1,0),0)</f>
        <v>0</v>
      </c>
      <c r="X82" s="13" t="s">
        <v>76</v>
      </c>
    </row>
    <row r="83" customFormat="false" ht="15" hidden="false" customHeight="false" outlineLevel="0" collapsed="false">
      <c r="A83" s="10" t="s">
        <v>328</v>
      </c>
      <c r="B83" s="10" t="s">
        <v>329</v>
      </c>
      <c r="C83" s="11" t="s">
        <v>320</v>
      </c>
      <c r="D83" s="12" t="n">
        <v>12.3555</v>
      </c>
      <c r="E83" s="12"/>
      <c r="F83" s="12"/>
      <c r="G83" s="10" t="s">
        <v>63</v>
      </c>
      <c r="H83" s="10" t="s">
        <v>87</v>
      </c>
      <c r="I83" s="11" t="s">
        <v>65</v>
      </c>
      <c r="J83" s="10" t="s">
        <v>66</v>
      </c>
      <c r="K83" s="10" t="s">
        <v>67</v>
      </c>
      <c r="L83" s="10" t="s">
        <v>68</v>
      </c>
      <c r="M83" s="10" t="s">
        <v>69</v>
      </c>
      <c r="N83" s="10"/>
      <c r="O83" s="11" t="s">
        <v>88</v>
      </c>
      <c r="P83" s="10" t="s">
        <v>71</v>
      </c>
      <c r="Q83" s="11" t="s">
        <v>72</v>
      </c>
      <c r="R83" s="11" t="s">
        <v>73</v>
      </c>
      <c r="S83" s="11" t="s">
        <v>74</v>
      </c>
      <c r="T83" s="11" t="s">
        <v>330</v>
      </c>
      <c r="U83" s="10" t="n">
        <f aca="false">IF(AND($D83="",$E83="",$F83=""),1,0)</f>
        <v>0</v>
      </c>
      <c r="V83" s="10" t="n">
        <f aca="false">IF(OR($I83="",$I83="—"),1,0)</f>
        <v>0</v>
      </c>
      <c r="W83" s="10" t="n">
        <f aca="false">IF(AND(ISNUMBER($D83),ISNUMBER($E83)),IF($E83&gt;$D83,1,0),0)+IF(AND(ISNUMBER($D83),ISNUMBER($F83)),IF($D83&gt;$F83,1,0),0)+IF(AND(ISNUMBER($E83),ISNUMBER($F83)),IF($E83&gt;$F83,1,0),0)</f>
        <v>0</v>
      </c>
      <c r="X83" s="13" t="s">
        <v>76</v>
      </c>
    </row>
    <row r="84" customFormat="false" ht="15" hidden="false" customHeight="false" outlineLevel="0" collapsed="false">
      <c r="A84" s="10" t="s">
        <v>331</v>
      </c>
      <c r="B84" s="10" t="s">
        <v>332</v>
      </c>
      <c r="C84" s="11" t="s">
        <v>320</v>
      </c>
      <c r="D84" s="12" t="n">
        <v>23.5785</v>
      </c>
      <c r="E84" s="12"/>
      <c r="F84" s="12"/>
      <c r="G84" s="10" t="s">
        <v>63</v>
      </c>
      <c r="H84" s="10" t="s">
        <v>92</v>
      </c>
      <c r="I84" s="11" t="s">
        <v>65</v>
      </c>
      <c r="J84" s="10" t="s">
        <v>66</v>
      </c>
      <c r="K84" s="10" t="s">
        <v>67</v>
      </c>
      <c r="L84" s="10" t="s">
        <v>68</v>
      </c>
      <c r="M84" s="10" t="s">
        <v>69</v>
      </c>
      <c r="N84" s="10"/>
      <c r="O84" s="11" t="s">
        <v>70</v>
      </c>
      <c r="P84" s="10" t="s">
        <v>71</v>
      </c>
      <c r="Q84" s="11" t="s">
        <v>72</v>
      </c>
      <c r="R84" s="11" t="s">
        <v>73</v>
      </c>
      <c r="S84" s="11" t="s">
        <v>74</v>
      </c>
      <c r="T84" s="11" t="s">
        <v>333</v>
      </c>
      <c r="U84" s="10" t="n">
        <f aca="false">IF(AND($D84="",$E84="",$F84=""),1,0)</f>
        <v>0</v>
      </c>
      <c r="V84" s="10" t="n">
        <f aca="false">IF(OR($I84="",$I84="—"),1,0)</f>
        <v>0</v>
      </c>
      <c r="W84" s="10" t="n">
        <f aca="false">IF(AND(ISNUMBER($D84),ISNUMBER($E84)),IF($E84&gt;$D84,1,0),0)+IF(AND(ISNUMBER($D84),ISNUMBER($F84)),IF($D84&gt;$F84,1,0),0)+IF(AND(ISNUMBER($E84),ISNUMBER($F84)),IF($E84&gt;$F84,1,0),0)</f>
        <v>0</v>
      </c>
      <c r="X84" s="13" t="s">
        <v>76</v>
      </c>
    </row>
    <row r="85" customFormat="false" ht="15" hidden="false" customHeight="false" outlineLevel="0" collapsed="false">
      <c r="A85" s="10" t="s">
        <v>334</v>
      </c>
      <c r="B85" s="10" t="s">
        <v>335</v>
      </c>
      <c r="C85" s="11" t="s">
        <v>336</v>
      </c>
      <c r="D85" s="12" t="n">
        <v>0.9742</v>
      </c>
      <c r="E85" s="12"/>
      <c r="F85" s="12"/>
      <c r="G85" s="10" t="s">
        <v>63</v>
      </c>
      <c r="H85" s="10" t="s">
        <v>64</v>
      </c>
      <c r="I85" s="11" t="s">
        <v>65</v>
      </c>
      <c r="J85" s="10" t="s">
        <v>66</v>
      </c>
      <c r="K85" s="10" t="s">
        <v>67</v>
      </c>
      <c r="L85" s="10" t="s">
        <v>68</v>
      </c>
      <c r="M85" s="10" t="s">
        <v>69</v>
      </c>
      <c r="N85" s="10"/>
      <c r="O85" s="11" t="s">
        <v>70</v>
      </c>
      <c r="P85" s="10" t="s">
        <v>71</v>
      </c>
      <c r="Q85" s="11" t="s">
        <v>72</v>
      </c>
      <c r="R85" s="11" t="s">
        <v>73</v>
      </c>
      <c r="S85" s="11" t="s">
        <v>74</v>
      </c>
      <c r="T85" s="11" t="s">
        <v>337</v>
      </c>
      <c r="U85" s="10" t="n">
        <f aca="false">IF(AND($D85="",$E85="",$F85=""),1,0)</f>
        <v>0</v>
      </c>
      <c r="V85" s="10" t="n">
        <f aca="false">IF(OR($I85="",$I85="—"),1,0)</f>
        <v>0</v>
      </c>
      <c r="W85" s="10" t="n">
        <f aca="false">IF(AND(ISNUMBER($D85),ISNUMBER($E85)),IF($E85&gt;$D85,1,0),0)+IF(AND(ISNUMBER($D85),ISNUMBER($F85)),IF($D85&gt;$F85,1,0),0)+IF(AND(ISNUMBER($E85),ISNUMBER($F85)),IF($E85&gt;$F85,1,0),0)</f>
        <v>0</v>
      </c>
      <c r="X85" s="13" t="s">
        <v>76</v>
      </c>
    </row>
    <row r="86" customFormat="false" ht="15" hidden="false" customHeight="false" outlineLevel="0" collapsed="false">
      <c r="A86" s="10" t="s">
        <v>338</v>
      </c>
      <c r="B86" s="10" t="s">
        <v>339</v>
      </c>
      <c r="C86" s="11" t="s">
        <v>336</v>
      </c>
      <c r="D86" s="12" t="n">
        <v>6.2098</v>
      </c>
      <c r="E86" s="12"/>
      <c r="F86" s="12"/>
      <c r="G86" s="10" t="s">
        <v>63</v>
      </c>
      <c r="H86" s="10" t="s">
        <v>79</v>
      </c>
      <c r="I86" s="11" t="s">
        <v>65</v>
      </c>
      <c r="J86" s="10" t="s">
        <v>66</v>
      </c>
      <c r="K86" s="10" t="s">
        <v>67</v>
      </c>
      <c r="L86" s="10" t="s">
        <v>68</v>
      </c>
      <c r="M86" s="10" t="s">
        <v>69</v>
      </c>
      <c r="N86" s="10"/>
      <c r="O86" s="11" t="s">
        <v>70</v>
      </c>
      <c r="P86" s="10" t="s">
        <v>71</v>
      </c>
      <c r="Q86" s="11" t="s">
        <v>72</v>
      </c>
      <c r="R86" s="11" t="s">
        <v>73</v>
      </c>
      <c r="S86" s="11" t="s">
        <v>74</v>
      </c>
      <c r="T86" s="11" t="s">
        <v>340</v>
      </c>
      <c r="U86" s="10" t="n">
        <f aca="false">IF(AND($D86="",$E86="",$F86=""),1,0)</f>
        <v>0</v>
      </c>
      <c r="V86" s="10" t="n">
        <f aca="false">IF(OR($I86="",$I86="—"),1,0)</f>
        <v>0</v>
      </c>
      <c r="W86" s="10" t="n">
        <f aca="false">IF(AND(ISNUMBER($D86),ISNUMBER($E86)),IF($E86&gt;$D86,1,0),0)+IF(AND(ISNUMBER($D86),ISNUMBER($F86)),IF($D86&gt;$F86,1,0),0)+IF(AND(ISNUMBER($E86),ISNUMBER($F86)),IF($E86&gt;$F86,1,0),0)</f>
        <v>0</v>
      </c>
      <c r="X86" s="13" t="s">
        <v>76</v>
      </c>
    </row>
    <row r="87" customFormat="false" ht="15" hidden="false" customHeight="false" outlineLevel="0" collapsed="false">
      <c r="A87" s="10" t="s">
        <v>341</v>
      </c>
      <c r="B87" s="10" t="s">
        <v>342</v>
      </c>
      <c r="C87" s="11" t="s">
        <v>336</v>
      </c>
      <c r="D87" s="12" t="n">
        <v>24.6557</v>
      </c>
      <c r="E87" s="12"/>
      <c r="F87" s="12"/>
      <c r="G87" s="10" t="s">
        <v>63</v>
      </c>
      <c r="H87" s="10" t="s">
        <v>83</v>
      </c>
      <c r="I87" s="11" t="s">
        <v>65</v>
      </c>
      <c r="J87" s="10" t="s">
        <v>66</v>
      </c>
      <c r="K87" s="10" t="s">
        <v>67</v>
      </c>
      <c r="L87" s="10" t="s">
        <v>68</v>
      </c>
      <c r="M87" s="10" t="s">
        <v>69</v>
      </c>
      <c r="N87" s="10"/>
      <c r="O87" s="11" t="s">
        <v>70</v>
      </c>
      <c r="P87" s="10" t="s">
        <v>71</v>
      </c>
      <c r="Q87" s="11" t="s">
        <v>72</v>
      </c>
      <c r="R87" s="11" t="s">
        <v>73</v>
      </c>
      <c r="S87" s="11" t="s">
        <v>74</v>
      </c>
      <c r="T87" s="11" t="s">
        <v>343</v>
      </c>
      <c r="U87" s="10" t="n">
        <f aca="false">IF(AND($D87="",$E87="",$F87=""),1,0)</f>
        <v>0</v>
      </c>
      <c r="V87" s="10" t="n">
        <f aca="false">IF(OR($I87="",$I87="—"),1,0)</f>
        <v>0</v>
      </c>
      <c r="W87" s="10" t="n">
        <f aca="false">IF(AND(ISNUMBER($D87),ISNUMBER($E87)),IF($E87&gt;$D87,1,0),0)+IF(AND(ISNUMBER($D87),ISNUMBER($F87)),IF($D87&gt;$F87,1,0),0)+IF(AND(ISNUMBER($E87),ISNUMBER($F87)),IF($E87&gt;$F87,1,0),0)</f>
        <v>0</v>
      </c>
      <c r="X87" s="13" t="s">
        <v>76</v>
      </c>
    </row>
    <row r="88" customFormat="false" ht="15" hidden="false" customHeight="false" outlineLevel="0" collapsed="false">
      <c r="A88" s="10" t="s">
        <v>344</v>
      </c>
      <c r="B88" s="10" t="s">
        <v>345</v>
      </c>
      <c r="C88" s="11" t="s">
        <v>336</v>
      </c>
      <c r="D88" s="12" t="n">
        <v>10.3016</v>
      </c>
      <c r="E88" s="12"/>
      <c r="F88" s="12"/>
      <c r="G88" s="10" t="s">
        <v>63</v>
      </c>
      <c r="H88" s="10" t="s">
        <v>87</v>
      </c>
      <c r="I88" s="11" t="s">
        <v>65</v>
      </c>
      <c r="J88" s="10" t="s">
        <v>66</v>
      </c>
      <c r="K88" s="10" t="s">
        <v>67</v>
      </c>
      <c r="L88" s="10" t="s">
        <v>68</v>
      </c>
      <c r="M88" s="10" t="s">
        <v>69</v>
      </c>
      <c r="N88" s="10"/>
      <c r="O88" s="11" t="s">
        <v>88</v>
      </c>
      <c r="P88" s="10" t="s">
        <v>71</v>
      </c>
      <c r="Q88" s="11" t="s">
        <v>72</v>
      </c>
      <c r="R88" s="11" t="s">
        <v>73</v>
      </c>
      <c r="S88" s="11" t="s">
        <v>74</v>
      </c>
      <c r="T88" s="11" t="s">
        <v>346</v>
      </c>
      <c r="U88" s="10" t="n">
        <f aca="false">IF(AND($D88="",$E88="",$F88=""),1,0)</f>
        <v>0</v>
      </c>
      <c r="V88" s="10" t="n">
        <f aca="false">IF(OR($I88="",$I88="—"),1,0)</f>
        <v>0</v>
      </c>
      <c r="W88" s="10" t="n">
        <f aca="false">IF(AND(ISNUMBER($D88),ISNUMBER($E88)),IF($E88&gt;$D88,1,0),0)+IF(AND(ISNUMBER($D88),ISNUMBER($F88)),IF($D88&gt;$F88,1,0),0)+IF(AND(ISNUMBER($E88),ISNUMBER($F88)),IF($E88&gt;$F88,1,0),0)</f>
        <v>0</v>
      </c>
      <c r="X88" s="13" t="s">
        <v>76</v>
      </c>
    </row>
    <row r="89" customFormat="false" ht="15" hidden="false" customHeight="false" outlineLevel="0" collapsed="false">
      <c r="A89" s="10" t="s">
        <v>347</v>
      </c>
      <c r="B89" s="10" t="s">
        <v>348</v>
      </c>
      <c r="C89" s="11" t="s">
        <v>336</v>
      </c>
      <c r="D89" s="12" t="n">
        <v>17.5197</v>
      </c>
      <c r="E89" s="12"/>
      <c r="F89" s="12"/>
      <c r="G89" s="10" t="s">
        <v>63</v>
      </c>
      <c r="H89" s="10" t="s">
        <v>92</v>
      </c>
      <c r="I89" s="11" t="s">
        <v>65</v>
      </c>
      <c r="J89" s="10" t="s">
        <v>66</v>
      </c>
      <c r="K89" s="10" t="s">
        <v>67</v>
      </c>
      <c r="L89" s="10" t="s">
        <v>68</v>
      </c>
      <c r="M89" s="10" t="s">
        <v>69</v>
      </c>
      <c r="N89" s="10"/>
      <c r="O89" s="11" t="s">
        <v>70</v>
      </c>
      <c r="P89" s="10" t="s">
        <v>71</v>
      </c>
      <c r="Q89" s="11" t="s">
        <v>72</v>
      </c>
      <c r="R89" s="11" t="s">
        <v>73</v>
      </c>
      <c r="S89" s="11" t="s">
        <v>74</v>
      </c>
      <c r="T89" s="11" t="s">
        <v>349</v>
      </c>
      <c r="U89" s="10" t="n">
        <f aca="false">IF(AND($D89="",$E89="",$F89=""),1,0)</f>
        <v>0</v>
      </c>
      <c r="V89" s="10" t="n">
        <f aca="false">IF(OR($I89="",$I89="—"),1,0)</f>
        <v>0</v>
      </c>
      <c r="W89" s="10" t="n">
        <f aca="false">IF(AND(ISNUMBER($D89),ISNUMBER($E89)),IF($E89&gt;$D89,1,0),0)+IF(AND(ISNUMBER($D89),ISNUMBER($F89)),IF($D89&gt;$F89,1,0),0)+IF(AND(ISNUMBER($E89),ISNUMBER($F89)),IF($E89&gt;$F89,1,0),0)</f>
        <v>0</v>
      </c>
      <c r="X89" s="13" t="s">
        <v>76</v>
      </c>
    </row>
    <row r="90" customFormat="false" ht="15" hidden="false" customHeight="false" outlineLevel="0" collapsed="false">
      <c r="A90" s="10" t="s">
        <v>350</v>
      </c>
      <c r="B90" s="10" t="s">
        <v>351</v>
      </c>
      <c r="C90" s="11" t="s">
        <v>352</v>
      </c>
      <c r="D90" s="12" t="n">
        <v>-0.6825</v>
      </c>
      <c r="E90" s="12"/>
      <c r="F90" s="12"/>
      <c r="G90" s="10" t="s">
        <v>63</v>
      </c>
      <c r="H90" s="10" t="s">
        <v>64</v>
      </c>
      <c r="I90" s="11" t="s">
        <v>65</v>
      </c>
      <c r="J90" s="10" t="s">
        <v>66</v>
      </c>
      <c r="K90" s="10" t="s">
        <v>67</v>
      </c>
      <c r="L90" s="10" t="s">
        <v>68</v>
      </c>
      <c r="M90" s="10" t="s">
        <v>69</v>
      </c>
      <c r="N90" s="10"/>
      <c r="O90" s="11" t="s">
        <v>70</v>
      </c>
      <c r="P90" s="10" t="s">
        <v>71</v>
      </c>
      <c r="Q90" s="11" t="s">
        <v>72</v>
      </c>
      <c r="R90" s="11" t="s">
        <v>73</v>
      </c>
      <c r="S90" s="11" t="s">
        <v>74</v>
      </c>
      <c r="T90" s="11" t="s">
        <v>353</v>
      </c>
      <c r="U90" s="10" t="n">
        <f aca="false">IF(AND($D90="",$E90="",$F90=""),1,0)</f>
        <v>0</v>
      </c>
      <c r="V90" s="10" t="n">
        <f aca="false">IF(OR($I90="",$I90="—"),1,0)</f>
        <v>0</v>
      </c>
      <c r="W90" s="10" t="n">
        <f aca="false">IF(AND(ISNUMBER($D90),ISNUMBER($E90)),IF($E90&gt;$D90,1,0),0)+IF(AND(ISNUMBER($D90),ISNUMBER($F90)),IF($D90&gt;$F90,1,0),0)+IF(AND(ISNUMBER($E90),ISNUMBER($F90)),IF($E90&gt;$F90,1,0),0)</f>
        <v>0</v>
      </c>
      <c r="X90" s="13" t="s">
        <v>76</v>
      </c>
    </row>
    <row r="91" customFormat="false" ht="15" hidden="false" customHeight="false" outlineLevel="0" collapsed="false">
      <c r="A91" s="10" t="s">
        <v>354</v>
      </c>
      <c r="B91" s="10" t="s">
        <v>355</v>
      </c>
      <c r="C91" s="11" t="s">
        <v>352</v>
      </c>
      <c r="D91" s="12" t="n">
        <v>-6.4802</v>
      </c>
      <c r="E91" s="12"/>
      <c r="F91" s="12"/>
      <c r="G91" s="10" t="s">
        <v>63</v>
      </c>
      <c r="H91" s="10" t="s">
        <v>79</v>
      </c>
      <c r="I91" s="11" t="s">
        <v>65</v>
      </c>
      <c r="J91" s="10" t="s">
        <v>66</v>
      </c>
      <c r="K91" s="10" t="s">
        <v>67</v>
      </c>
      <c r="L91" s="10" t="s">
        <v>68</v>
      </c>
      <c r="M91" s="10" t="s">
        <v>69</v>
      </c>
      <c r="N91" s="10"/>
      <c r="O91" s="11" t="s">
        <v>70</v>
      </c>
      <c r="P91" s="10" t="s">
        <v>71</v>
      </c>
      <c r="Q91" s="11" t="s">
        <v>72</v>
      </c>
      <c r="R91" s="11" t="s">
        <v>73</v>
      </c>
      <c r="S91" s="11" t="s">
        <v>74</v>
      </c>
      <c r="T91" s="11" t="s">
        <v>356</v>
      </c>
      <c r="U91" s="10" t="n">
        <f aca="false">IF(AND($D91="",$E91="",$F91=""),1,0)</f>
        <v>0</v>
      </c>
      <c r="V91" s="10" t="n">
        <f aca="false">IF(OR($I91="",$I91="—"),1,0)</f>
        <v>0</v>
      </c>
      <c r="W91" s="10" t="n">
        <f aca="false">IF(AND(ISNUMBER($D91),ISNUMBER($E91)),IF($E91&gt;$D91,1,0),0)+IF(AND(ISNUMBER($D91),ISNUMBER($F91)),IF($D91&gt;$F91,1,0),0)+IF(AND(ISNUMBER($E91),ISNUMBER($F91)),IF($E91&gt;$F91,1,0),0)</f>
        <v>0</v>
      </c>
      <c r="X91" s="13" t="s">
        <v>76</v>
      </c>
    </row>
    <row r="92" customFormat="false" ht="15" hidden="false" customHeight="false" outlineLevel="0" collapsed="false">
      <c r="A92" s="10" t="s">
        <v>357</v>
      </c>
      <c r="B92" s="10" t="s">
        <v>358</v>
      </c>
      <c r="C92" s="11" t="s">
        <v>352</v>
      </c>
      <c r="D92" s="12" t="n">
        <v>-22.4492</v>
      </c>
      <c r="E92" s="12"/>
      <c r="F92" s="12"/>
      <c r="G92" s="10" t="s">
        <v>63</v>
      </c>
      <c r="H92" s="10" t="s">
        <v>83</v>
      </c>
      <c r="I92" s="11" t="s">
        <v>65</v>
      </c>
      <c r="J92" s="10" t="s">
        <v>66</v>
      </c>
      <c r="K92" s="10" t="s">
        <v>67</v>
      </c>
      <c r="L92" s="10" t="s">
        <v>68</v>
      </c>
      <c r="M92" s="10" t="s">
        <v>69</v>
      </c>
      <c r="N92" s="10"/>
      <c r="O92" s="11" t="s">
        <v>70</v>
      </c>
      <c r="P92" s="10" t="s">
        <v>71</v>
      </c>
      <c r="Q92" s="11" t="s">
        <v>72</v>
      </c>
      <c r="R92" s="11" t="s">
        <v>73</v>
      </c>
      <c r="S92" s="11" t="s">
        <v>74</v>
      </c>
      <c r="T92" s="11" t="s">
        <v>359</v>
      </c>
      <c r="U92" s="10" t="n">
        <f aca="false">IF(AND($D92="",$E92="",$F92=""),1,0)</f>
        <v>0</v>
      </c>
      <c r="V92" s="10" t="n">
        <f aca="false">IF(OR($I92="",$I92="—"),1,0)</f>
        <v>0</v>
      </c>
      <c r="W92" s="10" t="n">
        <f aca="false">IF(AND(ISNUMBER($D92),ISNUMBER($E92)),IF($E92&gt;$D92,1,0),0)+IF(AND(ISNUMBER($D92),ISNUMBER($F92)),IF($D92&gt;$F92,1,0),0)+IF(AND(ISNUMBER($E92),ISNUMBER($F92)),IF($E92&gt;$F92,1,0),0)</f>
        <v>0</v>
      </c>
      <c r="X92" s="13" t="s">
        <v>76</v>
      </c>
    </row>
    <row r="93" customFormat="false" ht="15" hidden="false" customHeight="false" outlineLevel="0" collapsed="false">
      <c r="A93" s="10" t="s">
        <v>360</v>
      </c>
      <c r="B93" s="10" t="s">
        <v>361</v>
      </c>
      <c r="C93" s="11" t="s">
        <v>352</v>
      </c>
      <c r="D93" s="12" t="n">
        <v>-9.9468</v>
      </c>
      <c r="E93" s="12"/>
      <c r="F93" s="12"/>
      <c r="G93" s="10" t="s">
        <v>63</v>
      </c>
      <c r="H93" s="10" t="s">
        <v>87</v>
      </c>
      <c r="I93" s="11" t="s">
        <v>65</v>
      </c>
      <c r="J93" s="10" t="s">
        <v>66</v>
      </c>
      <c r="K93" s="10" t="s">
        <v>67</v>
      </c>
      <c r="L93" s="10" t="s">
        <v>68</v>
      </c>
      <c r="M93" s="10" t="s">
        <v>69</v>
      </c>
      <c r="N93" s="10"/>
      <c r="O93" s="11" t="s">
        <v>88</v>
      </c>
      <c r="P93" s="10" t="s">
        <v>71</v>
      </c>
      <c r="Q93" s="11" t="s">
        <v>72</v>
      </c>
      <c r="R93" s="11" t="s">
        <v>73</v>
      </c>
      <c r="S93" s="11" t="s">
        <v>74</v>
      </c>
      <c r="T93" s="11" t="s">
        <v>362</v>
      </c>
      <c r="U93" s="10" t="n">
        <f aca="false">IF(AND($D93="",$E93="",$F93=""),1,0)</f>
        <v>0</v>
      </c>
      <c r="V93" s="10" t="n">
        <f aca="false">IF(OR($I93="",$I93="—"),1,0)</f>
        <v>0</v>
      </c>
      <c r="W93" s="10" t="n">
        <f aca="false">IF(AND(ISNUMBER($D93),ISNUMBER($E93)),IF($E93&gt;$D93,1,0),0)+IF(AND(ISNUMBER($D93),ISNUMBER($F93)),IF($D93&gt;$F93,1,0),0)+IF(AND(ISNUMBER($E93),ISNUMBER($F93)),IF($E93&gt;$F93,1,0),0)</f>
        <v>0</v>
      </c>
      <c r="X93" s="13" t="s">
        <v>76</v>
      </c>
    </row>
    <row r="94" customFormat="false" ht="15" hidden="false" customHeight="false" outlineLevel="0" collapsed="false">
      <c r="A94" s="10" t="s">
        <v>363</v>
      </c>
      <c r="B94" s="10" t="s">
        <v>364</v>
      </c>
      <c r="C94" s="11" t="s">
        <v>352</v>
      </c>
      <c r="D94" s="12" t="n">
        <v>-13.2715</v>
      </c>
      <c r="E94" s="12"/>
      <c r="F94" s="12"/>
      <c r="G94" s="10" t="s">
        <v>63</v>
      </c>
      <c r="H94" s="10" t="s">
        <v>92</v>
      </c>
      <c r="I94" s="11" t="s">
        <v>65</v>
      </c>
      <c r="J94" s="10" t="s">
        <v>66</v>
      </c>
      <c r="K94" s="10" t="s">
        <v>67</v>
      </c>
      <c r="L94" s="10" t="s">
        <v>68</v>
      </c>
      <c r="M94" s="10" t="s">
        <v>69</v>
      </c>
      <c r="N94" s="10"/>
      <c r="O94" s="11" t="s">
        <v>70</v>
      </c>
      <c r="P94" s="10" t="s">
        <v>71</v>
      </c>
      <c r="Q94" s="11" t="s">
        <v>72</v>
      </c>
      <c r="R94" s="11" t="s">
        <v>73</v>
      </c>
      <c r="S94" s="11" t="s">
        <v>74</v>
      </c>
      <c r="T94" s="11" t="s">
        <v>365</v>
      </c>
      <c r="U94" s="10" t="n">
        <f aca="false">IF(AND($D94="",$E94="",$F94=""),1,0)</f>
        <v>0</v>
      </c>
      <c r="V94" s="10" t="n">
        <f aca="false">IF(OR($I94="",$I94="—"),1,0)</f>
        <v>0</v>
      </c>
      <c r="W94" s="10" t="n">
        <f aca="false">IF(AND(ISNUMBER($D94),ISNUMBER($E94)),IF($E94&gt;$D94,1,0),0)+IF(AND(ISNUMBER($D94),ISNUMBER($F94)),IF($D94&gt;$F94,1,0),0)+IF(AND(ISNUMBER($E94),ISNUMBER($F94)),IF($E94&gt;$F94,1,0),0)</f>
        <v>0</v>
      </c>
      <c r="X94" s="13" t="s">
        <v>76</v>
      </c>
    </row>
    <row r="95" customFormat="false" ht="15" hidden="false" customHeight="false" outlineLevel="0" collapsed="false">
      <c r="A95" s="10" t="s">
        <v>366</v>
      </c>
      <c r="B95" s="10" t="s">
        <v>367</v>
      </c>
      <c r="C95" s="11" t="s">
        <v>368</v>
      </c>
      <c r="D95" s="12" t="n">
        <v>0.3292</v>
      </c>
      <c r="E95" s="12"/>
      <c r="F95" s="12"/>
      <c r="G95" s="10" t="s">
        <v>63</v>
      </c>
      <c r="H95" s="10" t="s">
        <v>64</v>
      </c>
      <c r="I95" s="11" t="s">
        <v>65</v>
      </c>
      <c r="J95" s="10" t="s">
        <v>66</v>
      </c>
      <c r="K95" s="10" t="s">
        <v>67</v>
      </c>
      <c r="L95" s="10" t="s">
        <v>68</v>
      </c>
      <c r="M95" s="10" t="s">
        <v>69</v>
      </c>
      <c r="N95" s="10"/>
      <c r="O95" s="11" t="s">
        <v>70</v>
      </c>
      <c r="P95" s="10" t="s">
        <v>71</v>
      </c>
      <c r="Q95" s="11" t="s">
        <v>72</v>
      </c>
      <c r="R95" s="11" t="s">
        <v>73</v>
      </c>
      <c r="S95" s="11" t="s">
        <v>74</v>
      </c>
      <c r="T95" s="11" t="s">
        <v>369</v>
      </c>
      <c r="U95" s="10" t="n">
        <f aca="false">IF(AND($D95="",$E95="",$F95=""),1,0)</f>
        <v>0</v>
      </c>
      <c r="V95" s="10" t="n">
        <f aca="false">IF(OR($I95="",$I95="—"),1,0)</f>
        <v>0</v>
      </c>
      <c r="W95" s="10" t="n">
        <f aca="false">IF(AND(ISNUMBER($D95),ISNUMBER($E95)),IF($E95&gt;$D95,1,0),0)+IF(AND(ISNUMBER($D95),ISNUMBER($F95)),IF($D95&gt;$F95,1,0),0)+IF(AND(ISNUMBER($E95),ISNUMBER($F95)),IF($E95&gt;$F95,1,0),0)</f>
        <v>0</v>
      </c>
      <c r="X95" s="13" t="s">
        <v>76</v>
      </c>
    </row>
    <row r="96" customFormat="false" ht="15" hidden="false" customHeight="false" outlineLevel="0" collapsed="false">
      <c r="A96" s="10" t="s">
        <v>370</v>
      </c>
      <c r="B96" s="10" t="s">
        <v>371</v>
      </c>
      <c r="C96" s="11" t="s">
        <v>368</v>
      </c>
      <c r="D96" s="12" t="n">
        <v>-7.8496</v>
      </c>
      <c r="E96" s="12"/>
      <c r="F96" s="12"/>
      <c r="G96" s="10" t="s">
        <v>63</v>
      </c>
      <c r="H96" s="10" t="s">
        <v>79</v>
      </c>
      <c r="I96" s="11" t="s">
        <v>65</v>
      </c>
      <c r="J96" s="10" t="s">
        <v>66</v>
      </c>
      <c r="K96" s="10" t="s">
        <v>67</v>
      </c>
      <c r="L96" s="10" t="s">
        <v>68</v>
      </c>
      <c r="M96" s="10" t="s">
        <v>69</v>
      </c>
      <c r="N96" s="10"/>
      <c r="O96" s="11" t="s">
        <v>70</v>
      </c>
      <c r="P96" s="10" t="s">
        <v>71</v>
      </c>
      <c r="Q96" s="11" t="s">
        <v>72</v>
      </c>
      <c r="R96" s="11" t="s">
        <v>73</v>
      </c>
      <c r="S96" s="11" t="s">
        <v>74</v>
      </c>
      <c r="T96" s="11" t="s">
        <v>372</v>
      </c>
      <c r="U96" s="10" t="n">
        <f aca="false">IF(AND($D96="",$E96="",$F96=""),1,0)</f>
        <v>0</v>
      </c>
      <c r="V96" s="10" t="n">
        <f aca="false">IF(OR($I96="",$I96="—"),1,0)</f>
        <v>0</v>
      </c>
      <c r="W96" s="10" t="n">
        <f aca="false">IF(AND(ISNUMBER($D96),ISNUMBER($E96)),IF($E96&gt;$D96,1,0),0)+IF(AND(ISNUMBER($D96),ISNUMBER($F96)),IF($D96&gt;$F96,1,0),0)+IF(AND(ISNUMBER($E96),ISNUMBER($F96)),IF($E96&gt;$F96,1,0),0)</f>
        <v>0</v>
      </c>
      <c r="X96" s="13" t="s">
        <v>76</v>
      </c>
    </row>
    <row r="97" customFormat="false" ht="15" hidden="false" customHeight="false" outlineLevel="0" collapsed="false">
      <c r="A97" s="10" t="s">
        <v>373</v>
      </c>
      <c r="B97" s="10" t="s">
        <v>374</v>
      </c>
      <c r="C97" s="11" t="s">
        <v>368</v>
      </c>
      <c r="D97" s="12" t="n">
        <v>-0.4856</v>
      </c>
      <c r="E97" s="12"/>
      <c r="F97" s="12"/>
      <c r="G97" s="10" t="s">
        <v>63</v>
      </c>
      <c r="H97" s="10" t="s">
        <v>83</v>
      </c>
      <c r="I97" s="11" t="s">
        <v>65</v>
      </c>
      <c r="J97" s="10" t="s">
        <v>66</v>
      </c>
      <c r="K97" s="10" t="s">
        <v>67</v>
      </c>
      <c r="L97" s="10" t="s">
        <v>68</v>
      </c>
      <c r="M97" s="10" t="s">
        <v>69</v>
      </c>
      <c r="N97" s="10"/>
      <c r="O97" s="11" t="s">
        <v>70</v>
      </c>
      <c r="P97" s="10" t="s">
        <v>71</v>
      </c>
      <c r="Q97" s="11" t="s">
        <v>72</v>
      </c>
      <c r="R97" s="11" t="s">
        <v>73</v>
      </c>
      <c r="S97" s="11" t="s">
        <v>74</v>
      </c>
      <c r="T97" s="11" t="s">
        <v>375</v>
      </c>
      <c r="U97" s="10" t="n">
        <f aca="false">IF(AND($D97="",$E97="",$F97=""),1,0)</f>
        <v>0</v>
      </c>
      <c r="V97" s="10" t="n">
        <f aca="false">IF(OR($I97="",$I97="—"),1,0)</f>
        <v>0</v>
      </c>
      <c r="W97" s="10" t="n">
        <f aca="false">IF(AND(ISNUMBER($D97),ISNUMBER($E97)),IF($E97&gt;$D97,1,0),0)+IF(AND(ISNUMBER($D97),ISNUMBER($F97)),IF($D97&gt;$F97,1,0),0)+IF(AND(ISNUMBER($E97),ISNUMBER($F97)),IF($E97&gt;$F97,1,0),0)</f>
        <v>0</v>
      </c>
      <c r="X97" s="13" t="s">
        <v>76</v>
      </c>
    </row>
    <row r="98" customFormat="false" ht="15" hidden="false" customHeight="false" outlineLevel="0" collapsed="false">
      <c r="A98" s="10" t="s">
        <v>376</v>
      </c>
      <c r="B98" s="10" t="s">
        <v>377</v>
      </c>
      <c r="C98" s="11" t="s">
        <v>368</v>
      </c>
      <c r="D98" s="12" t="n">
        <v>-1.3878</v>
      </c>
      <c r="E98" s="12"/>
      <c r="F98" s="12"/>
      <c r="G98" s="10" t="s">
        <v>63</v>
      </c>
      <c r="H98" s="10" t="s">
        <v>87</v>
      </c>
      <c r="I98" s="11" t="s">
        <v>65</v>
      </c>
      <c r="J98" s="10" t="s">
        <v>66</v>
      </c>
      <c r="K98" s="10" t="s">
        <v>67</v>
      </c>
      <c r="L98" s="10" t="s">
        <v>68</v>
      </c>
      <c r="M98" s="10" t="s">
        <v>69</v>
      </c>
      <c r="N98" s="10"/>
      <c r="O98" s="11" t="s">
        <v>88</v>
      </c>
      <c r="P98" s="10" t="s">
        <v>71</v>
      </c>
      <c r="Q98" s="11" t="s">
        <v>72</v>
      </c>
      <c r="R98" s="11" t="s">
        <v>73</v>
      </c>
      <c r="S98" s="11" t="s">
        <v>74</v>
      </c>
      <c r="T98" s="11" t="s">
        <v>378</v>
      </c>
      <c r="U98" s="10" t="n">
        <f aca="false">IF(AND($D98="",$E98="",$F98=""),1,0)</f>
        <v>0</v>
      </c>
      <c r="V98" s="10" t="n">
        <f aca="false">IF(OR($I98="",$I98="—"),1,0)</f>
        <v>0</v>
      </c>
      <c r="W98" s="10" t="n">
        <f aca="false">IF(AND(ISNUMBER($D98),ISNUMBER($E98)),IF($E98&gt;$D98,1,0),0)+IF(AND(ISNUMBER($D98),ISNUMBER($F98)),IF($D98&gt;$F98,1,0),0)+IF(AND(ISNUMBER($E98),ISNUMBER($F98)),IF($E98&gt;$F98,1,0),0)</f>
        <v>0</v>
      </c>
      <c r="X98" s="13" t="s">
        <v>76</v>
      </c>
    </row>
    <row r="99" customFormat="false" ht="15" hidden="false" customHeight="false" outlineLevel="0" collapsed="false">
      <c r="A99" s="10" t="s">
        <v>379</v>
      </c>
      <c r="B99" s="10" t="s">
        <v>380</v>
      </c>
      <c r="C99" s="11" t="s">
        <v>368</v>
      </c>
      <c r="D99" s="12" t="n">
        <v>-5.5637</v>
      </c>
      <c r="E99" s="12"/>
      <c r="F99" s="12"/>
      <c r="G99" s="10" t="s">
        <v>63</v>
      </c>
      <c r="H99" s="10" t="s">
        <v>92</v>
      </c>
      <c r="I99" s="11" t="s">
        <v>65</v>
      </c>
      <c r="J99" s="10" t="s">
        <v>66</v>
      </c>
      <c r="K99" s="10" t="s">
        <v>67</v>
      </c>
      <c r="L99" s="10" t="s">
        <v>68</v>
      </c>
      <c r="M99" s="10" t="s">
        <v>69</v>
      </c>
      <c r="N99" s="10"/>
      <c r="O99" s="11" t="s">
        <v>70</v>
      </c>
      <c r="P99" s="10" t="s">
        <v>71</v>
      </c>
      <c r="Q99" s="11" t="s">
        <v>72</v>
      </c>
      <c r="R99" s="11" t="s">
        <v>73</v>
      </c>
      <c r="S99" s="11" t="s">
        <v>74</v>
      </c>
      <c r="T99" s="11" t="s">
        <v>381</v>
      </c>
      <c r="U99" s="10" t="n">
        <f aca="false">IF(AND($D99="",$E99="",$F99=""),1,0)</f>
        <v>0</v>
      </c>
      <c r="V99" s="10" t="n">
        <f aca="false">IF(OR($I99="",$I99="—"),1,0)</f>
        <v>0</v>
      </c>
      <c r="W99" s="10" t="n">
        <f aca="false">IF(AND(ISNUMBER($D99),ISNUMBER($E99)),IF($E99&gt;$D99,1,0),0)+IF(AND(ISNUMBER($D99),ISNUMBER($F99)),IF($D99&gt;$F99,1,0),0)+IF(AND(ISNUMBER($E99),ISNUMBER($F99)),IF($E99&gt;$F99,1,0),0)</f>
        <v>0</v>
      </c>
      <c r="X99" s="13" t="s">
        <v>76</v>
      </c>
    </row>
    <row r="100" customFormat="false" ht="15" hidden="false" customHeight="false" outlineLevel="0" collapsed="false">
      <c r="A100" s="10" t="s">
        <v>382</v>
      </c>
      <c r="B100" s="10" t="s">
        <v>383</v>
      </c>
      <c r="C100" s="11" t="s">
        <v>384</v>
      </c>
      <c r="D100" s="12" t="n">
        <v>2.1893</v>
      </c>
      <c r="E100" s="12"/>
      <c r="F100" s="12"/>
      <c r="G100" s="10" t="s">
        <v>63</v>
      </c>
      <c r="H100" s="10" t="s">
        <v>64</v>
      </c>
      <c r="I100" s="11" t="s">
        <v>65</v>
      </c>
      <c r="J100" s="10" t="s">
        <v>66</v>
      </c>
      <c r="K100" s="10" t="s">
        <v>67</v>
      </c>
      <c r="L100" s="10" t="s">
        <v>68</v>
      </c>
      <c r="M100" s="10" t="s">
        <v>69</v>
      </c>
      <c r="N100" s="10"/>
      <c r="O100" s="11" t="s">
        <v>70</v>
      </c>
      <c r="P100" s="10" t="s">
        <v>71</v>
      </c>
      <c r="Q100" s="11" t="s">
        <v>72</v>
      </c>
      <c r="R100" s="11" t="s">
        <v>73</v>
      </c>
      <c r="S100" s="11" t="s">
        <v>74</v>
      </c>
      <c r="T100" s="11" t="s">
        <v>385</v>
      </c>
      <c r="U100" s="10" t="n">
        <f aca="false">IF(AND($D100="",$E100="",$F100=""),1,0)</f>
        <v>0</v>
      </c>
      <c r="V100" s="10" t="n">
        <f aca="false">IF(OR($I100="",$I100="—"),1,0)</f>
        <v>0</v>
      </c>
      <c r="W100" s="10" t="n">
        <f aca="false">IF(AND(ISNUMBER($D100),ISNUMBER($E100)),IF($E100&gt;$D100,1,0),0)+IF(AND(ISNUMBER($D100),ISNUMBER($F100)),IF($D100&gt;$F100,1,0),0)+IF(AND(ISNUMBER($E100),ISNUMBER($F100)),IF($E100&gt;$F100,1,0),0)</f>
        <v>0</v>
      </c>
      <c r="X100" s="13" t="s">
        <v>76</v>
      </c>
    </row>
    <row r="101" customFormat="false" ht="15" hidden="false" customHeight="false" outlineLevel="0" collapsed="false">
      <c r="A101" s="10" t="s">
        <v>386</v>
      </c>
      <c r="B101" s="10" t="s">
        <v>387</v>
      </c>
      <c r="C101" s="11" t="s">
        <v>384</v>
      </c>
      <c r="D101" s="12" t="n">
        <v>12.4917</v>
      </c>
      <c r="E101" s="12"/>
      <c r="F101" s="12"/>
      <c r="G101" s="10" t="s">
        <v>63</v>
      </c>
      <c r="H101" s="10" t="s">
        <v>79</v>
      </c>
      <c r="I101" s="11" t="s">
        <v>65</v>
      </c>
      <c r="J101" s="10" t="s">
        <v>66</v>
      </c>
      <c r="K101" s="10" t="s">
        <v>67</v>
      </c>
      <c r="L101" s="10" t="s">
        <v>68</v>
      </c>
      <c r="M101" s="10" t="s">
        <v>69</v>
      </c>
      <c r="N101" s="10"/>
      <c r="O101" s="11" t="s">
        <v>70</v>
      </c>
      <c r="P101" s="10" t="s">
        <v>71</v>
      </c>
      <c r="Q101" s="11" t="s">
        <v>72</v>
      </c>
      <c r="R101" s="11" t="s">
        <v>73</v>
      </c>
      <c r="S101" s="11" t="s">
        <v>74</v>
      </c>
      <c r="T101" s="11" t="s">
        <v>388</v>
      </c>
      <c r="U101" s="10" t="n">
        <f aca="false">IF(AND($D101="",$E101="",$F101=""),1,0)</f>
        <v>0</v>
      </c>
      <c r="V101" s="10" t="n">
        <f aca="false">IF(OR($I101="",$I101="—"),1,0)</f>
        <v>0</v>
      </c>
      <c r="W101" s="10" t="n">
        <f aca="false">IF(AND(ISNUMBER($D101),ISNUMBER($E101)),IF($E101&gt;$D101,1,0),0)+IF(AND(ISNUMBER($D101),ISNUMBER($F101)),IF($D101&gt;$F101,1,0),0)+IF(AND(ISNUMBER($E101),ISNUMBER($F101)),IF($E101&gt;$F101,1,0),0)</f>
        <v>0</v>
      </c>
      <c r="X101" s="13" t="s">
        <v>76</v>
      </c>
    </row>
    <row r="102" customFormat="false" ht="15" hidden="false" customHeight="false" outlineLevel="0" collapsed="false">
      <c r="A102" s="10" t="s">
        <v>389</v>
      </c>
      <c r="B102" s="10" t="s">
        <v>390</v>
      </c>
      <c r="C102" s="11" t="s">
        <v>384</v>
      </c>
      <c r="D102" s="12" t="n">
        <v>22.6816</v>
      </c>
      <c r="E102" s="12"/>
      <c r="F102" s="12"/>
      <c r="G102" s="10" t="s">
        <v>63</v>
      </c>
      <c r="H102" s="10" t="s">
        <v>83</v>
      </c>
      <c r="I102" s="11" t="s">
        <v>65</v>
      </c>
      <c r="J102" s="10" t="s">
        <v>66</v>
      </c>
      <c r="K102" s="10" t="s">
        <v>67</v>
      </c>
      <c r="L102" s="10" t="s">
        <v>68</v>
      </c>
      <c r="M102" s="10" t="s">
        <v>69</v>
      </c>
      <c r="N102" s="10"/>
      <c r="O102" s="11" t="s">
        <v>70</v>
      </c>
      <c r="P102" s="10" t="s">
        <v>71</v>
      </c>
      <c r="Q102" s="11" t="s">
        <v>72</v>
      </c>
      <c r="R102" s="11" t="s">
        <v>73</v>
      </c>
      <c r="S102" s="11" t="s">
        <v>74</v>
      </c>
      <c r="T102" s="11" t="s">
        <v>391</v>
      </c>
      <c r="U102" s="10" t="n">
        <f aca="false">IF(AND($D102="",$E102="",$F102=""),1,0)</f>
        <v>0</v>
      </c>
      <c r="V102" s="10" t="n">
        <f aca="false">IF(OR($I102="",$I102="—"),1,0)</f>
        <v>0</v>
      </c>
      <c r="W102" s="10" t="n">
        <f aca="false">IF(AND(ISNUMBER($D102),ISNUMBER($E102)),IF($E102&gt;$D102,1,0),0)+IF(AND(ISNUMBER($D102),ISNUMBER($F102)),IF($D102&gt;$F102,1,0),0)+IF(AND(ISNUMBER($E102),ISNUMBER($F102)),IF($E102&gt;$F102,1,0),0)</f>
        <v>0</v>
      </c>
      <c r="X102" s="13" t="s">
        <v>76</v>
      </c>
    </row>
    <row r="103" customFormat="false" ht="15" hidden="false" customHeight="false" outlineLevel="0" collapsed="false">
      <c r="A103" s="10" t="s">
        <v>392</v>
      </c>
      <c r="B103" s="10" t="s">
        <v>393</v>
      </c>
      <c r="C103" s="11" t="s">
        <v>384</v>
      </c>
      <c r="D103" s="12" t="n">
        <v>9.3207</v>
      </c>
      <c r="E103" s="12"/>
      <c r="F103" s="12"/>
      <c r="G103" s="10" t="s">
        <v>63</v>
      </c>
      <c r="H103" s="10" t="s">
        <v>87</v>
      </c>
      <c r="I103" s="11" t="s">
        <v>65</v>
      </c>
      <c r="J103" s="10" t="s">
        <v>66</v>
      </c>
      <c r="K103" s="10" t="s">
        <v>67</v>
      </c>
      <c r="L103" s="10" t="s">
        <v>68</v>
      </c>
      <c r="M103" s="10" t="s">
        <v>69</v>
      </c>
      <c r="N103" s="10"/>
      <c r="O103" s="11" t="s">
        <v>88</v>
      </c>
      <c r="P103" s="10" t="s">
        <v>71</v>
      </c>
      <c r="Q103" s="11" t="s">
        <v>72</v>
      </c>
      <c r="R103" s="11" t="s">
        <v>73</v>
      </c>
      <c r="S103" s="11" t="s">
        <v>74</v>
      </c>
      <c r="T103" s="11" t="s">
        <v>394</v>
      </c>
      <c r="U103" s="10" t="n">
        <f aca="false">IF(AND($D103="",$E103="",$F103=""),1,0)</f>
        <v>0</v>
      </c>
      <c r="V103" s="10" t="n">
        <f aca="false">IF(OR($I103="",$I103="—"),1,0)</f>
        <v>0</v>
      </c>
      <c r="W103" s="10" t="n">
        <f aca="false">IF(AND(ISNUMBER($D103),ISNUMBER($E103)),IF($E103&gt;$D103,1,0),0)+IF(AND(ISNUMBER($D103),ISNUMBER($F103)),IF($D103&gt;$F103,1,0),0)+IF(AND(ISNUMBER($E103),ISNUMBER($F103)),IF($E103&gt;$F103,1,0),0)</f>
        <v>0</v>
      </c>
      <c r="X103" s="13" t="s">
        <v>76</v>
      </c>
    </row>
    <row r="104" customFormat="false" ht="15" hidden="false" customHeight="false" outlineLevel="0" collapsed="false">
      <c r="A104" s="10" t="s">
        <v>395</v>
      </c>
      <c r="B104" s="10" t="s">
        <v>396</v>
      </c>
      <c r="C104" s="11" t="s">
        <v>384</v>
      </c>
      <c r="D104" s="12" t="n">
        <v>25.5197</v>
      </c>
      <c r="E104" s="12"/>
      <c r="F104" s="12"/>
      <c r="G104" s="10" t="s">
        <v>63</v>
      </c>
      <c r="H104" s="10" t="s">
        <v>92</v>
      </c>
      <c r="I104" s="11" t="s">
        <v>65</v>
      </c>
      <c r="J104" s="10" t="s">
        <v>66</v>
      </c>
      <c r="K104" s="10" t="s">
        <v>67</v>
      </c>
      <c r="L104" s="10" t="s">
        <v>68</v>
      </c>
      <c r="M104" s="10" t="s">
        <v>69</v>
      </c>
      <c r="N104" s="10"/>
      <c r="O104" s="11" t="s">
        <v>70</v>
      </c>
      <c r="P104" s="10" t="s">
        <v>71</v>
      </c>
      <c r="Q104" s="11" t="s">
        <v>72</v>
      </c>
      <c r="R104" s="11" t="s">
        <v>73</v>
      </c>
      <c r="S104" s="11" t="s">
        <v>74</v>
      </c>
      <c r="T104" s="11" t="s">
        <v>397</v>
      </c>
      <c r="U104" s="10" t="n">
        <f aca="false">IF(AND($D104="",$E104="",$F104=""),1,0)</f>
        <v>0</v>
      </c>
      <c r="V104" s="10" t="n">
        <f aca="false">IF(OR($I104="",$I104="—"),1,0)</f>
        <v>0</v>
      </c>
      <c r="W104" s="10" t="n">
        <f aca="false">IF(AND(ISNUMBER($D104),ISNUMBER($E104)),IF($E104&gt;$D104,1,0),0)+IF(AND(ISNUMBER($D104),ISNUMBER($F104)),IF($D104&gt;$F104,1,0),0)+IF(AND(ISNUMBER($E104),ISNUMBER($F104)),IF($E104&gt;$F104,1,0),0)</f>
        <v>0</v>
      </c>
      <c r="X104" s="13" t="s">
        <v>76</v>
      </c>
    </row>
    <row r="105" customFormat="false" ht="15" hidden="false" customHeight="false" outlineLevel="0" collapsed="false">
      <c r="A105" s="10" t="s">
        <v>398</v>
      </c>
      <c r="B105" s="10" t="s">
        <v>399</v>
      </c>
      <c r="C105" s="11" t="s">
        <v>400</v>
      </c>
      <c r="D105" s="12" t="n">
        <v>54.6</v>
      </c>
      <c r="E105" s="12"/>
      <c r="F105" s="12"/>
      <c r="G105" s="10" t="s">
        <v>401</v>
      </c>
      <c r="H105" s="10" t="s">
        <v>64</v>
      </c>
      <c r="I105" s="11" t="s">
        <v>65</v>
      </c>
      <c r="J105" s="10" t="s">
        <v>66</v>
      </c>
      <c r="K105" s="10" t="s">
        <v>67</v>
      </c>
      <c r="L105" s="10" t="s">
        <v>68</v>
      </c>
      <c r="M105" s="10" t="s">
        <v>69</v>
      </c>
      <c r="N105" s="10"/>
      <c r="O105" s="11" t="s">
        <v>70</v>
      </c>
      <c r="P105" s="10" t="s">
        <v>71</v>
      </c>
      <c r="Q105" s="11" t="s">
        <v>72</v>
      </c>
      <c r="R105" s="11" t="s">
        <v>73</v>
      </c>
      <c r="S105" s="11" t="s">
        <v>74</v>
      </c>
      <c r="T105" s="11" t="s">
        <v>402</v>
      </c>
      <c r="U105" s="10" t="n">
        <f aca="false">IF(AND($D105="",$E105="",$F105=""),1,0)</f>
        <v>0</v>
      </c>
      <c r="V105" s="10" t="n">
        <f aca="false">IF(OR($I105="",$I105="—"),1,0)</f>
        <v>0</v>
      </c>
      <c r="W105" s="10" t="n">
        <f aca="false">IF(AND(ISNUMBER($D105),ISNUMBER($E105)),IF($E105&gt;$D105,1,0),0)+IF(AND(ISNUMBER($D105),ISNUMBER($F105)),IF($D105&gt;$F105,1,0),0)+IF(AND(ISNUMBER($E105),ISNUMBER($F105)),IF($E105&gt;$F105,1,0),0)</f>
        <v>0</v>
      </c>
      <c r="X105" s="13" t="s">
        <v>76</v>
      </c>
    </row>
    <row r="106" customFormat="false" ht="15" hidden="false" customHeight="false" outlineLevel="0" collapsed="false">
      <c r="A106" s="10" t="s">
        <v>403</v>
      </c>
      <c r="B106" s="10" t="s">
        <v>404</v>
      </c>
      <c r="C106" s="11" t="s">
        <v>400</v>
      </c>
      <c r="D106" s="12" t="n">
        <v>64.6</v>
      </c>
      <c r="E106" s="12"/>
      <c r="F106" s="12"/>
      <c r="G106" s="10" t="s">
        <v>401</v>
      </c>
      <c r="H106" s="10" t="s">
        <v>79</v>
      </c>
      <c r="I106" s="11" t="s">
        <v>65</v>
      </c>
      <c r="J106" s="10" t="s">
        <v>66</v>
      </c>
      <c r="K106" s="10" t="s">
        <v>67</v>
      </c>
      <c r="L106" s="10" t="s">
        <v>68</v>
      </c>
      <c r="M106" s="10" t="s">
        <v>69</v>
      </c>
      <c r="N106" s="10"/>
      <c r="O106" s="11" t="s">
        <v>70</v>
      </c>
      <c r="P106" s="10" t="s">
        <v>71</v>
      </c>
      <c r="Q106" s="11" t="s">
        <v>72</v>
      </c>
      <c r="R106" s="11" t="s">
        <v>73</v>
      </c>
      <c r="S106" s="11" t="s">
        <v>74</v>
      </c>
      <c r="T106" s="11" t="s">
        <v>402</v>
      </c>
      <c r="U106" s="10" t="n">
        <f aca="false">IF(AND($D106="",$E106="",$F106=""),1,0)</f>
        <v>0</v>
      </c>
      <c r="V106" s="10" t="n">
        <f aca="false">IF(OR($I106="",$I106="—"),1,0)</f>
        <v>0</v>
      </c>
      <c r="W106" s="10" t="n">
        <f aca="false">IF(AND(ISNUMBER($D106),ISNUMBER($E106)),IF($E106&gt;$D106,1,0),0)+IF(AND(ISNUMBER($D106),ISNUMBER($F106)),IF($D106&gt;$F106,1,0),0)+IF(AND(ISNUMBER($E106),ISNUMBER($F106)),IF($E106&gt;$F106,1,0),0)</f>
        <v>0</v>
      </c>
      <c r="X106" s="13" t="s">
        <v>76</v>
      </c>
    </row>
    <row r="107" customFormat="false" ht="15" hidden="false" customHeight="false" outlineLevel="0" collapsed="false">
      <c r="A107" s="10" t="s">
        <v>405</v>
      </c>
      <c r="B107" s="10" t="s">
        <v>406</v>
      </c>
      <c r="C107" s="11" t="s">
        <v>400</v>
      </c>
      <c r="D107" s="12" t="n">
        <v>56.3</v>
      </c>
      <c r="E107" s="12"/>
      <c r="F107" s="12"/>
      <c r="G107" s="10" t="s">
        <v>401</v>
      </c>
      <c r="H107" s="10" t="s">
        <v>83</v>
      </c>
      <c r="I107" s="11" t="s">
        <v>65</v>
      </c>
      <c r="J107" s="10" t="s">
        <v>66</v>
      </c>
      <c r="K107" s="10" t="s">
        <v>67</v>
      </c>
      <c r="L107" s="10" t="s">
        <v>68</v>
      </c>
      <c r="M107" s="10" t="s">
        <v>69</v>
      </c>
      <c r="N107" s="10"/>
      <c r="O107" s="11" t="s">
        <v>70</v>
      </c>
      <c r="P107" s="10" t="s">
        <v>71</v>
      </c>
      <c r="Q107" s="11" t="s">
        <v>72</v>
      </c>
      <c r="R107" s="11" t="s">
        <v>73</v>
      </c>
      <c r="S107" s="11" t="s">
        <v>74</v>
      </c>
      <c r="T107" s="11" t="s">
        <v>402</v>
      </c>
      <c r="U107" s="10" t="n">
        <f aca="false">IF(AND($D107="",$E107="",$F107=""),1,0)</f>
        <v>0</v>
      </c>
      <c r="V107" s="10" t="n">
        <f aca="false">IF(OR($I107="",$I107="—"),1,0)</f>
        <v>0</v>
      </c>
      <c r="W107" s="10" t="n">
        <f aca="false">IF(AND(ISNUMBER($D107),ISNUMBER($E107)),IF($E107&gt;$D107,1,0),0)+IF(AND(ISNUMBER($D107),ISNUMBER($F107)),IF($D107&gt;$F107,1,0),0)+IF(AND(ISNUMBER($E107),ISNUMBER($F107)),IF($E107&gt;$F107,1,0),0)</f>
        <v>0</v>
      </c>
      <c r="X107" s="13" t="s">
        <v>76</v>
      </c>
    </row>
    <row r="108" customFormat="false" ht="15" hidden="false" customHeight="false" outlineLevel="0" collapsed="false">
      <c r="A108" s="10" t="s">
        <v>407</v>
      </c>
      <c r="B108" s="10" t="s">
        <v>408</v>
      </c>
      <c r="C108" s="11" t="s">
        <v>400</v>
      </c>
      <c r="D108" s="12" t="n">
        <v>48.9</v>
      </c>
      <c r="E108" s="12"/>
      <c r="F108" s="12"/>
      <c r="G108" s="10" t="s">
        <v>401</v>
      </c>
      <c r="H108" s="10" t="s">
        <v>87</v>
      </c>
      <c r="I108" s="11" t="s">
        <v>65</v>
      </c>
      <c r="J108" s="10" t="s">
        <v>66</v>
      </c>
      <c r="K108" s="10" t="s">
        <v>67</v>
      </c>
      <c r="L108" s="10" t="s">
        <v>68</v>
      </c>
      <c r="M108" s="10" t="s">
        <v>69</v>
      </c>
      <c r="N108" s="10"/>
      <c r="O108" s="11" t="s">
        <v>88</v>
      </c>
      <c r="P108" s="10" t="s">
        <v>71</v>
      </c>
      <c r="Q108" s="11" t="s">
        <v>72</v>
      </c>
      <c r="R108" s="11" t="s">
        <v>73</v>
      </c>
      <c r="S108" s="11" t="s">
        <v>74</v>
      </c>
      <c r="T108" s="11" t="s">
        <v>402</v>
      </c>
      <c r="U108" s="10" t="n">
        <f aca="false">IF(AND($D108="",$E108="",$F108=""),1,0)</f>
        <v>0</v>
      </c>
      <c r="V108" s="10" t="n">
        <f aca="false">IF(OR($I108="",$I108="—"),1,0)</f>
        <v>0</v>
      </c>
      <c r="W108" s="10" t="n">
        <f aca="false">IF(AND(ISNUMBER($D108),ISNUMBER($E108)),IF($E108&gt;$D108,1,0),0)+IF(AND(ISNUMBER($D108),ISNUMBER($F108)),IF($D108&gt;$F108,1,0),0)+IF(AND(ISNUMBER($E108),ISNUMBER($F108)),IF($E108&gt;$F108,1,0),0)</f>
        <v>0</v>
      </c>
      <c r="X108" s="13" t="s">
        <v>76</v>
      </c>
    </row>
    <row r="109" customFormat="false" ht="15" hidden="false" customHeight="false" outlineLevel="0" collapsed="false">
      <c r="A109" s="10" t="s">
        <v>409</v>
      </c>
      <c r="B109" s="10" t="s">
        <v>410</v>
      </c>
      <c r="C109" s="11" t="s">
        <v>400</v>
      </c>
      <c r="D109" s="12" t="n">
        <v>50</v>
      </c>
      <c r="E109" s="12"/>
      <c r="F109" s="12"/>
      <c r="G109" s="10" t="s">
        <v>401</v>
      </c>
      <c r="H109" s="10" t="s">
        <v>92</v>
      </c>
      <c r="I109" s="11" t="s">
        <v>65</v>
      </c>
      <c r="J109" s="10" t="s">
        <v>66</v>
      </c>
      <c r="K109" s="10" t="s">
        <v>67</v>
      </c>
      <c r="L109" s="10" t="s">
        <v>68</v>
      </c>
      <c r="M109" s="10" t="s">
        <v>69</v>
      </c>
      <c r="N109" s="10"/>
      <c r="O109" s="11" t="s">
        <v>70</v>
      </c>
      <c r="P109" s="10" t="s">
        <v>71</v>
      </c>
      <c r="Q109" s="11" t="s">
        <v>72</v>
      </c>
      <c r="R109" s="11" t="s">
        <v>73</v>
      </c>
      <c r="S109" s="11" t="s">
        <v>74</v>
      </c>
      <c r="T109" s="11" t="s">
        <v>402</v>
      </c>
      <c r="U109" s="10" t="n">
        <f aca="false">IF(AND($D109="",$E109="",$F109=""),1,0)</f>
        <v>0</v>
      </c>
      <c r="V109" s="10" t="n">
        <f aca="false">IF(OR($I109="",$I109="—"),1,0)</f>
        <v>0</v>
      </c>
      <c r="W109" s="10" t="n">
        <f aca="false">IF(AND(ISNUMBER($D109),ISNUMBER($E109)),IF($E109&gt;$D109,1,0),0)+IF(AND(ISNUMBER($D109),ISNUMBER($F109)),IF($D109&gt;$F109,1,0),0)+IF(AND(ISNUMBER($E109),ISNUMBER($F109)),IF($E109&gt;$F109,1,0),0)</f>
        <v>0</v>
      </c>
      <c r="X109" s="13" t="s">
        <v>76</v>
      </c>
    </row>
    <row r="110" customFormat="false" ht="15" hidden="false" customHeight="false" outlineLevel="0" collapsed="false">
      <c r="A110" s="10" t="s">
        <v>411</v>
      </c>
      <c r="B110" s="10" t="s">
        <v>412</v>
      </c>
      <c r="C110" s="11" t="s">
        <v>413</v>
      </c>
      <c r="D110" s="12" t="n">
        <v>0.03</v>
      </c>
      <c r="E110" s="12"/>
      <c r="F110" s="12"/>
      <c r="G110" s="10" t="s">
        <v>414</v>
      </c>
      <c r="H110" s="10" t="s">
        <v>64</v>
      </c>
      <c r="I110" s="11" t="s">
        <v>65</v>
      </c>
      <c r="J110" s="10" t="s">
        <v>415</v>
      </c>
      <c r="K110" s="10" t="s">
        <v>67</v>
      </c>
      <c r="L110" s="10" t="s">
        <v>68</v>
      </c>
      <c r="M110" s="10" t="s">
        <v>416</v>
      </c>
      <c r="N110" s="11" t="s">
        <v>417</v>
      </c>
      <c r="O110" s="11" t="s">
        <v>418</v>
      </c>
      <c r="P110" s="10" t="s">
        <v>71</v>
      </c>
      <c r="Q110" s="11" t="s">
        <v>72</v>
      </c>
      <c r="R110" s="11" t="s">
        <v>417</v>
      </c>
      <c r="S110" s="11" t="s">
        <v>74</v>
      </c>
      <c r="T110" s="11" t="s">
        <v>419</v>
      </c>
      <c r="U110" s="10" t="n">
        <f aca="false">IF(AND($D110="",$E110="",$F110=""),1,0)</f>
        <v>0</v>
      </c>
      <c r="V110" s="10" t="n">
        <f aca="false">IF(OR($I110="",$I110="—"),1,0)</f>
        <v>0</v>
      </c>
      <c r="W110" s="10" t="n">
        <f aca="false">IF(AND(ISNUMBER($D110),ISNUMBER($E110)),IF($E110&gt;$D110,1,0),0)+IF(AND(ISNUMBER($D110),ISNUMBER($F110)),IF($D110&gt;$F110,1,0),0)+IF(AND(ISNUMBER($E110),ISNUMBER($F110)),IF($E110&gt;$F110,1,0),0)</f>
        <v>0</v>
      </c>
      <c r="X110" s="13" t="s">
        <v>76</v>
      </c>
    </row>
    <row r="111" customFormat="false" ht="15" hidden="false" customHeight="false" outlineLevel="0" collapsed="false">
      <c r="A111" s="10" t="s">
        <v>420</v>
      </c>
      <c r="B111" s="10" t="s">
        <v>421</v>
      </c>
      <c r="C111" s="11" t="s">
        <v>413</v>
      </c>
      <c r="D111" s="12" t="n">
        <v>1.059</v>
      </c>
      <c r="E111" s="12"/>
      <c r="F111" s="12"/>
      <c r="G111" s="10" t="s">
        <v>414</v>
      </c>
      <c r="H111" s="10" t="s">
        <v>79</v>
      </c>
      <c r="I111" s="11" t="s">
        <v>65</v>
      </c>
      <c r="J111" s="10" t="s">
        <v>415</v>
      </c>
      <c r="K111" s="10" t="s">
        <v>67</v>
      </c>
      <c r="L111" s="10" t="s">
        <v>68</v>
      </c>
      <c r="M111" s="10" t="s">
        <v>416</v>
      </c>
      <c r="N111" s="11" t="s">
        <v>417</v>
      </c>
      <c r="O111" s="11" t="s">
        <v>418</v>
      </c>
      <c r="P111" s="10" t="s">
        <v>71</v>
      </c>
      <c r="Q111" s="11" t="s">
        <v>72</v>
      </c>
      <c r="R111" s="11" t="s">
        <v>417</v>
      </c>
      <c r="S111" s="11" t="s">
        <v>74</v>
      </c>
      <c r="T111" s="11" t="s">
        <v>422</v>
      </c>
      <c r="U111" s="10" t="n">
        <f aca="false">IF(AND($D111="",$E111="",$F111=""),1,0)</f>
        <v>0</v>
      </c>
      <c r="V111" s="10" t="n">
        <f aca="false">IF(OR($I111="",$I111="—"),1,0)</f>
        <v>0</v>
      </c>
      <c r="W111" s="10" t="n">
        <f aca="false">IF(AND(ISNUMBER($D111),ISNUMBER($E111)),IF($E111&gt;$D111,1,0),0)+IF(AND(ISNUMBER($D111),ISNUMBER($F111)),IF($D111&gt;$F111,1,0),0)+IF(AND(ISNUMBER($E111),ISNUMBER($F111)),IF($E111&gt;$F111,1,0),0)</f>
        <v>0</v>
      </c>
      <c r="X111" s="13" t="s">
        <v>76</v>
      </c>
    </row>
    <row r="112" customFormat="false" ht="15" hidden="false" customHeight="false" outlineLevel="0" collapsed="false">
      <c r="A112" s="10" t="s">
        <v>423</v>
      </c>
      <c r="B112" s="10" t="s">
        <v>424</v>
      </c>
      <c r="C112" s="11" t="s">
        <v>413</v>
      </c>
      <c r="D112" s="12" t="n">
        <v>1.945</v>
      </c>
      <c r="E112" s="12"/>
      <c r="F112" s="12"/>
      <c r="G112" s="10" t="s">
        <v>414</v>
      </c>
      <c r="H112" s="10" t="s">
        <v>83</v>
      </c>
      <c r="I112" s="11" t="s">
        <v>65</v>
      </c>
      <c r="J112" s="10" t="s">
        <v>415</v>
      </c>
      <c r="K112" s="10" t="s">
        <v>67</v>
      </c>
      <c r="L112" s="10" t="s">
        <v>68</v>
      </c>
      <c r="M112" s="10" t="s">
        <v>416</v>
      </c>
      <c r="N112" s="11" t="s">
        <v>417</v>
      </c>
      <c r="O112" s="11" t="s">
        <v>418</v>
      </c>
      <c r="P112" s="10" t="s">
        <v>71</v>
      </c>
      <c r="Q112" s="11" t="s">
        <v>72</v>
      </c>
      <c r="R112" s="11" t="s">
        <v>417</v>
      </c>
      <c r="S112" s="11" t="s">
        <v>74</v>
      </c>
      <c r="T112" s="11" t="s">
        <v>425</v>
      </c>
      <c r="U112" s="10" t="n">
        <f aca="false">IF(AND($D112="",$E112="",$F112=""),1,0)</f>
        <v>0</v>
      </c>
      <c r="V112" s="10" t="n">
        <f aca="false">IF(OR($I112="",$I112="—"),1,0)</f>
        <v>0</v>
      </c>
      <c r="W112" s="10" t="n">
        <f aca="false">IF(AND(ISNUMBER($D112),ISNUMBER($E112)),IF($E112&gt;$D112,1,0),0)+IF(AND(ISNUMBER($D112),ISNUMBER($F112)),IF($D112&gt;$F112,1,0),0)+IF(AND(ISNUMBER($E112),ISNUMBER($F112)),IF($E112&gt;$F112,1,0),0)</f>
        <v>0</v>
      </c>
      <c r="X112" s="13" t="s">
        <v>76</v>
      </c>
    </row>
    <row r="113" customFormat="false" ht="15" hidden="false" customHeight="false" outlineLevel="0" collapsed="false">
      <c r="A113" s="10" t="s">
        <v>426</v>
      </c>
      <c r="B113" s="10" t="s">
        <v>427</v>
      </c>
      <c r="C113" s="11" t="s">
        <v>413</v>
      </c>
      <c r="D113" s="12" t="n">
        <v>3.273</v>
      </c>
      <c r="E113" s="12"/>
      <c r="F113" s="12"/>
      <c r="G113" s="10" t="s">
        <v>414</v>
      </c>
      <c r="H113" s="10" t="s">
        <v>92</v>
      </c>
      <c r="I113" s="11" t="s">
        <v>65</v>
      </c>
      <c r="J113" s="10" t="s">
        <v>415</v>
      </c>
      <c r="K113" s="10" t="s">
        <v>67</v>
      </c>
      <c r="L113" s="10" t="s">
        <v>68</v>
      </c>
      <c r="M113" s="10" t="s">
        <v>416</v>
      </c>
      <c r="N113" s="11" t="s">
        <v>417</v>
      </c>
      <c r="O113" s="11" t="s">
        <v>418</v>
      </c>
      <c r="P113" s="10" t="s">
        <v>71</v>
      </c>
      <c r="Q113" s="11" t="s">
        <v>72</v>
      </c>
      <c r="R113" s="11" t="s">
        <v>417</v>
      </c>
      <c r="S113" s="11" t="s">
        <v>74</v>
      </c>
      <c r="T113" s="11" t="s">
        <v>428</v>
      </c>
      <c r="U113" s="10" t="n">
        <f aca="false">IF(AND($D113="",$E113="",$F113=""),1,0)</f>
        <v>0</v>
      </c>
      <c r="V113" s="10" t="n">
        <f aca="false">IF(OR($I113="",$I113="—"),1,0)</f>
        <v>0</v>
      </c>
      <c r="W113" s="10" t="n">
        <f aca="false">IF(AND(ISNUMBER($D113),ISNUMBER($E113)),IF($E113&gt;$D113,1,0),0)+IF(AND(ISNUMBER($D113),ISNUMBER($F113)),IF($D113&gt;$F113,1,0),0)+IF(AND(ISNUMBER($E113),ISNUMBER($F113)),IF($E113&gt;$F113,1,0),0)</f>
        <v>0</v>
      </c>
      <c r="X113" s="13" t="s">
        <v>76</v>
      </c>
    </row>
    <row r="114" customFormat="false" ht="15" hidden="false" customHeight="false" outlineLevel="0" collapsed="false">
      <c r="A114" s="10" t="s">
        <v>429</v>
      </c>
      <c r="B114" s="10" t="s">
        <v>430</v>
      </c>
      <c r="C114" s="11" t="s">
        <v>431</v>
      </c>
      <c r="D114" s="12" t="n">
        <v>89.431</v>
      </c>
      <c r="E114" s="12"/>
      <c r="F114" s="12"/>
      <c r="G114" s="10" t="s">
        <v>63</v>
      </c>
      <c r="H114" s="10" t="s">
        <v>432</v>
      </c>
      <c r="I114" s="11" t="s">
        <v>65</v>
      </c>
      <c r="J114" s="10" t="s">
        <v>415</v>
      </c>
      <c r="K114" s="10" t="s">
        <v>67</v>
      </c>
      <c r="L114" s="10" t="s">
        <v>68</v>
      </c>
      <c r="M114" s="10" t="s">
        <v>416</v>
      </c>
      <c r="N114" s="11" t="s">
        <v>433</v>
      </c>
      <c r="O114" s="11" t="s">
        <v>434</v>
      </c>
      <c r="P114" s="10" t="s">
        <v>71</v>
      </c>
      <c r="Q114" s="11" t="s">
        <v>72</v>
      </c>
      <c r="R114" s="11" t="s">
        <v>433</v>
      </c>
      <c r="S114" s="11" t="s">
        <v>74</v>
      </c>
      <c r="T114" s="11" t="s">
        <v>435</v>
      </c>
      <c r="U114" s="10" t="n">
        <f aca="false">IF(AND($D114="",$E114="",$F114=""),1,0)</f>
        <v>0</v>
      </c>
      <c r="V114" s="10" t="n">
        <f aca="false">IF(OR($I114="",$I114="—"),1,0)</f>
        <v>0</v>
      </c>
      <c r="W114" s="10" t="n">
        <f aca="false">IF(AND(ISNUMBER($D114),ISNUMBER($E114)),IF($E114&gt;$D114,1,0),0)+IF(AND(ISNUMBER($D114),ISNUMBER($F114)),IF($D114&gt;$F114,1,0),0)+IF(AND(ISNUMBER($E114),ISNUMBER($F114)),IF($E114&gt;$F114,1,0),0)</f>
        <v>0</v>
      </c>
      <c r="X114" s="13" t="s">
        <v>76</v>
      </c>
    </row>
    <row r="115" customFormat="false" ht="15" hidden="false" customHeight="false" outlineLevel="0" collapsed="false">
      <c r="A115" s="10" t="s">
        <v>436</v>
      </c>
      <c r="B115" s="10" t="s">
        <v>437</v>
      </c>
      <c r="C115" s="11" t="s">
        <v>438</v>
      </c>
      <c r="D115" s="12" t="n">
        <v>657</v>
      </c>
      <c r="E115" s="12"/>
      <c r="F115" s="12"/>
      <c r="G115" s="11" t="s">
        <v>439</v>
      </c>
      <c r="H115" s="10" t="s">
        <v>440</v>
      </c>
      <c r="I115" s="11" t="s">
        <v>65</v>
      </c>
      <c r="J115" s="10" t="s">
        <v>66</v>
      </c>
      <c r="K115" s="10" t="s">
        <v>67</v>
      </c>
      <c r="L115" s="10" t="s">
        <v>68</v>
      </c>
      <c r="M115" s="10" t="s">
        <v>69</v>
      </c>
      <c r="N115" s="10"/>
      <c r="O115" s="11" t="s">
        <v>441</v>
      </c>
      <c r="P115" s="10" t="s">
        <v>71</v>
      </c>
      <c r="Q115" s="11" t="s">
        <v>72</v>
      </c>
      <c r="R115" s="11" t="s">
        <v>73</v>
      </c>
      <c r="S115" s="11" t="s">
        <v>74</v>
      </c>
      <c r="T115" s="11" t="s">
        <v>442</v>
      </c>
      <c r="U115" s="10" t="n">
        <f aca="false">IF(AND($D115="",$E115="",$F115=""),1,0)</f>
        <v>0</v>
      </c>
      <c r="V115" s="10" t="n">
        <f aca="false">IF(OR($I115="",$I115="—"),1,0)</f>
        <v>0</v>
      </c>
      <c r="W115" s="10" t="n">
        <f aca="false">IF(AND(ISNUMBER($D115),ISNUMBER($E115)),IF($E115&gt;$D115,1,0),0)+IF(AND(ISNUMBER($D115),ISNUMBER($F115)),IF($D115&gt;$F115,1,0),0)+IF(AND(ISNUMBER($E115),ISNUMBER($F115)),IF($E115&gt;$F115,1,0),0)</f>
        <v>0</v>
      </c>
      <c r="X115" s="13" t="s">
        <v>76</v>
      </c>
    </row>
    <row r="116" customFormat="false" ht="15" hidden="false" customHeight="false" outlineLevel="0" collapsed="false">
      <c r="A116" s="10" t="s">
        <v>443</v>
      </c>
      <c r="B116" s="10" t="s">
        <v>444</v>
      </c>
      <c r="C116" s="11" t="s">
        <v>445</v>
      </c>
      <c r="D116" s="12" t="n">
        <v>1.9038</v>
      </c>
      <c r="E116" s="12"/>
      <c r="F116" s="12"/>
      <c r="G116" s="10" t="s">
        <v>63</v>
      </c>
      <c r="H116" s="10" t="s">
        <v>446</v>
      </c>
      <c r="I116" s="11" t="s">
        <v>447</v>
      </c>
      <c r="J116" s="10" t="s">
        <v>448</v>
      </c>
      <c r="K116" s="10" t="s">
        <v>449</v>
      </c>
      <c r="L116" s="10" t="s">
        <v>68</v>
      </c>
      <c r="M116" s="10" t="s">
        <v>69</v>
      </c>
      <c r="N116" s="10"/>
      <c r="O116" s="11" t="s">
        <v>450</v>
      </c>
      <c r="P116" s="10" t="s">
        <v>71</v>
      </c>
      <c r="Q116" s="11" t="s">
        <v>72</v>
      </c>
      <c r="R116" s="11" t="s">
        <v>73</v>
      </c>
      <c r="S116" s="11" t="s">
        <v>74</v>
      </c>
      <c r="T116" s="11" t="s">
        <v>451</v>
      </c>
      <c r="U116" s="10" t="n">
        <f aca="false">IF(AND($D116="",$E116="",$F116=""),1,0)</f>
        <v>0</v>
      </c>
      <c r="V116" s="10" t="n">
        <f aca="false">IF(OR($I116="",$I116="—"),1,0)</f>
        <v>0</v>
      </c>
      <c r="W116" s="10" t="n">
        <f aca="false">IF(AND(ISNUMBER($D116),ISNUMBER($E116)),IF($E116&gt;$D116,1,0),0)+IF(AND(ISNUMBER($D116),ISNUMBER($F116)),IF($D116&gt;$F116,1,0),0)+IF(AND(ISNUMBER($E116),ISNUMBER($F116)),IF($E116&gt;$F116,1,0),0)</f>
        <v>0</v>
      </c>
      <c r="X116" s="13" t="s">
        <v>76</v>
      </c>
    </row>
    <row r="117" customFormat="false" ht="15" hidden="false" customHeight="false" outlineLevel="0" collapsed="false">
      <c r="A117" s="10" t="s">
        <v>452</v>
      </c>
      <c r="B117" s="10" t="s">
        <v>453</v>
      </c>
      <c r="C117" s="11" t="s">
        <v>445</v>
      </c>
      <c r="D117" s="12" t="n">
        <v>0.4848</v>
      </c>
      <c r="E117" s="12"/>
      <c r="F117" s="12"/>
      <c r="G117" s="10" t="s">
        <v>63</v>
      </c>
      <c r="H117" s="10" t="s">
        <v>83</v>
      </c>
      <c r="I117" s="11" t="s">
        <v>447</v>
      </c>
      <c r="J117" s="10" t="s">
        <v>448</v>
      </c>
      <c r="K117" s="10" t="s">
        <v>449</v>
      </c>
      <c r="L117" s="10" t="s">
        <v>68</v>
      </c>
      <c r="M117" s="10" t="s">
        <v>69</v>
      </c>
      <c r="N117" s="10"/>
      <c r="O117" s="11" t="s">
        <v>450</v>
      </c>
      <c r="P117" s="10" t="s">
        <v>71</v>
      </c>
      <c r="Q117" s="11" t="s">
        <v>72</v>
      </c>
      <c r="R117" s="11" t="s">
        <v>73</v>
      </c>
      <c r="S117" s="11" t="s">
        <v>74</v>
      </c>
      <c r="T117" s="11" t="s">
        <v>454</v>
      </c>
      <c r="U117" s="10" t="n">
        <f aca="false">IF(AND($D117="",$E117="",$F117=""),1,0)</f>
        <v>0</v>
      </c>
      <c r="V117" s="10" t="n">
        <f aca="false">IF(OR($I117="",$I117="—"),1,0)</f>
        <v>0</v>
      </c>
      <c r="W117" s="10" t="n">
        <f aca="false">IF(AND(ISNUMBER($D117),ISNUMBER($E117)),IF($E117&gt;$D117,1,0),0)+IF(AND(ISNUMBER($D117),ISNUMBER($F117)),IF($D117&gt;$F117,1,0),0)+IF(AND(ISNUMBER($E117),ISNUMBER($F117)),IF($E117&gt;$F117,1,0),0)</f>
        <v>0</v>
      </c>
      <c r="X117" s="13" t="s">
        <v>76</v>
      </c>
    </row>
    <row r="118" customFormat="false" ht="15" hidden="false" customHeight="false" outlineLevel="0" collapsed="false">
      <c r="A118" s="10" t="s">
        <v>455</v>
      </c>
      <c r="B118" s="10" t="s">
        <v>456</v>
      </c>
      <c r="C118" s="11" t="s">
        <v>457</v>
      </c>
      <c r="D118" s="12" t="n">
        <v>1.6569</v>
      </c>
      <c r="E118" s="12"/>
      <c r="F118" s="12"/>
      <c r="G118" s="10" t="s">
        <v>63</v>
      </c>
      <c r="H118" s="10" t="s">
        <v>446</v>
      </c>
      <c r="I118" s="11" t="s">
        <v>447</v>
      </c>
      <c r="J118" s="10" t="s">
        <v>448</v>
      </c>
      <c r="K118" s="10" t="s">
        <v>449</v>
      </c>
      <c r="L118" s="10" t="s">
        <v>68</v>
      </c>
      <c r="M118" s="10" t="s">
        <v>69</v>
      </c>
      <c r="N118" s="10"/>
      <c r="O118" s="11" t="s">
        <v>450</v>
      </c>
      <c r="P118" s="10" t="s">
        <v>71</v>
      </c>
      <c r="Q118" s="11" t="s">
        <v>72</v>
      </c>
      <c r="R118" s="11" t="s">
        <v>73</v>
      </c>
      <c r="S118" s="11" t="s">
        <v>74</v>
      </c>
      <c r="T118" s="11" t="s">
        <v>458</v>
      </c>
      <c r="U118" s="10" t="n">
        <f aca="false">IF(AND($D118="",$E118="",$F118=""),1,0)</f>
        <v>0</v>
      </c>
      <c r="V118" s="10" t="n">
        <f aca="false">IF(OR($I118="",$I118="—"),1,0)</f>
        <v>0</v>
      </c>
      <c r="W118" s="10" t="n">
        <f aca="false">IF(AND(ISNUMBER($D118),ISNUMBER($E118)),IF($E118&gt;$D118,1,0),0)+IF(AND(ISNUMBER($D118),ISNUMBER($F118)),IF($D118&gt;$F118,1,0),0)+IF(AND(ISNUMBER($E118),ISNUMBER($F118)),IF($E118&gt;$F118,1,0),0)</f>
        <v>0</v>
      </c>
      <c r="X118" s="13" t="s">
        <v>76</v>
      </c>
    </row>
    <row r="119" customFormat="false" ht="15" hidden="false" customHeight="false" outlineLevel="0" collapsed="false">
      <c r="A119" s="10" t="s">
        <v>459</v>
      </c>
      <c r="B119" s="10" t="s">
        <v>460</v>
      </c>
      <c r="C119" s="11" t="s">
        <v>457</v>
      </c>
      <c r="D119" s="12" t="n">
        <v>0.4749</v>
      </c>
      <c r="E119" s="12"/>
      <c r="F119" s="12"/>
      <c r="G119" s="10" t="s">
        <v>63</v>
      </c>
      <c r="H119" s="10" t="s">
        <v>83</v>
      </c>
      <c r="I119" s="11" t="s">
        <v>447</v>
      </c>
      <c r="J119" s="10" t="s">
        <v>448</v>
      </c>
      <c r="K119" s="10" t="s">
        <v>449</v>
      </c>
      <c r="L119" s="10" t="s">
        <v>68</v>
      </c>
      <c r="M119" s="10" t="s">
        <v>69</v>
      </c>
      <c r="N119" s="10"/>
      <c r="O119" s="11" t="s">
        <v>450</v>
      </c>
      <c r="P119" s="10" t="s">
        <v>71</v>
      </c>
      <c r="Q119" s="11" t="s">
        <v>72</v>
      </c>
      <c r="R119" s="11" t="s">
        <v>73</v>
      </c>
      <c r="S119" s="11" t="s">
        <v>74</v>
      </c>
      <c r="T119" s="11" t="s">
        <v>461</v>
      </c>
      <c r="U119" s="10" t="n">
        <f aca="false">IF(AND($D119="",$E119="",$F119=""),1,0)</f>
        <v>0</v>
      </c>
      <c r="V119" s="10" t="n">
        <f aca="false">IF(OR($I119="",$I119="—"),1,0)</f>
        <v>0</v>
      </c>
      <c r="W119" s="10" t="n">
        <f aca="false">IF(AND(ISNUMBER($D119),ISNUMBER($E119)),IF($E119&gt;$D119,1,0),0)+IF(AND(ISNUMBER($D119),ISNUMBER($F119)),IF($D119&gt;$F119,1,0),0)+IF(AND(ISNUMBER($E119),ISNUMBER($F119)),IF($E119&gt;$F119,1,0),0)</f>
        <v>0</v>
      </c>
      <c r="X119" s="13" t="s">
        <v>76</v>
      </c>
    </row>
    <row r="120" customFormat="false" ht="15" hidden="false" customHeight="false" outlineLevel="0" collapsed="false">
      <c r="A120" s="10" t="s">
        <v>462</v>
      </c>
      <c r="B120" s="10" t="s">
        <v>463</v>
      </c>
      <c r="C120" s="11" t="s">
        <v>464</v>
      </c>
      <c r="D120" s="12" t="n">
        <v>3.6572</v>
      </c>
      <c r="E120" s="12"/>
      <c r="F120" s="12"/>
      <c r="G120" s="10" t="s">
        <v>63</v>
      </c>
      <c r="H120" s="10" t="s">
        <v>446</v>
      </c>
      <c r="I120" s="11" t="s">
        <v>447</v>
      </c>
      <c r="J120" s="10" t="s">
        <v>448</v>
      </c>
      <c r="K120" s="10" t="s">
        <v>449</v>
      </c>
      <c r="L120" s="10" t="s">
        <v>68</v>
      </c>
      <c r="M120" s="10" t="s">
        <v>69</v>
      </c>
      <c r="N120" s="10"/>
      <c r="O120" s="11" t="s">
        <v>450</v>
      </c>
      <c r="P120" s="10" t="s">
        <v>71</v>
      </c>
      <c r="Q120" s="11" t="s">
        <v>72</v>
      </c>
      <c r="R120" s="11" t="s">
        <v>73</v>
      </c>
      <c r="S120" s="11" t="s">
        <v>74</v>
      </c>
      <c r="T120" s="11" t="s">
        <v>465</v>
      </c>
      <c r="U120" s="10" t="n">
        <f aca="false">IF(AND($D120="",$E120="",$F120=""),1,0)</f>
        <v>0</v>
      </c>
      <c r="V120" s="10" t="n">
        <f aca="false">IF(OR($I120="",$I120="—"),1,0)</f>
        <v>0</v>
      </c>
      <c r="W120" s="10" t="n">
        <f aca="false">IF(AND(ISNUMBER($D120),ISNUMBER($E120)),IF($E120&gt;$D120,1,0),0)+IF(AND(ISNUMBER($D120),ISNUMBER($F120)),IF($D120&gt;$F120,1,0),0)+IF(AND(ISNUMBER($E120),ISNUMBER($F120)),IF($E120&gt;$F120,1,0),0)</f>
        <v>0</v>
      </c>
      <c r="X120" s="13" t="s">
        <v>76</v>
      </c>
    </row>
    <row r="121" customFormat="false" ht="15" hidden="false" customHeight="false" outlineLevel="0" collapsed="false">
      <c r="A121" s="10" t="s">
        <v>466</v>
      </c>
      <c r="B121" s="10" t="s">
        <v>467</v>
      </c>
      <c r="C121" s="11" t="s">
        <v>464</v>
      </c>
      <c r="D121" s="12" t="n">
        <v>2.145</v>
      </c>
      <c r="E121" s="12"/>
      <c r="F121" s="12"/>
      <c r="G121" s="10" t="s">
        <v>63</v>
      </c>
      <c r="H121" s="10" t="s">
        <v>83</v>
      </c>
      <c r="I121" s="11" t="s">
        <v>447</v>
      </c>
      <c r="J121" s="10" t="s">
        <v>448</v>
      </c>
      <c r="K121" s="10" t="s">
        <v>449</v>
      </c>
      <c r="L121" s="10" t="s">
        <v>68</v>
      </c>
      <c r="M121" s="10" t="s">
        <v>69</v>
      </c>
      <c r="N121" s="10"/>
      <c r="O121" s="11" t="s">
        <v>450</v>
      </c>
      <c r="P121" s="10" t="s">
        <v>71</v>
      </c>
      <c r="Q121" s="11" t="s">
        <v>72</v>
      </c>
      <c r="R121" s="11" t="s">
        <v>73</v>
      </c>
      <c r="S121" s="11" t="s">
        <v>74</v>
      </c>
      <c r="T121" s="11" t="s">
        <v>468</v>
      </c>
      <c r="U121" s="10" t="n">
        <f aca="false">IF(AND($D121="",$E121="",$F121=""),1,0)</f>
        <v>0</v>
      </c>
      <c r="V121" s="10" t="n">
        <f aca="false">IF(OR($I121="",$I121="—"),1,0)</f>
        <v>0</v>
      </c>
      <c r="W121" s="10" t="n">
        <f aca="false">IF(AND(ISNUMBER($D121),ISNUMBER($E121)),IF($E121&gt;$D121,1,0),0)+IF(AND(ISNUMBER($D121),ISNUMBER($F121)),IF($D121&gt;$F121,1,0),0)+IF(AND(ISNUMBER($E121),ISNUMBER($F121)),IF($E121&gt;$F121,1,0),0)</f>
        <v>0</v>
      </c>
      <c r="X121" s="13" t="s">
        <v>76</v>
      </c>
    </row>
    <row r="122" customFormat="false" ht="15" hidden="false" customHeight="false" outlineLevel="0" collapsed="false">
      <c r="A122" s="10" t="s">
        <v>469</v>
      </c>
      <c r="B122" s="10" t="s">
        <v>470</v>
      </c>
      <c r="C122" s="11" t="s">
        <v>471</v>
      </c>
      <c r="D122" s="12" t="n">
        <v>0.0254</v>
      </c>
      <c r="E122" s="12"/>
      <c r="F122" s="12"/>
      <c r="G122" s="10" t="s">
        <v>63</v>
      </c>
      <c r="H122" s="10" t="s">
        <v>446</v>
      </c>
      <c r="I122" s="11" t="s">
        <v>447</v>
      </c>
      <c r="J122" s="10" t="s">
        <v>448</v>
      </c>
      <c r="K122" s="10" t="s">
        <v>449</v>
      </c>
      <c r="L122" s="10" t="s">
        <v>68</v>
      </c>
      <c r="M122" s="10" t="s">
        <v>69</v>
      </c>
      <c r="N122" s="10"/>
      <c r="O122" s="11" t="s">
        <v>450</v>
      </c>
      <c r="P122" s="10" t="s">
        <v>71</v>
      </c>
      <c r="Q122" s="11" t="s">
        <v>72</v>
      </c>
      <c r="R122" s="11" t="s">
        <v>73</v>
      </c>
      <c r="S122" s="11" t="s">
        <v>74</v>
      </c>
      <c r="T122" s="11" t="s">
        <v>472</v>
      </c>
      <c r="U122" s="10" t="n">
        <f aca="false">IF(AND($D122="",$E122="",$F122=""),1,0)</f>
        <v>0</v>
      </c>
      <c r="V122" s="10" t="n">
        <f aca="false">IF(OR($I122="",$I122="—"),1,0)</f>
        <v>0</v>
      </c>
      <c r="W122" s="10" t="n">
        <f aca="false">IF(AND(ISNUMBER($D122),ISNUMBER($E122)),IF($E122&gt;$D122,1,0),0)+IF(AND(ISNUMBER($D122),ISNUMBER($F122)),IF($D122&gt;$F122,1,0),0)+IF(AND(ISNUMBER($E122),ISNUMBER($F122)),IF($E122&gt;$F122,1,0),0)</f>
        <v>0</v>
      </c>
      <c r="X122" s="13" t="s">
        <v>76</v>
      </c>
    </row>
    <row r="123" customFormat="false" ht="15" hidden="false" customHeight="false" outlineLevel="0" collapsed="false">
      <c r="A123" s="10" t="s">
        <v>473</v>
      </c>
      <c r="B123" s="10" t="s">
        <v>474</v>
      </c>
      <c r="C123" s="11" t="s">
        <v>471</v>
      </c>
      <c r="D123" s="12" t="n">
        <v>0.0194</v>
      </c>
      <c r="E123" s="12"/>
      <c r="F123" s="12"/>
      <c r="G123" s="10" t="s">
        <v>63</v>
      </c>
      <c r="H123" s="10" t="s">
        <v>83</v>
      </c>
      <c r="I123" s="11" t="s">
        <v>447</v>
      </c>
      <c r="J123" s="10" t="s">
        <v>448</v>
      </c>
      <c r="K123" s="10" t="s">
        <v>449</v>
      </c>
      <c r="L123" s="10" t="s">
        <v>68</v>
      </c>
      <c r="M123" s="10" t="s">
        <v>69</v>
      </c>
      <c r="N123" s="10"/>
      <c r="O123" s="11" t="s">
        <v>450</v>
      </c>
      <c r="P123" s="10" t="s">
        <v>71</v>
      </c>
      <c r="Q123" s="11" t="s">
        <v>72</v>
      </c>
      <c r="R123" s="11" t="s">
        <v>73</v>
      </c>
      <c r="S123" s="11" t="s">
        <v>74</v>
      </c>
      <c r="T123" s="11" t="s">
        <v>475</v>
      </c>
      <c r="U123" s="10" t="n">
        <f aca="false">IF(AND($D123="",$E123="",$F123=""),1,0)</f>
        <v>0</v>
      </c>
      <c r="V123" s="10" t="n">
        <f aca="false">IF(OR($I123="",$I123="—"),1,0)</f>
        <v>0</v>
      </c>
      <c r="W123" s="10" t="n">
        <f aca="false">IF(AND(ISNUMBER($D123),ISNUMBER($E123)),IF($E123&gt;$D123,1,0),0)+IF(AND(ISNUMBER($D123),ISNUMBER($F123)),IF($D123&gt;$F123,1,0),0)+IF(AND(ISNUMBER($E123),ISNUMBER($F123)),IF($E123&gt;$F123,1,0),0)</f>
        <v>0</v>
      </c>
      <c r="X123" s="13" t="s">
        <v>76</v>
      </c>
    </row>
    <row r="124" customFormat="false" ht="15" hidden="false" customHeight="false" outlineLevel="0" collapsed="false">
      <c r="A124" s="10" t="s">
        <v>476</v>
      </c>
      <c r="B124" s="10" t="s">
        <v>477</v>
      </c>
      <c r="C124" s="11" t="s">
        <v>62</v>
      </c>
      <c r="D124" s="12" t="n">
        <v>7.2433</v>
      </c>
      <c r="E124" s="12"/>
      <c r="F124" s="12"/>
      <c r="G124" s="10" t="s">
        <v>63</v>
      </c>
      <c r="H124" s="10" t="s">
        <v>446</v>
      </c>
      <c r="I124" s="11" t="s">
        <v>447</v>
      </c>
      <c r="J124" s="10" t="s">
        <v>448</v>
      </c>
      <c r="K124" s="10" t="s">
        <v>449</v>
      </c>
      <c r="L124" s="10" t="s">
        <v>68</v>
      </c>
      <c r="M124" s="10" t="s">
        <v>69</v>
      </c>
      <c r="N124" s="10"/>
      <c r="O124" s="11" t="s">
        <v>450</v>
      </c>
      <c r="P124" s="10" t="s">
        <v>71</v>
      </c>
      <c r="Q124" s="11" t="s">
        <v>72</v>
      </c>
      <c r="R124" s="11" t="s">
        <v>73</v>
      </c>
      <c r="S124" s="11" t="s">
        <v>74</v>
      </c>
      <c r="T124" s="11" t="s">
        <v>478</v>
      </c>
      <c r="U124" s="10" t="n">
        <f aca="false">IF(AND($D124="",$E124="",$F124=""),1,0)</f>
        <v>0</v>
      </c>
      <c r="V124" s="10" t="n">
        <f aca="false">IF(OR($I124="",$I124="—"),1,0)</f>
        <v>0</v>
      </c>
      <c r="W124" s="10" t="n">
        <f aca="false">IF(AND(ISNUMBER($D124),ISNUMBER($E124)),IF($E124&gt;$D124,1,0),0)+IF(AND(ISNUMBER($D124),ISNUMBER($F124)),IF($D124&gt;$F124,1,0),0)+IF(AND(ISNUMBER($E124),ISNUMBER($F124)),IF($E124&gt;$F124,1,0),0)</f>
        <v>0</v>
      </c>
      <c r="X124" s="13" t="s">
        <v>76</v>
      </c>
    </row>
    <row r="125" customFormat="false" ht="15" hidden="false" customHeight="false" outlineLevel="0" collapsed="false">
      <c r="A125" s="10" t="s">
        <v>479</v>
      </c>
      <c r="B125" s="10" t="s">
        <v>480</v>
      </c>
      <c r="C125" s="11" t="s">
        <v>481</v>
      </c>
      <c r="D125" s="12" t="n">
        <v>5.3396</v>
      </c>
      <c r="E125" s="12"/>
      <c r="F125" s="12"/>
      <c r="G125" s="10" t="s">
        <v>63</v>
      </c>
      <c r="H125" s="10" t="s">
        <v>446</v>
      </c>
      <c r="I125" s="11" t="s">
        <v>447</v>
      </c>
      <c r="J125" s="10" t="s">
        <v>448</v>
      </c>
      <c r="K125" s="10" t="s">
        <v>449</v>
      </c>
      <c r="L125" s="10" t="s">
        <v>68</v>
      </c>
      <c r="M125" s="10" t="s">
        <v>69</v>
      </c>
      <c r="N125" s="10"/>
      <c r="O125" s="11" t="s">
        <v>450</v>
      </c>
      <c r="P125" s="10" t="s">
        <v>71</v>
      </c>
      <c r="Q125" s="11" t="s">
        <v>72</v>
      </c>
      <c r="R125" s="11" t="s">
        <v>73</v>
      </c>
      <c r="S125" s="11" t="s">
        <v>74</v>
      </c>
      <c r="T125" s="11" t="s">
        <v>482</v>
      </c>
      <c r="U125" s="10" t="n">
        <f aca="false">IF(AND($D125="",$E125="",$F125=""),1,0)</f>
        <v>0</v>
      </c>
      <c r="V125" s="10" t="n">
        <f aca="false">IF(OR($I125="",$I125="—"),1,0)</f>
        <v>0</v>
      </c>
      <c r="W125" s="10" t="n">
        <f aca="false">IF(AND(ISNUMBER($D125),ISNUMBER($E125)),IF($E125&gt;$D125,1,0),0)+IF(AND(ISNUMBER($D125),ISNUMBER($F125)),IF($D125&gt;$F125,1,0),0)+IF(AND(ISNUMBER($E125),ISNUMBER($F125)),IF($E125&gt;$F125,1,0),0)</f>
        <v>0</v>
      </c>
      <c r="X125" s="13" t="s">
        <v>76</v>
      </c>
    </row>
    <row r="126" customFormat="false" ht="15" hidden="false" customHeight="false" outlineLevel="0" collapsed="false">
      <c r="A126" s="10" t="s">
        <v>483</v>
      </c>
      <c r="B126" s="10" t="s">
        <v>484</v>
      </c>
      <c r="C126" s="11" t="s">
        <v>485</v>
      </c>
      <c r="D126" s="12" t="n">
        <v>1.9038</v>
      </c>
      <c r="E126" s="12"/>
      <c r="F126" s="12"/>
      <c r="G126" s="10" t="s">
        <v>63</v>
      </c>
      <c r="H126" s="10" t="s">
        <v>446</v>
      </c>
      <c r="I126" s="11" t="s">
        <v>447</v>
      </c>
      <c r="J126" s="10" t="s">
        <v>448</v>
      </c>
      <c r="K126" s="10" t="s">
        <v>449</v>
      </c>
      <c r="L126" s="10" t="s">
        <v>68</v>
      </c>
      <c r="M126" s="10" t="s">
        <v>69</v>
      </c>
      <c r="N126" s="10"/>
      <c r="O126" s="11" t="s">
        <v>450</v>
      </c>
      <c r="P126" s="10" t="s">
        <v>71</v>
      </c>
      <c r="Q126" s="11" t="s">
        <v>72</v>
      </c>
      <c r="R126" s="11" t="s">
        <v>73</v>
      </c>
      <c r="S126" s="11" t="s">
        <v>74</v>
      </c>
      <c r="T126" s="11" t="s">
        <v>486</v>
      </c>
      <c r="U126" s="10" t="n">
        <f aca="false">IF(AND($D126="",$E126="",$F126=""),1,0)</f>
        <v>0</v>
      </c>
      <c r="V126" s="10" t="n">
        <f aca="false">IF(OR($I126="",$I126="—"),1,0)</f>
        <v>0</v>
      </c>
      <c r="W126" s="10" t="n">
        <f aca="false">IF(AND(ISNUMBER($D126),ISNUMBER($E126)),IF($E126&gt;$D126,1,0),0)+IF(AND(ISNUMBER($D126),ISNUMBER($F126)),IF($D126&gt;$F126,1,0),0)+IF(AND(ISNUMBER($E126),ISNUMBER($F126)),IF($E126&gt;$F126,1,0),0)</f>
        <v>0</v>
      </c>
      <c r="X126" s="13" t="s">
        <v>76</v>
      </c>
    </row>
    <row r="127" customFormat="false" ht="15" hidden="false" customHeight="false" outlineLevel="0" collapsed="false">
      <c r="A127" s="10" t="s">
        <v>487</v>
      </c>
      <c r="B127" s="10" t="s">
        <v>488</v>
      </c>
      <c r="C127" s="11" t="s">
        <v>489</v>
      </c>
      <c r="D127" s="12" t="n">
        <v>4.2768</v>
      </c>
      <c r="E127" s="12"/>
      <c r="F127" s="12"/>
      <c r="G127" s="10" t="s">
        <v>63</v>
      </c>
      <c r="H127" s="10" t="s">
        <v>446</v>
      </c>
      <c r="I127" s="11" t="s">
        <v>447</v>
      </c>
      <c r="J127" s="10" t="s">
        <v>448</v>
      </c>
      <c r="K127" s="10" t="s">
        <v>449</v>
      </c>
      <c r="L127" s="10" t="s">
        <v>68</v>
      </c>
      <c r="M127" s="10" t="s">
        <v>69</v>
      </c>
      <c r="N127" s="10"/>
      <c r="O127" s="11" t="s">
        <v>450</v>
      </c>
      <c r="P127" s="10" t="s">
        <v>71</v>
      </c>
      <c r="Q127" s="11" t="s">
        <v>72</v>
      </c>
      <c r="R127" s="11" t="s">
        <v>73</v>
      </c>
      <c r="S127" s="11" t="s">
        <v>74</v>
      </c>
      <c r="T127" s="11" t="s">
        <v>490</v>
      </c>
      <c r="U127" s="10" t="n">
        <f aca="false">IF(AND($D127="",$E127="",$F127=""),1,0)</f>
        <v>0</v>
      </c>
      <c r="V127" s="10" t="n">
        <f aca="false">IF(OR($I127="",$I127="—"),1,0)</f>
        <v>0</v>
      </c>
      <c r="W127" s="10" t="n">
        <f aca="false">IF(AND(ISNUMBER($D127),ISNUMBER($E127)),IF($E127&gt;$D127,1,0),0)+IF(AND(ISNUMBER($D127),ISNUMBER($F127)),IF($D127&gt;$F127,1,0),0)+IF(AND(ISNUMBER($E127),ISNUMBER($F127)),IF($E127&gt;$F127,1,0),0)</f>
        <v>0</v>
      </c>
      <c r="X127" s="13" t="s">
        <v>76</v>
      </c>
    </row>
    <row r="128" customFormat="false" ht="15" hidden="false" customHeight="false" outlineLevel="0" collapsed="false">
      <c r="A128" s="10" t="s">
        <v>491</v>
      </c>
      <c r="B128" s="10" t="s">
        <v>492</v>
      </c>
      <c r="C128" s="11" t="s">
        <v>176</v>
      </c>
      <c r="D128" s="12" t="n">
        <v>2.9666</v>
      </c>
      <c r="E128" s="12"/>
      <c r="F128" s="12"/>
      <c r="G128" s="10" t="s">
        <v>63</v>
      </c>
      <c r="H128" s="10" t="s">
        <v>446</v>
      </c>
      <c r="I128" s="11" t="s">
        <v>447</v>
      </c>
      <c r="J128" s="10" t="s">
        <v>448</v>
      </c>
      <c r="K128" s="10" t="s">
        <v>449</v>
      </c>
      <c r="L128" s="10" t="s">
        <v>68</v>
      </c>
      <c r="M128" s="10" t="s">
        <v>69</v>
      </c>
      <c r="N128" s="10"/>
      <c r="O128" s="11" t="s">
        <v>450</v>
      </c>
      <c r="P128" s="10" t="s">
        <v>71</v>
      </c>
      <c r="Q128" s="11" t="s">
        <v>72</v>
      </c>
      <c r="R128" s="11" t="s">
        <v>73</v>
      </c>
      <c r="S128" s="11" t="s">
        <v>74</v>
      </c>
      <c r="T128" s="11" t="s">
        <v>493</v>
      </c>
      <c r="U128" s="10" t="n">
        <f aca="false">IF(AND($D128="",$E128="",$F128=""),1,0)</f>
        <v>0</v>
      </c>
      <c r="V128" s="10" t="n">
        <f aca="false">IF(OR($I128="",$I128="—"),1,0)</f>
        <v>0</v>
      </c>
      <c r="W128" s="10" t="n">
        <f aca="false">IF(AND(ISNUMBER($D128),ISNUMBER($E128)),IF($E128&gt;$D128,1,0),0)+IF(AND(ISNUMBER($D128),ISNUMBER($F128)),IF($D128&gt;$F128,1,0),0)+IF(AND(ISNUMBER($E128),ISNUMBER($F128)),IF($E128&gt;$F128,1,0),0)</f>
        <v>0</v>
      </c>
      <c r="X128" s="13" t="s">
        <v>76</v>
      </c>
    </row>
    <row r="129" customFormat="false" ht="15" hidden="false" customHeight="false" outlineLevel="0" collapsed="false">
      <c r="A129" s="10" t="s">
        <v>494</v>
      </c>
      <c r="B129" s="10" t="s">
        <v>495</v>
      </c>
      <c r="C129" s="11" t="s">
        <v>400</v>
      </c>
      <c r="D129" s="12" t="n">
        <v>41</v>
      </c>
      <c r="E129" s="12"/>
      <c r="F129" s="12"/>
      <c r="G129" s="10" t="s">
        <v>401</v>
      </c>
      <c r="H129" s="10" t="s">
        <v>446</v>
      </c>
      <c r="I129" s="11" t="s">
        <v>447</v>
      </c>
      <c r="J129" s="10" t="s">
        <v>448</v>
      </c>
      <c r="K129" s="10" t="s">
        <v>449</v>
      </c>
      <c r="L129" s="10" t="s">
        <v>68</v>
      </c>
      <c r="M129" s="10" t="s">
        <v>69</v>
      </c>
      <c r="N129" s="10"/>
      <c r="O129" s="11" t="s">
        <v>450</v>
      </c>
      <c r="P129" s="10" t="s">
        <v>71</v>
      </c>
      <c r="Q129" s="11" t="s">
        <v>72</v>
      </c>
      <c r="R129" s="11" t="s">
        <v>73</v>
      </c>
      <c r="S129" s="11" t="s">
        <v>74</v>
      </c>
      <c r="T129" s="11" t="s">
        <v>496</v>
      </c>
      <c r="U129" s="10" t="n">
        <f aca="false">IF(AND($D129="",$E129="",$F129=""),1,0)</f>
        <v>0</v>
      </c>
      <c r="V129" s="10" t="n">
        <f aca="false">IF(OR($I129="",$I129="—"),1,0)</f>
        <v>0</v>
      </c>
      <c r="W129" s="10" t="n">
        <f aca="false">IF(AND(ISNUMBER($D129),ISNUMBER($E129)),IF($E129&gt;$D129,1,0),0)+IF(AND(ISNUMBER($D129),ISNUMBER($F129)),IF($D129&gt;$F129,1,0),0)+IF(AND(ISNUMBER($E129),ISNUMBER($F129)),IF($E129&gt;$F129,1,0),0)</f>
        <v>0</v>
      </c>
      <c r="X129" s="13" t="s">
        <v>76</v>
      </c>
    </row>
    <row r="130" customFormat="false" ht="15" hidden="false" customHeight="false" outlineLevel="0" collapsed="false">
      <c r="A130" s="10" t="s">
        <v>497</v>
      </c>
      <c r="B130" s="10" t="s">
        <v>498</v>
      </c>
      <c r="C130" s="11" t="s">
        <v>499</v>
      </c>
      <c r="D130" s="12" t="n">
        <v>2.6066</v>
      </c>
      <c r="E130" s="12"/>
      <c r="F130" s="12"/>
      <c r="G130" s="10" t="s">
        <v>63</v>
      </c>
      <c r="H130" s="10" t="s">
        <v>446</v>
      </c>
      <c r="I130" s="11" t="s">
        <v>447</v>
      </c>
      <c r="J130" s="10" t="s">
        <v>448</v>
      </c>
      <c r="K130" s="10" t="s">
        <v>449</v>
      </c>
      <c r="L130" s="10" t="s">
        <v>68</v>
      </c>
      <c r="M130" s="10" t="s">
        <v>69</v>
      </c>
      <c r="N130" s="10"/>
      <c r="O130" s="11" t="s">
        <v>450</v>
      </c>
      <c r="P130" s="10" t="s">
        <v>71</v>
      </c>
      <c r="Q130" s="11" t="s">
        <v>72</v>
      </c>
      <c r="R130" s="11" t="s">
        <v>73</v>
      </c>
      <c r="S130" s="11" t="s">
        <v>74</v>
      </c>
      <c r="T130" s="11" t="s">
        <v>500</v>
      </c>
      <c r="U130" s="10" t="n">
        <f aca="false">IF(AND($D130="",$E130="",$F130=""),1,0)</f>
        <v>0</v>
      </c>
      <c r="V130" s="10" t="n">
        <f aca="false">IF(OR($I130="",$I130="—"),1,0)</f>
        <v>0</v>
      </c>
      <c r="W130" s="10" t="n">
        <f aca="false">IF(AND(ISNUMBER($D130),ISNUMBER($E130)),IF($E130&gt;$D130,1,0),0)+IF(AND(ISNUMBER($D130),ISNUMBER($F130)),IF($D130&gt;$F130,1,0),0)+IF(AND(ISNUMBER($E130),ISNUMBER($F130)),IF($E130&gt;$F130,1,0),0)</f>
        <v>0</v>
      </c>
      <c r="X130" s="13" t="s">
        <v>76</v>
      </c>
    </row>
    <row r="131" customFormat="false" ht="15" hidden="false" customHeight="false" outlineLevel="0" collapsed="false">
      <c r="A131" s="10" t="s">
        <v>501</v>
      </c>
      <c r="B131" s="10" t="s">
        <v>502</v>
      </c>
      <c r="C131" s="11" t="s">
        <v>499</v>
      </c>
      <c r="D131" s="12" t="n">
        <v>1.7426</v>
      </c>
      <c r="E131" s="12"/>
      <c r="F131" s="12"/>
      <c r="G131" s="10" t="s">
        <v>63</v>
      </c>
      <c r="H131" s="10" t="s">
        <v>83</v>
      </c>
      <c r="I131" s="11" t="s">
        <v>447</v>
      </c>
      <c r="J131" s="10" t="s">
        <v>448</v>
      </c>
      <c r="K131" s="10" t="s">
        <v>449</v>
      </c>
      <c r="L131" s="10" t="s">
        <v>68</v>
      </c>
      <c r="M131" s="10" t="s">
        <v>69</v>
      </c>
      <c r="N131" s="10"/>
      <c r="O131" s="11" t="s">
        <v>450</v>
      </c>
      <c r="P131" s="10" t="s">
        <v>71</v>
      </c>
      <c r="Q131" s="11" t="s">
        <v>72</v>
      </c>
      <c r="R131" s="11" t="s">
        <v>73</v>
      </c>
      <c r="S131" s="11" t="s">
        <v>74</v>
      </c>
      <c r="T131" s="11" t="s">
        <v>503</v>
      </c>
      <c r="U131" s="10" t="n">
        <f aca="false">IF(AND($D131="",$E131="",$F131=""),1,0)</f>
        <v>0</v>
      </c>
      <c r="V131" s="10" t="n">
        <f aca="false">IF(OR($I131="",$I131="—"),1,0)</f>
        <v>0</v>
      </c>
      <c r="W131" s="10" t="n">
        <f aca="false">IF(AND(ISNUMBER($D131),ISNUMBER($E131)),IF($E131&gt;$D131,1,0),0)+IF(AND(ISNUMBER($D131),ISNUMBER($F131)),IF($D131&gt;$F131,1,0),0)+IF(AND(ISNUMBER($E131),ISNUMBER($F131)),IF($E131&gt;$F131,1,0),0)</f>
        <v>0</v>
      </c>
      <c r="X131" s="13" t="s">
        <v>76</v>
      </c>
    </row>
    <row r="132" customFormat="false" ht="15" hidden="false" customHeight="false" outlineLevel="0" collapsed="false">
      <c r="A132" s="10" t="s">
        <v>504</v>
      </c>
      <c r="B132" s="10" t="s">
        <v>505</v>
      </c>
      <c r="C132" s="11" t="s">
        <v>506</v>
      </c>
      <c r="D132" s="12" t="n">
        <v>0.36</v>
      </c>
      <c r="E132" s="12"/>
      <c r="F132" s="12"/>
      <c r="G132" s="10" t="s">
        <v>63</v>
      </c>
      <c r="H132" s="10" t="s">
        <v>446</v>
      </c>
      <c r="I132" s="11" t="s">
        <v>447</v>
      </c>
      <c r="J132" s="10" t="s">
        <v>448</v>
      </c>
      <c r="K132" s="10" t="s">
        <v>449</v>
      </c>
      <c r="L132" s="10" t="s">
        <v>68</v>
      </c>
      <c r="M132" s="10" t="s">
        <v>69</v>
      </c>
      <c r="N132" s="10"/>
      <c r="O132" s="11" t="s">
        <v>450</v>
      </c>
      <c r="P132" s="10" t="s">
        <v>71</v>
      </c>
      <c r="Q132" s="11" t="s">
        <v>72</v>
      </c>
      <c r="R132" s="11" t="s">
        <v>73</v>
      </c>
      <c r="S132" s="11" t="s">
        <v>74</v>
      </c>
      <c r="T132" s="11" t="s">
        <v>507</v>
      </c>
      <c r="U132" s="10" t="n">
        <f aca="false">IF(AND($D132="",$E132="",$F132=""),1,0)</f>
        <v>0</v>
      </c>
      <c r="V132" s="10" t="n">
        <f aca="false">IF(OR($I132="",$I132="—"),1,0)</f>
        <v>0</v>
      </c>
      <c r="W132" s="10" t="n">
        <f aca="false">IF(AND(ISNUMBER($D132),ISNUMBER($E132)),IF($E132&gt;$D132,1,0),0)+IF(AND(ISNUMBER($D132),ISNUMBER($F132)),IF($D132&gt;$F132,1,0),0)+IF(AND(ISNUMBER($E132),ISNUMBER($F132)),IF($E132&gt;$F132,1,0),0)</f>
        <v>0</v>
      </c>
      <c r="X132" s="13" t="s">
        <v>76</v>
      </c>
    </row>
    <row r="133" customFormat="false" ht="15" hidden="false" customHeight="false" outlineLevel="0" collapsed="false">
      <c r="A133" s="10" t="s">
        <v>508</v>
      </c>
      <c r="B133" s="10" t="s">
        <v>509</v>
      </c>
      <c r="C133" s="11" t="s">
        <v>506</v>
      </c>
      <c r="D133" s="12" t="n">
        <v>0.0163</v>
      </c>
      <c r="E133" s="12"/>
      <c r="F133" s="12"/>
      <c r="G133" s="10" t="s">
        <v>63</v>
      </c>
      <c r="H133" s="10" t="s">
        <v>83</v>
      </c>
      <c r="I133" s="11" t="s">
        <v>447</v>
      </c>
      <c r="J133" s="10" t="s">
        <v>448</v>
      </c>
      <c r="K133" s="10" t="s">
        <v>449</v>
      </c>
      <c r="L133" s="10" t="s">
        <v>68</v>
      </c>
      <c r="M133" s="10" t="s">
        <v>69</v>
      </c>
      <c r="N133" s="10"/>
      <c r="O133" s="11" t="s">
        <v>450</v>
      </c>
      <c r="P133" s="10" t="s">
        <v>71</v>
      </c>
      <c r="Q133" s="11" t="s">
        <v>72</v>
      </c>
      <c r="R133" s="11" t="s">
        <v>73</v>
      </c>
      <c r="S133" s="11" t="s">
        <v>74</v>
      </c>
      <c r="T133" s="11" t="s">
        <v>510</v>
      </c>
      <c r="U133" s="10" t="n">
        <f aca="false">IF(AND($D133="",$E133="",$F133=""),1,0)</f>
        <v>0</v>
      </c>
      <c r="V133" s="10" t="n">
        <f aca="false">IF(OR($I133="",$I133="—"),1,0)</f>
        <v>0</v>
      </c>
      <c r="W133" s="10" t="n">
        <f aca="false">IF(AND(ISNUMBER($D133),ISNUMBER($E133)),IF($E133&gt;$D133,1,0),0)+IF(AND(ISNUMBER($D133),ISNUMBER($F133)),IF($D133&gt;$F133,1,0),0)+IF(AND(ISNUMBER($E133),ISNUMBER($F133)),IF($E133&gt;$F133,1,0),0)</f>
        <v>0</v>
      </c>
      <c r="X133" s="13" t="s">
        <v>76</v>
      </c>
    </row>
    <row r="134" customFormat="false" ht="15" hidden="false" customHeight="false" outlineLevel="0" collapsed="false">
      <c r="A134" s="10" t="s">
        <v>511</v>
      </c>
      <c r="B134" s="10" t="s">
        <v>512</v>
      </c>
      <c r="C134" s="11" t="s">
        <v>513</v>
      </c>
      <c r="D134" s="12" t="n">
        <v>0.36</v>
      </c>
      <c r="E134" s="12"/>
      <c r="F134" s="12"/>
      <c r="G134" s="10" t="s">
        <v>63</v>
      </c>
      <c r="H134" s="10" t="s">
        <v>446</v>
      </c>
      <c r="I134" s="11" t="s">
        <v>447</v>
      </c>
      <c r="J134" s="10" t="s">
        <v>448</v>
      </c>
      <c r="K134" s="10" t="s">
        <v>449</v>
      </c>
      <c r="L134" s="10" t="s">
        <v>68</v>
      </c>
      <c r="M134" s="10" t="s">
        <v>69</v>
      </c>
      <c r="N134" s="10"/>
      <c r="O134" s="11" t="s">
        <v>450</v>
      </c>
      <c r="P134" s="10" t="s">
        <v>71</v>
      </c>
      <c r="Q134" s="11" t="s">
        <v>72</v>
      </c>
      <c r="R134" s="11" t="s">
        <v>73</v>
      </c>
      <c r="S134" s="11" t="s">
        <v>74</v>
      </c>
      <c r="T134" s="11" t="s">
        <v>514</v>
      </c>
      <c r="U134" s="10" t="n">
        <f aca="false">IF(AND($D134="",$E134="",$F134=""),1,0)</f>
        <v>0</v>
      </c>
      <c r="V134" s="10" t="n">
        <f aca="false">IF(OR($I134="",$I134="—"),1,0)</f>
        <v>0</v>
      </c>
      <c r="W134" s="10" t="n">
        <f aca="false">IF(AND(ISNUMBER($D134),ISNUMBER($E134)),IF($E134&gt;$D134,1,0),0)+IF(AND(ISNUMBER($D134),ISNUMBER($F134)),IF($D134&gt;$F134,1,0),0)+IF(AND(ISNUMBER($E134),ISNUMBER($F134)),IF($E134&gt;$F134,1,0),0)</f>
        <v>0</v>
      </c>
      <c r="X134" s="13" t="s">
        <v>76</v>
      </c>
    </row>
    <row r="135" customFormat="false" ht="15" hidden="false" customHeight="false" outlineLevel="0" collapsed="false">
      <c r="A135" s="10" t="s">
        <v>515</v>
      </c>
      <c r="B135" s="10" t="s">
        <v>516</v>
      </c>
      <c r="C135" s="11" t="s">
        <v>513</v>
      </c>
      <c r="D135" s="12" t="n">
        <v>0.016</v>
      </c>
      <c r="E135" s="12"/>
      <c r="F135" s="12"/>
      <c r="G135" s="10" t="s">
        <v>63</v>
      </c>
      <c r="H135" s="10" t="s">
        <v>83</v>
      </c>
      <c r="I135" s="11" t="s">
        <v>447</v>
      </c>
      <c r="J135" s="10" t="s">
        <v>448</v>
      </c>
      <c r="K135" s="10" t="s">
        <v>449</v>
      </c>
      <c r="L135" s="10" t="s">
        <v>68</v>
      </c>
      <c r="M135" s="10" t="s">
        <v>69</v>
      </c>
      <c r="N135" s="10"/>
      <c r="O135" s="11" t="s">
        <v>450</v>
      </c>
      <c r="P135" s="10" t="s">
        <v>71</v>
      </c>
      <c r="Q135" s="11" t="s">
        <v>72</v>
      </c>
      <c r="R135" s="11" t="s">
        <v>73</v>
      </c>
      <c r="S135" s="11" t="s">
        <v>74</v>
      </c>
      <c r="T135" s="11" t="s">
        <v>517</v>
      </c>
      <c r="U135" s="10" t="n">
        <f aca="false">IF(AND($D135="",$E135="",$F135=""),1,0)</f>
        <v>0</v>
      </c>
      <c r="V135" s="10" t="n">
        <f aca="false">IF(OR($I135="",$I135="—"),1,0)</f>
        <v>0</v>
      </c>
      <c r="W135" s="10" t="n">
        <f aca="false">IF(AND(ISNUMBER($D135),ISNUMBER($E135)),IF($E135&gt;$D135,1,0),0)+IF(AND(ISNUMBER($D135),ISNUMBER($F135)),IF($D135&gt;$F135,1,0),0)+IF(AND(ISNUMBER($E135),ISNUMBER($F135)),IF($E135&gt;$F135,1,0),0)</f>
        <v>0</v>
      </c>
      <c r="X135" s="13" t="s">
        <v>76</v>
      </c>
    </row>
    <row r="136" customFormat="false" ht="15" hidden="false" customHeight="false" outlineLevel="0" collapsed="false">
      <c r="A136" s="10" t="s">
        <v>518</v>
      </c>
      <c r="B136" s="10" t="s">
        <v>519</v>
      </c>
      <c r="C136" s="11" t="s">
        <v>520</v>
      </c>
      <c r="D136" s="12" t="n">
        <v>0.867</v>
      </c>
      <c r="E136" s="12"/>
      <c r="F136" s="12"/>
      <c r="G136" s="10" t="s">
        <v>63</v>
      </c>
      <c r="H136" s="10" t="s">
        <v>446</v>
      </c>
      <c r="I136" s="11" t="s">
        <v>447</v>
      </c>
      <c r="J136" s="10" t="s">
        <v>448</v>
      </c>
      <c r="K136" s="10" t="s">
        <v>449</v>
      </c>
      <c r="L136" s="10" t="s">
        <v>68</v>
      </c>
      <c r="M136" s="10" t="s">
        <v>69</v>
      </c>
      <c r="N136" s="10"/>
      <c r="O136" s="11" t="s">
        <v>450</v>
      </c>
      <c r="P136" s="10" t="s">
        <v>71</v>
      </c>
      <c r="Q136" s="11" t="s">
        <v>72</v>
      </c>
      <c r="R136" s="11" t="s">
        <v>73</v>
      </c>
      <c r="S136" s="11" t="s">
        <v>74</v>
      </c>
      <c r="T136" s="11" t="s">
        <v>521</v>
      </c>
      <c r="U136" s="10" t="n">
        <f aca="false">IF(AND($D136="",$E136="",$F136=""),1,0)</f>
        <v>0</v>
      </c>
      <c r="V136" s="10" t="n">
        <f aca="false">IF(OR($I136="",$I136="—"),1,0)</f>
        <v>0</v>
      </c>
      <c r="W136" s="10" t="n">
        <f aca="false">IF(AND(ISNUMBER($D136),ISNUMBER($E136)),IF($E136&gt;$D136,1,0),0)+IF(AND(ISNUMBER($D136),ISNUMBER($F136)),IF($D136&gt;$F136,1,0),0)+IF(AND(ISNUMBER($E136),ISNUMBER($F136)),IF($E136&gt;$F136,1,0),0)</f>
        <v>0</v>
      </c>
      <c r="X136" s="13" t="s">
        <v>76</v>
      </c>
    </row>
    <row r="137" customFormat="false" ht="15" hidden="false" customHeight="false" outlineLevel="0" collapsed="false">
      <c r="A137" s="10" t="s">
        <v>522</v>
      </c>
      <c r="B137" s="10" t="s">
        <v>523</v>
      </c>
      <c r="C137" s="11" t="s">
        <v>520</v>
      </c>
      <c r="D137" s="12" t="n">
        <v>0.234</v>
      </c>
      <c r="E137" s="12"/>
      <c r="F137" s="12"/>
      <c r="G137" s="10" t="s">
        <v>63</v>
      </c>
      <c r="H137" s="10" t="s">
        <v>83</v>
      </c>
      <c r="I137" s="11" t="s">
        <v>447</v>
      </c>
      <c r="J137" s="10" t="s">
        <v>448</v>
      </c>
      <c r="K137" s="10" t="s">
        <v>449</v>
      </c>
      <c r="L137" s="10" t="s">
        <v>68</v>
      </c>
      <c r="M137" s="10" t="s">
        <v>69</v>
      </c>
      <c r="N137" s="10"/>
      <c r="O137" s="11" t="s">
        <v>450</v>
      </c>
      <c r="P137" s="10" t="s">
        <v>71</v>
      </c>
      <c r="Q137" s="11" t="s">
        <v>72</v>
      </c>
      <c r="R137" s="11" t="s">
        <v>73</v>
      </c>
      <c r="S137" s="11" t="s">
        <v>74</v>
      </c>
      <c r="T137" s="11" t="s">
        <v>524</v>
      </c>
      <c r="U137" s="10" t="n">
        <f aca="false">IF(AND($D137="",$E137="",$F137=""),1,0)</f>
        <v>0</v>
      </c>
      <c r="V137" s="10" t="n">
        <f aca="false">IF(OR($I137="",$I137="—"),1,0)</f>
        <v>0</v>
      </c>
      <c r="W137" s="10" t="n">
        <f aca="false">IF(AND(ISNUMBER($D137),ISNUMBER($E137)),IF($E137&gt;$D137,1,0),0)+IF(AND(ISNUMBER($D137),ISNUMBER($F137)),IF($D137&gt;$F137,1,0),0)+IF(AND(ISNUMBER($E137),ISNUMBER($F137)),IF($E137&gt;$F137,1,0),0)</f>
        <v>0</v>
      </c>
      <c r="X137" s="13" t="s">
        <v>76</v>
      </c>
    </row>
    <row r="138" customFormat="false" ht="15" hidden="false" customHeight="false" outlineLevel="0" collapsed="false">
      <c r="A138" s="10" t="s">
        <v>525</v>
      </c>
      <c r="B138" s="10" t="s">
        <v>526</v>
      </c>
      <c r="C138" s="11" t="s">
        <v>527</v>
      </c>
      <c r="D138" s="12" t="n">
        <v>1.717</v>
      </c>
      <c r="E138" s="12"/>
      <c r="F138" s="12"/>
      <c r="G138" s="10" t="s">
        <v>63</v>
      </c>
      <c r="H138" s="10" t="s">
        <v>446</v>
      </c>
      <c r="I138" s="11" t="s">
        <v>447</v>
      </c>
      <c r="J138" s="10" t="s">
        <v>448</v>
      </c>
      <c r="K138" s="10" t="s">
        <v>449</v>
      </c>
      <c r="L138" s="10" t="s">
        <v>68</v>
      </c>
      <c r="M138" s="10" t="s">
        <v>69</v>
      </c>
      <c r="N138" s="10"/>
      <c r="O138" s="11" t="s">
        <v>450</v>
      </c>
      <c r="P138" s="10" t="s">
        <v>71</v>
      </c>
      <c r="Q138" s="11" t="s">
        <v>72</v>
      </c>
      <c r="R138" s="11" t="s">
        <v>73</v>
      </c>
      <c r="S138" s="11" t="s">
        <v>74</v>
      </c>
      <c r="T138" s="11" t="s">
        <v>528</v>
      </c>
      <c r="U138" s="10" t="n">
        <f aca="false">IF(AND($D138="",$E138="",$F138=""),1,0)</f>
        <v>0</v>
      </c>
      <c r="V138" s="10" t="n">
        <f aca="false">IF(OR($I138="",$I138="—"),1,0)</f>
        <v>0</v>
      </c>
      <c r="W138" s="10" t="n">
        <f aca="false">IF(AND(ISNUMBER($D138),ISNUMBER($E138)),IF($E138&gt;$D138,1,0),0)+IF(AND(ISNUMBER($D138),ISNUMBER($F138)),IF($D138&gt;$F138,1,0),0)+IF(AND(ISNUMBER($E138),ISNUMBER($F138)),IF($E138&gt;$F138,1,0),0)</f>
        <v>0</v>
      </c>
      <c r="X138" s="13" t="s">
        <v>76</v>
      </c>
    </row>
    <row r="139" customFormat="false" ht="15" hidden="false" customHeight="false" outlineLevel="0" collapsed="false">
      <c r="A139" s="10" t="s">
        <v>529</v>
      </c>
      <c r="B139" s="10" t="s">
        <v>530</v>
      </c>
      <c r="C139" s="11" t="s">
        <v>527</v>
      </c>
      <c r="D139" s="12" t="n">
        <v>1.492</v>
      </c>
      <c r="E139" s="12"/>
      <c r="F139" s="12"/>
      <c r="G139" s="10" t="s">
        <v>63</v>
      </c>
      <c r="H139" s="10" t="s">
        <v>83</v>
      </c>
      <c r="I139" s="11" t="s">
        <v>447</v>
      </c>
      <c r="J139" s="10" t="s">
        <v>448</v>
      </c>
      <c r="K139" s="10" t="s">
        <v>449</v>
      </c>
      <c r="L139" s="10" t="s">
        <v>68</v>
      </c>
      <c r="M139" s="10" t="s">
        <v>69</v>
      </c>
      <c r="N139" s="10"/>
      <c r="O139" s="11" t="s">
        <v>450</v>
      </c>
      <c r="P139" s="10" t="s">
        <v>71</v>
      </c>
      <c r="Q139" s="11" t="s">
        <v>72</v>
      </c>
      <c r="R139" s="11" t="s">
        <v>73</v>
      </c>
      <c r="S139" s="11" t="s">
        <v>74</v>
      </c>
      <c r="T139" s="11" t="s">
        <v>531</v>
      </c>
      <c r="U139" s="10" t="n">
        <f aca="false">IF(AND($D139="",$E139="",$F139=""),1,0)</f>
        <v>0</v>
      </c>
      <c r="V139" s="10" t="n">
        <f aca="false">IF(OR($I139="",$I139="—"),1,0)</f>
        <v>0</v>
      </c>
      <c r="W139" s="10" t="n">
        <f aca="false">IF(AND(ISNUMBER($D139),ISNUMBER($E139)),IF($E139&gt;$D139,1,0),0)+IF(AND(ISNUMBER($D139),ISNUMBER($F139)),IF($D139&gt;$F139,1,0),0)+IF(AND(ISNUMBER($E139),ISNUMBER($F139)),IF($E139&gt;$F139,1,0),0)</f>
        <v>0</v>
      </c>
      <c r="X139" s="13" t="s">
        <v>76</v>
      </c>
    </row>
    <row r="140" customFormat="false" ht="15" hidden="false" customHeight="false" outlineLevel="0" collapsed="false">
      <c r="A140" s="10" t="s">
        <v>532</v>
      </c>
      <c r="B140" s="10" t="s">
        <v>533</v>
      </c>
      <c r="C140" s="11" t="s">
        <v>534</v>
      </c>
      <c r="D140" s="12" t="n">
        <v>0.023</v>
      </c>
      <c r="E140" s="12"/>
      <c r="F140" s="12"/>
      <c r="G140" s="10" t="s">
        <v>63</v>
      </c>
      <c r="H140" s="10" t="s">
        <v>446</v>
      </c>
      <c r="I140" s="11" t="s">
        <v>447</v>
      </c>
      <c r="J140" s="10" t="s">
        <v>448</v>
      </c>
      <c r="K140" s="10" t="s">
        <v>449</v>
      </c>
      <c r="L140" s="10" t="s">
        <v>68</v>
      </c>
      <c r="M140" s="10" t="s">
        <v>69</v>
      </c>
      <c r="N140" s="10"/>
      <c r="O140" s="11" t="s">
        <v>450</v>
      </c>
      <c r="P140" s="10" t="s">
        <v>71</v>
      </c>
      <c r="Q140" s="11" t="s">
        <v>72</v>
      </c>
      <c r="R140" s="11" t="s">
        <v>73</v>
      </c>
      <c r="S140" s="11" t="s">
        <v>74</v>
      </c>
      <c r="T140" s="11" t="s">
        <v>535</v>
      </c>
      <c r="U140" s="10" t="n">
        <f aca="false">IF(AND($D140="",$E140="",$F140=""),1,0)</f>
        <v>0</v>
      </c>
      <c r="V140" s="10" t="n">
        <f aca="false">IF(OR($I140="",$I140="—"),1,0)</f>
        <v>0</v>
      </c>
      <c r="W140" s="10" t="n">
        <f aca="false">IF(AND(ISNUMBER($D140),ISNUMBER($E140)),IF($E140&gt;$D140,1,0),0)+IF(AND(ISNUMBER($D140),ISNUMBER($F140)),IF($D140&gt;$F140,1,0),0)+IF(AND(ISNUMBER($E140),ISNUMBER($F140)),IF($E140&gt;$F140,1,0),0)</f>
        <v>0</v>
      </c>
      <c r="X140" s="13" t="s">
        <v>76</v>
      </c>
    </row>
    <row r="141" customFormat="false" ht="15" hidden="false" customHeight="false" outlineLevel="0" collapsed="false">
      <c r="A141" s="10" t="s">
        <v>536</v>
      </c>
      <c r="B141" s="10" t="s">
        <v>537</v>
      </c>
      <c r="C141" s="11" t="s">
        <v>534</v>
      </c>
      <c r="D141" s="12" t="n">
        <v>0.017</v>
      </c>
      <c r="E141" s="12"/>
      <c r="F141" s="12"/>
      <c r="G141" s="10" t="s">
        <v>63</v>
      </c>
      <c r="H141" s="10" t="s">
        <v>83</v>
      </c>
      <c r="I141" s="11" t="s">
        <v>447</v>
      </c>
      <c r="J141" s="10" t="s">
        <v>448</v>
      </c>
      <c r="K141" s="10" t="s">
        <v>449</v>
      </c>
      <c r="L141" s="10" t="s">
        <v>68</v>
      </c>
      <c r="M141" s="10" t="s">
        <v>69</v>
      </c>
      <c r="N141" s="10"/>
      <c r="O141" s="11" t="s">
        <v>450</v>
      </c>
      <c r="P141" s="10" t="s">
        <v>71</v>
      </c>
      <c r="Q141" s="11" t="s">
        <v>72</v>
      </c>
      <c r="R141" s="11" t="s">
        <v>73</v>
      </c>
      <c r="S141" s="11" t="s">
        <v>74</v>
      </c>
      <c r="T141" s="11" t="s">
        <v>538</v>
      </c>
      <c r="U141" s="10" t="n">
        <f aca="false">IF(AND($D141="",$E141="",$F141=""),1,0)</f>
        <v>0</v>
      </c>
      <c r="V141" s="10" t="n">
        <f aca="false">IF(OR($I141="",$I141="—"),1,0)</f>
        <v>0</v>
      </c>
      <c r="W141" s="10" t="n">
        <f aca="false">IF(AND(ISNUMBER($D141),ISNUMBER($E141)),IF($E141&gt;$D141,1,0),0)+IF(AND(ISNUMBER($D141),ISNUMBER($F141)),IF($D141&gt;$F141,1,0),0)+IF(AND(ISNUMBER($E141),ISNUMBER($F141)),IF($E141&gt;$F141,1,0),0)</f>
        <v>0</v>
      </c>
      <c r="X141" s="13" t="s">
        <v>76</v>
      </c>
    </row>
    <row r="142" customFormat="false" ht="15" hidden="false" customHeight="false" outlineLevel="0" collapsed="false">
      <c r="A142" s="10" t="s">
        <v>539</v>
      </c>
      <c r="B142" s="10" t="s">
        <v>540</v>
      </c>
      <c r="C142" s="11" t="s">
        <v>541</v>
      </c>
      <c r="D142" s="12" t="n">
        <v>3.3</v>
      </c>
      <c r="E142" s="12"/>
      <c r="F142" s="12"/>
      <c r="G142" s="10" t="s">
        <v>401</v>
      </c>
      <c r="H142" s="10" t="s">
        <v>83</v>
      </c>
      <c r="I142" s="11" t="s">
        <v>447</v>
      </c>
      <c r="J142" s="10" t="s">
        <v>448</v>
      </c>
      <c r="K142" s="10" t="s">
        <v>449</v>
      </c>
      <c r="L142" s="10" t="s">
        <v>68</v>
      </c>
      <c r="M142" s="10" t="s">
        <v>69</v>
      </c>
      <c r="N142" s="10"/>
      <c r="O142" s="11" t="s">
        <v>450</v>
      </c>
      <c r="P142" s="10" t="s">
        <v>71</v>
      </c>
      <c r="Q142" s="11" t="s">
        <v>72</v>
      </c>
      <c r="R142" s="11" t="s">
        <v>73</v>
      </c>
      <c r="S142" s="11" t="s">
        <v>74</v>
      </c>
      <c r="T142" s="11" t="s">
        <v>542</v>
      </c>
      <c r="U142" s="10" t="n">
        <f aca="false">IF(AND($D142="",$E142="",$F142=""),1,0)</f>
        <v>0</v>
      </c>
      <c r="V142" s="10" t="n">
        <f aca="false">IF(OR($I142="",$I142="—"),1,0)</f>
        <v>0</v>
      </c>
      <c r="W142" s="10" t="n">
        <f aca="false">IF(AND(ISNUMBER($D142),ISNUMBER($E142)),IF($E142&gt;$D142,1,0),0)+IF(AND(ISNUMBER($D142),ISNUMBER($F142)),IF($D142&gt;$F142,1,0),0)+IF(AND(ISNUMBER($E142),ISNUMBER($F142)),IF($E142&gt;$F142,1,0),0)</f>
        <v>0</v>
      </c>
      <c r="X142" s="13" t="s">
        <v>76</v>
      </c>
    </row>
    <row r="143" customFormat="false" ht="15" hidden="false" customHeight="false" outlineLevel="0" collapsed="false">
      <c r="A143" s="10" t="s">
        <v>543</v>
      </c>
      <c r="B143" s="10" t="s">
        <v>544</v>
      </c>
      <c r="C143" s="11" t="s">
        <v>224</v>
      </c>
      <c r="D143" s="12" t="n">
        <v>31.8044</v>
      </c>
      <c r="E143" s="12"/>
      <c r="F143" s="12"/>
      <c r="G143" s="10" t="s">
        <v>63</v>
      </c>
      <c r="H143" s="10" t="s">
        <v>446</v>
      </c>
      <c r="I143" s="11" t="s">
        <v>447</v>
      </c>
      <c r="J143" s="10" t="s">
        <v>448</v>
      </c>
      <c r="K143" s="10" t="s">
        <v>449</v>
      </c>
      <c r="L143" s="10" t="s">
        <v>68</v>
      </c>
      <c r="M143" s="10" t="s">
        <v>69</v>
      </c>
      <c r="N143" s="10"/>
      <c r="O143" s="11" t="s">
        <v>450</v>
      </c>
      <c r="P143" s="10" t="s">
        <v>71</v>
      </c>
      <c r="Q143" s="11" t="s">
        <v>72</v>
      </c>
      <c r="R143" s="11" t="s">
        <v>73</v>
      </c>
      <c r="S143" s="11" t="s">
        <v>74</v>
      </c>
      <c r="T143" s="11" t="s">
        <v>545</v>
      </c>
      <c r="U143" s="10" t="n">
        <f aca="false">IF(AND($D143="",$E143="",$F143=""),1,0)</f>
        <v>0</v>
      </c>
      <c r="V143" s="10" t="n">
        <f aca="false">IF(OR($I143="",$I143="—"),1,0)</f>
        <v>0</v>
      </c>
      <c r="W143" s="10" t="n">
        <f aca="false">IF(AND(ISNUMBER($D143),ISNUMBER($E143)),IF($E143&gt;$D143,1,0),0)+IF(AND(ISNUMBER($D143),ISNUMBER($F143)),IF($D143&gt;$F143,1,0),0)+IF(AND(ISNUMBER($E143),ISNUMBER($F143)),IF($E143&gt;$F143,1,0),0)</f>
        <v>0</v>
      </c>
      <c r="X143" s="13" t="s">
        <v>76</v>
      </c>
    </row>
    <row r="144" customFormat="false" ht="15" hidden="false" customHeight="false" outlineLevel="0" collapsed="false">
      <c r="A144" s="10" t="s">
        <v>546</v>
      </c>
      <c r="B144" s="10" t="s">
        <v>547</v>
      </c>
      <c r="C144" s="11" t="s">
        <v>240</v>
      </c>
      <c r="D144" s="12" t="n">
        <v>3.9087</v>
      </c>
      <c r="E144" s="12"/>
      <c r="F144" s="12"/>
      <c r="G144" s="10" t="s">
        <v>63</v>
      </c>
      <c r="H144" s="10" t="s">
        <v>446</v>
      </c>
      <c r="I144" s="11" t="s">
        <v>447</v>
      </c>
      <c r="J144" s="10" t="s">
        <v>448</v>
      </c>
      <c r="K144" s="10" t="s">
        <v>449</v>
      </c>
      <c r="L144" s="10" t="s">
        <v>68</v>
      </c>
      <c r="M144" s="10" t="s">
        <v>69</v>
      </c>
      <c r="N144" s="10"/>
      <c r="O144" s="11" t="s">
        <v>450</v>
      </c>
      <c r="P144" s="10" t="s">
        <v>71</v>
      </c>
      <c r="Q144" s="11" t="s">
        <v>72</v>
      </c>
      <c r="R144" s="11" t="s">
        <v>73</v>
      </c>
      <c r="S144" s="11" t="s">
        <v>74</v>
      </c>
      <c r="T144" s="11" t="s">
        <v>548</v>
      </c>
      <c r="U144" s="10" t="n">
        <f aca="false">IF(AND($D144="",$E144="",$F144=""),1,0)</f>
        <v>0</v>
      </c>
      <c r="V144" s="10" t="n">
        <f aca="false">IF(OR($I144="",$I144="—"),1,0)</f>
        <v>0</v>
      </c>
      <c r="W144" s="10" t="n">
        <f aca="false">IF(AND(ISNUMBER($D144),ISNUMBER($E144)),IF($E144&gt;$D144,1,0),0)+IF(AND(ISNUMBER($D144),ISNUMBER($F144)),IF($D144&gt;$F144,1,0),0)+IF(AND(ISNUMBER($E144),ISNUMBER($F144)),IF($E144&gt;$F144,1,0),0)</f>
        <v>0</v>
      </c>
      <c r="X144" s="13" t="s">
        <v>76</v>
      </c>
    </row>
    <row r="145" customFormat="false" ht="15" hidden="false" customHeight="false" outlineLevel="0" collapsed="false">
      <c r="A145" s="10" t="s">
        <v>549</v>
      </c>
      <c r="B145" s="10" t="s">
        <v>550</v>
      </c>
      <c r="C145" s="11" t="s">
        <v>256</v>
      </c>
      <c r="D145" s="12" t="n">
        <v>5.0536</v>
      </c>
      <c r="E145" s="12"/>
      <c r="F145" s="12"/>
      <c r="G145" s="10" t="s">
        <v>63</v>
      </c>
      <c r="H145" s="10" t="s">
        <v>446</v>
      </c>
      <c r="I145" s="11" t="s">
        <v>447</v>
      </c>
      <c r="J145" s="10" t="s">
        <v>448</v>
      </c>
      <c r="K145" s="10" t="s">
        <v>449</v>
      </c>
      <c r="L145" s="10" t="s">
        <v>68</v>
      </c>
      <c r="M145" s="10" t="s">
        <v>69</v>
      </c>
      <c r="N145" s="10"/>
      <c r="O145" s="11" t="s">
        <v>450</v>
      </c>
      <c r="P145" s="10" t="s">
        <v>71</v>
      </c>
      <c r="Q145" s="11" t="s">
        <v>72</v>
      </c>
      <c r="R145" s="11" t="s">
        <v>73</v>
      </c>
      <c r="S145" s="11" t="s">
        <v>74</v>
      </c>
      <c r="T145" s="11" t="s">
        <v>551</v>
      </c>
      <c r="U145" s="10" t="n">
        <f aca="false">IF(AND($D145="",$E145="",$F145=""),1,0)</f>
        <v>0</v>
      </c>
      <c r="V145" s="10" t="n">
        <f aca="false">IF(OR($I145="",$I145="—"),1,0)</f>
        <v>0</v>
      </c>
      <c r="W145" s="10" t="n">
        <f aca="false">IF(AND(ISNUMBER($D145),ISNUMBER($E145)),IF($E145&gt;$D145,1,0),0)+IF(AND(ISNUMBER($D145),ISNUMBER($F145)),IF($D145&gt;$F145,1,0),0)+IF(AND(ISNUMBER($E145),ISNUMBER($F145)),IF($E145&gt;$F145,1,0),0)</f>
        <v>0</v>
      </c>
      <c r="X145" s="13" t="s">
        <v>76</v>
      </c>
    </row>
    <row r="146" customFormat="false" ht="15" hidden="false" customHeight="false" outlineLevel="0" collapsed="false">
      <c r="A146" s="10" t="s">
        <v>552</v>
      </c>
      <c r="B146" s="10" t="s">
        <v>553</v>
      </c>
      <c r="C146" s="11" t="s">
        <v>304</v>
      </c>
      <c r="D146" s="12" t="n">
        <v>5.5827</v>
      </c>
      <c r="E146" s="12"/>
      <c r="F146" s="12"/>
      <c r="G146" s="10" t="s">
        <v>63</v>
      </c>
      <c r="H146" s="10" t="s">
        <v>446</v>
      </c>
      <c r="I146" s="11" t="s">
        <v>447</v>
      </c>
      <c r="J146" s="10" t="s">
        <v>448</v>
      </c>
      <c r="K146" s="10" t="s">
        <v>449</v>
      </c>
      <c r="L146" s="10" t="s">
        <v>68</v>
      </c>
      <c r="M146" s="10" t="s">
        <v>69</v>
      </c>
      <c r="N146" s="10"/>
      <c r="O146" s="11" t="s">
        <v>450</v>
      </c>
      <c r="P146" s="10" t="s">
        <v>71</v>
      </c>
      <c r="Q146" s="11" t="s">
        <v>72</v>
      </c>
      <c r="R146" s="11" t="s">
        <v>73</v>
      </c>
      <c r="S146" s="11" t="s">
        <v>74</v>
      </c>
      <c r="T146" s="11" t="s">
        <v>554</v>
      </c>
      <c r="U146" s="10" t="n">
        <f aca="false">IF(AND($D146="",$E146="",$F146=""),1,0)</f>
        <v>0</v>
      </c>
      <c r="V146" s="10" t="n">
        <f aca="false">IF(OR($I146="",$I146="—"),1,0)</f>
        <v>0</v>
      </c>
      <c r="W146" s="10" t="n">
        <f aca="false">IF(AND(ISNUMBER($D146),ISNUMBER($E146)),IF($E146&gt;$D146,1,0),0)+IF(AND(ISNUMBER($D146),ISNUMBER($F146)),IF($D146&gt;$F146,1,0),0)+IF(AND(ISNUMBER($E146),ISNUMBER($F146)),IF($E146&gt;$F146,1,0),0)</f>
        <v>0</v>
      </c>
      <c r="X146" s="13" t="s">
        <v>76</v>
      </c>
    </row>
    <row r="147" customFormat="false" ht="15" hidden="false" customHeight="false" outlineLevel="0" collapsed="false">
      <c r="A147" s="10" t="s">
        <v>555</v>
      </c>
      <c r="B147" s="10" t="s">
        <v>556</v>
      </c>
      <c r="C147" s="11" t="s">
        <v>272</v>
      </c>
      <c r="D147" s="12" t="n">
        <v>0.1484</v>
      </c>
      <c r="E147" s="12"/>
      <c r="F147" s="12"/>
      <c r="G147" s="10" t="s">
        <v>63</v>
      </c>
      <c r="H147" s="10" t="s">
        <v>446</v>
      </c>
      <c r="I147" s="11" t="s">
        <v>447</v>
      </c>
      <c r="J147" s="10" t="s">
        <v>448</v>
      </c>
      <c r="K147" s="10" t="s">
        <v>449</v>
      </c>
      <c r="L147" s="10" t="s">
        <v>68</v>
      </c>
      <c r="M147" s="10" t="s">
        <v>69</v>
      </c>
      <c r="N147" s="10"/>
      <c r="O147" s="11" t="s">
        <v>450</v>
      </c>
      <c r="P147" s="10" t="s">
        <v>71</v>
      </c>
      <c r="Q147" s="11" t="s">
        <v>72</v>
      </c>
      <c r="R147" s="11" t="s">
        <v>73</v>
      </c>
      <c r="S147" s="11" t="s">
        <v>74</v>
      </c>
      <c r="T147" s="11" t="s">
        <v>557</v>
      </c>
      <c r="U147" s="10" t="n">
        <f aca="false">IF(AND($D147="",$E147="",$F147=""),1,0)</f>
        <v>0</v>
      </c>
      <c r="V147" s="10" t="n">
        <f aca="false">IF(OR($I147="",$I147="—"),1,0)</f>
        <v>0</v>
      </c>
      <c r="W147" s="10" t="n">
        <f aca="false">IF(AND(ISNUMBER($D147),ISNUMBER($E147)),IF($E147&gt;$D147,1,0),0)+IF(AND(ISNUMBER($D147),ISNUMBER($F147)),IF($D147&gt;$F147,1,0),0)+IF(AND(ISNUMBER($E147),ISNUMBER($F147)),IF($E147&gt;$F147,1,0),0)</f>
        <v>0</v>
      </c>
      <c r="X147" s="13" t="s">
        <v>76</v>
      </c>
    </row>
    <row r="148" customFormat="false" ht="15" hidden="false" customHeight="false" outlineLevel="0" collapsed="false">
      <c r="A148" s="10" t="s">
        <v>558</v>
      </c>
      <c r="B148" s="10" t="s">
        <v>559</v>
      </c>
      <c r="C148" s="11" t="s">
        <v>560</v>
      </c>
      <c r="D148" s="12" t="n">
        <v>0.7431</v>
      </c>
      <c r="E148" s="12"/>
      <c r="F148" s="12"/>
      <c r="G148" s="10" t="s">
        <v>63</v>
      </c>
      <c r="H148" s="10" t="s">
        <v>446</v>
      </c>
      <c r="I148" s="11" t="s">
        <v>447</v>
      </c>
      <c r="J148" s="10" t="s">
        <v>448</v>
      </c>
      <c r="K148" s="10" t="s">
        <v>449</v>
      </c>
      <c r="L148" s="10" t="s">
        <v>68</v>
      </c>
      <c r="M148" s="10" t="s">
        <v>69</v>
      </c>
      <c r="N148" s="10"/>
      <c r="O148" s="11" t="s">
        <v>450</v>
      </c>
      <c r="P148" s="10" t="s">
        <v>71</v>
      </c>
      <c r="Q148" s="11" t="s">
        <v>72</v>
      </c>
      <c r="R148" s="11" t="s">
        <v>73</v>
      </c>
      <c r="S148" s="11" t="s">
        <v>74</v>
      </c>
      <c r="T148" s="11" t="s">
        <v>561</v>
      </c>
      <c r="U148" s="10" t="n">
        <f aca="false">IF(AND($D148="",$E148="",$F148=""),1,0)</f>
        <v>0</v>
      </c>
      <c r="V148" s="10" t="n">
        <f aca="false">IF(OR($I148="",$I148="—"),1,0)</f>
        <v>0</v>
      </c>
      <c r="W148" s="10" t="n">
        <f aca="false">IF(AND(ISNUMBER($D148),ISNUMBER($E148)),IF($E148&gt;$D148,1,0),0)+IF(AND(ISNUMBER($D148),ISNUMBER($F148)),IF($D148&gt;$F148,1,0),0)+IF(AND(ISNUMBER($E148),ISNUMBER($F148)),IF($E148&gt;$F148,1,0),0)</f>
        <v>0</v>
      </c>
      <c r="X148" s="13" t="s">
        <v>76</v>
      </c>
    </row>
    <row r="149" customFormat="false" ht="15" hidden="false" customHeight="false" outlineLevel="0" collapsed="false">
      <c r="A149" s="10" t="s">
        <v>562</v>
      </c>
      <c r="B149" s="10" t="s">
        <v>563</v>
      </c>
      <c r="C149" s="11" t="s">
        <v>564</v>
      </c>
      <c r="D149" s="12" t="n">
        <v>47.1817</v>
      </c>
      <c r="E149" s="12"/>
      <c r="F149" s="12"/>
      <c r="G149" s="10" t="s">
        <v>63</v>
      </c>
      <c r="H149" s="10" t="s">
        <v>446</v>
      </c>
      <c r="I149" s="11" t="s">
        <v>447</v>
      </c>
      <c r="J149" s="10" t="s">
        <v>448</v>
      </c>
      <c r="K149" s="10" t="s">
        <v>449</v>
      </c>
      <c r="L149" s="10" t="s">
        <v>68</v>
      </c>
      <c r="M149" s="10" t="s">
        <v>69</v>
      </c>
      <c r="N149" s="10"/>
      <c r="O149" s="11" t="s">
        <v>450</v>
      </c>
      <c r="P149" s="10" t="s">
        <v>71</v>
      </c>
      <c r="Q149" s="11" t="s">
        <v>72</v>
      </c>
      <c r="R149" s="11" t="s">
        <v>73</v>
      </c>
      <c r="S149" s="11" t="s">
        <v>74</v>
      </c>
      <c r="T149" s="11" t="s">
        <v>565</v>
      </c>
      <c r="U149" s="10" t="n">
        <f aca="false">IF(AND($D149="",$E149="",$F149=""),1,0)</f>
        <v>0</v>
      </c>
      <c r="V149" s="10" t="n">
        <f aca="false">IF(OR($I149="",$I149="—"),1,0)</f>
        <v>0</v>
      </c>
      <c r="W149" s="10" t="n">
        <f aca="false">IF(AND(ISNUMBER($D149),ISNUMBER($E149)),IF($E149&gt;$D149,1,0),0)+IF(AND(ISNUMBER($D149),ISNUMBER($F149)),IF($D149&gt;$F149,1,0),0)+IF(AND(ISNUMBER($E149),ISNUMBER($F149)),IF($E149&gt;$F149,1,0),0)</f>
        <v>0</v>
      </c>
      <c r="X149" s="13" t="s">
        <v>76</v>
      </c>
    </row>
    <row r="150" customFormat="false" ht="15" hidden="false" customHeight="false" outlineLevel="0" collapsed="false">
      <c r="A150" s="10" t="s">
        <v>566</v>
      </c>
      <c r="B150" s="10" t="s">
        <v>567</v>
      </c>
      <c r="C150" s="11" t="s">
        <v>336</v>
      </c>
      <c r="D150" s="12" t="n">
        <v>31.8197</v>
      </c>
      <c r="E150" s="12"/>
      <c r="F150" s="12"/>
      <c r="G150" s="10" t="s">
        <v>63</v>
      </c>
      <c r="H150" s="10" t="s">
        <v>446</v>
      </c>
      <c r="I150" s="11" t="s">
        <v>447</v>
      </c>
      <c r="J150" s="10" t="s">
        <v>448</v>
      </c>
      <c r="K150" s="10" t="s">
        <v>449</v>
      </c>
      <c r="L150" s="10" t="s">
        <v>68</v>
      </c>
      <c r="M150" s="10" t="s">
        <v>69</v>
      </c>
      <c r="N150" s="10"/>
      <c r="O150" s="11" t="s">
        <v>450</v>
      </c>
      <c r="P150" s="10" t="s">
        <v>71</v>
      </c>
      <c r="Q150" s="11" t="s">
        <v>72</v>
      </c>
      <c r="R150" s="11" t="s">
        <v>73</v>
      </c>
      <c r="S150" s="11" t="s">
        <v>74</v>
      </c>
      <c r="T150" s="11" t="s">
        <v>568</v>
      </c>
      <c r="U150" s="10" t="n">
        <f aca="false">IF(AND($D150="",$E150="",$F150=""),1,0)</f>
        <v>0</v>
      </c>
      <c r="V150" s="10" t="n">
        <f aca="false">IF(OR($I150="",$I150="—"),1,0)</f>
        <v>0</v>
      </c>
      <c r="W150" s="10" t="n">
        <f aca="false">IF(AND(ISNUMBER($D150),ISNUMBER($E150)),IF($E150&gt;$D150,1,0),0)+IF(AND(ISNUMBER($D150),ISNUMBER($F150)),IF($D150&gt;$F150,1,0),0)+IF(AND(ISNUMBER($E150),ISNUMBER($F150)),IF($E150&gt;$F150,1,0),0)</f>
        <v>0</v>
      </c>
      <c r="X150" s="13" t="s">
        <v>76</v>
      </c>
    </row>
    <row r="151" customFormat="false" ht="15" hidden="false" customHeight="false" outlineLevel="0" collapsed="false">
      <c r="A151" s="10" t="s">
        <v>569</v>
      </c>
      <c r="B151" s="10" t="s">
        <v>570</v>
      </c>
      <c r="C151" s="11" t="s">
        <v>571</v>
      </c>
      <c r="D151" s="12" t="n">
        <v>9.3736</v>
      </c>
      <c r="E151" s="12"/>
      <c r="F151" s="12"/>
      <c r="G151" s="10" t="s">
        <v>63</v>
      </c>
      <c r="H151" s="10" t="s">
        <v>446</v>
      </c>
      <c r="I151" s="11" t="s">
        <v>447</v>
      </c>
      <c r="J151" s="10" t="s">
        <v>448</v>
      </c>
      <c r="K151" s="10" t="s">
        <v>449</v>
      </c>
      <c r="L151" s="10" t="s">
        <v>68</v>
      </c>
      <c r="M151" s="10" t="s">
        <v>69</v>
      </c>
      <c r="N151" s="10"/>
      <c r="O151" s="11" t="s">
        <v>450</v>
      </c>
      <c r="P151" s="10" t="s">
        <v>71</v>
      </c>
      <c r="Q151" s="11" t="s">
        <v>72</v>
      </c>
      <c r="R151" s="11" t="s">
        <v>73</v>
      </c>
      <c r="S151" s="11" t="s">
        <v>74</v>
      </c>
      <c r="T151" s="11" t="s">
        <v>572</v>
      </c>
      <c r="U151" s="10" t="n">
        <f aca="false">IF(AND($D151="",$E151="",$F151=""),1,0)</f>
        <v>0</v>
      </c>
      <c r="V151" s="10" t="n">
        <f aca="false">IF(OR($I151="",$I151="—"),1,0)</f>
        <v>0</v>
      </c>
      <c r="W151" s="10" t="n">
        <f aca="false">IF(AND(ISNUMBER($D151),ISNUMBER($E151)),IF($E151&gt;$D151,1,0),0)+IF(AND(ISNUMBER($D151),ISNUMBER($F151)),IF($D151&gt;$F151,1,0),0)+IF(AND(ISNUMBER($E151),ISNUMBER($F151)),IF($E151&gt;$F151,1,0),0)</f>
        <v>0</v>
      </c>
      <c r="X151" s="13" t="s">
        <v>76</v>
      </c>
    </row>
    <row r="152" customFormat="false" ht="15" hidden="false" customHeight="false" outlineLevel="0" collapsed="false">
      <c r="A152" s="10" t="s">
        <v>573</v>
      </c>
      <c r="B152" s="10" t="s">
        <v>574</v>
      </c>
      <c r="C152" s="11" t="s">
        <v>571</v>
      </c>
      <c r="D152" s="12" t="n">
        <v>4.6886</v>
      </c>
      <c r="E152" s="12"/>
      <c r="F152" s="12"/>
      <c r="G152" s="10" t="s">
        <v>63</v>
      </c>
      <c r="H152" s="10" t="s">
        <v>83</v>
      </c>
      <c r="I152" s="11" t="s">
        <v>447</v>
      </c>
      <c r="J152" s="10" t="s">
        <v>448</v>
      </c>
      <c r="K152" s="10" t="s">
        <v>449</v>
      </c>
      <c r="L152" s="10" t="s">
        <v>68</v>
      </c>
      <c r="M152" s="10" t="s">
        <v>69</v>
      </c>
      <c r="N152" s="10"/>
      <c r="O152" s="11" t="s">
        <v>450</v>
      </c>
      <c r="P152" s="10" t="s">
        <v>71</v>
      </c>
      <c r="Q152" s="11" t="s">
        <v>72</v>
      </c>
      <c r="R152" s="11" t="s">
        <v>73</v>
      </c>
      <c r="S152" s="11" t="s">
        <v>74</v>
      </c>
      <c r="T152" s="11" t="s">
        <v>575</v>
      </c>
      <c r="U152" s="10" t="n">
        <f aca="false">IF(AND($D152="",$E152="",$F152=""),1,0)</f>
        <v>0</v>
      </c>
      <c r="V152" s="10" t="n">
        <f aca="false">IF(OR($I152="",$I152="—"),1,0)</f>
        <v>0</v>
      </c>
      <c r="W152" s="10" t="n">
        <f aca="false">IF(AND(ISNUMBER($D152),ISNUMBER($E152)),IF($E152&gt;$D152,1,0),0)+IF(AND(ISNUMBER($D152),ISNUMBER($F152)),IF($D152&gt;$F152,1,0),0)+IF(AND(ISNUMBER($E152),ISNUMBER($F152)),IF($E152&gt;$F152,1,0),0)</f>
        <v>0</v>
      </c>
      <c r="X152" s="13" t="s">
        <v>76</v>
      </c>
    </row>
    <row r="153" customFormat="false" ht="15" hidden="false" customHeight="false" outlineLevel="0" collapsed="false">
      <c r="A153" s="10" t="s">
        <v>576</v>
      </c>
      <c r="B153" s="10" t="s">
        <v>577</v>
      </c>
      <c r="C153" s="11" t="s">
        <v>578</v>
      </c>
      <c r="D153" s="12" t="n">
        <v>0.747</v>
      </c>
      <c r="E153" s="12"/>
      <c r="F153" s="12"/>
      <c r="G153" s="10" t="s">
        <v>63</v>
      </c>
      <c r="H153" s="10" t="s">
        <v>446</v>
      </c>
      <c r="I153" s="11" t="s">
        <v>447</v>
      </c>
      <c r="J153" s="10" t="s">
        <v>448</v>
      </c>
      <c r="K153" s="10" t="s">
        <v>449</v>
      </c>
      <c r="L153" s="10" t="s">
        <v>68</v>
      </c>
      <c r="M153" s="10" t="s">
        <v>69</v>
      </c>
      <c r="N153" s="10"/>
      <c r="O153" s="11" t="s">
        <v>450</v>
      </c>
      <c r="P153" s="10" t="s">
        <v>71</v>
      </c>
      <c r="Q153" s="11" t="s">
        <v>72</v>
      </c>
      <c r="R153" s="11" t="s">
        <v>73</v>
      </c>
      <c r="S153" s="11" t="s">
        <v>74</v>
      </c>
      <c r="T153" s="11" t="s">
        <v>579</v>
      </c>
      <c r="U153" s="10" t="n">
        <f aca="false">IF(AND($D153="",$E153="",$F153=""),1,0)</f>
        <v>0</v>
      </c>
      <c r="V153" s="10" t="n">
        <f aca="false">IF(OR($I153="",$I153="—"),1,0)</f>
        <v>0</v>
      </c>
      <c r="W153" s="10" t="n">
        <f aca="false">IF(AND(ISNUMBER($D153),ISNUMBER($E153)),IF($E153&gt;$D153,1,0),0)+IF(AND(ISNUMBER($D153),ISNUMBER($F153)),IF($D153&gt;$F153,1,0),0)+IF(AND(ISNUMBER($E153),ISNUMBER($F153)),IF($E153&gt;$F153,1,0),0)</f>
        <v>0</v>
      </c>
      <c r="X153" s="13" t="s">
        <v>76</v>
      </c>
    </row>
    <row r="154" customFormat="false" ht="15" hidden="false" customHeight="false" outlineLevel="0" collapsed="false">
      <c r="A154" s="10" t="s">
        <v>580</v>
      </c>
      <c r="B154" s="10" t="s">
        <v>581</v>
      </c>
      <c r="C154" s="11" t="s">
        <v>578</v>
      </c>
      <c r="D154" s="12" t="n">
        <v>4.623</v>
      </c>
      <c r="E154" s="12"/>
      <c r="F154" s="12"/>
      <c r="G154" s="10" t="s">
        <v>63</v>
      </c>
      <c r="H154" s="10" t="s">
        <v>83</v>
      </c>
      <c r="I154" s="11" t="s">
        <v>447</v>
      </c>
      <c r="J154" s="10" t="s">
        <v>448</v>
      </c>
      <c r="K154" s="10" t="s">
        <v>449</v>
      </c>
      <c r="L154" s="10" t="s">
        <v>68</v>
      </c>
      <c r="M154" s="10" t="s">
        <v>69</v>
      </c>
      <c r="N154" s="10"/>
      <c r="O154" s="11" t="s">
        <v>450</v>
      </c>
      <c r="P154" s="10" t="s">
        <v>71</v>
      </c>
      <c r="Q154" s="11" t="s">
        <v>72</v>
      </c>
      <c r="R154" s="11" t="s">
        <v>73</v>
      </c>
      <c r="S154" s="11" t="s">
        <v>74</v>
      </c>
      <c r="T154" s="11" t="s">
        <v>582</v>
      </c>
      <c r="U154" s="10" t="n">
        <f aca="false">IF(AND($D154="",$E154="",$F154=""),1,0)</f>
        <v>0</v>
      </c>
      <c r="V154" s="10" t="n">
        <f aca="false">IF(OR($I154="",$I154="—"),1,0)</f>
        <v>0</v>
      </c>
      <c r="W154" s="10" t="n">
        <f aca="false">IF(AND(ISNUMBER($D154),ISNUMBER($E154)),IF($E154&gt;$D154,1,0),0)+IF(AND(ISNUMBER($D154),ISNUMBER($F154)),IF($D154&gt;$F154,1,0),0)+IF(AND(ISNUMBER($E154),ISNUMBER($F154)),IF($E154&gt;$F154,1,0),0)</f>
        <v>0</v>
      </c>
      <c r="X154" s="13" t="s">
        <v>76</v>
      </c>
    </row>
    <row r="155" customFormat="false" ht="15" hidden="false" customHeight="false" outlineLevel="0" collapsed="false">
      <c r="A155" s="10" t="s">
        <v>583</v>
      </c>
      <c r="B155" s="10" t="s">
        <v>584</v>
      </c>
      <c r="C155" s="11" t="s">
        <v>585</v>
      </c>
      <c r="D155" s="12" t="n">
        <v>22.5915</v>
      </c>
      <c r="E155" s="12"/>
      <c r="F155" s="12"/>
      <c r="G155" s="10" t="s">
        <v>63</v>
      </c>
      <c r="H155" s="10" t="s">
        <v>446</v>
      </c>
      <c r="I155" s="11" t="s">
        <v>447</v>
      </c>
      <c r="J155" s="10" t="s">
        <v>448</v>
      </c>
      <c r="K155" s="10" t="s">
        <v>449</v>
      </c>
      <c r="L155" s="10" t="s">
        <v>68</v>
      </c>
      <c r="M155" s="10" t="s">
        <v>69</v>
      </c>
      <c r="N155" s="10"/>
      <c r="O155" s="11" t="s">
        <v>450</v>
      </c>
      <c r="P155" s="10" t="s">
        <v>71</v>
      </c>
      <c r="Q155" s="11" t="s">
        <v>72</v>
      </c>
      <c r="R155" s="11" t="s">
        <v>73</v>
      </c>
      <c r="S155" s="11" t="s">
        <v>74</v>
      </c>
      <c r="T155" s="11" t="s">
        <v>586</v>
      </c>
      <c r="U155" s="10" t="n">
        <f aca="false">IF(AND($D155="",$E155="",$F155=""),1,0)</f>
        <v>0</v>
      </c>
      <c r="V155" s="10" t="n">
        <f aca="false">IF(OR($I155="",$I155="—"),1,0)</f>
        <v>0</v>
      </c>
      <c r="W155" s="10" t="n">
        <f aca="false">IF(AND(ISNUMBER($D155),ISNUMBER($E155)),IF($E155&gt;$D155,1,0),0)+IF(AND(ISNUMBER($D155),ISNUMBER($F155)),IF($D155&gt;$F155,1,0),0)+IF(AND(ISNUMBER($E155),ISNUMBER($F155)),IF($E155&gt;$F155,1,0),0)</f>
        <v>0</v>
      </c>
      <c r="X155" s="13" t="s">
        <v>76</v>
      </c>
    </row>
    <row r="156" customFormat="false" ht="15" hidden="false" customHeight="false" outlineLevel="0" collapsed="false">
      <c r="A156" s="10" t="s">
        <v>587</v>
      </c>
      <c r="B156" s="10" t="s">
        <v>588</v>
      </c>
      <c r="C156" s="11" t="s">
        <v>585</v>
      </c>
      <c r="D156" s="12" t="n">
        <v>22.6922</v>
      </c>
      <c r="E156" s="12"/>
      <c r="F156" s="12"/>
      <c r="G156" s="10" t="s">
        <v>63</v>
      </c>
      <c r="H156" s="10" t="s">
        <v>83</v>
      </c>
      <c r="I156" s="11" t="s">
        <v>447</v>
      </c>
      <c r="J156" s="10" t="s">
        <v>448</v>
      </c>
      <c r="K156" s="10" t="s">
        <v>449</v>
      </c>
      <c r="L156" s="10" t="s">
        <v>68</v>
      </c>
      <c r="M156" s="10" t="s">
        <v>69</v>
      </c>
      <c r="N156" s="10"/>
      <c r="O156" s="11" t="s">
        <v>450</v>
      </c>
      <c r="P156" s="10" t="s">
        <v>71</v>
      </c>
      <c r="Q156" s="11" t="s">
        <v>72</v>
      </c>
      <c r="R156" s="11" t="s">
        <v>73</v>
      </c>
      <c r="S156" s="11" t="s">
        <v>74</v>
      </c>
      <c r="T156" s="11" t="s">
        <v>589</v>
      </c>
      <c r="U156" s="10" t="n">
        <f aca="false">IF(AND($D156="",$E156="",$F156=""),1,0)</f>
        <v>0</v>
      </c>
      <c r="V156" s="10" t="n">
        <f aca="false">IF(OR($I156="",$I156="—"),1,0)</f>
        <v>0</v>
      </c>
      <c r="W156" s="10" t="n">
        <f aca="false">IF(AND(ISNUMBER($D156),ISNUMBER($E156)),IF($E156&gt;$D156,1,0),0)+IF(AND(ISNUMBER($D156),ISNUMBER($F156)),IF($D156&gt;$F156,1,0),0)+IF(AND(ISNUMBER($E156),ISNUMBER($F156)),IF($E156&gt;$F156,1,0),0)</f>
        <v>0</v>
      </c>
      <c r="X156" s="13" t="s">
        <v>76</v>
      </c>
    </row>
    <row r="157" customFormat="false" ht="15" hidden="false" customHeight="false" outlineLevel="0" collapsed="false">
      <c r="A157" s="10" t="s">
        <v>590</v>
      </c>
      <c r="B157" s="10" t="s">
        <v>591</v>
      </c>
      <c r="C157" s="11" t="s">
        <v>592</v>
      </c>
      <c r="D157" s="12" t="n">
        <v>1.0859</v>
      </c>
      <c r="E157" s="12"/>
      <c r="F157" s="12"/>
      <c r="G157" s="10" t="s">
        <v>63</v>
      </c>
      <c r="H157" s="10" t="s">
        <v>446</v>
      </c>
      <c r="I157" s="11" t="s">
        <v>447</v>
      </c>
      <c r="J157" s="10" t="s">
        <v>448</v>
      </c>
      <c r="K157" s="10" t="s">
        <v>449</v>
      </c>
      <c r="L157" s="10" t="s">
        <v>68</v>
      </c>
      <c r="M157" s="10" t="s">
        <v>69</v>
      </c>
      <c r="N157" s="10"/>
      <c r="O157" s="11" t="s">
        <v>450</v>
      </c>
      <c r="P157" s="10" t="s">
        <v>71</v>
      </c>
      <c r="Q157" s="11" t="s">
        <v>72</v>
      </c>
      <c r="R157" s="11" t="s">
        <v>73</v>
      </c>
      <c r="S157" s="11" t="s">
        <v>74</v>
      </c>
      <c r="T157" s="10" t="s">
        <v>593</v>
      </c>
      <c r="U157" s="10" t="n">
        <f aca="false">IF(AND($D157="",$E157="",$F157=""),1,0)</f>
        <v>0</v>
      </c>
      <c r="V157" s="10" t="n">
        <f aca="false">IF(OR($I157="",$I157="—"),1,0)</f>
        <v>0</v>
      </c>
      <c r="W157" s="10" t="n">
        <f aca="false">IF(AND(ISNUMBER($D157),ISNUMBER($E157)),IF($E157&gt;$D157,1,0),0)+IF(AND(ISNUMBER($D157),ISNUMBER($F157)),IF($D157&gt;$F157,1,0),0)+IF(AND(ISNUMBER($E157),ISNUMBER($F157)),IF($E157&gt;$F157,1,0),0)</f>
        <v>0</v>
      </c>
      <c r="X157" s="13" t="s">
        <v>76</v>
      </c>
    </row>
    <row r="158" customFormat="false" ht="15" hidden="false" customHeight="false" outlineLevel="0" collapsed="false">
      <c r="A158" s="10" t="s">
        <v>594</v>
      </c>
      <c r="B158" s="10" t="s">
        <v>595</v>
      </c>
      <c r="C158" s="11" t="s">
        <v>596</v>
      </c>
      <c r="D158" s="12" t="n">
        <v>1.0534</v>
      </c>
      <c r="E158" s="12"/>
      <c r="F158" s="12"/>
      <c r="G158" s="10" t="s">
        <v>63</v>
      </c>
      <c r="H158" s="10" t="s">
        <v>83</v>
      </c>
      <c r="I158" s="11" t="s">
        <v>447</v>
      </c>
      <c r="J158" s="10" t="s">
        <v>448</v>
      </c>
      <c r="K158" s="10" t="s">
        <v>449</v>
      </c>
      <c r="L158" s="10" t="s">
        <v>68</v>
      </c>
      <c r="M158" s="10" t="s">
        <v>69</v>
      </c>
      <c r="N158" s="10"/>
      <c r="O158" s="11" t="s">
        <v>450</v>
      </c>
      <c r="P158" s="10" t="s">
        <v>71</v>
      </c>
      <c r="Q158" s="11" t="s">
        <v>72</v>
      </c>
      <c r="R158" s="11" t="s">
        <v>73</v>
      </c>
      <c r="S158" s="11" t="s">
        <v>74</v>
      </c>
      <c r="T158" s="10" t="s">
        <v>597</v>
      </c>
      <c r="U158" s="10" t="n">
        <f aca="false">IF(AND($D158="",$E158="",$F158=""),1,0)</f>
        <v>0</v>
      </c>
      <c r="V158" s="10" t="n">
        <f aca="false">IF(OR($I158="",$I158="—"),1,0)</f>
        <v>0</v>
      </c>
      <c r="W158" s="10" t="n">
        <f aca="false">IF(AND(ISNUMBER($D158),ISNUMBER($E158)),IF($E158&gt;$D158,1,0),0)+IF(AND(ISNUMBER($D158),ISNUMBER($F158)),IF($D158&gt;$F158,1,0),0)+IF(AND(ISNUMBER($E158),ISNUMBER($F158)),IF($E158&gt;$F158,1,0),0)</f>
        <v>0</v>
      </c>
      <c r="X158" s="13" t="s">
        <v>76</v>
      </c>
    </row>
    <row r="159" customFormat="false" ht="15" hidden="false" customHeight="false" outlineLevel="0" collapsed="false">
      <c r="A159" s="10" t="s">
        <v>598</v>
      </c>
      <c r="B159" s="10" t="s">
        <v>599</v>
      </c>
      <c r="C159" s="11" t="s">
        <v>600</v>
      </c>
      <c r="D159" s="12" t="n">
        <v>6.8945</v>
      </c>
      <c r="E159" s="12"/>
      <c r="F159" s="12"/>
      <c r="G159" s="10" t="s">
        <v>63</v>
      </c>
      <c r="H159" s="10" t="s">
        <v>446</v>
      </c>
      <c r="I159" s="11" t="s">
        <v>447</v>
      </c>
      <c r="J159" s="10" t="s">
        <v>448</v>
      </c>
      <c r="K159" s="10" t="s">
        <v>449</v>
      </c>
      <c r="L159" s="10" t="s">
        <v>68</v>
      </c>
      <c r="M159" s="10" t="s">
        <v>69</v>
      </c>
      <c r="N159" s="10"/>
      <c r="O159" s="11" t="s">
        <v>450</v>
      </c>
      <c r="P159" s="10" t="s">
        <v>71</v>
      </c>
      <c r="Q159" s="11" t="s">
        <v>72</v>
      </c>
      <c r="R159" s="11" t="s">
        <v>73</v>
      </c>
      <c r="S159" s="11" t="s">
        <v>74</v>
      </c>
      <c r="T159" s="11" t="s">
        <v>601</v>
      </c>
      <c r="U159" s="10" t="n">
        <f aca="false">IF(AND($D159="",$E159="",$F159=""),1,0)</f>
        <v>0</v>
      </c>
      <c r="V159" s="10" t="n">
        <f aca="false">IF(OR($I159="",$I159="—"),1,0)</f>
        <v>0</v>
      </c>
      <c r="W159" s="10" t="n">
        <f aca="false">IF(AND(ISNUMBER($D159),ISNUMBER($E159)),IF($E159&gt;$D159,1,0),0)+IF(AND(ISNUMBER($D159),ISNUMBER($F159)),IF($D159&gt;$F159,1,0),0)+IF(AND(ISNUMBER($E159),ISNUMBER($F159)),IF($E159&gt;$F159,1,0),0)</f>
        <v>0</v>
      </c>
      <c r="X159" s="13" t="s">
        <v>76</v>
      </c>
    </row>
    <row r="160" customFormat="false" ht="15" hidden="false" customHeight="false" outlineLevel="0" collapsed="false">
      <c r="A160" s="10" t="s">
        <v>602</v>
      </c>
      <c r="B160" s="10" t="s">
        <v>603</v>
      </c>
      <c r="C160" s="11" t="s">
        <v>600</v>
      </c>
      <c r="D160" s="12" t="n">
        <v>1.3725</v>
      </c>
      <c r="E160" s="12"/>
      <c r="F160" s="12"/>
      <c r="G160" s="10" t="s">
        <v>63</v>
      </c>
      <c r="H160" s="10" t="s">
        <v>83</v>
      </c>
      <c r="I160" s="11" t="s">
        <v>447</v>
      </c>
      <c r="J160" s="10" t="s">
        <v>448</v>
      </c>
      <c r="K160" s="10" t="s">
        <v>449</v>
      </c>
      <c r="L160" s="10" t="s">
        <v>68</v>
      </c>
      <c r="M160" s="10" t="s">
        <v>69</v>
      </c>
      <c r="N160" s="10"/>
      <c r="O160" s="11" t="s">
        <v>450</v>
      </c>
      <c r="P160" s="10" t="s">
        <v>71</v>
      </c>
      <c r="Q160" s="11" t="s">
        <v>72</v>
      </c>
      <c r="R160" s="11" t="s">
        <v>73</v>
      </c>
      <c r="S160" s="11" t="s">
        <v>74</v>
      </c>
      <c r="T160" s="11" t="s">
        <v>604</v>
      </c>
      <c r="U160" s="10" t="n">
        <f aca="false">IF(AND($D160="",$E160="",$F160=""),1,0)</f>
        <v>0</v>
      </c>
      <c r="V160" s="10" t="n">
        <f aca="false">IF(OR($I160="",$I160="—"),1,0)</f>
        <v>0</v>
      </c>
      <c r="W160" s="10" t="n">
        <f aca="false">IF(AND(ISNUMBER($D160),ISNUMBER($E160)),IF($E160&gt;$D160,1,0),0)+IF(AND(ISNUMBER($D160),ISNUMBER($F160)),IF($D160&gt;$F160,1,0),0)+IF(AND(ISNUMBER($E160),ISNUMBER($F160)),IF($E160&gt;$F160,1,0),0)</f>
        <v>0</v>
      </c>
      <c r="X160" s="13" t="s">
        <v>76</v>
      </c>
    </row>
    <row r="161" customFormat="false" ht="15" hidden="false" customHeight="false" outlineLevel="0" collapsed="false">
      <c r="A161" s="10" t="s">
        <v>605</v>
      </c>
      <c r="B161" s="10" t="s">
        <v>606</v>
      </c>
      <c r="C161" s="11" t="s">
        <v>607</v>
      </c>
      <c r="D161" s="12" t="n">
        <v>5.4514</v>
      </c>
      <c r="E161" s="12"/>
      <c r="F161" s="12"/>
      <c r="G161" s="10" t="s">
        <v>63</v>
      </c>
      <c r="H161" s="10" t="s">
        <v>446</v>
      </c>
      <c r="I161" s="11" t="s">
        <v>447</v>
      </c>
      <c r="J161" s="10" t="s">
        <v>448</v>
      </c>
      <c r="K161" s="10" t="s">
        <v>449</v>
      </c>
      <c r="L161" s="10" t="s">
        <v>68</v>
      </c>
      <c r="M161" s="10" t="s">
        <v>69</v>
      </c>
      <c r="N161" s="10"/>
      <c r="O161" s="11" t="s">
        <v>450</v>
      </c>
      <c r="P161" s="10" t="s">
        <v>71</v>
      </c>
      <c r="Q161" s="11" t="s">
        <v>72</v>
      </c>
      <c r="R161" s="11" t="s">
        <v>73</v>
      </c>
      <c r="S161" s="11" t="s">
        <v>74</v>
      </c>
      <c r="T161" s="11" t="s">
        <v>608</v>
      </c>
      <c r="U161" s="10" t="n">
        <f aca="false">IF(AND($D161="",$E161="",$F161=""),1,0)</f>
        <v>0</v>
      </c>
      <c r="V161" s="10" t="n">
        <f aca="false">IF(OR($I161="",$I161="—"),1,0)</f>
        <v>0</v>
      </c>
      <c r="W161" s="10" t="n">
        <f aca="false">IF(AND(ISNUMBER($D161),ISNUMBER($E161)),IF($E161&gt;$D161,1,0),0)+IF(AND(ISNUMBER($D161),ISNUMBER($F161)),IF($D161&gt;$F161,1,0),0)+IF(AND(ISNUMBER($E161),ISNUMBER($F161)),IF($E161&gt;$F161,1,0),0)</f>
        <v>0</v>
      </c>
      <c r="X161" s="13" t="s">
        <v>76</v>
      </c>
    </row>
    <row r="162" customFormat="false" ht="15" hidden="false" customHeight="false" outlineLevel="0" collapsed="false">
      <c r="A162" s="10" t="s">
        <v>609</v>
      </c>
      <c r="B162" s="10" t="s">
        <v>610</v>
      </c>
      <c r="C162" s="11" t="s">
        <v>607</v>
      </c>
      <c r="D162" s="12" t="n">
        <v>6.7127</v>
      </c>
      <c r="E162" s="12"/>
      <c r="F162" s="12"/>
      <c r="G162" s="10" t="s">
        <v>63</v>
      </c>
      <c r="H162" s="10" t="s">
        <v>83</v>
      </c>
      <c r="I162" s="11" t="s">
        <v>447</v>
      </c>
      <c r="J162" s="10" t="s">
        <v>448</v>
      </c>
      <c r="K162" s="10" t="s">
        <v>449</v>
      </c>
      <c r="L162" s="10" t="s">
        <v>68</v>
      </c>
      <c r="M162" s="10" t="s">
        <v>69</v>
      </c>
      <c r="N162" s="10"/>
      <c r="O162" s="11" t="s">
        <v>450</v>
      </c>
      <c r="P162" s="10" t="s">
        <v>71</v>
      </c>
      <c r="Q162" s="11" t="s">
        <v>72</v>
      </c>
      <c r="R162" s="11" t="s">
        <v>73</v>
      </c>
      <c r="S162" s="11" t="s">
        <v>74</v>
      </c>
      <c r="T162" s="11" t="s">
        <v>611</v>
      </c>
      <c r="U162" s="10" t="n">
        <f aca="false">IF(AND($D162="",$E162="",$F162=""),1,0)</f>
        <v>0</v>
      </c>
      <c r="V162" s="10" t="n">
        <f aca="false">IF(OR($I162="",$I162="—"),1,0)</f>
        <v>0</v>
      </c>
      <c r="W162" s="10" t="n">
        <f aca="false">IF(AND(ISNUMBER($D162),ISNUMBER($E162)),IF($E162&gt;$D162,1,0),0)+IF(AND(ISNUMBER($D162),ISNUMBER($F162)),IF($D162&gt;$F162,1,0),0)+IF(AND(ISNUMBER($E162),ISNUMBER($F162)),IF($E162&gt;$F162,1,0),0)</f>
        <v>0</v>
      </c>
      <c r="X162" s="13" t="s">
        <v>76</v>
      </c>
    </row>
    <row r="163" customFormat="false" ht="15" hidden="false" customHeight="false" outlineLevel="0" collapsed="false">
      <c r="A163" s="10" t="s">
        <v>612</v>
      </c>
      <c r="B163" s="10" t="s">
        <v>613</v>
      </c>
      <c r="C163" s="11" t="s">
        <v>614</v>
      </c>
      <c r="D163" s="12" t="n">
        <v>1.3216</v>
      </c>
      <c r="E163" s="12"/>
      <c r="F163" s="12"/>
      <c r="G163" s="10" t="s">
        <v>63</v>
      </c>
      <c r="H163" s="10" t="s">
        <v>83</v>
      </c>
      <c r="I163" s="11" t="s">
        <v>447</v>
      </c>
      <c r="J163" s="10" t="s">
        <v>448</v>
      </c>
      <c r="K163" s="10" t="s">
        <v>449</v>
      </c>
      <c r="L163" s="10" t="s">
        <v>68</v>
      </c>
      <c r="M163" s="10" t="s">
        <v>69</v>
      </c>
      <c r="N163" s="10"/>
      <c r="O163" s="11" t="s">
        <v>450</v>
      </c>
      <c r="P163" s="10" t="s">
        <v>71</v>
      </c>
      <c r="Q163" s="11" t="s">
        <v>72</v>
      </c>
      <c r="R163" s="11" t="s">
        <v>73</v>
      </c>
      <c r="S163" s="11" t="s">
        <v>74</v>
      </c>
      <c r="T163" s="11" t="s">
        <v>615</v>
      </c>
      <c r="U163" s="10" t="n">
        <f aca="false">IF(AND($D163="",$E163="",$F163=""),1,0)</f>
        <v>0</v>
      </c>
      <c r="V163" s="10" t="n">
        <f aca="false">IF(OR($I163="",$I163="—"),1,0)</f>
        <v>0</v>
      </c>
      <c r="W163" s="10" t="n">
        <f aca="false">IF(AND(ISNUMBER($D163),ISNUMBER($E163)),IF($E163&gt;$D163,1,0),0)+IF(AND(ISNUMBER($D163),ISNUMBER($F163)),IF($D163&gt;$F163,1,0),0)+IF(AND(ISNUMBER($E163),ISNUMBER($F163)),IF($E163&gt;$F163,1,0),0)</f>
        <v>0</v>
      </c>
      <c r="X163" s="13" t="s">
        <v>76</v>
      </c>
    </row>
    <row r="164" customFormat="false" ht="15" hidden="false" customHeight="false" outlineLevel="0" collapsed="false">
      <c r="A164" s="10" t="s">
        <v>616</v>
      </c>
      <c r="B164" s="10" t="s">
        <v>617</v>
      </c>
      <c r="C164" s="11" t="s">
        <v>618</v>
      </c>
      <c r="D164" s="12" t="n">
        <v>7.2735</v>
      </c>
      <c r="E164" s="12"/>
      <c r="F164" s="12"/>
      <c r="G164" s="10" t="s">
        <v>63</v>
      </c>
      <c r="H164" s="10" t="s">
        <v>446</v>
      </c>
      <c r="I164" s="11" t="s">
        <v>447</v>
      </c>
      <c r="J164" s="10" t="s">
        <v>448</v>
      </c>
      <c r="K164" s="10" t="s">
        <v>449</v>
      </c>
      <c r="L164" s="10" t="s">
        <v>68</v>
      </c>
      <c r="M164" s="10" t="s">
        <v>69</v>
      </c>
      <c r="N164" s="10"/>
      <c r="O164" s="11" t="s">
        <v>450</v>
      </c>
      <c r="P164" s="10" t="s">
        <v>71</v>
      </c>
      <c r="Q164" s="11" t="s">
        <v>72</v>
      </c>
      <c r="R164" s="11" t="s">
        <v>73</v>
      </c>
      <c r="S164" s="11" t="s">
        <v>74</v>
      </c>
      <c r="T164" s="11" t="s">
        <v>619</v>
      </c>
      <c r="U164" s="10" t="n">
        <f aca="false">IF(AND($D164="",$E164="",$F164=""),1,0)</f>
        <v>0</v>
      </c>
      <c r="V164" s="10" t="n">
        <f aca="false">IF(OR($I164="",$I164="—"),1,0)</f>
        <v>0</v>
      </c>
      <c r="W164" s="10" t="n">
        <f aca="false">IF(AND(ISNUMBER($D164),ISNUMBER($E164)),IF($E164&gt;$D164,1,0),0)+IF(AND(ISNUMBER($D164),ISNUMBER($F164)),IF($D164&gt;$F164,1,0),0)+IF(AND(ISNUMBER($E164),ISNUMBER($F164)),IF($E164&gt;$F164,1,0),0)</f>
        <v>0</v>
      </c>
      <c r="X164" s="13" t="s">
        <v>76</v>
      </c>
    </row>
    <row r="165" customFormat="false" ht="15" hidden="false" customHeight="false" outlineLevel="0" collapsed="false">
      <c r="A165" s="10" t="s">
        <v>620</v>
      </c>
      <c r="B165" s="10" t="s">
        <v>621</v>
      </c>
      <c r="C165" s="11" t="s">
        <v>618</v>
      </c>
      <c r="D165" s="12" t="n">
        <v>2.6947</v>
      </c>
      <c r="E165" s="12"/>
      <c r="F165" s="12"/>
      <c r="G165" s="10" t="s">
        <v>63</v>
      </c>
      <c r="H165" s="10" t="s">
        <v>83</v>
      </c>
      <c r="I165" s="11" t="s">
        <v>447</v>
      </c>
      <c r="J165" s="10" t="s">
        <v>448</v>
      </c>
      <c r="K165" s="10" t="s">
        <v>449</v>
      </c>
      <c r="L165" s="10" t="s">
        <v>68</v>
      </c>
      <c r="M165" s="10" t="s">
        <v>69</v>
      </c>
      <c r="N165" s="10"/>
      <c r="O165" s="11" t="s">
        <v>450</v>
      </c>
      <c r="P165" s="10" t="s">
        <v>71</v>
      </c>
      <c r="Q165" s="11" t="s">
        <v>72</v>
      </c>
      <c r="R165" s="11" t="s">
        <v>73</v>
      </c>
      <c r="S165" s="11" t="s">
        <v>74</v>
      </c>
      <c r="T165" s="11" t="s">
        <v>622</v>
      </c>
      <c r="U165" s="10" t="n">
        <f aca="false">IF(AND($D165="",$E165="",$F165=""),1,0)</f>
        <v>0</v>
      </c>
      <c r="V165" s="10" t="n">
        <f aca="false">IF(OR($I165="",$I165="—"),1,0)</f>
        <v>0</v>
      </c>
      <c r="W165" s="10" t="n">
        <f aca="false">IF(AND(ISNUMBER($D165),ISNUMBER($E165)),IF($E165&gt;$D165,1,0),0)+IF(AND(ISNUMBER($D165),ISNUMBER($F165)),IF($D165&gt;$F165,1,0),0)+IF(AND(ISNUMBER($E165),ISNUMBER($F165)),IF($E165&gt;$F165,1,0),0)</f>
        <v>0</v>
      </c>
      <c r="X165" s="13" t="s">
        <v>76</v>
      </c>
    </row>
    <row r="166" customFormat="false" ht="15" hidden="false" customHeight="false" outlineLevel="0" collapsed="false">
      <c r="A166" s="10" t="s">
        <v>623</v>
      </c>
      <c r="B166" s="10" t="s">
        <v>624</v>
      </c>
      <c r="C166" s="11" t="s">
        <v>625</v>
      </c>
      <c r="D166" s="12" t="n">
        <v>1094</v>
      </c>
      <c r="E166" s="12"/>
      <c r="F166" s="12"/>
      <c r="G166" s="11" t="s">
        <v>439</v>
      </c>
      <c r="H166" s="10" t="s">
        <v>626</v>
      </c>
      <c r="I166" s="11" t="s">
        <v>447</v>
      </c>
      <c r="J166" s="10" t="s">
        <v>448</v>
      </c>
      <c r="K166" s="10" t="s">
        <v>449</v>
      </c>
      <c r="L166" s="10" t="s">
        <v>68</v>
      </c>
      <c r="M166" s="10" t="s">
        <v>69</v>
      </c>
      <c r="N166" s="10"/>
      <c r="O166" s="11" t="s">
        <v>450</v>
      </c>
      <c r="P166" s="10" t="s">
        <v>71</v>
      </c>
      <c r="Q166" s="11" t="s">
        <v>72</v>
      </c>
      <c r="R166" s="11" t="s">
        <v>73</v>
      </c>
      <c r="S166" s="11" t="s">
        <v>74</v>
      </c>
      <c r="T166" s="11" t="s">
        <v>627</v>
      </c>
      <c r="U166" s="10" t="n">
        <f aca="false">IF(AND($D166="",$E166="",$F166=""),1,0)</f>
        <v>0</v>
      </c>
      <c r="V166" s="10" t="n">
        <f aca="false">IF(OR($I166="",$I166="—"),1,0)</f>
        <v>0</v>
      </c>
      <c r="W166" s="10" t="n">
        <f aca="false">IF(AND(ISNUMBER($D166),ISNUMBER($E166)),IF($E166&gt;$D166,1,0),0)+IF(AND(ISNUMBER($D166),ISNUMBER($F166)),IF($D166&gt;$F166,1,0),0)+IF(AND(ISNUMBER($E166),ISNUMBER($F166)),IF($E166&gt;$F166,1,0),0)</f>
        <v>0</v>
      </c>
      <c r="X166" s="13" t="s">
        <v>76</v>
      </c>
    </row>
    <row r="167" customFormat="false" ht="15" hidden="false" customHeight="false" outlineLevel="0" collapsed="false">
      <c r="A167" s="10" t="s">
        <v>628</v>
      </c>
      <c r="B167" s="10" t="s">
        <v>629</v>
      </c>
      <c r="C167" s="11" t="s">
        <v>630</v>
      </c>
      <c r="D167" s="12" t="n">
        <v>13.634</v>
      </c>
      <c r="E167" s="12"/>
      <c r="F167" s="12"/>
      <c r="G167" s="10" t="s">
        <v>63</v>
      </c>
      <c r="H167" s="10" t="s">
        <v>446</v>
      </c>
      <c r="I167" s="11" t="s">
        <v>447</v>
      </c>
      <c r="J167" s="10" t="s">
        <v>448</v>
      </c>
      <c r="K167" s="10" t="s">
        <v>449</v>
      </c>
      <c r="L167" s="10" t="s">
        <v>68</v>
      </c>
      <c r="M167" s="10" t="s">
        <v>69</v>
      </c>
      <c r="N167" s="10"/>
      <c r="O167" s="11" t="s">
        <v>450</v>
      </c>
      <c r="P167" s="10" t="s">
        <v>71</v>
      </c>
      <c r="Q167" s="11" t="s">
        <v>72</v>
      </c>
      <c r="R167" s="11" t="s">
        <v>73</v>
      </c>
      <c r="S167" s="11" t="s">
        <v>74</v>
      </c>
      <c r="T167" s="11" t="s">
        <v>631</v>
      </c>
      <c r="U167" s="10" t="n">
        <f aca="false">IF(AND($D167="",$E167="",$F167=""),1,0)</f>
        <v>0</v>
      </c>
      <c r="V167" s="10" t="n">
        <f aca="false">IF(OR($I167="",$I167="—"),1,0)</f>
        <v>0</v>
      </c>
      <c r="W167" s="10" t="n">
        <f aca="false">IF(AND(ISNUMBER($D167),ISNUMBER($E167)),IF($E167&gt;$D167,1,0),0)+IF(AND(ISNUMBER($D167),ISNUMBER($F167)),IF($D167&gt;$F167,1,0),0)+IF(AND(ISNUMBER($E167),ISNUMBER($F167)),IF($E167&gt;$F167,1,0),0)</f>
        <v>0</v>
      </c>
      <c r="X167" s="13" t="s">
        <v>76</v>
      </c>
    </row>
    <row r="168" customFormat="false" ht="15" hidden="false" customHeight="false" outlineLevel="0" collapsed="false">
      <c r="A168" s="10" t="s">
        <v>632</v>
      </c>
      <c r="B168" s="10" t="s">
        <v>633</v>
      </c>
      <c r="C168" s="11" t="s">
        <v>634</v>
      </c>
      <c r="D168" s="12" t="n">
        <v>0.01246</v>
      </c>
      <c r="E168" s="12"/>
      <c r="F168" s="12"/>
      <c r="G168" s="10" t="s">
        <v>635</v>
      </c>
      <c r="H168" s="10" t="s">
        <v>446</v>
      </c>
      <c r="I168" s="11" t="s">
        <v>447</v>
      </c>
      <c r="J168" s="10" t="s">
        <v>448</v>
      </c>
      <c r="K168" s="10" t="s">
        <v>449</v>
      </c>
      <c r="L168" s="10" t="s">
        <v>68</v>
      </c>
      <c r="M168" s="10" t="s">
        <v>636</v>
      </c>
      <c r="N168" s="10"/>
      <c r="O168" s="10" t="s">
        <v>636</v>
      </c>
      <c r="P168" s="10" t="s">
        <v>637</v>
      </c>
      <c r="Q168" s="11" t="s">
        <v>638</v>
      </c>
      <c r="R168" s="11" t="s">
        <v>639</v>
      </c>
      <c r="S168" s="11" t="s">
        <v>74</v>
      </c>
      <c r="T168" s="10" t="s">
        <v>640</v>
      </c>
      <c r="U168" s="10" t="n">
        <f aca="false">IF(AND($D168="",$E168="",$F168=""),1,0)</f>
        <v>0</v>
      </c>
      <c r="V168" s="10" t="n">
        <f aca="false">IF(OR($I168="",$I168="—"),1,0)</f>
        <v>0</v>
      </c>
      <c r="W168" s="10" t="n">
        <f aca="false">IF(AND(ISNUMBER($D168),ISNUMBER($E168)),IF($E168&gt;$D168,1,0),0)+IF(AND(ISNUMBER($D168),ISNUMBER($F168)),IF($D168&gt;$F168,1,0),0)+IF(AND(ISNUMBER($E168),ISNUMBER($F168)),IF($E168&gt;$F168,1,0),0)</f>
        <v>0</v>
      </c>
      <c r="X168" s="13" t="s">
        <v>76</v>
      </c>
    </row>
    <row r="169" customFormat="false" ht="15" hidden="false" customHeight="false" outlineLevel="0" collapsed="false">
      <c r="A169" s="10" t="s">
        <v>641</v>
      </c>
      <c r="B169" s="10" t="s">
        <v>642</v>
      </c>
      <c r="C169" s="11" t="s">
        <v>643</v>
      </c>
      <c r="D169" s="12"/>
      <c r="E169" s="12"/>
      <c r="F169" s="12"/>
      <c r="G169" s="10"/>
      <c r="H169" s="10" t="s">
        <v>446</v>
      </c>
      <c r="I169" s="11" t="s">
        <v>447</v>
      </c>
      <c r="J169" s="10" t="s">
        <v>448</v>
      </c>
      <c r="K169" s="10" t="s">
        <v>449</v>
      </c>
      <c r="L169" s="10" t="s">
        <v>68</v>
      </c>
      <c r="M169" s="10" t="s">
        <v>69</v>
      </c>
      <c r="N169" s="10"/>
      <c r="O169" s="11" t="s">
        <v>450</v>
      </c>
      <c r="P169" s="10" t="s">
        <v>71</v>
      </c>
      <c r="Q169" s="11" t="s">
        <v>72</v>
      </c>
      <c r="R169" s="11" t="s">
        <v>73</v>
      </c>
      <c r="S169" s="11" t="s">
        <v>74</v>
      </c>
      <c r="T169" s="11" t="s">
        <v>644</v>
      </c>
      <c r="U169" s="10" t="n">
        <f aca="false">IF(AND($D169="",$E169="",$F169=""),1,0)</f>
        <v>1</v>
      </c>
      <c r="V169" s="10" t="n">
        <f aca="false">IF(OR($I169="",$I169="—"),1,0)</f>
        <v>0</v>
      </c>
      <c r="W169" s="10" t="n">
        <f aca="false">IF(AND(ISNUMBER($D169),ISNUMBER($E169)),IF($E169&gt;$D169,1,0),0)+IF(AND(ISNUMBER($D169),ISNUMBER($F169)),IF($D169&gt;$F169,1,0),0)+IF(AND(ISNUMBER($E169),ISNUMBER($F169)),IF($E169&gt;$F169,1,0),0)</f>
        <v>0</v>
      </c>
      <c r="X169" s="13" t="s">
        <v>76</v>
      </c>
    </row>
    <row r="170" customFormat="false" ht="15" hidden="false" customHeight="false" outlineLevel="0" collapsed="false">
      <c r="A170" s="10" t="s">
        <v>645</v>
      </c>
      <c r="B170" s="10" t="s">
        <v>646</v>
      </c>
      <c r="C170" s="10" t="s">
        <v>647</v>
      </c>
      <c r="D170" s="12" t="n">
        <v>83</v>
      </c>
      <c r="E170" s="12"/>
      <c r="F170" s="12"/>
      <c r="G170" s="10" t="s">
        <v>401</v>
      </c>
      <c r="H170" s="10" t="s">
        <v>648</v>
      </c>
      <c r="I170" s="11" t="s">
        <v>447</v>
      </c>
      <c r="J170" s="10" t="s">
        <v>448</v>
      </c>
      <c r="K170" s="10" t="s">
        <v>449</v>
      </c>
      <c r="L170" s="10" t="s">
        <v>68</v>
      </c>
      <c r="M170" s="10" t="s">
        <v>416</v>
      </c>
      <c r="N170" s="11" t="s">
        <v>649</v>
      </c>
      <c r="O170" s="11" t="s">
        <v>441</v>
      </c>
      <c r="P170" s="10" t="s">
        <v>71</v>
      </c>
      <c r="Q170" s="11" t="s">
        <v>72</v>
      </c>
      <c r="R170" s="11" t="s">
        <v>649</v>
      </c>
      <c r="S170" s="11" t="s">
        <v>74</v>
      </c>
      <c r="T170" s="11" t="s">
        <v>650</v>
      </c>
      <c r="U170" s="10" t="n">
        <f aca="false">IF(AND($D170="",$E170="",$F170=""),1,0)</f>
        <v>0</v>
      </c>
      <c r="V170" s="10" t="n">
        <f aca="false">IF(OR($I170="",$I170="—"),1,0)</f>
        <v>0</v>
      </c>
      <c r="W170" s="10" t="n">
        <f aca="false">IF(AND(ISNUMBER($D170),ISNUMBER($E170)),IF($E170&gt;$D170,1,0),0)+IF(AND(ISNUMBER($D170),ISNUMBER($F170)),IF($D170&gt;$F170,1,0),0)+IF(AND(ISNUMBER($E170),ISNUMBER($F170)),IF($E170&gt;$F170,1,0),0)</f>
        <v>0</v>
      </c>
      <c r="X170" s="13" t="s">
        <v>76</v>
      </c>
    </row>
    <row r="171" customFormat="false" ht="15" hidden="false" customHeight="false" outlineLevel="0" collapsed="false">
      <c r="A171" s="10" t="s">
        <v>651</v>
      </c>
      <c r="B171" s="10" t="s">
        <v>652</v>
      </c>
      <c r="C171" s="10" t="s">
        <v>653</v>
      </c>
      <c r="D171" s="12"/>
      <c r="E171" s="12"/>
      <c r="F171" s="12"/>
      <c r="G171" s="10"/>
      <c r="H171" s="10" t="s">
        <v>446</v>
      </c>
      <c r="I171" s="11" t="s">
        <v>447</v>
      </c>
      <c r="J171" s="10" t="s">
        <v>448</v>
      </c>
      <c r="K171" s="10" t="s">
        <v>449</v>
      </c>
      <c r="L171" s="10" t="s">
        <v>68</v>
      </c>
      <c r="M171" s="10" t="s">
        <v>636</v>
      </c>
      <c r="N171" s="10"/>
      <c r="O171" s="10" t="s">
        <v>636</v>
      </c>
      <c r="P171" s="10" t="s">
        <v>637</v>
      </c>
      <c r="Q171" s="11" t="s">
        <v>638</v>
      </c>
      <c r="R171" s="11" t="s">
        <v>639</v>
      </c>
      <c r="S171" s="11" t="s">
        <v>74</v>
      </c>
      <c r="T171" s="11" t="s">
        <v>654</v>
      </c>
      <c r="U171" s="10" t="n">
        <f aca="false">IF(AND($D171="",$E171="",$F171=""),1,0)</f>
        <v>1</v>
      </c>
      <c r="V171" s="10" t="n">
        <f aca="false">IF(OR($I171="",$I171="—"),1,0)</f>
        <v>0</v>
      </c>
      <c r="W171" s="10" t="n">
        <f aca="false">IF(AND(ISNUMBER($D171),ISNUMBER($E171)),IF($E171&gt;$D171,1,0),0)+IF(AND(ISNUMBER($D171),ISNUMBER($F171)),IF($D171&gt;$F171,1,0),0)+IF(AND(ISNUMBER($E171),ISNUMBER($F171)),IF($E171&gt;$F171,1,0),0)</f>
        <v>0</v>
      </c>
      <c r="X171" s="13" t="s">
        <v>76</v>
      </c>
    </row>
    <row r="172" customFormat="false" ht="15" hidden="false" customHeight="false" outlineLevel="0" collapsed="false">
      <c r="A172" s="10" t="s">
        <v>655</v>
      </c>
      <c r="B172" s="10" t="s">
        <v>656</v>
      </c>
      <c r="C172" s="10" t="s">
        <v>657</v>
      </c>
      <c r="D172" s="12" t="n">
        <v>242000</v>
      </c>
      <c r="E172" s="12" t="n">
        <v>242000</v>
      </c>
      <c r="F172" s="12"/>
      <c r="G172" s="11" t="s">
        <v>439</v>
      </c>
      <c r="H172" s="10" t="s">
        <v>446</v>
      </c>
      <c r="I172" s="11" t="s">
        <v>447</v>
      </c>
      <c r="J172" s="10" t="s">
        <v>448</v>
      </c>
      <c r="K172" s="10" t="s">
        <v>449</v>
      </c>
      <c r="L172" s="10" t="s">
        <v>68</v>
      </c>
      <c r="M172" s="10" t="s">
        <v>416</v>
      </c>
      <c r="N172" s="11" t="s">
        <v>649</v>
      </c>
      <c r="O172" s="11" t="s">
        <v>441</v>
      </c>
      <c r="P172" s="10" t="s">
        <v>71</v>
      </c>
      <c r="Q172" s="11" t="s">
        <v>72</v>
      </c>
      <c r="R172" s="11" t="s">
        <v>649</v>
      </c>
      <c r="S172" s="11" t="s">
        <v>74</v>
      </c>
      <c r="T172" s="11" t="s">
        <v>658</v>
      </c>
      <c r="U172" s="10" t="n">
        <f aca="false">IF(AND($D172="",$E172="",$F172=""),1,0)</f>
        <v>0</v>
      </c>
      <c r="V172" s="10" t="n">
        <f aca="false">IF(OR($I172="",$I172="—"),1,0)</f>
        <v>0</v>
      </c>
      <c r="W172" s="10" t="n">
        <f aca="false">IF(AND(ISNUMBER($D172),ISNUMBER($E172)),IF($E172&gt;$D172,1,0),0)+IF(AND(ISNUMBER($D172),ISNUMBER($F172)),IF($D172&gt;$F172,1,0),0)+IF(AND(ISNUMBER($E172),ISNUMBER($F172)),IF($E172&gt;$F172,1,0),0)</f>
        <v>0</v>
      </c>
      <c r="X172" s="13" t="s">
        <v>76</v>
      </c>
    </row>
    <row r="173" customFormat="false" ht="15" hidden="false" customHeight="false" outlineLevel="0" collapsed="false">
      <c r="A173" s="10" t="s">
        <v>659</v>
      </c>
      <c r="B173" s="10" t="s">
        <v>660</v>
      </c>
      <c r="C173" s="11" t="s">
        <v>661</v>
      </c>
      <c r="D173" s="12" t="n">
        <v>8.2518</v>
      </c>
      <c r="E173" s="12"/>
      <c r="F173" s="12"/>
      <c r="G173" s="10" t="s">
        <v>63</v>
      </c>
      <c r="H173" s="10" t="s">
        <v>662</v>
      </c>
      <c r="I173" s="11" t="s">
        <v>663</v>
      </c>
      <c r="J173" s="10" t="s">
        <v>664</v>
      </c>
      <c r="K173" s="10" t="s">
        <v>665</v>
      </c>
      <c r="L173" s="10" t="s">
        <v>68</v>
      </c>
      <c r="M173" s="10" t="s">
        <v>69</v>
      </c>
      <c r="N173" s="10"/>
      <c r="O173" s="11" t="s">
        <v>666</v>
      </c>
      <c r="P173" s="10" t="s">
        <v>71</v>
      </c>
      <c r="Q173" s="11" t="s">
        <v>72</v>
      </c>
      <c r="R173" s="11" t="s">
        <v>73</v>
      </c>
      <c r="S173" s="11" t="s">
        <v>74</v>
      </c>
      <c r="T173" s="11" t="s">
        <v>667</v>
      </c>
      <c r="U173" s="10" t="n">
        <f aca="false">IF(AND($D173="",$E173="",$F173=""),1,0)</f>
        <v>0</v>
      </c>
      <c r="V173" s="10" t="n">
        <f aca="false">IF(OR($I173="",$I173="—"),1,0)</f>
        <v>0</v>
      </c>
      <c r="W173" s="10" t="n">
        <f aca="false">IF(AND(ISNUMBER($D173),ISNUMBER($E173)),IF($E173&gt;$D173,1,0),0)+IF(AND(ISNUMBER($D173),ISNUMBER($F173)),IF($D173&gt;$F173,1,0),0)+IF(AND(ISNUMBER($E173),ISNUMBER($F173)),IF($E173&gt;$F173,1,0),0)</f>
        <v>0</v>
      </c>
      <c r="X173" s="13" t="s">
        <v>76</v>
      </c>
    </row>
    <row r="174" customFormat="false" ht="15" hidden="false" customHeight="false" outlineLevel="0" collapsed="false">
      <c r="A174" s="10" t="s">
        <v>668</v>
      </c>
      <c r="B174" s="10" t="s">
        <v>669</v>
      </c>
      <c r="C174" s="11" t="s">
        <v>661</v>
      </c>
      <c r="D174" s="12" t="n">
        <v>0.291</v>
      </c>
      <c r="E174" s="12"/>
      <c r="F174" s="12"/>
      <c r="G174" s="10" t="s">
        <v>63</v>
      </c>
      <c r="H174" s="10" t="s">
        <v>92</v>
      </c>
      <c r="I174" s="11" t="s">
        <v>663</v>
      </c>
      <c r="J174" s="10" t="s">
        <v>664</v>
      </c>
      <c r="K174" s="10" t="s">
        <v>665</v>
      </c>
      <c r="L174" s="10" t="s">
        <v>68</v>
      </c>
      <c r="M174" s="10" t="s">
        <v>69</v>
      </c>
      <c r="N174" s="10"/>
      <c r="O174" s="11" t="s">
        <v>666</v>
      </c>
      <c r="P174" s="10" t="s">
        <v>71</v>
      </c>
      <c r="Q174" s="11" t="s">
        <v>72</v>
      </c>
      <c r="R174" s="11" t="s">
        <v>73</v>
      </c>
      <c r="S174" s="11" t="s">
        <v>74</v>
      </c>
      <c r="T174" s="11" t="s">
        <v>670</v>
      </c>
      <c r="U174" s="10" t="n">
        <f aca="false">IF(AND($D174="",$E174="",$F174=""),1,0)</f>
        <v>0</v>
      </c>
      <c r="V174" s="10" t="n">
        <f aca="false">IF(OR($I174="",$I174="—"),1,0)</f>
        <v>0</v>
      </c>
      <c r="W174" s="10" t="n">
        <f aca="false">IF(AND(ISNUMBER($D174),ISNUMBER($E174)),IF($E174&gt;$D174,1,0),0)+IF(AND(ISNUMBER($D174),ISNUMBER($F174)),IF($D174&gt;$F174,1,0),0)+IF(AND(ISNUMBER($E174),ISNUMBER($F174)),IF($E174&gt;$F174,1,0),0)</f>
        <v>0</v>
      </c>
      <c r="X174" s="13" t="s">
        <v>76</v>
      </c>
    </row>
    <row r="175" customFormat="false" ht="15" hidden="false" customHeight="false" outlineLevel="0" collapsed="false">
      <c r="A175" s="10" t="s">
        <v>671</v>
      </c>
      <c r="B175" s="10" t="s">
        <v>672</v>
      </c>
      <c r="C175" s="11" t="s">
        <v>673</v>
      </c>
      <c r="D175" s="12" t="n">
        <v>0.5556</v>
      </c>
      <c r="E175" s="12"/>
      <c r="F175" s="12"/>
      <c r="G175" s="10" t="s">
        <v>63</v>
      </c>
      <c r="H175" s="10" t="s">
        <v>662</v>
      </c>
      <c r="I175" s="11" t="s">
        <v>663</v>
      </c>
      <c r="J175" s="10" t="s">
        <v>664</v>
      </c>
      <c r="K175" s="10" t="s">
        <v>665</v>
      </c>
      <c r="L175" s="10" t="s">
        <v>68</v>
      </c>
      <c r="M175" s="10" t="s">
        <v>69</v>
      </c>
      <c r="N175" s="10"/>
      <c r="O175" s="11" t="s">
        <v>666</v>
      </c>
      <c r="P175" s="10" t="s">
        <v>71</v>
      </c>
      <c r="Q175" s="11" t="s">
        <v>72</v>
      </c>
      <c r="R175" s="11" t="s">
        <v>73</v>
      </c>
      <c r="S175" s="11" t="s">
        <v>74</v>
      </c>
      <c r="T175" s="11" t="s">
        <v>674</v>
      </c>
      <c r="U175" s="10" t="n">
        <f aca="false">IF(AND($D175="",$E175="",$F175=""),1,0)</f>
        <v>0</v>
      </c>
      <c r="V175" s="10" t="n">
        <f aca="false">IF(OR($I175="",$I175="—"),1,0)</f>
        <v>0</v>
      </c>
      <c r="W175" s="10" t="n">
        <f aca="false">IF(AND(ISNUMBER($D175),ISNUMBER($E175)),IF($E175&gt;$D175,1,0),0)+IF(AND(ISNUMBER($D175),ISNUMBER($F175)),IF($D175&gt;$F175,1,0),0)+IF(AND(ISNUMBER($E175),ISNUMBER($F175)),IF($E175&gt;$F175,1,0),0)</f>
        <v>0</v>
      </c>
      <c r="X175" s="13" t="s">
        <v>76</v>
      </c>
    </row>
    <row r="176" customFormat="false" ht="15" hidden="false" customHeight="false" outlineLevel="0" collapsed="false">
      <c r="A176" s="10" t="s">
        <v>675</v>
      </c>
      <c r="B176" s="10" t="s">
        <v>676</v>
      </c>
      <c r="C176" s="11" t="s">
        <v>673</v>
      </c>
      <c r="D176" s="12" t="n">
        <v>0.1374</v>
      </c>
      <c r="E176" s="12"/>
      <c r="F176" s="12"/>
      <c r="G176" s="10" t="s">
        <v>63</v>
      </c>
      <c r="H176" s="10" t="s">
        <v>92</v>
      </c>
      <c r="I176" s="11" t="s">
        <v>663</v>
      </c>
      <c r="J176" s="10" t="s">
        <v>664</v>
      </c>
      <c r="K176" s="10" t="s">
        <v>665</v>
      </c>
      <c r="L176" s="10" t="s">
        <v>68</v>
      </c>
      <c r="M176" s="10" t="s">
        <v>69</v>
      </c>
      <c r="N176" s="10"/>
      <c r="O176" s="11" t="s">
        <v>666</v>
      </c>
      <c r="P176" s="10" t="s">
        <v>71</v>
      </c>
      <c r="Q176" s="11" t="s">
        <v>72</v>
      </c>
      <c r="R176" s="11" t="s">
        <v>73</v>
      </c>
      <c r="S176" s="11" t="s">
        <v>74</v>
      </c>
      <c r="T176" s="11" t="s">
        <v>677</v>
      </c>
      <c r="U176" s="10" t="n">
        <f aca="false">IF(AND($D176="",$E176="",$F176=""),1,0)</f>
        <v>0</v>
      </c>
      <c r="V176" s="10" t="n">
        <f aca="false">IF(OR($I176="",$I176="—"),1,0)</f>
        <v>0</v>
      </c>
      <c r="W176" s="10" t="n">
        <f aca="false">IF(AND(ISNUMBER($D176),ISNUMBER($E176)),IF($E176&gt;$D176,1,0),0)+IF(AND(ISNUMBER($D176),ISNUMBER($F176)),IF($D176&gt;$F176,1,0),0)+IF(AND(ISNUMBER($E176),ISNUMBER($F176)),IF($E176&gt;$F176,1,0),0)</f>
        <v>0</v>
      </c>
      <c r="X176" s="13" t="s">
        <v>76</v>
      </c>
    </row>
    <row r="177" customFormat="false" ht="15" hidden="false" customHeight="false" outlineLevel="0" collapsed="false">
      <c r="A177" s="10" t="s">
        <v>678</v>
      </c>
      <c r="B177" s="10" t="s">
        <v>679</v>
      </c>
      <c r="C177" s="11" t="s">
        <v>680</v>
      </c>
      <c r="D177" s="12" t="n">
        <v>0.6704</v>
      </c>
      <c r="E177" s="12"/>
      <c r="F177" s="12"/>
      <c r="G177" s="10" t="s">
        <v>63</v>
      </c>
      <c r="H177" s="10" t="s">
        <v>662</v>
      </c>
      <c r="I177" s="11" t="s">
        <v>663</v>
      </c>
      <c r="J177" s="10" t="s">
        <v>664</v>
      </c>
      <c r="K177" s="10" t="s">
        <v>665</v>
      </c>
      <c r="L177" s="10" t="s">
        <v>68</v>
      </c>
      <c r="M177" s="10" t="s">
        <v>69</v>
      </c>
      <c r="N177" s="10"/>
      <c r="O177" s="11" t="s">
        <v>666</v>
      </c>
      <c r="P177" s="10" t="s">
        <v>71</v>
      </c>
      <c r="Q177" s="11" t="s">
        <v>72</v>
      </c>
      <c r="R177" s="11" t="s">
        <v>73</v>
      </c>
      <c r="S177" s="11" t="s">
        <v>74</v>
      </c>
      <c r="T177" s="11" t="s">
        <v>681</v>
      </c>
      <c r="U177" s="10" t="n">
        <f aca="false">IF(AND($D177="",$E177="",$F177=""),1,0)</f>
        <v>0</v>
      </c>
      <c r="V177" s="10" t="n">
        <f aca="false">IF(OR($I177="",$I177="—"),1,0)</f>
        <v>0</v>
      </c>
      <c r="W177" s="10" t="n">
        <f aca="false">IF(AND(ISNUMBER($D177),ISNUMBER($E177)),IF($E177&gt;$D177,1,0),0)+IF(AND(ISNUMBER($D177),ISNUMBER($F177)),IF($D177&gt;$F177,1,0),0)+IF(AND(ISNUMBER($E177),ISNUMBER($F177)),IF($E177&gt;$F177,1,0),0)</f>
        <v>0</v>
      </c>
      <c r="X177" s="13" t="s">
        <v>76</v>
      </c>
    </row>
    <row r="178" customFormat="false" ht="15" hidden="false" customHeight="false" outlineLevel="0" collapsed="false">
      <c r="A178" s="10" t="s">
        <v>682</v>
      </c>
      <c r="B178" s="10" t="s">
        <v>683</v>
      </c>
      <c r="C178" s="11" t="s">
        <v>680</v>
      </c>
      <c r="D178" s="12" t="n">
        <v>1.4755</v>
      </c>
      <c r="E178" s="12"/>
      <c r="F178" s="12"/>
      <c r="G178" s="10" t="s">
        <v>63</v>
      </c>
      <c r="H178" s="10" t="s">
        <v>92</v>
      </c>
      <c r="I178" s="11" t="s">
        <v>663</v>
      </c>
      <c r="J178" s="10" t="s">
        <v>664</v>
      </c>
      <c r="K178" s="10" t="s">
        <v>665</v>
      </c>
      <c r="L178" s="10" t="s">
        <v>68</v>
      </c>
      <c r="M178" s="10" t="s">
        <v>69</v>
      </c>
      <c r="N178" s="10"/>
      <c r="O178" s="11" t="s">
        <v>666</v>
      </c>
      <c r="P178" s="10" t="s">
        <v>71</v>
      </c>
      <c r="Q178" s="11" t="s">
        <v>72</v>
      </c>
      <c r="R178" s="11" t="s">
        <v>73</v>
      </c>
      <c r="S178" s="11" t="s">
        <v>74</v>
      </c>
      <c r="T178" s="11" t="s">
        <v>684</v>
      </c>
      <c r="U178" s="10" t="n">
        <f aca="false">IF(AND($D178="",$E178="",$F178=""),1,0)</f>
        <v>0</v>
      </c>
      <c r="V178" s="10" t="n">
        <f aca="false">IF(OR($I178="",$I178="—"),1,0)</f>
        <v>0</v>
      </c>
      <c r="W178" s="10" t="n">
        <f aca="false">IF(AND(ISNUMBER($D178),ISNUMBER($E178)),IF($E178&gt;$D178,1,0),0)+IF(AND(ISNUMBER($D178),ISNUMBER($F178)),IF($D178&gt;$F178,1,0),0)+IF(AND(ISNUMBER($E178),ISNUMBER($F178)),IF($E178&gt;$F178,1,0),0)</f>
        <v>0</v>
      </c>
      <c r="X178" s="13" t="s">
        <v>76</v>
      </c>
    </row>
    <row r="179" customFormat="false" ht="15" hidden="false" customHeight="false" outlineLevel="0" collapsed="false">
      <c r="A179" s="10" t="s">
        <v>685</v>
      </c>
      <c r="B179" s="10" t="s">
        <v>686</v>
      </c>
      <c r="C179" s="11" t="s">
        <v>687</v>
      </c>
      <c r="D179" s="12" t="n">
        <v>0.0612</v>
      </c>
      <c r="E179" s="12"/>
      <c r="F179" s="12"/>
      <c r="G179" s="10" t="s">
        <v>63</v>
      </c>
      <c r="H179" s="10" t="s">
        <v>662</v>
      </c>
      <c r="I179" s="11" t="s">
        <v>663</v>
      </c>
      <c r="J179" s="10" t="s">
        <v>664</v>
      </c>
      <c r="K179" s="10" t="s">
        <v>665</v>
      </c>
      <c r="L179" s="10" t="s">
        <v>68</v>
      </c>
      <c r="M179" s="10" t="s">
        <v>69</v>
      </c>
      <c r="N179" s="10"/>
      <c r="O179" s="11" t="s">
        <v>666</v>
      </c>
      <c r="P179" s="10" t="s">
        <v>71</v>
      </c>
      <c r="Q179" s="11" t="s">
        <v>72</v>
      </c>
      <c r="R179" s="11" t="s">
        <v>73</v>
      </c>
      <c r="S179" s="11" t="s">
        <v>74</v>
      </c>
      <c r="T179" s="11" t="s">
        <v>688</v>
      </c>
      <c r="U179" s="10" t="n">
        <f aca="false">IF(AND($D179="",$E179="",$F179=""),1,0)</f>
        <v>0</v>
      </c>
      <c r="V179" s="10" t="n">
        <f aca="false">IF(OR($I179="",$I179="—"),1,0)</f>
        <v>0</v>
      </c>
      <c r="W179" s="10" t="n">
        <f aca="false">IF(AND(ISNUMBER($D179),ISNUMBER($E179)),IF($E179&gt;$D179,1,0),0)+IF(AND(ISNUMBER($D179),ISNUMBER($F179)),IF($D179&gt;$F179,1,0),0)+IF(AND(ISNUMBER($E179),ISNUMBER($F179)),IF($E179&gt;$F179,1,0),0)</f>
        <v>0</v>
      </c>
      <c r="X179" s="13" t="s">
        <v>76</v>
      </c>
    </row>
    <row r="180" customFormat="false" ht="15" hidden="false" customHeight="false" outlineLevel="0" collapsed="false">
      <c r="A180" s="10" t="s">
        <v>689</v>
      </c>
      <c r="B180" s="10" t="s">
        <v>690</v>
      </c>
      <c r="C180" s="11" t="s">
        <v>687</v>
      </c>
      <c r="D180" s="12" t="n">
        <v>0.0048</v>
      </c>
      <c r="E180" s="12"/>
      <c r="F180" s="12"/>
      <c r="G180" s="10" t="s">
        <v>63</v>
      </c>
      <c r="H180" s="10" t="s">
        <v>92</v>
      </c>
      <c r="I180" s="11" t="s">
        <v>663</v>
      </c>
      <c r="J180" s="10" t="s">
        <v>664</v>
      </c>
      <c r="K180" s="10" t="s">
        <v>665</v>
      </c>
      <c r="L180" s="10" t="s">
        <v>68</v>
      </c>
      <c r="M180" s="10" t="s">
        <v>69</v>
      </c>
      <c r="N180" s="10"/>
      <c r="O180" s="11" t="s">
        <v>666</v>
      </c>
      <c r="P180" s="10" t="s">
        <v>71</v>
      </c>
      <c r="Q180" s="11" t="s">
        <v>72</v>
      </c>
      <c r="R180" s="11" t="s">
        <v>73</v>
      </c>
      <c r="S180" s="11" t="s">
        <v>74</v>
      </c>
      <c r="T180" s="11" t="s">
        <v>691</v>
      </c>
      <c r="U180" s="10" t="n">
        <f aca="false">IF(AND($D180="",$E180="",$F180=""),1,0)</f>
        <v>0</v>
      </c>
      <c r="V180" s="10" t="n">
        <f aca="false">IF(OR($I180="",$I180="—"),1,0)</f>
        <v>0</v>
      </c>
      <c r="W180" s="10" t="n">
        <f aca="false">IF(AND(ISNUMBER($D180),ISNUMBER($E180)),IF($E180&gt;$D180,1,0),0)+IF(AND(ISNUMBER($D180),ISNUMBER($F180)),IF($D180&gt;$F180,1,0),0)+IF(AND(ISNUMBER($E180),ISNUMBER($F180)),IF($E180&gt;$F180,1,0),0)</f>
        <v>0</v>
      </c>
      <c r="X180" s="13" t="s">
        <v>76</v>
      </c>
    </row>
    <row r="181" customFormat="false" ht="15" hidden="false" customHeight="false" outlineLevel="0" collapsed="false">
      <c r="A181" s="10" t="s">
        <v>692</v>
      </c>
      <c r="B181" s="10" t="s">
        <v>693</v>
      </c>
      <c r="C181" s="11" t="s">
        <v>62</v>
      </c>
      <c r="D181" s="12" t="n">
        <v>9.5389</v>
      </c>
      <c r="E181" s="12"/>
      <c r="F181" s="12"/>
      <c r="G181" s="10" t="s">
        <v>63</v>
      </c>
      <c r="H181" s="10" t="s">
        <v>662</v>
      </c>
      <c r="I181" s="11" t="s">
        <v>663</v>
      </c>
      <c r="J181" s="10" t="s">
        <v>664</v>
      </c>
      <c r="K181" s="10" t="s">
        <v>665</v>
      </c>
      <c r="L181" s="10" t="s">
        <v>68</v>
      </c>
      <c r="M181" s="10" t="s">
        <v>69</v>
      </c>
      <c r="N181" s="10"/>
      <c r="O181" s="11" t="s">
        <v>666</v>
      </c>
      <c r="P181" s="10" t="s">
        <v>71</v>
      </c>
      <c r="Q181" s="11" t="s">
        <v>72</v>
      </c>
      <c r="R181" s="11" t="s">
        <v>73</v>
      </c>
      <c r="S181" s="11" t="s">
        <v>74</v>
      </c>
      <c r="T181" s="11" t="s">
        <v>694</v>
      </c>
      <c r="U181" s="10" t="n">
        <f aca="false">IF(AND($D181="",$E181="",$F181=""),1,0)</f>
        <v>0</v>
      </c>
      <c r="V181" s="10" t="n">
        <f aca="false">IF(OR($I181="",$I181="—"),1,0)</f>
        <v>0</v>
      </c>
      <c r="W181" s="10" t="n">
        <f aca="false">IF(AND(ISNUMBER($D181),ISNUMBER($E181)),IF($E181&gt;$D181,1,0),0)+IF(AND(ISNUMBER($D181),ISNUMBER($F181)),IF($D181&gt;$F181,1,0),0)+IF(AND(ISNUMBER($E181),ISNUMBER($F181)),IF($E181&gt;$F181,1,0),0)</f>
        <v>0</v>
      </c>
      <c r="X181" s="13" t="s">
        <v>76</v>
      </c>
    </row>
    <row r="182" customFormat="false" ht="15" hidden="false" customHeight="false" outlineLevel="0" collapsed="false">
      <c r="A182" s="10" t="s">
        <v>695</v>
      </c>
      <c r="B182" s="10" t="s">
        <v>696</v>
      </c>
      <c r="C182" s="11" t="s">
        <v>481</v>
      </c>
      <c r="D182" s="12" t="n">
        <v>1.2872</v>
      </c>
      <c r="E182" s="12"/>
      <c r="F182" s="12"/>
      <c r="G182" s="10" t="s">
        <v>63</v>
      </c>
      <c r="H182" s="10" t="s">
        <v>662</v>
      </c>
      <c r="I182" s="11" t="s">
        <v>663</v>
      </c>
      <c r="J182" s="10" t="s">
        <v>697</v>
      </c>
      <c r="K182" s="10" t="s">
        <v>665</v>
      </c>
      <c r="L182" s="10" t="s">
        <v>68</v>
      </c>
      <c r="M182" s="10" t="s">
        <v>69</v>
      </c>
      <c r="N182" s="10"/>
      <c r="O182" s="11" t="s">
        <v>666</v>
      </c>
      <c r="P182" s="10" t="s">
        <v>71</v>
      </c>
      <c r="Q182" s="11" t="s">
        <v>72</v>
      </c>
      <c r="R182" s="11" t="s">
        <v>73</v>
      </c>
      <c r="S182" s="11" t="s">
        <v>74</v>
      </c>
      <c r="T182" s="10" t="s">
        <v>698</v>
      </c>
      <c r="U182" s="10" t="n">
        <f aca="false">IF(AND($D182="",$E182="",$F182=""),1,0)</f>
        <v>0</v>
      </c>
      <c r="V182" s="10" t="n">
        <f aca="false">IF(OR($I182="",$I182="—"),1,0)</f>
        <v>0</v>
      </c>
      <c r="W182" s="10" t="n">
        <f aca="false">IF(AND(ISNUMBER($D182),ISNUMBER($E182)),IF($E182&gt;$D182,1,0),0)+IF(AND(ISNUMBER($D182),ISNUMBER($F182)),IF($D182&gt;$F182,1,0),0)+IF(AND(ISNUMBER($E182),ISNUMBER($F182)),IF($E182&gt;$F182,1,0),0)</f>
        <v>0</v>
      </c>
      <c r="X182" s="13" t="s">
        <v>76</v>
      </c>
    </row>
    <row r="183" customFormat="false" ht="15" hidden="false" customHeight="false" outlineLevel="0" collapsed="false">
      <c r="A183" s="10" t="s">
        <v>699</v>
      </c>
      <c r="B183" s="10" t="s">
        <v>700</v>
      </c>
      <c r="C183" s="11" t="s">
        <v>485</v>
      </c>
      <c r="D183" s="12" t="n">
        <v>8.2518</v>
      </c>
      <c r="E183" s="12"/>
      <c r="F183" s="12"/>
      <c r="G183" s="10" t="s">
        <v>63</v>
      </c>
      <c r="H183" s="10" t="s">
        <v>662</v>
      </c>
      <c r="I183" s="11" t="s">
        <v>663</v>
      </c>
      <c r="J183" s="10" t="s">
        <v>697</v>
      </c>
      <c r="K183" s="10" t="s">
        <v>665</v>
      </c>
      <c r="L183" s="10" t="s">
        <v>68</v>
      </c>
      <c r="M183" s="10" t="s">
        <v>69</v>
      </c>
      <c r="N183" s="10"/>
      <c r="O183" s="11" t="s">
        <v>666</v>
      </c>
      <c r="P183" s="10" t="s">
        <v>71</v>
      </c>
      <c r="Q183" s="11" t="s">
        <v>72</v>
      </c>
      <c r="R183" s="11" t="s">
        <v>73</v>
      </c>
      <c r="S183" s="11" t="s">
        <v>74</v>
      </c>
      <c r="T183" s="10" t="s">
        <v>701</v>
      </c>
      <c r="U183" s="10" t="n">
        <f aca="false">IF(AND($D183="",$E183="",$F183=""),1,0)</f>
        <v>0</v>
      </c>
      <c r="V183" s="10" t="n">
        <f aca="false">IF(OR($I183="",$I183="—"),1,0)</f>
        <v>0</v>
      </c>
      <c r="W183" s="10" t="n">
        <f aca="false">IF(AND(ISNUMBER($D183),ISNUMBER($E183)),IF($E183&gt;$D183,1,0),0)+IF(AND(ISNUMBER($D183),ISNUMBER($F183)),IF($D183&gt;$F183,1,0),0)+IF(AND(ISNUMBER($E183),ISNUMBER($F183)),IF($E183&gt;$F183,1,0),0)</f>
        <v>0</v>
      </c>
      <c r="X183" s="13" t="s">
        <v>76</v>
      </c>
    </row>
    <row r="184" customFormat="false" ht="15" hidden="false" customHeight="false" outlineLevel="0" collapsed="false">
      <c r="A184" s="10" t="s">
        <v>702</v>
      </c>
      <c r="B184" s="10" t="s">
        <v>703</v>
      </c>
      <c r="C184" s="11" t="s">
        <v>704</v>
      </c>
      <c r="D184" s="12" t="n">
        <v>0.6704</v>
      </c>
      <c r="E184" s="12"/>
      <c r="F184" s="12"/>
      <c r="G184" s="10" t="s">
        <v>63</v>
      </c>
      <c r="H184" s="10" t="s">
        <v>662</v>
      </c>
      <c r="I184" s="11" t="s">
        <v>705</v>
      </c>
      <c r="J184" s="10" t="s">
        <v>706</v>
      </c>
      <c r="K184" s="10" t="s">
        <v>707</v>
      </c>
      <c r="L184" s="10" t="s">
        <v>68</v>
      </c>
      <c r="M184" s="10" t="s">
        <v>416</v>
      </c>
      <c r="N184" s="11" t="s">
        <v>708</v>
      </c>
      <c r="O184" s="11" t="s">
        <v>709</v>
      </c>
      <c r="P184" s="10" t="s">
        <v>637</v>
      </c>
      <c r="Q184" s="11" t="s">
        <v>72</v>
      </c>
      <c r="R184" s="11" t="s">
        <v>708</v>
      </c>
      <c r="S184" s="11" t="s">
        <v>710</v>
      </c>
      <c r="T184" s="11" t="s">
        <v>711</v>
      </c>
      <c r="U184" s="10" t="n">
        <f aca="false">IF(AND($D184="",$E184="",$F184=""),1,0)</f>
        <v>0</v>
      </c>
      <c r="V184" s="10" t="n">
        <f aca="false">IF(OR($I184="",$I184="—"),1,0)</f>
        <v>0</v>
      </c>
      <c r="W184" s="10" t="n">
        <f aca="false">IF(AND(ISNUMBER($D184),ISNUMBER($E184)),IF($E184&gt;$D184,1,0),0)+IF(AND(ISNUMBER($D184),ISNUMBER($F184)),IF($D184&gt;$F184,1,0),0)+IF(AND(ISNUMBER($E184),ISNUMBER($F184)),IF($E184&gt;$F184,1,0),0)</f>
        <v>0</v>
      </c>
      <c r="X184" s="13" t="s">
        <v>76</v>
      </c>
    </row>
    <row r="185" customFormat="false" ht="15" hidden="false" customHeight="false" outlineLevel="0" collapsed="false">
      <c r="A185" s="10" t="s">
        <v>712</v>
      </c>
      <c r="B185" s="10" t="s">
        <v>713</v>
      </c>
      <c r="C185" s="11" t="s">
        <v>714</v>
      </c>
      <c r="D185" s="12" t="n">
        <v>1.3</v>
      </c>
      <c r="E185" s="12"/>
      <c r="F185" s="12"/>
      <c r="G185" s="10" t="s">
        <v>63</v>
      </c>
      <c r="H185" s="10" t="s">
        <v>662</v>
      </c>
      <c r="I185" s="11" t="s">
        <v>715</v>
      </c>
      <c r="J185" s="10" t="s">
        <v>716</v>
      </c>
      <c r="K185" s="10" t="s">
        <v>717</v>
      </c>
      <c r="L185" s="10" t="s">
        <v>68</v>
      </c>
      <c r="M185" s="10" t="s">
        <v>416</v>
      </c>
      <c r="N185" s="11" t="s">
        <v>718</v>
      </c>
      <c r="O185" s="11" t="s">
        <v>719</v>
      </c>
      <c r="P185" s="10" t="s">
        <v>637</v>
      </c>
      <c r="Q185" s="11" t="s">
        <v>72</v>
      </c>
      <c r="R185" s="11" t="s">
        <v>718</v>
      </c>
      <c r="S185" s="11" t="s">
        <v>710</v>
      </c>
      <c r="T185" s="11" t="s">
        <v>720</v>
      </c>
      <c r="U185" s="10" t="n">
        <f aca="false">IF(AND($D185="",$E185="",$F185=""),1,0)</f>
        <v>0</v>
      </c>
      <c r="V185" s="10" t="n">
        <f aca="false">IF(OR($I185="",$I185="—"),1,0)</f>
        <v>0</v>
      </c>
      <c r="W185" s="10" t="n">
        <f aca="false">IF(AND(ISNUMBER($D185),ISNUMBER($E185)),IF($E185&gt;$D185,1,0),0)+IF(AND(ISNUMBER($D185),ISNUMBER($F185)),IF($D185&gt;$F185,1,0),0)+IF(AND(ISNUMBER($E185),ISNUMBER($F185)),IF($E185&gt;$F185,1,0),0)</f>
        <v>0</v>
      </c>
      <c r="X185" s="13" t="s">
        <v>76</v>
      </c>
    </row>
    <row r="186" customFormat="false" ht="15" hidden="false" customHeight="false" outlineLevel="0" collapsed="false">
      <c r="A186" s="10" t="s">
        <v>721</v>
      </c>
      <c r="B186" s="10" t="s">
        <v>722</v>
      </c>
      <c r="C186" s="11" t="s">
        <v>489</v>
      </c>
      <c r="D186" s="12" t="n">
        <v>7.0228</v>
      </c>
      <c r="E186" s="12"/>
      <c r="F186" s="12"/>
      <c r="G186" s="10" t="s">
        <v>63</v>
      </c>
      <c r="H186" s="10" t="s">
        <v>662</v>
      </c>
      <c r="I186" s="11" t="s">
        <v>663</v>
      </c>
      <c r="J186" s="10" t="s">
        <v>664</v>
      </c>
      <c r="K186" s="10" t="s">
        <v>665</v>
      </c>
      <c r="L186" s="10" t="s">
        <v>68</v>
      </c>
      <c r="M186" s="10" t="s">
        <v>69</v>
      </c>
      <c r="N186" s="10"/>
      <c r="O186" s="11" t="s">
        <v>666</v>
      </c>
      <c r="P186" s="10" t="s">
        <v>71</v>
      </c>
      <c r="Q186" s="11" t="s">
        <v>72</v>
      </c>
      <c r="R186" s="11" t="s">
        <v>73</v>
      </c>
      <c r="S186" s="11" t="s">
        <v>74</v>
      </c>
      <c r="T186" s="11" t="s">
        <v>723</v>
      </c>
      <c r="U186" s="10" t="n">
        <f aca="false">IF(AND($D186="",$E186="",$F186=""),1,0)</f>
        <v>0</v>
      </c>
      <c r="V186" s="10" t="n">
        <f aca="false">IF(OR($I186="",$I186="—"),1,0)</f>
        <v>0</v>
      </c>
      <c r="W186" s="10" t="n">
        <f aca="false">IF(AND(ISNUMBER($D186),ISNUMBER($E186)),IF($E186&gt;$D186,1,0),0)+IF(AND(ISNUMBER($D186),ISNUMBER($F186)),IF($D186&gt;$F186,1,0),0)+IF(AND(ISNUMBER($E186),ISNUMBER($F186)),IF($E186&gt;$F186,1,0),0)</f>
        <v>0</v>
      </c>
      <c r="X186" s="13" t="s">
        <v>76</v>
      </c>
    </row>
    <row r="187" customFormat="false" ht="15" hidden="false" customHeight="false" outlineLevel="0" collapsed="false">
      <c r="A187" s="10" t="s">
        <v>724</v>
      </c>
      <c r="B187" s="10" t="s">
        <v>725</v>
      </c>
      <c r="C187" s="11" t="s">
        <v>726</v>
      </c>
      <c r="D187" s="12" t="n">
        <v>0.9545</v>
      </c>
      <c r="E187" s="12"/>
      <c r="F187" s="12"/>
      <c r="G187" s="10" t="s">
        <v>63</v>
      </c>
      <c r="H187" s="10" t="s">
        <v>92</v>
      </c>
      <c r="I187" s="11" t="s">
        <v>663</v>
      </c>
      <c r="J187" s="10" t="s">
        <v>664</v>
      </c>
      <c r="K187" s="10" t="s">
        <v>665</v>
      </c>
      <c r="L187" s="10" t="s">
        <v>68</v>
      </c>
      <c r="M187" s="10" t="s">
        <v>69</v>
      </c>
      <c r="N187" s="10"/>
      <c r="O187" s="11" t="s">
        <v>666</v>
      </c>
      <c r="P187" s="10" t="s">
        <v>71</v>
      </c>
      <c r="Q187" s="11" t="s">
        <v>72</v>
      </c>
      <c r="R187" s="11" t="s">
        <v>73</v>
      </c>
      <c r="S187" s="11" t="s">
        <v>74</v>
      </c>
      <c r="T187" s="11" t="s">
        <v>727</v>
      </c>
      <c r="U187" s="10" t="n">
        <f aca="false">IF(AND($D187="",$E187="",$F187=""),1,0)</f>
        <v>0</v>
      </c>
      <c r="V187" s="10" t="n">
        <f aca="false">IF(OR($I187="",$I187="—"),1,0)</f>
        <v>0</v>
      </c>
      <c r="W187" s="10" t="n">
        <f aca="false">IF(AND(ISNUMBER($D187),ISNUMBER($E187)),IF($E187&gt;$D187,1,0),0)+IF(AND(ISNUMBER($D187),ISNUMBER($F187)),IF($D187&gt;$F187,1,0),0)+IF(AND(ISNUMBER($E187),ISNUMBER($F187)),IF($E187&gt;$F187,1,0),0)</f>
        <v>0</v>
      </c>
      <c r="X187" s="13" t="s">
        <v>76</v>
      </c>
    </row>
    <row r="188" customFormat="false" ht="15" hidden="false" customHeight="false" outlineLevel="0" collapsed="false">
      <c r="A188" s="10" t="s">
        <v>728</v>
      </c>
      <c r="B188" s="10" t="s">
        <v>729</v>
      </c>
      <c r="C188" s="11" t="s">
        <v>176</v>
      </c>
      <c r="D188" s="12" t="n">
        <v>2.5161</v>
      </c>
      <c r="E188" s="12"/>
      <c r="F188" s="12"/>
      <c r="G188" s="10" t="s">
        <v>63</v>
      </c>
      <c r="H188" s="10" t="s">
        <v>662</v>
      </c>
      <c r="I188" s="11" t="s">
        <v>663</v>
      </c>
      <c r="J188" s="10" t="s">
        <v>664</v>
      </c>
      <c r="K188" s="10" t="s">
        <v>665</v>
      </c>
      <c r="L188" s="10" t="s">
        <v>68</v>
      </c>
      <c r="M188" s="10" t="s">
        <v>69</v>
      </c>
      <c r="N188" s="10"/>
      <c r="O188" s="11" t="s">
        <v>666</v>
      </c>
      <c r="P188" s="10" t="s">
        <v>71</v>
      </c>
      <c r="Q188" s="11" t="s">
        <v>72</v>
      </c>
      <c r="R188" s="11" t="s">
        <v>73</v>
      </c>
      <c r="S188" s="11" t="s">
        <v>74</v>
      </c>
      <c r="T188" s="10" t="s">
        <v>730</v>
      </c>
      <c r="U188" s="10" t="n">
        <f aca="false">IF(AND($D188="",$E188="",$F188=""),1,0)</f>
        <v>0</v>
      </c>
      <c r="V188" s="10" t="n">
        <f aca="false">IF(OR($I188="",$I188="—"),1,0)</f>
        <v>0</v>
      </c>
      <c r="W188" s="10" t="n">
        <f aca="false">IF(AND(ISNUMBER($D188),ISNUMBER($E188)),IF($E188&gt;$D188,1,0),0)+IF(AND(ISNUMBER($D188),ISNUMBER($F188)),IF($D188&gt;$F188,1,0),0)+IF(AND(ISNUMBER($E188),ISNUMBER($F188)),IF($E188&gt;$F188,1,0),0)</f>
        <v>0</v>
      </c>
      <c r="X188" s="13" t="s">
        <v>76</v>
      </c>
    </row>
    <row r="189" customFormat="false" ht="15" hidden="false" customHeight="false" outlineLevel="0" collapsed="false">
      <c r="A189" s="10" t="s">
        <v>731</v>
      </c>
      <c r="B189" s="10" t="s">
        <v>732</v>
      </c>
      <c r="C189" s="11" t="s">
        <v>400</v>
      </c>
      <c r="D189" s="12" t="n">
        <v>26.4</v>
      </c>
      <c r="E189" s="12"/>
      <c r="F189" s="12"/>
      <c r="G189" s="10" t="s">
        <v>401</v>
      </c>
      <c r="H189" s="10" t="s">
        <v>662</v>
      </c>
      <c r="I189" s="11" t="s">
        <v>663</v>
      </c>
      <c r="J189" s="10" t="s">
        <v>664</v>
      </c>
      <c r="K189" s="10" t="s">
        <v>665</v>
      </c>
      <c r="L189" s="10" t="s">
        <v>68</v>
      </c>
      <c r="M189" s="10" t="s">
        <v>69</v>
      </c>
      <c r="N189" s="10"/>
      <c r="O189" s="11" t="s">
        <v>666</v>
      </c>
      <c r="P189" s="10" t="s">
        <v>71</v>
      </c>
      <c r="Q189" s="11" t="s">
        <v>72</v>
      </c>
      <c r="R189" s="11" t="s">
        <v>73</v>
      </c>
      <c r="S189" s="11" t="s">
        <v>74</v>
      </c>
      <c r="T189" s="11" t="s">
        <v>733</v>
      </c>
      <c r="U189" s="10" t="n">
        <f aca="false">IF(AND($D189="",$E189="",$F189=""),1,0)</f>
        <v>0</v>
      </c>
      <c r="V189" s="10" t="n">
        <f aca="false">IF(OR($I189="",$I189="—"),1,0)</f>
        <v>0</v>
      </c>
      <c r="W189" s="10" t="n">
        <f aca="false">IF(AND(ISNUMBER($D189),ISNUMBER($E189)),IF($E189&gt;$D189,1,0),0)+IF(AND(ISNUMBER($D189),ISNUMBER($F189)),IF($D189&gt;$F189,1,0),0)+IF(AND(ISNUMBER($E189),ISNUMBER($F189)),IF($E189&gt;$F189,1,0),0)</f>
        <v>0</v>
      </c>
      <c r="X189" s="13" t="s">
        <v>76</v>
      </c>
    </row>
    <row r="190" customFormat="false" ht="15" hidden="false" customHeight="false" outlineLevel="0" collapsed="false">
      <c r="A190" s="10" t="s">
        <v>734</v>
      </c>
      <c r="B190" s="10" t="s">
        <v>735</v>
      </c>
      <c r="C190" s="11" t="s">
        <v>513</v>
      </c>
      <c r="D190" s="12" t="n">
        <v>2.0287</v>
      </c>
      <c r="E190" s="12"/>
      <c r="F190" s="12"/>
      <c r="G190" s="10" t="s">
        <v>63</v>
      </c>
      <c r="H190" s="10" t="s">
        <v>662</v>
      </c>
      <c r="I190" s="11" t="s">
        <v>663</v>
      </c>
      <c r="J190" s="10" t="s">
        <v>697</v>
      </c>
      <c r="K190" s="10" t="s">
        <v>665</v>
      </c>
      <c r="L190" s="10" t="s">
        <v>68</v>
      </c>
      <c r="M190" s="10" t="s">
        <v>69</v>
      </c>
      <c r="N190" s="10"/>
      <c r="O190" s="11" t="s">
        <v>666</v>
      </c>
      <c r="P190" s="10" t="s">
        <v>71</v>
      </c>
      <c r="Q190" s="11" t="s">
        <v>72</v>
      </c>
      <c r="R190" s="11" t="s">
        <v>73</v>
      </c>
      <c r="S190" s="11" t="s">
        <v>74</v>
      </c>
      <c r="T190" s="11" t="s">
        <v>736</v>
      </c>
      <c r="U190" s="10" t="n">
        <f aca="false">IF(AND($D190="",$E190="",$F190=""),1,0)</f>
        <v>0</v>
      </c>
      <c r="V190" s="10" t="n">
        <f aca="false">IF(OR($I190="",$I190="—"),1,0)</f>
        <v>0</v>
      </c>
      <c r="W190" s="10" t="n">
        <f aca="false">IF(AND(ISNUMBER($D190),ISNUMBER($E190)),IF($E190&gt;$D190,1,0),0)+IF(AND(ISNUMBER($D190),ISNUMBER($F190)),IF($D190&gt;$F190,1,0),0)+IF(AND(ISNUMBER($E190),ISNUMBER($F190)),IF($E190&gt;$F190,1,0),0)</f>
        <v>0</v>
      </c>
      <c r="X190" s="13" t="s">
        <v>76</v>
      </c>
    </row>
    <row r="191" customFormat="false" ht="15" hidden="false" customHeight="false" outlineLevel="0" collapsed="false">
      <c r="A191" s="10" t="s">
        <v>737</v>
      </c>
      <c r="B191" s="10" t="s">
        <v>738</v>
      </c>
      <c r="C191" s="11" t="s">
        <v>513</v>
      </c>
      <c r="D191" s="12" t="n">
        <v>-0.0012</v>
      </c>
      <c r="E191" s="12"/>
      <c r="F191" s="12"/>
      <c r="G191" s="10" t="s">
        <v>63</v>
      </c>
      <c r="H191" s="10" t="s">
        <v>92</v>
      </c>
      <c r="I191" s="11" t="s">
        <v>663</v>
      </c>
      <c r="J191" s="10" t="s">
        <v>697</v>
      </c>
      <c r="K191" s="10" t="s">
        <v>665</v>
      </c>
      <c r="L191" s="10" t="s">
        <v>68</v>
      </c>
      <c r="M191" s="10" t="s">
        <v>69</v>
      </c>
      <c r="N191" s="10"/>
      <c r="O191" s="11" t="s">
        <v>666</v>
      </c>
      <c r="P191" s="10" t="s">
        <v>71</v>
      </c>
      <c r="Q191" s="11" t="s">
        <v>72</v>
      </c>
      <c r="R191" s="11" t="s">
        <v>73</v>
      </c>
      <c r="S191" s="11" t="s">
        <v>74</v>
      </c>
      <c r="T191" s="11" t="s">
        <v>739</v>
      </c>
      <c r="U191" s="10" t="n">
        <f aca="false">IF(AND($D191="",$E191="",$F191=""),1,0)</f>
        <v>0</v>
      </c>
      <c r="V191" s="10" t="n">
        <f aca="false">IF(OR($I191="",$I191="—"),1,0)</f>
        <v>0</v>
      </c>
      <c r="W191" s="10" t="n">
        <f aca="false">IF(AND(ISNUMBER($D191),ISNUMBER($E191)),IF($E191&gt;$D191,1,0),0)+IF(AND(ISNUMBER($D191),ISNUMBER($F191)),IF($D191&gt;$F191,1,0),0)+IF(AND(ISNUMBER($E191),ISNUMBER($F191)),IF($E191&gt;$F191,1,0),0)</f>
        <v>0</v>
      </c>
      <c r="X191" s="13" t="s">
        <v>76</v>
      </c>
    </row>
    <row r="192" customFormat="false" ht="15" hidden="false" customHeight="false" outlineLevel="0" collapsed="false">
      <c r="A192" s="10" t="s">
        <v>740</v>
      </c>
      <c r="B192" s="10" t="s">
        <v>741</v>
      </c>
      <c r="C192" s="11" t="s">
        <v>520</v>
      </c>
      <c r="D192" s="12" t="n">
        <v>0.198</v>
      </c>
      <c r="E192" s="12"/>
      <c r="F192" s="12"/>
      <c r="G192" s="10" t="s">
        <v>63</v>
      </c>
      <c r="H192" s="10" t="s">
        <v>662</v>
      </c>
      <c r="I192" s="11" t="s">
        <v>663</v>
      </c>
      <c r="J192" s="10" t="s">
        <v>697</v>
      </c>
      <c r="K192" s="10" t="s">
        <v>665</v>
      </c>
      <c r="L192" s="10" t="s">
        <v>68</v>
      </c>
      <c r="M192" s="10" t="s">
        <v>69</v>
      </c>
      <c r="N192" s="10"/>
      <c r="O192" s="11" t="s">
        <v>666</v>
      </c>
      <c r="P192" s="10" t="s">
        <v>71</v>
      </c>
      <c r="Q192" s="11" t="s">
        <v>72</v>
      </c>
      <c r="R192" s="11" t="s">
        <v>73</v>
      </c>
      <c r="S192" s="11" t="s">
        <v>74</v>
      </c>
      <c r="T192" s="11" t="s">
        <v>742</v>
      </c>
      <c r="U192" s="10" t="n">
        <f aca="false">IF(AND($D192="",$E192="",$F192=""),1,0)</f>
        <v>0</v>
      </c>
      <c r="V192" s="10" t="n">
        <f aca="false">IF(OR($I192="",$I192="—"),1,0)</f>
        <v>0</v>
      </c>
      <c r="W192" s="10" t="n">
        <f aca="false">IF(AND(ISNUMBER($D192),ISNUMBER($E192)),IF($E192&gt;$D192,1,0),0)+IF(AND(ISNUMBER($D192),ISNUMBER($F192)),IF($D192&gt;$F192,1,0),0)+IF(AND(ISNUMBER($E192),ISNUMBER($F192)),IF($E192&gt;$F192,1,0),0)</f>
        <v>0</v>
      </c>
      <c r="X192" s="13" t="s">
        <v>76</v>
      </c>
    </row>
    <row r="193" customFormat="false" ht="15" hidden="false" customHeight="false" outlineLevel="0" collapsed="false">
      <c r="A193" s="10" t="s">
        <v>743</v>
      </c>
      <c r="B193" s="10" t="s">
        <v>744</v>
      </c>
      <c r="C193" s="11" t="s">
        <v>520</v>
      </c>
      <c r="D193" s="12" t="n">
        <v>0.0888</v>
      </c>
      <c r="E193" s="12"/>
      <c r="F193" s="12"/>
      <c r="G193" s="10" t="s">
        <v>63</v>
      </c>
      <c r="H193" s="10" t="s">
        <v>92</v>
      </c>
      <c r="I193" s="11" t="s">
        <v>663</v>
      </c>
      <c r="J193" s="10" t="s">
        <v>697</v>
      </c>
      <c r="K193" s="10" t="s">
        <v>665</v>
      </c>
      <c r="L193" s="10" t="s">
        <v>68</v>
      </c>
      <c r="M193" s="10" t="s">
        <v>69</v>
      </c>
      <c r="N193" s="10"/>
      <c r="O193" s="11" t="s">
        <v>666</v>
      </c>
      <c r="P193" s="10" t="s">
        <v>71</v>
      </c>
      <c r="Q193" s="11" t="s">
        <v>72</v>
      </c>
      <c r="R193" s="11" t="s">
        <v>73</v>
      </c>
      <c r="S193" s="11" t="s">
        <v>74</v>
      </c>
      <c r="T193" s="11" t="s">
        <v>745</v>
      </c>
      <c r="U193" s="10" t="n">
        <f aca="false">IF(AND($D193="",$E193="",$F193=""),1,0)</f>
        <v>0</v>
      </c>
      <c r="V193" s="10" t="n">
        <f aca="false">IF(OR($I193="",$I193="—"),1,0)</f>
        <v>0</v>
      </c>
      <c r="W193" s="10" t="n">
        <f aca="false">IF(AND(ISNUMBER($D193),ISNUMBER($E193)),IF($E193&gt;$D193,1,0),0)+IF(AND(ISNUMBER($D193),ISNUMBER($F193)),IF($D193&gt;$F193,1,0),0)+IF(AND(ISNUMBER($E193),ISNUMBER($F193)),IF($E193&gt;$F193,1,0),0)</f>
        <v>0</v>
      </c>
      <c r="X193" s="13" t="s">
        <v>76</v>
      </c>
    </row>
    <row r="194" customFormat="false" ht="15" hidden="false" customHeight="false" outlineLevel="0" collapsed="false">
      <c r="A194" s="10" t="s">
        <v>746</v>
      </c>
      <c r="B194" s="10" t="s">
        <v>747</v>
      </c>
      <c r="C194" s="11" t="s">
        <v>527</v>
      </c>
      <c r="D194" s="12" t="n">
        <v>0.2837</v>
      </c>
      <c r="E194" s="12"/>
      <c r="F194" s="12"/>
      <c r="G194" s="10" t="s">
        <v>63</v>
      </c>
      <c r="H194" s="10" t="s">
        <v>662</v>
      </c>
      <c r="I194" s="11" t="s">
        <v>663</v>
      </c>
      <c r="J194" s="10" t="s">
        <v>697</v>
      </c>
      <c r="K194" s="10" t="s">
        <v>665</v>
      </c>
      <c r="L194" s="10" t="s">
        <v>68</v>
      </c>
      <c r="M194" s="10" t="s">
        <v>69</v>
      </c>
      <c r="N194" s="10"/>
      <c r="O194" s="11" t="s">
        <v>666</v>
      </c>
      <c r="P194" s="10" t="s">
        <v>71</v>
      </c>
      <c r="Q194" s="11" t="s">
        <v>72</v>
      </c>
      <c r="R194" s="11" t="s">
        <v>73</v>
      </c>
      <c r="S194" s="11" t="s">
        <v>74</v>
      </c>
      <c r="T194" s="11" t="s">
        <v>748</v>
      </c>
      <c r="U194" s="10" t="n">
        <f aca="false">IF(AND($D194="",$E194="",$F194=""),1,0)</f>
        <v>0</v>
      </c>
      <c r="V194" s="10" t="n">
        <f aca="false">IF(OR($I194="",$I194="—"),1,0)</f>
        <v>0</v>
      </c>
      <c r="W194" s="10" t="n">
        <f aca="false">IF(AND(ISNUMBER($D194),ISNUMBER($E194)),IF($E194&gt;$D194,1,0),0)+IF(AND(ISNUMBER($D194),ISNUMBER($F194)),IF($D194&gt;$F194,1,0),0)+IF(AND(ISNUMBER($E194),ISNUMBER($F194)),IF($E194&gt;$F194,1,0),0)</f>
        <v>0</v>
      </c>
      <c r="X194" s="13" t="s">
        <v>76</v>
      </c>
    </row>
    <row r="195" customFormat="false" ht="15" hidden="false" customHeight="false" outlineLevel="0" collapsed="false">
      <c r="A195" s="10" t="s">
        <v>749</v>
      </c>
      <c r="B195" s="10" t="s">
        <v>750</v>
      </c>
      <c r="C195" s="11" t="s">
        <v>527</v>
      </c>
      <c r="D195" s="12" t="n">
        <v>0.8634</v>
      </c>
      <c r="E195" s="12"/>
      <c r="F195" s="12"/>
      <c r="G195" s="10" t="s">
        <v>63</v>
      </c>
      <c r="H195" s="10" t="s">
        <v>92</v>
      </c>
      <c r="I195" s="11" t="s">
        <v>663</v>
      </c>
      <c r="J195" s="10" t="s">
        <v>697</v>
      </c>
      <c r="K195" s="10" t="s">
        <v>665</v>
      </c>
      <c r="L195" s="10" t="s">
        <v>68</v>
      </c>
      <c r="M195" s="10" t="s">
        <v>69</v>
      </c>
      <c r="N195" s="10"/>
      <c r="O195" s="11" t="s">
        <v>666</v>
      </c>
      <c r="P195" s="10" t="s">
        <v>71</v>
      </c>
      <c r="Q195" s="11" t="s">
        <v>72</v>
      </c>
      <c r="R195" s="11" t="s">
        <v>73</v>
      </c>
      <c r="S195" s="11" t="s">
        <v>74</v>
      </c>
      <c r="T195" s="11" t="s">
        <v>751</v>
      </c>
      <c r="U195" s="10" t="n">
        <f aca="false">IF(AND($D195="",$E195="",$F195=""),1,0)</f>
        <v>0</v>
      </c>
      <c r="V195" s="10" t="n">
        <f aca="false">IF(OR($I195="",$I195="—"),1,0)</f>
        <v>0</v>
      </c>
      <c r="W195" s="10" t="n">
        <f aca="false">IF(AND(ISNUMBER($D195),ISNUMBER($E195)),IF($E195&gt;$D195,1,0),0)+IF(AND(ISNUMBER($D195),ISNUMBER($F195)),IF($D195&gt;$F195,1,0),0)+IF(AND(ISNUMBER($E195),ISNUMBER($F195)),IF($E195&gt;$F195,1,0),0)</f>
        <v>0</v>
      </c>
      <c r="X195" s="13" t="s">
        <v>76</v>
      </c>
    </row>
    <row r="196" customFormat="false" ht="15" hidden="false" customHeight="false" outlineLevel="0" collapsed="false">
      <c r="A196" s="10" t="s">
        <v>752</v>
      </c>
      <c r="B196" s="10" t="s">
        <v>753</v>
      </c>
      <c r="C196" s="11" t="s">
        <v>534</v>
      </c>
      <c r="D196" s="12" t="n">
        <v>0.0058</v>
      </c>
      <c r="E196" s="12"/>
      <c r="F196" s="12"/>
      <c r="G196" s="10" t="s">
        <v>63</v>
      </c>
      <c r="H196" s="10" t="s">
        <v>662</v>
      </c>
      <c r="I196" s="11" t="s">
        <v>663</v>
      </c>
      <c r="J196" s="10" t="s">
        <v>697</v>
      </c>
      <c r="K196" s="10" t="s">
        <v>665</v>
      </c>
      <c r="L196" s="10" t="s">
        <v>68</v>
      </c>
      <c r="M196" s="10" t="s">
        <v>69</v>
      </c>
      <c r="N196" s="10"/>
      <c r="O196" s="11" t="s">
        <v>666</v>
      </c>
      <c r="P196" s="10" t="s">
        <v>71</v>
      </c>
      <c r="Q196" s="11" t="s">
        <v>72</v>
      </c>
      <c r="R196" s="11" t="s">
        <v>73</v>
      </c>
      <c r="S196" s="11" t="s">
        <v>74</v>
      </c>
      <c r="T196" s="11" t="s">
        <v>754</v>
      </c>
      <c r="U196" s="10" t="n">
        <f aca="false">IF(AND($D196="",$E196="",$F196=""),1,0)</f>
        <v>0</v>
      </c>
      <c r="V196" s="10" t="n">
        <f aca="false">IF(OR($I196="",$I196="—"),1,0)</f>
        <v>0</v>
      </c>
      <c r="W196" s="10" t="n">
        <f aca="false">IF(AND(ISNUMBER($D196),ISNUMBER($E196)),IF($E196&gt;$D196,1,0),0)+IF(AND(ISNUMBER($D196),ISNUMBER($F196)),IF($D196&gt;$F196,1,0),0)+IF(AND(ISNUMBER($E196),ISNUMBER($F196)),IF($E196&gt;$F196,1,0),0)</f>
        <v>0</v>
      </c>
      <c r="X196" s="13" t="s">
        <v>76</v>
      </c>
    </row>
    <row r="197" customFormat="false" ht="15" hidden="false" customHeight="false" outlineLevel="0" collapsed="false">
      <c r="A197" s="10" t="s">
        <v>755</v>
      </c>
      <c r="B197" s="10" t="s">
        <v>756</v>
      </c>
      <c r="C197" s="11" t="s">
        <v>534</v>
      </c>
      <c r="D197" s="12" t="n">
        <v>0.0032</v>
      </c>
      <c r="E197" s="12"/>
      <c r="F197" s="12"/>
      <c r="G197" s="10" t="s">
        <v>63</v>
      </c>
      <c r="H197" s="10" t="s">
        <v>92</v>
      </c>
      <c r="I197" s="11" t="s">
        <v>663</v>
      </c>
      <c r="J197" s="10" t="s">
        <v>697</v>
      </c>
      <c r="K197" s="10" t="s">
        <v>665</v>
      </c>
      <c r="L197" s="10" t="s">
        <v>68</v>
      </c>
      <c r="M197" s="10" t="s">
        <v>69</v>
      </c>
      <c r="N197" s="10"/>
      <c r="O197" s="11" t="s">
        <v>666</v>
      </c>
      <c r="P197" s="10" t="s">
        <v>71</v>
      </c>
      <c r="Q197" s="11" t="s">
        <v>72</v>
      </c>
      <c r="R197" s="11" t="s">
        <v>73</v>
      </c>
      <c r="S197" s="11" t="s">
        <v>74</v>
      </c>
      <c r="T197" s="11" t="s">
        <v>757</v>
      </c>
      <c r="U197" s="10" t="n">
        <f aca="false">IF(AND($D197="",$E197="",$F197=""),1,0)</f>
        <v>0</v>
      </c>
      <c r="V197" s="10" t="n">
        <f aca="false">IF(OR($I197="",$I197="—"),1,0)</f>
        <v>0</v>
      </c>
      <c r="W197" s="10" t="n">
        <f aca="false">IF(AND(ISNUMBER($D197),ISNUMBER($E197)),IF($E197&gt;$D197,1,0),0)+IF(AND(ISNUMBER($D197),ISNUMBER($F197)),IF($D197&gt;$F197,1,0),0)+IF(AND(ISNUMBER($E197),ISNUMBER($F197)),IF($E197&gt;$F197,1,0),0)</f>
        <v>0</v>
      </c>
      <c r="X197" s="13" t="s">
        <v>76</v>
      </c>
    </row>
    <row r="198" customFormat="false" ht="15" hidden="false" customHeight="false" outlineLevel="0" collapsed="false">
      <c r="A198" s="10" t="s">
        <v>758</v>
      </c>
      <c r="B198" s="10" t="s">
        <v>759</v>
      </c>
      <c r="C198" s="11" t="s">
        <v>499</v>
      </c>
      <c r="D198" s="12" t="n">
        <v>0.4874</v>
      </c>
      <c r="E198" s="12"/>
      <c r="F198" s="12"/>
      <c r="G198" s="10" t="s">
        <v>63</v>
      </c>
      <c r="H198" s="10" t="s">
        <v>662</v>
      </c>
      <c r="I198" s="11" t="s">
        <v>663</v>
      </c>
      <c r="J198" s="10" t="s">
        <v>697</v>
      </c>
      <c r="K198" s="10" t="s">
        <v>665</v>
      </c>
      <c r="L198" s="10" t="s">
        <v>68</v>
      </c>
      <c r="M198" s="10" t="s">
        <v>69</v>
      </c>
      <c r="N198" s="10"/>
      <c r="O198" s="11" t="s">
        <v>666</v>
      </c>
      <c r="P198" s="10" t="s">
        <v>71</v>
      </c>
      <c r="Q198" s="11" t="s">
        <v>72</v>
      </c>
      <c r="R198" s="11" t="s">
        <v>73</v>
      </c>
      <c r="S198" s="11" t="s">
        <v>74</v>
      </c>
      <c r="T198" s="10" t="s">
        <v>760</v>
      </c>
      <c r="U198" s="10" t="n">
        <f aca="false">IF(AND($D198="",$E198="",$F198=""),1,0)</f>
        <v>0</v>
      </c>
      <c r="V198" s="10" t="n">
        <f aca="false">IF(OR($I198="",$I198="—"),1,0)</f>
        <v>0</v>
      </c>
      <c r="W198" s="10" t="n">
        <f aca="false">IF(AND(ISNUMBER($D198),ISNUMBER($E198)),IF($E198&gt;$D198,1,0),0)+IF(AND(ISNUMBER($D198),ISNUMBER($F198)),IF($D198&gt;$F198,1,0),0)+IF(AND(ISNUMBER($E198),ISNUMBER($F198)),IF($E198&gt;$F198,1,0),0)</f>
        <v>0</v>
      </c>
      <c r="X198" s="13" t="s">
        <v>76</v>
      </c>
    </row>
    <row r="199" customFormat="false" ht="15" hidden="false" customHeight="false" outlineLevel="0" collapsed="false">
      <c r="A199" s="10" t="s">
        <v>761</v>
      </c>
      <c r="B199" s="10" t="s">
        <v>762</v>
      </c>
      <c r="C199" s="11" t="s">
        <v>763</v>
      </c>
      <c r="D199" s="12" t="n">
        <v>6.223</v>
      </c>
      <c r="E199" s="12"/>
      <c r="F199" s="12"/>
      <c r="G199" s="10" t="s">
        <v>63</v>
      </c>
      <c r="H199" s="10" t="s">
        <v>662</v>
      </c>
      <c r="I199" s="11" t="s">
        <v>663</v>
      </c>
      <c r="J199" s="10" t="s">
        <v>697</v>
      </c>
      <c r="K199" s="10" t="s">
        <v>665</v>
      </c>
      <c r="L199" s="10" t="s">
        <v>68</v>
      </c>
      <c r="M199" s="10" t="s">
        <v>636</v>
      </c>
      <c r="N199" s="10"/>
      <c r="O199" s="10" t="s">
        <v>636</v>
      </c>
      <c r="P199" s="10" t="s">
        <v>637</v>
      </c>
      <c r="Q199" s="11" t="s">
        <v>638</v>
      </c>
      <c r="R199" s="11" t="s">
        <v>639</v>
      </c>
      <c r="S199" s="11" t="s">
        <v>74</v>
      </c>
      <c r="T199" s="11" t="s">
        <v>764</v>
      </c>
      <c r="U199" s="10" t="n">
        <f aca="false">IF(AND($D199="",$E199="",$F199=""),1,0)</f>
        <v>0</v>
      </c>
      <c r="V199" s="10" t="n">
        <f aca="false">IF(OR($I199="",$I199="—"),1,0)</f>
        <v>0</v>
      </c>
      <c r="W199" s="10" t="n">
        <f aca="false">IF(AND(ISNUMBER($D199),ISNUMBER($E199)),IF($E199&gt;$D199,1,0),0)+IF(AND(ISNUMBER($D199),ISNUMBER($F199)),IF($D199&gt;$F199,1,0),0)+IF(AND(ISNUMBER($E199),ISNUMBER($F199)),IF($E199&gt;$F199,1,0),0)</f>
        <v>0</v>
      </c>
      <c r="X199" s="13" t="s">
        <v>76</v>
      </c>
    </row>
    <row r="200" customFormat="false" ht="15" hidden="false" customHeight="false" outlineLevel="0" collapsed="false">
      <c r="A200" s="10" t="s">
        <v>765</v>
      </c>
      <c r="B200" s="10" t="s">
        <v>766</v>
      </c>
      <c r="C200" s="11" t="s">
        <v>767</v>
      </c>
      <c r="D200" s="12" t="n">
        <v>0.7998</v>
      </c>
      <c r="E200" s="12"/>
      <c r="F200" s="12"/>
      <c r="G200" s="10" t="s">
        <v>63</v>
      </c>
      <c r="H200" s="10" t="s">
        <v>662</v>
      </c>
      <c r="I200" s="11" t="s">
        <v>663</v>
      </c>
      <c r="J200" s="10" t="s">
        <v>697</v>
      </c>
      <c r="K200" s="10" t="s">
        <v>665</v>
      </c>
      <c r="L200" s="10" t="s">
        <v>68</v>
      </c>
      <c r="M200" s="10" t="s">
        <v>636</v>
      </c>
      <c r="N200" s="10"/>
      <c r="O200" s="10" t="s">
        <v>636</v>
      </c>
      <c r="P200" s="10" t="s">
        <v>637</v>
      </c>
      <c r="Q200" s="11" t="s">
        <v>638</v>
      </c>
      <c r="R200" s="11" t="s">
        <v>639</v>
      </c>
      <c r="S200" s="11" t="s">
        <v>74</v>
      </c>
      <c r="T200" s="10" t="s">
        <v>768</v>
      </c>
      <c r="U200" s="10" t="n">
        <f aca="false">IF(AND($D200="",$E200="",$F200=""),1,0)</f>
        <v>0</v>
      </c>
      <c r="V200" s="10" t="n">
        <f aca="false">IF(OR($I200="",$I200="—"),1,0)</f>
        <v>0</v>
      </c>
      <c r="W200" s="10" t="n">
        <f aca="false">IF(AND(ISNUMBER($D200),ISNUMBER($E200)),IF($E200&gt;$D200,1,0),0)+IF(AND(ISNUMBER($D200),ISNUMBER($F200)),IF($D200&gt;$F200,1,0),0)+IF(AND(ISNUMBER($E200),ISNUMBER($F200)),IF($E200&gt;$F200,1,0),0)</f>
        <v>0</v>
      </c>
      <c r="X200" s="13" t="s">
        <v>76</v>
      </c>
    </row>
    <row r="201" customFormat="false" ht="15" hidden="false" customHeight="false" outlineLevel="0" collapsed="false">
      <c r="A201" s="10" t="s">
        <v>769</v>
      </c>
      <c r="B201" s="10" t="s">
        <v>770</v>
      </c>
      <c r="C201" s="11" t="s">
        <v>763</v>
      </c>
      <c r="D201" s="12" t="n">
        <v>1.5438</v>
      </c>
      <c r="E201" s="12"/>
      <c r="F201" s="12"/>
      <c r="G201" s="10" t="s">
        <v>63</v>
      </c>
      <c r="H201" s="10" t="s">
        <v>446</v>
      </c>
      <c r="I201" s="11" t="s">
        <v>447</v>
      </c>
      <c r="J201" s="10" t="s">
        <v>448</v>
      </c>
      <c r="K201" s="10" t="s">
        <v>449</v>
      </c>
      <c r="L201" s="10" t="s">
        <v>68</v>
      </c>
      <c r="M201" s="10" t="s">
        <v>636</v>
      </c>
      <c r="N201" s="10"/>
      <c r="O201" s="10" t="s">
        <v>636</v>
      </c>
      <c r="P201" s="10" t="s">
        <v>637</v>
      </c>
      <c r="Q201" s="11" t="s">
        <v>638</v>
      </c>
      <c r="R201" s="11" t="s">
        <v>639</v>
      </c>
      <c r="S201" s="11" t="s">
        <v>74</v>
      </c>
      <c r="T201" s="10" t="s">
        <v>771</v>
      </c>
      <c r="U201" s="10" t="n">
        <f aca="false">IF(AND($D201="",$E201="",$F201=""),1,0)</f>
        <v>0</v>
      </c>
      <c r="V201" s="10" t="n">
        <f aca="false">IF(OR($I201="",$I201="—"),1,0)</f>
        <v>0</v>
      </c>
      <c r="W201" s="10" t="n">
        <f aca="false">IF(AND(ISNUMBER($D201),ISNUMBER($E201)),IF($E201&gt;$D201,1,0),0)+IF(AND(ISNUMBER($D201),ISNUMBER($F201)),IF($D201&gt;$F201,1,0),0)+IF(AND(ISNUMBER($E201),ISNUMBER($F201)),IF($E201&gt;$F201,1,0),0)</f>
        <v>0</v>
      </c>
      <c r="X201" s="13" t="s">
        <v>76</v>
      </c>
    </row>
    <row r="202" customFormat="false" ht="15" hidden="false" customHeight="false" outlineLevel="0" collapsed="false">
      <c r="A202" s="10" t="s">
        <v>772</v>
      </c>
      <c r="B202" s="10" t="s">
        <v>773</v>
      </c>
      <c r="C202" s="11" t="s">
        <v>767</v>
      </c>
      <c r="D202" s="12" t="n">
        <v>2.733</v>
      </c>
      <c r="E202" s="12"/>
      <c r="F202" s="12"/>
      <c r="G202" s="10" t="s">
        <v>63</v>
      </c>
      <c r="H202" s="10" t="s">
        <v>446</v>
      </c>
      <c r="I202" s="11" t="s">
        <v>447</v>
      </c>
      <c r="J202" s="10" t="s">
        <v>448</v>
      </c>
      <c r="K202" s="10" t="s">
        <v>449</v>
      </c>
      <c r="L202" s="10" t="s">
        <v>68</v>
      </c>
      <c r="M202" s="10" t="s">
        <v>636</v>
      </c>
      <c r="N202" s="10"/>
      <c r="O202" s="10" t="s">
        <v>636</v>
      </c>
      <c r="P202" s="10" t="s">
        <v>637</v>
      </c>
      <c r="Q202" s="11" t="s">
        <v>638</v>
      </c>
      <c r="R202" s="11" t="s">
        <v>639</v>
      </c>
      <c r="S202" s="11" t="s">
        <v>74</v>
      </c>
      <c r="T202" s="10" t="s">
        <v>774</v>
      </c>
      <c r="U202" s="10" t="n">
        <f aca="false">IF(AND($D202="",$E202="",$F202=""),1,0)</f>
        <v>0</v>
      </c>
      <c r="V202" s="10" t="n">
        <f aca="false">IF(OR($I202="",$I202="—"),1,0)</f>
        <v>0</v>
      </c>
      <c r="W202" s="10" t="n">
        <f aca="false">IF(AND(ISNUMBER($D202),ISNUMBER($E202)),IF($E202&gt;$D202,1,0),0)+IF(AND(ISNUMBER($D202),ISNUMBER($F202)),IF($D202&gt;$F202,1,0),0)+IF(AND(ISNUMBER($E202),ISNUMBER($F202)),IF($E202&gt;$F202,1,0),0)</f>
        <v>0</v>
      </c>
      <c r="X202" s="13" t="s">
        <v>76</v>
      </c>
    </row>
    <row r="203" customFormat="false" ht="15" hidden="false" customHeight="false" outlineLevel="0" collapsed="false">
      <c r="A203" s="10" t="s">
        <v>775</v>
      </c>
      <c r="B203" s="10" t="s">
        <v>776</v>
      </c>
      <c r="C203" s="11" t="s">
        <v>224</v>
      </c>
      <c r="D203" s="12" t="n">
        <v>21.3117</v>
      </c>
      <c r="E203" s="12"/>
      <c r="F203" s="12"/>
      <c r="G203" s="10" t="s">
        <v>63</v>
      </c>
      <c r="H203" s="10" t="s">
        <v>662</v>
      </c>
      <c r="I203" s="11" t="s">
        <v>663</v>
      </c>
      <c r="J203" s="10" t="s">
        <v>664</v>
      </c>
      <c r="K203" s="10" t="s">
        <v>665</v>
      </c>
      <c r="L203" s="10" t="s">
        <v>68</v>
      </c>
      <c r="M203" s="10" t="s">
        <v>69</v>
      </c>
      <c r="N203" s="10"/>
      <c r="O203" s="11" t="s">
        <v>666</v>
      </c>
      <c r="P203" s="10" t="s">
        <v>71</v>
      </c>
      <c r="Q203" s="11" t="s">
        <v>72</v>
      </c>
      <c r="R203" s="11" t="s">
        <v>73</v>
      </c>
      <c r="S203" s="11" t="s">
        <v>74</v>
      </c>
      <c r="T203" s="11" t="s">
        <v>777</v>
      </c>
      <c r="U203" s="10" t="n">
        <f aca="false">IF(AND($D203="",$E203="",$F203=""),1,0)</f>
        <v>0</v>
      </c>
      <c r="V203" s="10" t="n">
        <f aca="false">IF(OR($I203="",$I203="—"),1,0)</f>
        <v>0</v>
      </c>
      <c r="W203" s="10" t="n">
        <f aca="false">IF(AND(ISNUMBER($D203),ISNUMBER($E203)),IF($E203&gt;$D203,1,0),0)+IF(AND(ISNUMBER($D203),ISNUMBER($F203)),IF($D203&gt;$F203,1,0),0)+IF(AND(ISNUMBER($E203),ISNUMBER($F203)),IF($E203&gt;$F203,1,0),0)</f>
        <v>0</v>
      </c>
      <c r="X203" s="13" t="s">
        <v>76</v>
      </c>
    </row>
    <row r="204" customFormat="false" ht="15" hidden="false" customHeight="false" outlineLevel="0" collapsed="false">
      <c r="A204" s="10" t="s">
        <v>778</v>
      </c>
      <c r="B204" s="10" t="s">
        <v>779</v>
      </c>
      <c r="C204" s="11" t="s">
        <v>240</v>
      </c>
      <c r="D204" s="12" t="n">
        <v>1.7767</v>
      </c>
      <c r="E204" s="12"/>
      <c r="F204" s="12"/>
      <c r="G204" s="10" t="s">
        <v>63</v>
      </c>
      <c r="H204" s="10" t="s">
        <v>662</v>
      </c>
      <c r="I204" s="11" t="s">
        <v>663</v>
      </c>
      <c r="J204" s="10" t="s">
        <v>664</v>
      </c>
      <c r="K204" s="10" t="s">
        <v>665</v>
      </c>
      <c r="L204" s="10" t="s">
        <v>68</v>
      </c>
      <c r="M204" s="10" t="s">
        <v>69</v>
      </c>
      <c r="N204" s="10"/>
      <c r="O204" s="11" t="s">
        <v>666</v>
      </c>
      <c r="P204" s="10" t="s">
        <v>71</v>
      </c>
      <c r="Q204" s="11" t="s">
        <v>72</v>
      </c>
      <c r="R204" s="11" t="s">
        <v>73</v>
      </c>
      <c r="S204" s="11" t="s">
        <v>74</v>
      </c>
      <c r="T204" s="11" t="s">
        <v>780</v>
      </c>
      <c r="U204" s="10" t="n">
        <f aca="false">IF(AND($D204="",$E204="",$F204=""),1,0)</f>
        <v>0</v>
      </c>
      <c r="V204" s="10" t="n">
        <f aca="false">IF(OR($I204="",$I204="—"),1,0)</f>
        <v>0</v>
      </c>
      <c r="W204" s="10" t="n">
        <f aca="false">IF(AND(ISNUMBER($D204),ISNUMBER($E204)),IF($E204&gt;$D204,1,0),0)+IF(AND(ISNUMBER($D204),ISNUMBER($F204)),IF($D204&gt;$F204,1,0),0)+IF(AND(ISNUMBER($E204),ISNUMBER($F204)),IF($E204&gt;$F204,1,0),0)</f>
        <v>0</v>
      </c>
      <c r="X204" s="13" t="s">
        <v>76</v>
      </c>
    </row>
    <row r="205" customFormat="false" ht="15" hidden="false" customHeight="false" outlineLevel="0" collapsed="false">
      <c r="A205" s="10" t="s">
        <v>781</v>
      </c>
      <c r="B205" s="10" t="s">
        <v>782</v>
      </c>
      <c r="C205" s="11" t="s">
        <v>256</v>
      </c>
      <c r="D205" s="12" t="n">
        <v>1.0335</v>
      </c>
      <c r="E205" s="12"/>
      <c r="F205" s="12"/>
      <c r="G205" s="10" t="s">
        <v>63</v>
      </c>
      <c r="H205" s="10" t="s">
        <v>662</v>
      </c>
      <c r="I205" s="11" t="s">
        <v>663</v>
      </c>
      <c r="J205" s="10" t="s">
        <v>664</v>
      </c>
      <c r="K205" s="10" t="s">
        <v>665</v>
      </c>
      <c r="L205" s="10" t="s">
        <v>68</v>
      </c>
      <c r="M205" s="10" t="s">
        <v>69</v>
      </c>
      <c r="N205" s="10"/>
      <c r="O205" s="11" t="s">
        <v>666</v>
      </c>
      <c r="P205" s="10" t="s">
        <v>71</v>
      </c>
      <c r="Q205" s="11" t="s">
        <v>72</v>
      </c>
      <c r="R205" s="11" t="s">
        <v>73</v>
      </c>
      <c r="S205" s="11" t="s">
        <v>74</v>
      </c>
      <c r="T205" s="11" t="s">
        <v>783</v>
      </c>
      <c r="U205" s="10" t="n">
        <f aca="false">IF(AND($D205="",$E205="",$F205=""),1,0)</f>
        <v>0</v>
      </c>
      <c r="V205" s="10" t="n">
        <f aca="false">IF(OR($I205="",$I205="—"),1,0)</f>
        <v>0</v>
      </c>
      <c r="W205" s="10" t="n">
        <f aca="false">IF(AND(ISNUMBER($D205),ISNUMBER($E205)),IF($E205&gt;$D205,1,0),0)+IF(AND(ISNUMBER($D205),ISNUMBER($F205)),IF($D205&gt;$F205,1,0),0)+IF(AND(ISNUMBER($E205),ISNUMBER($F205)),IF($E205&gt;$F205,1,0),0)</f>
        <v>0</v>
      </c>
      <c r="X205" s="13" t="s">
        <v>76</v>
      </c>
    </row>
    <row r="206" customFormat="false" ht="15" hidden="false" customHeight="false" outlineLevel="0" collapsed="false">
      <c r="A206" s="10" t="s">
        <v>784</v>
      </c>
      <c r="B206" s="10" t="s">
        <v>785</v>
      </c>
      <c r="C206" s="11" t="s">
        <v>786</v>
      </c>
      <c r="D206" s="12" t="n">
        <v>0.8576</v>
      </c>
      <c r="E206" s="12"/>
      <c r="F206" s="12"/>
      <c r="G206" s="10" t="s">
        <v>63</v>
      </c>
      <c r="H206" s="10" t="s">
        <v>662</v>
      </c>
      <c r="I206" s="11" t="s">
        <v>663</v>
      </c>
      <c r="J206" s="10" t="s">
        <v>664</v>
      </c>
      <c r="K206" s="10" t="s">
        <v>665</v>
      </c>
      <c r="L206" s="10" t="s">
        <v>68</v>
      </c>
      <c r="M206" s="10" t="s">
        <v>69</v>
      </c>
      <c r="N206" s="10"/>
      <c r="O206" s="11" t="s">
        <v>666</v>
      </c>
      <c r="P206" s="10" t="s">
        <v>71</v>
      </c>
      <c r="Q206" s="11" t="s">
        <v>72</v>
      </c>
      <c r="R206" s="11" t="s">
        <v>73</v>
      </c>
      <c r="S206" s="11" t="s">
        <v>74</v>
      </c>
      <c r="T206" s="11" t="s">
        <v>787</v>
      </c>
      <c r="U206" s="10" t="n">
        <f aca="false">IF(AND($D206="",$E206="",$F206=""),1,0)</f>
        <v>0</v>
      </c>
      <c r="V206" s="10" t="n">
        <f aca="false">IF(OR($I206="",$I206="—"),1,0)</f>
        <v>0</v>
      </c>
      <c r="W206" s="10" t="n">
        <f aca="false">IF(AND(ISNUMBER($D206),ISNUMBER($E206)),IF($E206&gt;$D206,1,0),0)+IF(AND(ISNUMBER($D206),ISNUMBER($F206)),IF($D206&gt;$F206,1,0),0)+IF(AND(ISNUMBER($E206),ISNUMBER($F206)),IF($E206&gt;$F206,1,0),0)</f>
        <v>0</v>
      </c>
      <c r="X206" s="13" t="s">
        <v>76</v>
      </c>
    </row>
    <row r="207" customFormat="false" ht="15" hidden="false" customHeight="false" outlineLevel="0" collapsed="false">
      <c r="A207" s="10" t="s">
        <v>788</v>
      </c>
      <c r="B207" s="10" t="s">
        <v>789</v>
      </c>
      <c r="C207" s="11" t="s">
        <v>272</v>
      </c>
      <c r="D207" s="12" t="n">
        <v>0.4144</v>
      </c>
      <c r="E207" s="12"/>
      <c r="F207" s="12"/>
      <c r="G207" s="10" t="s">
        <v>63</v>
      </c>
      <c r="H207" s="10" t="s">
        <v>662</v>
      </c>
      <c r="I207" s="11" t="s">
        <v>663</v>
      </c>
      <c r="J207" s="10" t="s">
        <v>664</v>
      </c>
      <c r="K207" s="10" t="s">
        <v>665</v>
      </c>
      <c r="L207" s="10" t="s">
        <v>68</v>
      </c>
      <c r="M207" s="10" t="s">
        <v>69</v>
      </c>
      <c r="N207" s="10"/>
      <c r="O207" s="11" t="s">
        <v>666</v>
      </c>
      <c r="P207" s="10" t="s">
        <v>71</v>
      </c>
      <c r="Q207" s="11" t="s">
        <v>72</v>
      </c>
      <c r="R207" s="11" t="s">
        <v>73</v>
      </c>
      <c r="S207" s="11" t="s">
        <v>74</v>
      </c>
      <c r="T207" s="11" t="s">
        <v>790</v>
      </c>
      <c r="U207" s="10" t="n">
        <f aca="false">IF(AND($D207="",$E207="",$F207=""),1,0)</f>
        <v>0</v>
      </c>
      <c r="V207" s="10" t="n">
        <f aca="false">IF(OR($I207="",$I207="—"),1,0)</f>
        <v>0</v>
      </c>
      <c r="W207" s="10" t="n">
        <f aca="false">IF(AND(ISNUMBER($D207),ISNUMBER($E207)),IF($E207&gt;$D207,1,0),0)+IF(AND(ISNUMBER($D207),ISNUMBER($F207)),IF($D207&gt;$F207,1,0),0)+IF(AND(ISNUMBER($E207),ISNUMBER($F207)),IF($E207&gt;$F207,1,0),0)</f>
        <v>0</v>
      </c>
      <c r="X207" s="13" t="s">
        <v>76</v>
      </c>
    </row>
    <row r="208" customFormat="false" ht="15" hidden="false" customHeight="false" outlineLevel="0" collapsed="false">
      <c r="A208" s="10" t="s">
        <v>791</v>
      </c>
      <c r="B208" s="10" t="s">
        <v>792</v>
      </c>
      <c r="C208" s="11" t="s">
        <v>560</v>
      </c>
      <c r="D208" s="12" t="n">
        <v>0.9593</v>
      </c>
      <c r="E208" s="12"/>
      <c r="F208" s="12"/>
      <c r="G208" s="10" t="s">
        <v>63</v>
      </c>
      <c r="H208" s="10" t="s">
        <v>662</v>
      </c>
      <c r="I208" s="11" t="s">
        <v>663</v>
      </c>
      <c r="J208" s="10" t="s">
        <v>664</v>
      </c>
      <c r="K208" s="10" t="s">
        <v>665</v>
      </c>
      <c r="L208" s="10" t="s">
        <v>68</v>
      </c>
      <c r="M208" s="10" t="s">
        <v>69</v>
      </c>
      <c r="N208" s="10"/>
      <c r="O208" s="11" t="s">
        <v>666</v>
      </c>
      <c r="P208" s="10" t="s">
        <v>71</v>
      </c>
      <c r="Q208" s="11" t="s">
        <v>72</v>
      </c>
      <c r="R208" s="11" t="s">
        <v>73</v>
      </c>
      <c r="S208" s="11" t="s">
        <v>74</v>
      </c>
      <c r="T208" s="11" t="s">
        <v>793</v>
      </c>
      <c r="U208" s="10" t="n">
        <f aca="false">IF(AND($D208="",$E208="",$F208=""),1,0)</f>
        <v>0</v>
      </c>
      <c r="V208" s="10" t="n">
        <f aca="false">IF(OR($I208="",$I208="—"),1,0)</f>
        <v>0</v>
      </c>
      <c r="W208" s="10" t="n">
        <f aca="false">IF(AND(ISNUMBER($D208),ISNUMBER($E208)),IF($E208&gt;$D208,1,0),0)+IF(AND(ISNUMBER($D208),ISNUMBER($F208)),IF($D208&gt;$F208,1,0),0)+IF(AND(ISNUMBER($E208),ISNUMBER($F208)),IF($E208&gt;$F208,1,0),0)</f>
        <v>0</v>
      </c>
      <c r="X208" s="13" t="s">
        <v>76</v>
      </c>
    </row>
    <row r="209" customFormat="false" ht="15" hidden="false" customHeight="false" outlineLevel="0" collapsed="false">
      <c r="A209" s="10" t="s">
        <v>794</v>
      </c>
      <c r="B209" s="10" t="s">
        <v>795</v>
      </c>
      <c r="C209" s="11" t="s">
        <v>796</v>
      </c>
      <c r="D209" s="12" t="n">
        <v>20.7199</v>
      </c>
      <c r="E209" s="12"/>
      <c r="F209" s="12"/>
      <c r="G209" s="10" t="s">
        <v>63</v>
      </c>
      <c r="H209" s="10" t="s">
        <v>662</v>
      </c>
      <c r="I209" s="11" t="s">
        <v>663</v>
      </c>
      <c r="J209" s="10" t="s">
        <v>664</v>
      </c>
      <c r="K209" s="10" t="s">
        <v>665</v>
      </c>
      <c r="L209" s="10" t="s">
        <v>68</v>
      </c>
      <c r="M209" s="10" t="s">
        <v>69</v>
      </c>
      <c r="N209" s="10"/>
      <c r="O209" s="11" t="s">
        <v>666</v>
      </c>
      <c r="P209" s="10" t="s">
        <v>71</v>
      </c>
      <c r="Q209" s="11" t="s">
        <v>72</v>
      </c>
      <c r="R209" s="11" t="s">
        <v>73</v>
      </c>
      <c r="S209" s="11" t="s">
        <v>74</v>
      </c>
      <c r="T209" s="10" t="s">
        <v>797</v>
      </c>
      <c r="U209" s="10" t="n">
        <f aca="false">IF(AND($D209="",$E209="",$F209=""),1,0)</f>
        <v>0</v>
      </c>
      <c r="V209" s="10" t="n">
        <f aca="false">IF(OR($I209="",$I209="—"),1,0)</f>
        <v>0</v>
      </c>
      <c r="W209" s="10" t="n">
        <f aca="false">IF(AND(ISNUMBER($D209),ISNUMBER($E209)),IF($E209&gt;$D209,1,0),0)+IF(AND(ISNUMBER($D209),ISNUMBER($F209)),IF($D209&gt;$F209,1,0),0)+IF(AND(ISNUMBER($E209),ISNUMBER($F209)),IF($E209&gt;$F209,1,0),0)</f>
        <v>0</v>
      </c>
      <c r="X209" s="13" t="s">
        <v>76</v>
      </c>
    </row>
    <row r="210" customFormat="false" ht="15" hidden="false" customHeight="false" outlineLevel="0" collapsed="false">
      <c r="A210" s="10" t="s">
        <v>798</v>
      </c>
      <c r="B210" s="10" t="s">
        <v>799</v>
      </c>
      <c r="C210" s="11" t="s">
        <v>336</v>
      </c>
      <c r="D210" s="12" t="n">
        <v>19.6414</v>
      </c>
      <c r="E210" s="12"/>
      <c r="F210" s="12"/>
      <c r="G210" s="10" t="s">
        <v>63</v>
      </c>
      <c r="H210" s="10" t="s">
        <v>662</v>
      </c>
      <c r="I210" s="11" t="s">
        <v>663</v>
      </c>
      <c r="J210" s="10" t="s">
        <v>664</v>
      </c>
      <c r="K210" s="10" t="s">
        <v>665</v>
      </c>
      <c r="L210" s="10" t="s">
        <v>68</v>
      </c>
      <c r="M210" s="10" t="s">
        <v>69</v>
      </c>
      <c r="N210" s="10"/>
      <c r="O210" s="11" t="s">
        <v>666</v>
      </c>
      <c r="P210" s="10" t="s">
        <v>71</v>
      </c>
      <c r="Q210" s="11" t="s">
        <v>72</v>
      </c>
      <c r="R210" s="11" t="s">
        <v>73</v>
      </c>
      <c r="S210" s="11" t="s">
        <v>74</v>
      </c>
      <c r="T210" s="11" t="s">
        <v>800</v>
      </c>
      <c r="U210" s="10" t="n">
        <f aca="false">IF(AND($D210="",$E210="",$F210=""),1,0)</f>
        <v>0</v>
      </c>
      <c r="V210" s="10" t="n">
        <f aca="false">IF(OR($I210="",$I210="—"),1,0)</f>
        <v>0</v>
      </c>
      <c r="W210" s="10" t="n">
        <f aca="false">IF(AND(ISNUMBER($D210),ISNUMBER($E210)),IF($E210&gt;$D210,1,0),0)+IF(AND(ISNUMBER($D210),ISNUMBER($F210)),IF($D210&gt;$F210,1,0),0)+IF(AND(ISNUMBER($E210),ISNUMBER($F210)),IF($E210&gt;$F210,1,0),0)</f>
        <v>0</v>
      </c>
      <c r="X210" s="13" t="s">
        <v>76</v>
      </c>
    </row>
    <row r="211" customFormat="false" ht="15" hidden="false" customHeight="false" outlineLevel="0" collapsed="false">
      <c r="A211" s="10" t="s">
        <v>801</v>
      </c>
      <c r="B211" s="10" t="s">
        <v>802</v>
      </c>
      <c r="C211" s="11" t="s">
        <v>803</v>
      </c>
      <c r="D211" s="12" t="n">
        <v>17.51</v>
      </c>
      <c r="E211" s="12"/>
      <c r="F211" s="12"/>
      <c r="G211" s="10" t="s">
        <v>63</v>
      </c>
      <c r="H211" s="10" t="s">
        <v>92</v>
      </c>
      <c r="I211" s="10" t="s">
        <v>804</v>
      </c>
      <c r="J211" s="10" t="s">
        <v>805</v>
      </c>
      <c r="K211" s="10" t="s">
        <v>806</v>
      </c>
      <c r="L211" s="10" t="s">
        <v>68</v>
      </c>
      <c r="M211" s="10" t="s">
        <v>416</v>
      </c>
      <c r="N211" s="11" t="s">
        <v>709</v>
      </c>
      <c r="O211" s="11" t="s">
        <v>709</v>
      </c>
      <c r="P211" s="10" t="s">
        <v>637</v>
      </c>
      <c r="Q211" s="11" t="s">
        <v>72</v>
      </c>
      <c r="R211" s="11" t="s">
        <v>709</v>
      </c>
      <c r="S211" s="11" t="s">
        <v>710</v>
      </c>
      <c r="T211" s="11" t="s">
        <v>807</v>
      </c>
      <c r="U211" s="10" t="n">
        <f aca="false">IF(AND($D211="",$E211="",$F211=""),1,0)</f>
        <v>0</v>
      </c>
      <c r="V211" s="10" t="n">
        <f aca="false">IF(OR($I211="",$I211="—"),1,0)</f>
        <v>0</v>
      </c>
      <c r="W211" s="10" t="n">
        <f aca="false">IF(AND(ISNUMBER($D211),ISNUMBER($E211)),IF($E211&gt;$D211,1,0),0)+IF(AND(ISNUMBER($D211),ISNUMBER($F211)),IF($D211&gt;$F211,1,0),0)+IF(AND(ISNUMBER($E211),ISNUMBER($F211)),IF($E211&gt;$F211,1,0),0)</f>
        <v>0</v>
      </c>
      <c r="X211" s="13" t="s">
        <v>76</v>
      </c>
    </row>
    <row r="212" customFormat="false" ht="15" hidden="false" customHeight="false" outlineLevel="0" collapsed="false">
      <c r="A212" s="10" t="s">
        <v>808</v>
      </c>
      <c r="B212" s="10" t="s">
        <v>809</v>
      </c>
      <c r="C212" s="11" t="s">
        <v>810</v>
      </c>
      <c r="D212" s="12" t="n">
        <v>-23.51</v>
      </c>
      <c r="E212" s="12"/>
      <c r="F212" s="12"/>
      <c r="G212" s="10" t="s">
        <v>63</v>
      </c>
      <c r="H212" s="10" t="s">
        <v>92</v>
      </c>
      <c r="I212" s="11" t="s">
        <v>811</v>
      </c>
      <c r="J212" s="10" t="s">
        <v>812</v>
      </c>
      <c r="K212" s="10" t="s">
        <v>813</v>
      </c>
      <c r="L212" s="10" t="s">
        <v>68</v>
      </c>
      <c r="M212" s="10" t="s">
        <v>416</v>
      </c>
      <c r="N212" s="11" t="s">
        <v>718</v>
      </c>
      <c r="O212" s="11" t="s">
        <v>719</v>
      </c>
      <c r="P212" s="10" t="s">
        <v>637</v>
      </c>
      <c r="Q212" s="11" t="s">
        <v>72</v>
      </c>
      <c r="R212" s="11" t="s">
        <v>718</v>
      </c>
      <c r="S212" s="11" t="s">
        <v>710</v>
      </c>
      <c r="T212" s="11" t="s">
        <v>814</v>
      </c>
      <c r="U212" s="10" t="n">
        <f aca="false">IF(AND($D212="",$E212="",$F212=""),1,0)</f>
        <v>0</v>
      </c>
      <c r="V212" s="10" t="n">
        <f aca="false">IF(OR($I212="",$I212="—"),1,0)</f>
        <v>0</v>
      </c>
      <c r="W212" s="10" t="n">
        <f aca="false">IF(AND(ISNUMBER($D212),ISNUMBER($E212)),IF($E212&gt;$D212,1,0),0)+IF(AND(ISNUMBER($D212),ISNUMBER($F212)),IF($D212&gt;$F212,1,0),0)+IF(AND(ISNUMBER($E212),ISNUMBER($F212)),IF($E212&gt;$F212,1,0),0)</f>
        <v>0</v>
      </c>
      <c r="X212" s="13" t="s">
        <v>76</v>
      </c>
    </row>
    <row r="213" customFormat="false" ht="15" hidden="false" customHeight="false" outlineLevel="0" collapsed="false">
      <c r="A213" s="10" t="s">
        <v>815</v>
      </c>
      <c r="B213" s="10" t="s">
        <v>816</v>
      </c>
      <c r="C213" s="11" t="s">
        <v>578</v>
      </c>
      <c r="D213" s="12" t="n">
        <v>3.906</v>
      </c>
      <c r="E213" s="12"/>
      <c r="F213" s="12"/>
      <c r="G213" s="10" t="s">
        <v>63</v>
      </c>
      <c r="H213" s="10" t="s">
        <v>662</v>
      </c>
      <c r="I213" s="11" t="s">
        <v>663</v>
      </c>
      <c r="J213" s="10" t="s">
        <v>697</v>
      </c>
      <c r="K213" s="10" t="s">
        <v>665</v>
      </c>
      <c r="L213" s="10" t="s">
        <v>68</v>
      </c>
      <c r="M213" s="10" t="s">
        <v>69</v>
      </c>
      <c r="N213" s="10"/>
      <c r="O213" s="11" t="s">
        <v>666</v>
      </c>
      <c r="P213" s="10" t="s">
        <v>71</v>
      </c>
      <c r="Q213" s="11" t="s">
        <v>72</v>
      </c>
      <c r="R213" s="11" t="s">
        <v>73</v>
      </c>
      <c r="S213" s="11" t="s">
        <v>74</v>
      </c>
      <c r="T213" s="11" t="s">
        <v>817</v>
      </c>
      <c r="U213" s="10" t="n">
        <f aca="false">IF(AND($D213="",$E213="",$F213=""),1,0)</f>
        <v>0</v>
      </c>
      <c r="V213" s="10" t="n">
        <f aca="false">IF(OR($I213="",$I213="—"),1,0)</f>
        <v>0</v>
      </c>
      <c r="W213" s="10" t="n">
        <f aca="false">IF(AND(ISNUMBER($D213),ISNUMBER($E213)),IF($E213&gt;$D213,1,0),0)+IF(AND(ISNUMBER($D213),ISNUMBER($F213)),IF($D213&gt;$F213,1,0),0)+IF(AND(ISNUMBER($E213),ISNUMBER($F213)),IF($E213&gt;$F213,1,0),0)</f>
        <v>0</v>
      </c>
      <c r="X213" s="13" t="s">
        <v>76</v>
      </c>
    </row>
    <row r="214" customFormat="false" ht="15" hidden="false" customHeight="false" outlineLevel="0" collapsed="false">
      <c r="A214" s="10" t="s">
        <v>818</v>
      </c>
      <c r="B214" s="10" t="s">
        <v>819</v>
      </c>
      <c r="C214" s="11" t="s">
        <v>578</v>
      </c>
      <c r="D214" s="12" t="n">
        <v>0.537</v>
      </c>
      <c r="E214" s="12"/>
      <c r="F214" s="12"/>
      <c r="G214" s="10" t="s">
        <v>63</v>
      </c>
      <c r="H214" s="10" t="s">
        <v>92</v>
      </c>
      <c r="I214" s="11" t="s">
        <v>663</v>
      </c>
      <c r="J214" s="10" t="s">
        <v>697</v>
      </c>
      <c r="K214" s="10" t="s">
        <v>665</v>
      </c>
      <c r="L214" s="10" t="s">
        <v>68</v>
      </c>
      <c r="M214" s="10" t="s">
        <v>69</v>
      </c>
      <c r="N214" s="10"/>
      <c r="O214" s="11" t="s">
        <v>666</v>
      </c>
      <c r="P214" s="10" t="s">
        <v>71</v>
      </c>
      <c r="Q214" s="11" t="s">
        <v>72</v>
      </c>
      <c r="R214" s="11" t="s">
        <v>73</v>
      </c>
      <c r="S214" s="11" t="s">
        <v>74</v>
      </c>
      <c r="T214" s="11" t="s">
        <v>820</v>
      </c>
      <c r="U214" s="10" t="n">
        <f aca="false">IF(AND($D214="",$E214="",$F214=""),1,0)</f>
        <v>0</v>
      </c>
      <c r="V214" s="10" t="n">
        <f aca="false">IF(OR($I214="",$I214="—"),1,0)</f>
        <v>0</v>
      </c>
      <c r="W214" s="10" t="n">
        <f aca="false">IF(AND(ISNUMBER($D214),ISNUMBER($E214)),IF($E214&gt;$D214,1,0),0)+IF(AND(ISNUMBER($D214),ISNUMBER($F214)),IF($D214&gt;$F214,1,0),0)+IF(AND(ISNUMBER($E214),ISNUMBER($F214)),IF($E214&gt;$F214,1,0),0)</f>
        <v>0</v>
      </c>
      <c r="X214" s="13" t="s">
        <v>76</v>
      </c>
    </row>
    <row r="215" customFormat="false" ht="15" hidden="false" customHeight="false" outlineLevel="0" collapsed="false">
      <c r="A215" s="10" t="s">
        <v>821</v>
      </c>
      <c r="B215" s="10" t="s">
        <v>822</v>
      </c>
      <c r="C215" s="11" t="s">
        <v>823</v>
      </c>
      <c r="D215" s="12" t="n">
        <v>39.9372</v>
      </c>
      <c r="E215" s="12"/>
      <c r="F215" s="12"/>
      <c r="G215" s="10" t="s">
        <v>63</v>
      </c>
      <c r="H215" s="10" t="s">
        <v>824</v>
      </c>
      <c r="I215" s="11" t="s">
        <v>663</v>
      </c>
      <c r="J215" s="10" t="s">
        <v>664</v>
      </c>
      <c r="K215" s="10" t="s">
        <v>665</v>
      </c>
      <c r="L215" s="10" t="s">
        <v>68</v>
      </c>
      <c r="M215" s="10" t="s">
        <v>69</v>
      </c>
      <c r="N215" s="10"/>
      <c r="O215" s="11" t="s">
        <v>666</v>
      </c>
      <c r="P215" s="10" t="s">
        <v>71</v>
      </c>
      <c r="Q215" s="11" t="s">
        <v>72</v>
      </c>
      <c r="R215" s="11" t="s">
        <v>73</v>
      </c>
      <c r="S215" s="11" t="s">
        <v>74</v>
      </c>
      <c r="T215" s="11" t="s">
        <v>825</v>
      </c>
      <c r="U215" s="10" t="n">
        <f aca="false">IF(AND($D215="",$E215="",$F215=""),1,0)</f>
        <v>0</v>
      </c>
      <c r="V215" s="10" t="n">
        <f aca="false">IF(OR($I215="",$I215="—"),1,0)</f>
        <v>0</v>
      </c>
      <c r="W215" s="10" t="n">
        <f aca="false">IF(AND(ISNUMBER($D215),ISNUMBER($E215)),IF($E215&gt;$D215,1,0),0)+IF(AND(ISNUMBER($D215),ISNUMBER($F215)),IF($D215&gt;$F215,1,0),0)+IF(AND(ISNUMBER($E215),ISNUMBER($F215)),IF($E215&gt;$F215,1,0),0)</f>
        <v>0</v>
      </c>
      <c r="X215" s="13" t="s">
        <v>76</v>
      </c>
    </row>
    <row r="216" customFormat="false" ht="15" hidden="false" customHeight="false" outlineLevel="0" collapsed="false">
      <c r="A216" s="10" t="s">
        <v>826</v>
      </c>
      <c r="B216" s="10" t="s">
        <v>827</v>
      </c>
      <c r="C216" s="11" t="s">
        <v>828</v>
      </c>
      <c r="D216" s="12" t="n">
        <v>0</v>
      </c>
      <c r="E216" s="12"/>
      <c r="F216" s="12"/>
      <c r="G216" s="10" t="s">
        <v>63</v>
      </c>
      <c r="H216" s="10" t="s">
        <v>824</v>
      </c>
      <c r="I216" s="11" t="s">
        <v>663</v>
      </c>
      <c r="J216" s="10" t="s">
        <v>664</v>
      </c>
      <c r="K216" s="10" t="s">
        <v>665</v>
      </c>
      <c r="L216" s="10" t="s">
        <v>68</v>
      </c>
      <c r="M216" s="10" t="s">
        <v>69</v>
      </c>
      <c r="N216" s="10"/>
      <c r="O216" s="11" t="s">
        <v>666</v>
      </c>
      <c r="P216" s="10" t="s">
        <v>71</v>
      </c>
      <c r="Q216" s="11" t="s">
        <v>72</v>
      </c>
      <c r="R216" s="11" t="s">
        <v>73</v>
      </c>
      <c r="S216" s="11" t="s">
        <v>74</v>
      </c>
      <c r="T216" s="10" t="s">
        <v>829</v>
      </c>
      <c r="U216" s="10" t="n">
        <f aca="false">IF(AND($D216="",$E216="",$F216=""),1,0)</f>
        <v>0</v>
      </c>
      <c r="V216" s="10" t="n">
        <f aca="false">IF(OR($I216="",$I216="—"),1,0)</f>
        <v>0</v>
      </c>
      <c r="W216" s="10" t="n">
        <f aca="false">IF(AND(ISNUMBER($D216),ISNUMBER($E216)),IF($E216&gt;$D216,1,0),0)+IF(AND(ISNUMBER($D216),ISNUMBER($F216)),IF($D216&gt;$F216,1,0),0)+IF(AND(ISNUMBER($E216),ISNUMBER($F216)),IF($E216&gt;$F216,1,0),0)</f>
        <v>0</v>
      </c>
      <c r="X216" s="13" t="s">
        <v>76</v>
      </c>
    </row>
    <row r="217" customFormat="false" ht="15" hidden="false" customHeight="false" outlineLevel="0" collapsed="false">
      <c r="A217" s="10" t="s">
        <v>830</v>
      </c>
      <c r="B217" s="10" t="s">
        <v>831</v>
      </c>
      <c r="C217" s="11" t="s">
        <v>600</v>
      </c>
      <c r="D217" s="12" t="n">
        <v>22.2479</v>
      </c>
      <c r="E217" s="12"/>
      <c r="F217" s="12"/>
      <c r="G217" s="10" t="s">
        <v>63</v>
      </c>
      <c r="H217" s="10" t="s">
        <v>824</v>
      </c>
      <c r="I217" s="11" t="s">
        <v>663</v>
      </c>
      <c r="J217" s="10" t="s">
        <v>664</v>
      </c>
      <c r="K217" s="10" t="s">
        <v>665</v>
      </c>
      <c r="L217" s="10" t="s">
        <v>68</v>
      </c>
      <c r="M217" s="10" t="s">
        <v>69</v>
      </c>
      <c r="N217" s="10"/>
      <c r="O217" s="11" t="s">
        <v>666</v>
      </c>
      <c r="P217" s="10" t="s">
        <v>71</v>
      </c>
      <c r="Q217" s="11" t="s">
        <v>72</v>
      </c>
      <c r="R217" s="11" t="s">
        <v>73</v>
      </c>
      <c r="S217" s="11" t="s">
        <v>74</v>
      </c>
      <c r="T217" s="11" t="s">
        <v>832</v>
      </c>
      <c r="U217" s="10" t="n">
        <f aca="false">IF(AND($D217="",$E217="",$F217=""),1,0)</f>
        <v>0</v>
      </c>
      <c r="V217" s="10" t="n">
        <f aca="false">IF(OR($I217="",$I217="—"),1,0)</f>
        <v>0</v>
      </c>
      <c r="W217" s="10" t="n">
        <f aca="false">IF(AND(ISNUMBER($D217),ISNUMBER($E217)),IF($E217&gt;$D217,1,0),0)+IF(AND(ISNUMBER($D217),ISNUMBER($F217)),IF($D217&gt;$F217,1,0),0)+IF(AND(ISNUMBER($E217),ISNUMBER($F217)),IF($E217&gt;$F217,1,0),0)</f>
        <v>0</v>
      </c>
      <c r="X217" s="13" t="s">
        <v>76</v>
      </c>
    </row>
    <row r="218" customFormat="false" ht="15" hidden="false" customHeight="false" outlineLevel="0" collapsed="false">
      <c r="A218" s="10" t="s">
        <v>833</v>
      </c>
      <c r="B218" s="10" t="s">
        <v>834</v>
      </c>
      <c r="C218" s="11" t="s">
        <v>835</v>
      </c>
      <c r="D218" s="12" t="n">
        <v>7.8983</v>
      </c>
      <c r="E218" s="12"/>
      <c r="F218" s="12"/>
      <c r="G218" s="10" t="s">
        <v>63</v>
      </c>
      <c r="H218" s="10" t="s">
        <v>824</v>
      </c>
      <c r="I218" s="11" t="s">
        <v>663</v>
      </c>
      <c r="J218" s="10" t="s">
        <v>664</v>
      </c>
      <c r="K218" s="10" t="s">
        <v>665</v>
      </c>
      <c r="L218" s="10" t="s">
        <v>68</v>
      </c>
      <c r="M218" s="10" t="s">
        <v>69</v>
      </c>
      <c r="N218" s="10"/>
      <c r="O218" s="11" t="s">
        <v>666</v>
      </c>
      <c r="P218" s="10" t="s">
        <v>71</v>
      </c>
      <c r="Q218" s="11" t="s">
        <v>72</v>
      </c>
      <c r="R218" s="11" t="s">
        <v>73</v>
      </c>
      <c r="S218" s="11" t="s">
        <v>74</v>
      </c>
      <c r="T218" s="10" t="s">
        <v>836</v>
      </c>
      <c r="U218" s="10" t="n">
        <f aca="false">IF(AND($D218="",$E218="",$F218=""),1,0)</f>
        <v>0</v>
      </c>
      <c r="V218" s="10" t="n">
        <f aca="false">IF(OR($I218="",$I218="—"),1,0)</f>
        <v>0</v>
      </c>
      <c r="W218" s="10" t="n">
        <f aca="false">IF(AND(ISNUMBER($D218),ISNUMBER($E218)),IF($E218&gt;$D218,1,0),0)+IF(AND(ISNUMBER($D218),ISNUMBER($F218)),IF($D218&gt;$F218,1,0),0)+IF(AND(ISNUMBER($E218),ISNUMBER($F218)),IF($E218&gt;$F218,1,0),0)</f>
        <v>0</v>
      </c>
      <c r="X218" s="13" t="s">
        <v>76</v>
      </c>
    </row>
    <row r="219" customFormat="false" ht="15" hidden="false" customHeight="false" outlineLevel="0" collapsed="false">
      <c r="A219" s="10" t="s">
        <v>837</v>
      </c>
      <c r="B219" s="10" t="s">
        <v>838</v>
      </c>
      <c r="C219" s="11" t="s">
        <v>839</v>
      </c>
      <c r="D219" s="12" t="n">
        <v>14.3496</v>
      </c>
      <c r="E219" s="12"/>
      <c r="F219" s="12"/>
      <c r="G219" s="10" t="s">
        <v>63</v>
      </c>
      <c r="H219" s="10" t="s">
        <v>824</v>
      </c>
      <c r="I219" s="11" t="s">
        <v>663</v>
      </c>
      <c r="J219" s="10" t="s">
        <v>664</v>
      </c>
      <c r="K219" s="10" t="s">
        <v>665</v>
      </c>
      <c r="L219" s="10" t="s">
        <v>68</v>
      </c>
      <c r="M219" s="10" t="s">
        <v>69</v>
      </c>
      <c r="N219" s="10"/>
      <c r="O219" s="11" t="s">
        <v>666</v>
      </c>
      <c r="P219" s="10" t="s">
        <v>71</v>
      </c>
      <c r="Q219" s="11" t="s">
        <v>72</v>
      </c>
      <c r="R219" s="11" t="s">
        <v>73</v>
      </c>
      <c r="S219" s="11" t="s">
        <v>74</v>
      </c>
      <c r="T219" s="10" t="s">
        <v>840</v>
      </c>
      <c r="U219" s="10" t="n">
        <f aca="false">IF(AND($D219="",$E219="",$F219=""),1,0)</f>
        <v>0</v>
      </c>
      <c r="V219" s="10" t="n">
        <f aca="false">IF(OR($I219="",$I219="—"),1,0)</f>
        <v>0</v>
      </c>
      <c r="W219" s="10" t="n">
        <f aca="false">IF(AND(ISNUMBER($D219),ISNUMBER($E219)),IF($E219&gt;$D219,1,0),0)+IF(AND(ISNUMBER($D219),ISNUMBER($F219)),IF($D219&gt;$F219,1,0),0)+IF(AND(ISNUMBER($E219),ISNUMBER($F219)),IF($E219&gt;$F219,1,0),0)</f>
        <v>0</v>
      </c>
      <c r="X219" s="13" t="s">
        <v>76</v>
      </c>
    </row>
    <row r="220" customFormat="false" ht="15" hidden="false" customHeight="false" outlineLevel="0" collapsed="false">
      <c r="A220" s="10" t="s">
        <v>841</v>
      </c>
      <c r="B220" s="10" t="s">
        <v>842</v>
      </c>
      <c r="C220" s="11" t="s">
        <v>843</v>
      </c>
      <c r="D220" s="12" t="n">
        <v>6.0484</v>
      </c>
      <c r="E220" s="12"/>
      <c r="F220" s="12"/>
      <c r="G220" s="10" t="s">
        <v>63</v>
      </c>
      <c r="H220" s="10" t="s">
        <v>626</v>
      </c>
      <c r="I220" s="11" t="s">
        <v>447</v>
      </c>
      <c r="J220" s="10" t="s">
        <v>448</v>
      </c>
      <c r="K220" s="10" t="s">
        <v>449</v>
      </c>
      <c r="L220" s="10" t="s">
        <v>68</v>
      </c>
      <c r="M220" s="10" t="s">
        <v>69</v>
      </c>
      <c r="N220" s="10"/>
      <c r="O220" s="11" t="s">
        <v>450</v>
      </c>
      <c r="P220" s="10" t="s">
        <v>71</v>
      </c>
      <c r="Q220" s="11" t="s">
        <v>72</v>
      </c>
      <c r="R220" s="11" t="s">
        <v>73</v>
      </c>
      <c r="S220" s="11" t="s">
        <v>74</v>
      </c>
      <c r="T220" s="10" t="s">
        <v>844</v>
      </c>
      <c r="U220" s="10" t="n">
        <f aca="false">IF(AND($D220="",$E220="",$F220=""),1,0)</f>
        <v>0</v>
      </c>
      <c r="V220" s="10" t="n">
        <f aca="false">IF(OR($I220="",$I220="—"),1,0)</f>
        <v>0</v>
      </c>
      <c r="W220" s="10" t="n">
        <f aca="false">IF(AND(ISNUMBER($D220),ISNUMBER($E220)),IF($E220&gt;$D220,1,0),0)+IF(AND(ISNUMBER($D220),ISNUMBER($F220)),IF($D220&gt;$F220,1,0),0)+IF(AND(ISNUMBER($E220),ISNUMBER($F220)),IF($E220&gt;$F220,1,0),0)</f>
        <v>0</v>
      </c>
      <c r="X220" s="13" t="s">
        <v>76</v>
      </c>
    </row>
    <row r="221" customFormat="false" ht="15" hidden="false" customHeight="false" outlineLevel="0" collapsed="false">
      <c r="A221" s="10" t="s">
        <v>845</v>
      </c>
      <c r="B221" s="10" t="s">
        <v>846</v>
      </c>
      <c r="C221" s="11" t="s">
        <v>839</v>
      </c>
      <c r="D221" s="12" t="n">
        <v>0.8462</v>
      </c>
      <c r="E221" s="12"/>
      <c r="F221" s="12"/>
      <c r="G221" s="10" t="s">
        <v>63</v>
      </c>
      <c r="H221" s="10" t="s">
        <v>626</v>
      </c>
      <c r="I221" s="11" t="s">
        <v>447</v>
      </c>
      <c r="J221" s="10" t="s">
        <v>448</v>
      </c>
      <c r="K221" s="10" t="s">
        <v>449</v>
      </c>
      <c r="L221" s="10" t="s">
        <v>68</v>
      </c>
      <c r="M221" s="10" t="s">
        <v>69</v>
      </c>
      <c r="N221" s="10"/>
      <c r="O221" s="11" t="s">
        <v>450</v>
      </c>
      <c r="P221" s="10" t="s">
        <v>71</v>
      </c>
      <c r="Q221" s="11" t="s">
        <v>72</v>
      </c>
      <c r="R221" s="11" t="s">
        <v>73</v>
      </c>
      <c r="S221" s="11" t="s">
        <v>74</v>
      </c>
      <c r="T221" s="10" t="s">
        <v>847</v>
      </c>
      <c r="U221" s="10" t="n">
        <f aca="false">IF(AND($D221="",$E221="",$F221=""),1,0)</f>
        <v>0</v>
      </c>
      <c r="V221" s="10" t="n">
        <f aca="false">IF(OR($I221="",$I221="—"),1,0)</f>
        <v>0</v>
      </c>
      <c r="W221" s="10" t="n">
        <f aca="false">IF(AND(ISNUMBER($D221),ISNUMBER($E221)),IF($E221&gt;$D221,1,0),0)+IF(AND(ISNUMBER($D221),ISNUMBER($F221)),IF($D221&gt;$F221,1,0),0)+IF(AND(ISNUMBER($E221),ISNUMBER($F221)),IF($E221&gt;$F221,1,0),0)</f>
        <v>0</v>
      </c>
      <c r="X221" s="13" t="s">
        <v>76</v>
      </c>
    </row>
    <row r="222" customFormat="false" ht="15" hidden="false" customHeight="false" outlineLevel="0" collapsed="false">
      <c r="A222" s="10" t="s">
        <v>848</v>
      </c>
      <c r="B222" s="10" t="s">
        <v>849</v>
      </c>
      <c r="C222" s="11" t="s">
        <v>850</v>
      </c>
      <c r="D222" s="12" t="n">
        <v>14.2742</v>
      </c>
      <c r="E222" s="12"/>
      <c r="F222" s="12"/>
      <c r="G222" s="10" t="s">
        <v>63</v>
      </c>
      <c r="H222" s="10" t="s">
        <v>824</v>
      </c>
      <c r="I222" s="11" t="s">
        <v>663</v>
      </c>
      <c r="J222" s="10" t="s">
        <v>697</v>
      </c>
      <c r="K222" s="10" t="s">
        <v>665</v>
      </c>
      <c r="L222" s="10" t="s">
        <v>68</v>
      </c>
      <c r="M222" s="10" t="s">
        <v>69</v>
      </c>
      <c r="N222" s="10"/>
      <c r="O222" s="11" t="s">
        <v>666</v>
      </c>
      <c r="P222" s="10" t="s">
        <v>71</v>
      </c>
      <c r="Q222" s="11" t="s">
        <v>72</v>
      </c>
      <c r="R222" s="11" t="s">
        <v>73</v>
      </c>
      <c r="S222" s="11" t="s">
        <v>74</v>
      </c>
      <c r="T222" s="10" t="s">
        <v>851</v>
      </c>
      <c r="U222" s="10" t="n">
        <f aca="false">IF(AND($D222="",$E222="",$F222=""),1,0)</f>
        <v>0</v>
      </c>
      <c r="V222" s="10" t="n">
        <f aca="false">IF(OR($I222="",$I222="—"),1,0)</f>
        <v>0</v>
      </c>
      <c r="W222" s="10" t="n">
        <f aca="false">IF(AND(ISNUMBER($D222),ISNUMBER($E222)),IF($E222&gt;$D222,1,0),0)+IF(AND(ISNUMBER($D222),ISNUMBER($F222)),IF($D222&gt;$F222,1,0),0)+IF(AND(ISNUMBER($E222),ISNUMBER($F222)),IF($E222&gt;$F222,1,0),0)</f>
        <v>0</v>
      </c>
      <c r="X222" s="13" t="s">
        <v>76</v>
      </c>
    </row>
    <row r="223" customFormat="false" ht="15" hidden="false" customHeight="false" outlineLevel="0" collapsed="false">
      <c r="A223" s="10" t="s">
        <v>852</v>
      </c>
      <c r="B223" s="10" t="s">
        <v>853</v>
      </c>
      <c r="C223" s="11" t="s">
        <v>854</v>
      </c>
      <c r="D223" s="12" t="n">
        <v>12.4374</v>
      </c>
      <c r="E223" s="12"/>
      <c r="F223" s="12"/>
      <c r="G223" s="10" t="s">
        <v>63</v>
      </c>
      <c r="H223" s="10" t="s">
        <v>824</v>
      </c>
      <c r="I223" s="11" t="s">
        <v>663</v>
      </c>
      <c r="J223" s="10" t="s">
        <v>697</v>
      </c>
      <c r="K223" s="10" t="s">
        <v>665</v>
      </c>
      <c r="L223" s="10" t="s">
        <v>68</v>
      </c>
      <c r="M223" s="10" t="s">
        <v>69</v>
      </c>
      <c r="N223" s="10"/>
      <c r="O223" s="11" t="s">
        <v>666</v>
      </c>
      <c r="P223" s="10" t="s">
        <v>71</v>
      </c>
      <c r="Q223" s="11" t="s">
        <v>72</v>
      </c>
      <c r="R223" s="11" t="s">
        <v>73</v>
      </c>
      <c r="S223" s="11" t="s">
        <v>74</v>
      </c>
      <c r="T223" s="10" t="s">
        <v>855</v>
      </c>
      <c r="U223" s="10" t="n">
        <f aca="false">IF(AND($D223="",$E223="",$F223=""),1,0)</f>
        <v>0</v>
      </c>
      <c r="V223" s="10" t="n">
        <f aca="false">IF(OR($I223="",$I223="—"),1,0)</f>
        <v>0</v>
      </c>
      <c r="W223" s="10" t="n">
        <f aca="false">IF(AND(ISNUMBER($D223),ISNUMBER($E223)),IF($E223&gt;$D223,1,0),0)+IF(AND(ISNUMBER($D223),ISNUMBER($F223)),IF($D223&gt;$F223,1,0),0)+IF(AND(ISNUMBER($E223),ISNUMBER($F223)),IF($E223&gt;$F223,1,0),0)</f>
        <v>0</v>
      </c>
      <c r="X223" s="13" t="s">
        <v>76</v>
      </c>
    </row>
    <row r="224" customFormat="false" ht="15" hidden="false" customHeight="false" outlineLevel="0" collapsed="false">
      <c r="A224" s="10" t="s">
        <v>856</v>
      </c>
      <c r="B224" s="10" t="s">
        <v>857</v>
      </c>
      <c r="C224" s="11" t="s">
        <v>854</v>
      </c>
      <c r="D224" s="12" t="n">
        <v>1.1629</v>
      </c>
      <c r="E224" s="12"/>
      <c r="F224" s="12"/>
      <c r="G224" s="10" t="s">
        <v>63</v>
      </c>
      <c r="H224" s="10" t="s">
        <v>626</v>
      </c>
      <c r="I224" s="11" t="s">
        <v>663</v>
      </c>
      <c r="J224" s="10" t="s">
        <v>697</v>
      </c>
      <c r="K224" s="10" t="s">
        <v>665</v>
      </c>
      <c r="L224" s="10" t="s">
        <v>68</v>
      </c>
      <c r="M224" s="10" t="s">
        <v>69</v>
      </c>
      <c r="N224" s="10"/>
      <c r="O224" s="11" t="s">
        <v>666</v>
      </c>
      <c r="P224" s="10" t="s">
        <v>71</v>
      </c>
      <c r="Q224" s="11" t="s">
        <v>72</v>
      </c>
      <c r="R224" s="11" t="s">
        <v>73</v>
      </c>
      <c r="S224" s="11" t="s">
        <v>74</v>
      </c>
      <c r="T224" s="11" t="s">
        <v>858</v>
      </c>
      <c r="U224" s="10" t="n">
        <f aca="false">IF(AND($D224="",$E224="",$F224=""),1,0)</f>
        <v>0</v>
      </c>
      <c r="V224" s="10" t="n">
        <f aca="false">IF(OR($I224="",$I224="—"),1,0)</f>
        <v>0</v>
      </c>
      <c r="W224" s="10" t="n">
        <f aca="false">IF(AND(ISNUMBER($D224),ISNUMBER($E224)),IF($E224&gt;$D224,1,0),0)+IF(AND(ISNUMBER($D224),ISNUMBER($F224)),IF($D224&gt;$F224,1,0),0)+IF(AND(ISNUMBER($E224),ISNUMBER($F224)),IF($E224&gt;$F224,1,0),0)</f>
        <v>0</v>
      </c>
      <c r="X224" s="13" t="s">
        <v>76</v>
      </c>
    </row>
    <row r="225" customFormat="false" ht="15" hidden="false" customHeight="false" outlineLevel="0" collapsed="false">
      <c r="A225" s="10" t="s">
        <v>859</v>
      </c>
      <c r="B225" s="10" t="s">
        <v>860</v>
      </c>
      <c r="C225" s="11" t="s">
        <v>861</v>
      </c>
      <c r="D225" s="12" t="n">
        <v>1.7299</v>
      </c>
      <c r="E225" s="12"/>
      <c r="F225" s="12"/>
      <c r="G225" s="10" t="s">
        <v>63</v>
      </c>
      <c r="H225" s="10" t="s">
        <v>824</v>
      </c>
      <c r="I225" s="11" t="s">
        <v>663</v>
      </c>
      <c r="J225" s="10" t="s">
        <v>664</v>
      </c>
      <c r="K225" s="10" t="s">
        <v>665</v>
      </c>
      <c r="L225" s="10" t="s">
        <v>68</v>
      </c>
      <c r="M225" s="10" t="s">
        <v>69</v>
      </c>
      <c r="N225" s="10"/>
      <c r="O225" s="11" t="s">
        <v>666</v>
      </c>
      <c r="P225" s="10" t="s">
        <v>71</v>
      </c>
      <c r="Q225" s="11" t="s">
        <v>72</v>
      </c>
      <c r="R225" s="11" t="s">
        <v>73</v>
      </c>
      <c r="S225" s="11" t="s">
        <v>74</v>
      </c>
      <c r="T225" s="10" t="s">
        <v>862</v>
      </c>
      <c r="U225" s="10" t="n">
        <f aca="false">IF(AND($D225="",$E225="",$F225=""),1,0)</f>
        <v>0</v>
      </c>
      <c r="V225" s="10" t="n">
        <f aca="false">IF(OR($I225="",$I225="—"),1,0)</f>
        <v>0</v>
      </c>
      <c r="W225" s="10" t="n">
        <f aca="false">IF(AND(ISNUMBER($D225),ISNUMBER($E225)),IF($E225&gt;$D225,1,0),0)+IF(AND(ISNUMBER($D225),ISNUMBER($F225)),IF($D225&gt;$F225,1,0),0)+IF(AND(ISNUMBER($E225),ISNUMBER($F225)),IF($E225&gt;$F225,1,0),0)</f>
        <v>0</v>
      </c>
      <c r="X225" s="13" t="s">
        <v>76</v>
      </c>
    </row>
    <row r="226" customFormat="false" ht="15" hidden="false" customHeight="false" outlineLevel="0" collapsed="false">
      <c r="A226" s="10" t="s">
        <v>863</v>
      </c>
      <c r="B226" s="10" t="s">
        <v>864</v>
      </c>
      <c r="C226" s="11" t="s">
        <v>625</v>
      </c>
      <c r="D226" s="12" t="n">
        <v>981</v>
      </c>
      <c r="E226" s="12"/>
      <c r="F226" s="12"/>
      <c r="G226" s="11" t="s">
        <v>439</v>
      </c>
      <c r="H226" s="10" t="s">
        <v>824</v>
      </c>
      <c r="I226" s="11" t="s">
        <v>663</v>
      </c>
      <c r="J226" s="10" t="s">
        <v>697</v>
      </c>
      <c r="K226" s="10" t="s">
        <v>665</v>
      </c>
      <c r="L226" s="10" t="s">
        <v>68</v>
      </c>
      <c r="M226" s="10" t="s">
        <v>69</v>
      </c>
      <c r="N226" s="10"/>
      <c r="O226" s="11" t="s">
        <v>666</v>
      </c>
      <c r="P226" s="10" t="s">
        <v>71</v>
      </c>
      <c r="Q226" s="11" t="s">
        <v>72</v>
      </c>
      <c r="R226" s="11" t="s">
        <v>73</v>
      </c>
      <c r="S226" s="11" t="s">
        <v>74</v>
      </c>
      <c r="T226" s="11" t="s">
        <v>865</v>
      </c>
      <c r="U226" s="10" t="n">
        <f aca="false">IF(AND($D226="",$E226="",$F226=""),1,0)</f>
        <v>0</v>
      </c>
      <c r="V226" s="10" t="n">
        <f aca="false">IF(OR($I226="",$I226="—"),1,0)</f>
        <v>0</v>
      </c>
      <c r="W226" s="10" t="n">
        <f aca="false">IF(AND(ISNUMBER($D226),ISNUMBER($E226)),IF($E226&gt;$D226,1,0),0)+IF(AND(ISNUMBER($D226),ISNUMBER($F226)),IF($D226&gt;$F226,1,0),0)+IF(AND(ISNUMBER($E226),ISNUMBER($F226)),IF($E226&gt;$F226,1,0),0)</f>
        <v>0</v>
      </c>
      <c r="X226" s="13" t="s">
        <v>76</v>
      </c>
    </row>
    <row r="227" customFormat="false" ht="15" hidden="false" customHeight="false" outlineLevel="0" collapsed="false">
      <c r="A227" s="10" t="s">
        <v>866</v>
      </c>
      <c r="B227" s="10" t="s">
        <v>867</v>
      </c>
      <c r="C227" s="11" t="s">
        <v>625</v>
      </c>
      <c r="D227" s="12" t="n">
        <v>883</v>
      </c>
      <c r="E227" s="12"/>
      <c r="F227" s="12"/>
      <c r="G227" s="11" t="s">
        <v>439</v>
      </c>
      <c r="H227" s="10" t="s">
        <v>440</v>
      </c>
      <c r="I227" s="11" t="s">
        <v>663</v>
      </c>
      <c r="J227" s="10" t="s">
        <v>697</v>
      </c>
      <c r="K227" s="10" t="s">
        <v>665</v>
      </c>
      <c r="L227" s="10" t="s">
        <v>68</v>
      </c>
      <c r="M227" s="10" t="s">
        <v>69</v>
      </c>
      <c r="N227" s="10"/>
      <c r="O227" s="11" t="s">
        <v>666</v>
      </c>
      <c r="P227" s="10" t="s">
        <v>71</v>
      </c>
      <c r="Q227" s="11" t="s">
        <v>72</v>
      </c>
      <c r="R227" s="11" t="s">
        <v>73</v>
      </c>
      <c r="S227" s="11" t="s">
        <v>74</v>
      </c>
      <c r="T227" s="11" t="s">
        <v>868</v>
      </c>
      <c r="U227" s="10" t="n">
        <f aca="false">IF(AND($D227="",$E227="",$F227=""),1,0)</f>
        <v>0</v>
      </c>
      <c r="V227" s="10" t="n">
        <f aca="false">IF(OR($I227="",$I227="—"),1,0)</f>
        <v>0</v>
      </c>
      <c r="W227" s="10" t="n">
        <f aca="false">IF(AND(ISNUMBER($D227),ISNUMBER($E227)),IF($E227&gt;$D227,1,0),0)+IF(AND(ISNUMBER($D227),ISNUMBER($F227)),IF($D227&gt;$F227,1,0),0)+IF(AND(ISNUMBER($E227),ISNUMBER($F227)),IF($E227&gt;$F227,1,0),0)</f>
        <v>0</v>
      </c>
      <c r="X227" s="13" t="s">
        <v>76</v>
      </c>
    </row>
    <row r="228" customFormat="false" ht="15" hidden="false" customHeight="false" outlineLevel="0" collapsed="false">
      <c r="A228" s="10" t="s">
        <v>869</v>
      </c>
      <c r="B228" s="10" t="s">
        <v>870</v>
      </c>
      <c r="C228" s="11" t="s">
        <v>630</v>
      </c>
      <c r="D228" s="12" t="n">
        <v>4.821</v>
      </c>
      <c r="E228" s="12"/>
      <c r="F228" s="12"/>
      <c r="G228" s="10" t="s">
        <v>63</v>
      </c>
      <c r="H228" s="10" t="s">
        <v>662</v>
      </c>
      <c r="I228" s="11" t="s">
        <v>663</v>
      </c>
      <c r="J228" s="10" t="s">
        <v>697</v>
      </c>
      <c r="K228" s="10" t="s">
        <v>665</v>
      </c>
      <c r="L228" s="10" t="s">
        <v>68</v>
      </c>
      <c r="M228" s="10" t="s">
        <v>69</v>
      </c>
      <c r="N228" s="10"/>
      <c r="O228" s="11" t="s">
        <v>666</v>
      </c>
      <c r="P228" s="10" t="s">
        <v>71</v>
      </c>
      <c r="Q228" s="11" t="s">
        <v>72</v>
      </c>
      <c r="R228" s="11" t="s">
        <v>73</v>
      </c>
      <c r="S228" s="11" t="s">
        <v>74</v>
      </c>
      <c r="T228" s="11" t="s">
        <v>871</v>
      </c>
      <c r="U228" s="10" t="n">
        <f aca="false">IF(AND($D228="",$E228="",$F228=""),1,0)</f>
        <v>0</v>
      </c>
      <c r="V228" s="10" t="n">
        <f aca="false">IF(OR($I228="",$I228="—"),1,0)</f>
        <v>0</v>
      </c>
      <c r="W228" s="10" t="n">
        <f aca="false">IF(AND(ISNUMBER($D228),ISNUMBER($E228)),IF($E228&gt;$D228,1,0),0)+IF(AND(ISNUMBER($D228),ISNUMBER($F228)),IF($D228&gt;$F228,1,0),0)+IF(AND(ISNUMBER($E228),ISNUMBER($F228)),IF($E228&gt;$F228,1,0),0)</f>
        <v>0</v>
      </c>
      <c r="X228" s="13" t="s">
        <v>76</v>
      </c>
    </row>
    <row r="229" customFormat="false" ht="15" hidden="false" customHeight="false" outlineLevel="0" collapsed="false">
      <c r="A229" s="10" t="s">
        <v>872</v>
      </c>
      <c r="B229" s="10" t="s">
        <v>873</v>
      </c>
      <c r="C229" s="11" t="s">
        <v>630</v>
      </c>
      <c r="D229" s="12" t="n">
        <v>4.996</v>
      </c>
      <c r="E229" s="12"/>
      <c r="F229" s="12"/>
      <c r="G229" s="10" t="s">
        <v>63</v>
      </c>
      <c r="H229" s="10" t="s">
        <v>92</v>
      </c>
      <c r="I229" s="11" t="s">
        <v>663</v>
      </c>
      <c r="J229" s="10" t="s">
        <v>697</v>
      </c>
      <c r="K229" s="10" t="s">
        <v>665</v>
      </c>
      <c r="L229" s="10" t="s">
        <v>68</v>
      </c>
      <c r="M229" s="10" t="s">
        <v>69</v>
      </c>
      <c r="N229" s="10"/>
      <c r="O229" s="11" t="s">
        <v>666</v>
      </c>
      <c r="P229" s="10" t="s">
        <v>71</v>
      </c>
      <c r="Q229" s="11" t="s">
        <v>72</v>
      </c>
      <c r="R229" s="11" t="s">
        <v>73</v>
      </c>
      <c r="S229" s="11" t="s">
        <v>74</v>
      </c>
      <c r="T229" s="11" t="s">
        <v>874</v>
      </c>
      <c r="U229" s="10" t="n">
        <f aca="false">IF(AND($D229="",$E229="",$F229=""),1,0)</f>
        <v>0</v>
      </c>
      <c r="V229" s="10" t="n">
        <f aca="false">IF(OR($I229="",$I229="—"),1,0)</f>
        <v>0</v>
      </c>
      <c r="W229" s="10" t="n">
        <f aca="false">IF(AND(ISNUMBER($D229),ISNUMBER($E229)),IF($E229&gt;$D229,1,0),0)+IF(AND(ISNUMBER($D229),ISNUMBER($F229)),IF($D229&gt;$F229,1,0),0)+IF(AND(ISNUMBER($E229),ISNUMBER($F229)),IF($E229&gt;$F229,1,0),0)</f>
        <v>0</v>
      </c>
      <c r="X229" s="13" t="s">
        <v>76</v>
      </c>
    </row>
    <row r="230" customFormat="false" ht="15" hidden="false" customHeight="false" outlineLevel="0" collapsed="false">
      <c r="A230" s="10" t="s">
        <v>875</v>
      </c>
      <c r="B230" s="10" t="s">
        <v>876</v>
      </c>
      <c r="C230" s="11" t="s">
        <v>877</v>
      </c>
      <c r="D230" s="12" t="n">
        <v>0.00491</v>
      </c>
      <c r="E230" s="12"/>
      <c r="F230" s="12"/>
      <c r="G230" s="10" t="s">
        <v>878</v>
      </c>
      <c r="H230" s="10" t="s">
        <v>662</v>
      </c>
      <c r="I230" s="11" t="s">
        <v>663</v>
      </c>
      <c r="J230" s="10" t="s">
        <v>697</v>
      </c>
      <c r="K230" s="10" t="s">
        <v>665</v>
      </c>
      <c r="L230" s="10" t="s">
        <v>68</v>
      </c>
      <c r="M230" s="10" t="s">
        <v>636</v>
      </c>
      <c r="N230" s="10"/>
      <c r="O230" s="10" t="s">
        <v>636</v>
      </c>
      <c r="P230" s="10" t="s">
        <v>637</v>
      </c>
      <c r="Q230" s="11" t="s">
        <v>638</v>
      </c>
      <c r="R230" s="11" t="s">
        <v>639</v>
      </c>
      <c r="S230" s="11" t="s">
        <v>74</v>
      </c>
      <c r="T230" s="10" t="s">
        <v>879</v>
      </c>
      <c r="U230" s="10" t="n">
        <f aca="false">IF(AND($D230="",$E230="",$F230=""),1,0)</f>
        <v>0</v>
      </c>
      <c r="V230" s="10" t="n">
        <f aca="false">IF(OR($I230="",$I230="—"),1,0)</f>
        <v>0</v>
      </c>
      <c r="W230" s="10" t="n">
        <f aca="false">IF(AND(ISNUMBER($D230),ISNUMBER($E230)),IF($E230&gt;$D230,1,0),0)+IF(AND(ISNUMBER($D230),ISNUMBER($F230)),IF($D230&gt;$F230,1,0),0)+IF(AND(ISNUMBER($E230),ISNUMBER($F230)),IF($E230&gt;$F230,1,0),0)</f>
        <v>0</v>
      </c>
      <c r="X230" s="13" t="s">
        <v>76</v>
      </c>
    </row>
    <row r="231" customFormat="false" ht="15" hidden="false" customHeight="false" outlineLevel="0" collapsed="false">
      <c r="A231" s="10" t="s">
        <v>880</v>
      </c>
      <c r="B231" s="10" t="s">
        <v>881</v>
      </c>
      <c r="C231" s="10" t="s">
        <v>882</v>
      </c>
      <c r="D231" s="12" t="n">
        <v>101</v>
      </c>
      <c r="E231" s="12"/>
      <c r="F231" s="12"/>
      <c r="G231" s="10" t="s">
        <v>401</v>
      </c>
      <c r="H231" s="10" t="s">
        <v>662</v>
      </c>
      <c r="I231" s="11" t="s">
        <v>663</v>
      </c>
      <c r="J231" s="10" t="s">
        <v>697</v>
      </c>
      <c r="K231" s="10" t="s">
        <v>665</v>
      </c>
      <c r="L231" s="10" t="s">
        <v>68</v>
      </c>
      <c r="M231" s="10" t="s">
        <v>416</v>
      </c>
      <c r="N231" s="11" t="s">
        <v>649</v>
      </c>
      <c r="O231" s="11" t="s">
        <v>441</v>
      </c>
      <c r="P231" s="10" t="s">
        <v>71</v>
      </c>
      <c r="Q231" s="11" t="s">
        <v>72</v>
      </c>
      <c r="R231" s="11" t="s">
        <v>649</v>
      </c>
      <c r="S231" s="11" t="s">
        <v>74</v>
      </c>
      <c r="T231" s="11" t="s">
        <v>883</v>
      </c>
      <c r="U231" s="10" t="n">
        <f aca="false">IF(AND($D231="",$E231="",$F231=""),1,0)</f>
        <v>0</v>
      </c>
      <c r="V231" s="10" t="n">
        <f aca="false">IF(OR($I231="",$I231="—"),1,0)</f>
        <v>0</v>
      </c>
      <c r="W231" s="10" t="n">
        <f aca="false">IF(AND(ISNUMBER($D231),ISNUMBER($E231)),IF($E231&gt;$D231,1,0),0)+IF(AND(ISNUMBER($D231),ISNUMBER($F231)),IF($D231&gt;$F231,1,0),0)+IF(AND(ISNUMBER($E231),ISNUMBER($F231)),IF($E231&gt;$F231,1,0),0)</f>
        <v>0</v>
      </c>
      <c r="X231" s="13" t="s">
        <v>76</v>
      </c>
    </row>
    <row r="232" customFormat="false" ht="15" hidden="false" customHeight="false" outlineLevel="0" collapsed="false">
      <c r="A232" s="10" t="s">
        <v>884</v>
      </c>
      <c r="B232" s="10" t="s">
        <v>885</v>
      </c>
      <c r="C232" s="10" t="s">
        <v>653</v>
      </c>
      <c r="D232" s="12"/>
      <c r="E232" s="12"/>
      <c r="F232" s="12"/>
      <c r="G232" s="10"/>
      <c r="H232" s="10" t="s">
        <v>662</v>
      </c>
      <c r="I232" s="11" t="s">
        <v>663</v>
      </c>
      <c r="J232" s="10" t="s">
        <v>697</v>
      </c>
      <c r="K232" s="10" t="s">
        <v>665</v>
      </c>
      <c r="L232" s="10" t="s">
        <v>68</v>
      </c>
      <c r="M232" s="10" t="s">
        <v>636</v>
      </c>
      <c r="N232" s="10"/>
      <c r="O232" s="10" t="s">
        <v>636</v>
      </c>
      <c r="P232" s="10" t="s">
        <v>637</v>
      </c>
      <c r="Q232" s="11" t="s">
        <v>638</v>
      </c>
      <c r="R232" s="11" t="s">
        <v>639</v>
      </c>
      <c r="S232" s="11" t="s">
        <v>74</v>
      </c>
      <c r="T232" s="11" t="s">
        <v>886</v>
      </c>
      <c r="U232" s="10" t="n">
        <f aca="false">IF(AND($D232="",$E232="",$F232=""),1,0)</f>
        <v>1</v>
      </c>
      <c r="V232" s="10" t="n">
        <f aca="false">IF(OR($I232="",$I232="—"),1,0)</f>
        <v>0</v>
      </c>
      <c r="W232" s="10" t="n">
        <f aca="false">IF(AND(ISNUMBER($D232),ISNUMBER($E232)),IF($E232&gt;$D232,1,0),0)+IF(AND(ISNUMBER($D232),ISNUMBER($F232)),IF($D232&gt;$F232,1,0),0)+IF(AND(ISNUMBER($E232),ISNUMBER($F232)),IF($E232&gt;$F232,1,0),0)</f>
        <v>0</v>
      </c>
      <c r="X232" s="13" t="s">
        <v>76</v>
      </c>
    </row>
    <row r="233" customFormat="false" ht="15" hidden="false" customHeight="false" outlineLevel="0" collapsed="false">
      <c r="A233" s="10" t="s">
        <v>887</v>
      </c>
      <c r="B233" s="10" t="s">
        <v>888</v>
      </c>
      <c r="C233" s="11" t="s">
        <v>889</v>
      </c>
      <c r="D233" s="12" t="n">
        <v>100000</v>
      </c>
      <c r="E233" s="12" t="n">
        <v>100000</v>
      </c>
      <c r="F233" s="12"/>
      <c r="G233" s="11" t="s">
        <v>890</v>
      </c>
      <c r="H233" s="10" t="s">
        <v>662</v>
      </c>
      <c r="I233" s="11" t="s">
        <v>663</v>
      </c>
      <c r="J233" s="10" t="s">
        <v>697</v>
      </c>
      <c r="K233" s="10" t="s">
        <v>665</v>
      </c>
      <c r="L233" s="10" t="s">
        <v>68</v>
      </c>
      <c r="M233" s="10" t="s">
        <v>416</v>
      </c>
      <c r="N233" s="11" t="s">
        <v>649</v>
      </c>
      <c r="O233" s="11" t="s">
        <v>441</v>
      </c>
      <c r="P233" s="10" t="s">
        <v>71</v>
      </c>
      <c r="Q233" s="11" t="s">
        <v>72</v>
      </c>
      <c r="R233" s="11" t="s">
        <v>649</v>
      </c>
      <c r="S233" s="11" t="s">
        <v>74</v>
      </c>
      <c r="T233" s="11" t="s">
        <v>891</v>
      </c>
      <c r="U233" s="10" t="n">
        <f aca="false">IF(AND($D233="",$E233="",$F233=""),1,0)</f>
        <v>0</v>
      </c>
      <c r="V233" s="10" t="n">
        <f aca="false">IF(OR($I233="",$I233="—"),1,0)</f>
        <v>0</v>
      </c>
      <c r="W233" s="10" t="n">
        <f aca="false">IF(AND(ISNUMBER($D233),ISNUMBER($E233)),IF($E233&gt;$D233,1,0),0)+IF(AND(ISNUMBER($D233),ISNUMBER($F233)),IF($D233&gt;$F233,1,0),0)+IF(AND(ISNUMBER($E233),ISNUMBER($F233)),IF($E233&gt;$F233,1,0),0)</f>
        <v>0</v>
      </c>
      <c r="X233" s="13" t="s">
        <v>76</v>
      </c>
    </row>
    <row r="234" customFormat="false" ht="15" hidden="false" customHeight="false" outlineLevel="0" collapsed="false">
      <c r="A234" s="10" t="s">
        <v>892</v>
      </c>
      <c r="B234" s="10" t="s">
        <v>893</v>
      </c>
      <c r="C234" s="11" t="s">
        <v>894</v>
      </c>
      <c r="D234" s="12" t="n">
        <v>0.15</v>
      </c>
      <c r="E234" s="12"/>
      <c r="F234" s="12"/>
      <c r="G234" s="10" t="s">
        <v>63</v>
      </c>
      <c r="H234" s="10" t="s">
        <v>64</v>
      </c>
      <c r="I234" s="10" t="s">
        <v>895</v>
      </c>
      <c r="J234" s="10" t="s">
        <v>805</v>
      </c>
      <c r="K234" s="10" t="s">
        <v>806</v>
      </c>
      <c r="L234" s="10" t="s">
        <v>68</v>
      </c>
      <c r="M234" s="10" t="s">
        <v>416</v>
      </c>
      <c r="N234" s="11" t="s">
        <v>709</v>
      </c>
      <c r="O234" s="11" t="s">
        <v>896</v>
      </c>
      <c r="P234" s="10" t="s">
        <v>637</v>
      </c>
      <c r="Q234" s="11" t="s">
        <v>72</v>
      </c>
      <c r="R234" s="11" t="s">
        <v>709</v>
      </c>
      <c r="S234" s="11" t="s">
        <v>710</v>
      </c>
      <c r="T234" s="11" t="s">
        <v>897</v>
      </c>
      <c r="U234" s="10" t="n">
        <f aca="false">IF(AND($D234="",$E234="",$F234=""),1,0)</f>
        <v>0</v>
      </c>
      <c r="V234" s="10" t="n">
        <f aca="false">IF(OR($I234="",$I234="—"),1,0)</f>
        <v>0</v>
      </c>
      <c r="W234" s="10" t="n">
        <f aca="false">IF(AND(ISNUMBER($D234),ISNUMBER($E234)),IF($E234&gt;$D234,1,0),0)+IF(AND(ISNUMBER($D234),ISNUMBER($F234)),IF($D234&gt;$F234,1,0),0)+IF(AND(ISNUMBER($E234),ISNUMBER($F234)),IF($E234&gt;$F234,1,0),0)</f>
        <v>0</v>
      </c>
      <c r="X234" s="13" t="s">
        <v>76</v>
      </c>
    </row>
    <row r="235" customFormat="false" ht="15" hidden="false" customHeight="false" outlineLevel="0" collapsed="false">
      <c r="A235" s="10" t="s">
        <v>898</v>
      </c>
      <c r="B235" s="10" t="s">
        <v>899</v>
      </c>
      <c r="C235" s="11" t="s">
        <v>894</v>
      </c>
      <c r="D235" s="12" t="n">
        <v>11.45</v>
      </c>
      <c r="E235" s="12"/>
      <c r="F235" s="12"/>
      <c r="G235" s="10" t="s">
        <v>63</v>
      </c>
      <c r="H235" s="10" t="s">
        <v>92</v>
      </c>
      <c r="I235" s="10" t="s">
        <v>895</v>
      </c>
      <c r="J235" s="10" t="s">
        <v>805</v>
      </c>
      <c r="K235" s="10" t="s">
        <v>806</v>
      </c>
      <c r="L235" s="10" t="s">
        <v>68</v>
      </c>
      <c r="M235" s="10" t="s">
        <v>416</v>
      </c>
      <c r="N235" s="11" t="s">
        <v>709</v>
      </c>
      <c r="O235" s="11" t="s">
        <v>896</v>
      </c>
      <c r="P235" s="10" t="s">
        <v>637</v>
      </c>
      <c r="Q235" s="11" t="s">
        <v>72</v>
      </c>
      <c r="R235" s="11" t="s">
        <v>709</v>
      </c>
      <c r="S235" s="11" t="s">
        <v>710</v>
      </c>
      <c r="T235" s="11" t="s">
        <v>900</v>
      </c>
      <c r="U235" s="10" t="n">
        <f aca="false">IF(AND($D235="",$E235="",$F235=""),1,0)</f>
        <v>0</v>
      </c>
      <c r="V235" s="10" t="n">
        <f aca="false">IF(OR($I235="",$I235="—"),1,0)</f>
        <v>0</v>
      </c>
      <c r="W235" s="10" t="n">
        <f aca="false">IF(AND(ISNUMBER($D235),ISNUMBER($E235)),IF($E235&gt;$D235,1,0),0)+IF(AND(ISNUMBER($D235),ISNUMBER($F235)),IF($D235&gt;$F235,1,0),0)+IF(AND(ISNUMBER($E235),ISNUMBER($F235)),IF($E235&gt;$F235,1,0),0)</f>
        <v>0</v>
      </c>
      <c r="X235" s="13" t="s">
        <v>76</v>
      </c>
    </row>
    <row r="236" customFormat="false" ht="15" hidden="false" customHeight="false" outlineLevel="0" collapsed="false">
      <c r="A236" s="10" t="s">
        <v>901</v>
      </c>
      <c r="B236" s="10" t="s">
        <v>902</v>
      </c>
      <c r="C236" s="11" t="s">
        <v>903</v>
      </c>
      <c r="D236" s="12" t="n">
        <v>15.52</v>
      </c>
      <c r="E236" s="12"/>
      <c r="F236" s="12"/>
      <c r="G236" s="10" t="s">
        <v>63</v>
      </c>
      <c r="H236" s="10" t="s">
        <v>83</v>
      </c>
      <c r="I236" s="11" t="s">
        <v>904</v>
      </c>
      <c r="J236" s="10" t="s">
        <v>905</v>
      </c>
      <c r="K236" s="10" t="s">
        <v>906</v>
      </c>
      <c r="L236" s="10" t="s">
        <v>68</v>
      </c>
      <c r="M236" s="10" t="s">
        <v>416</v>
      </c>
      <c r="N236" s="11" t="s">
        <v>709</v>
      </c>
      <c r="O236" s="11" t="s">
        <v>896</v>
      </c>
      <c r="P236" s="10" t="s">
        <v>637</v>
      </c>
      <c r="Q236" s="11" t="s">
        <v>72</v>
      </c>
      <c r="R236" s="11" t="s">
        <v>709</v>
      </c>
      <c r="S236" s="11" t="s">
        <v>710</v>
      </c>
      <c r="T236" s="11" t="s">
        <v>907</v>
      </c>
      <c r="U236" s="10" t="n">
        <f aca="false">IF(AND($D236="",$E236="",$F236=""),1,0)</f>
        <v>0</v>
      </c>
      <c r="V236" s="10" t="n">
        <f aca="false">IF(OR($I236="",$I236="—"),1,0)</f>
        <v>0</v>
      </c>
      <c r="W236" s="10" t="n">
        <f aca="false">IF(AND(ISNUMBER($D236),ISNUMBER($E236)),IF($E236&gt;$D236,1,0),0)+IF(AND(ISNUMBER($D236),ISNUMBER($F236)),IF($D236&gt;$F236,1,0),0)+IF(AND(ISNUMBER($E236),ISNUMBER($F236)),IF($E236&gt;$F236,1,0),0)</f>
        <v>0</v>
      </c>
      <c r="X236" s="13" t="s">
        <v>76</v>
      </c>
    </row>
    <row r="237" customFormat="false" ht="15" hidden="false" customHeight="false" outlineLevel="0" collapsed="false">
      <c r="A237" s="10" t="s">
        <v>908</v>
      </c>
      <c r="B237" s="10" t="s">
        <v>909</v>
      </c>
      <c r="C237" s="11" t="s">
        <v>903</v>
      </c>
      <c r="D237" s="12" t="n">
        <v>15.53</v>
      </c>
      <c r="E237" s="12"/>
      <c r="F237" s="12"/>
      <c r="G237" s="10" t="s">
        <v>63</v>
      </c>
      <c r="H237" s="10" t="s">
        <v>83</v>
      </c>
      <c r="I237" s="11" t="s">
        <v>910</v>
      </c>
      <c r="J237" s="10" t="s">
        <v>911</v>
      </c>
      <c r="K237" s="10" t="s">
        <v>912</v>
      </c>
      <c r="L237" s="10" t="s">
        <v>68</v>
      </c>
      <c r="M237" s="10" t="s">
        <v>416</v>
      </c>
      <c r="N237" s="11" t="s">
        <v>709</v>
      </c>
      <c r="O237" s="11" t="s">
        <v>896</v>
      </c>
      <c r="P237" s="10" t="s">
        <v>637</v>
      </c>
      <c r="Q237" s="11" t="s">
        <v>72</v>
      </c>
      <c r="R237" s="11" t="s">
        <v>709</v>
      </c>
      <c r="S237" s="11" t="s">
        <v>710</v>
      </c>
      <c r="T237" s="10" t="s">
        <v>913</v>
      </c>
      <c r="U237" s="10" t="n">
        <f aca="false">IF(AND($D237="",$E237="",$F237=""),1,0)</f>
        <v>0</v>
      </c>
      <c r="V237" s="10" t="n">
        <f aca="false">IF(OR($I237="",$I237="—"),1,0)</f>
        <v>0</v>
      </c>
      <c r="W237" s="10" t="n">
        <f aca="false">IF(AND(ISNUMBER($D237),ISNUMBER($E237)),IF($E237&gt;$D237,1,0),0)+IF(AND(ISNUMBER($D237),ISNUMBER($F237)),IF($D237&gt;$F237,1,0),0)+IF(AND(ISNUMBER($E237),ISNUMBER($F237)),IF($E237&gt;$F237,1,0),0)</f>
        <v>0</v>
      </c>
      <c r="X237" s="13" t="s">
        <v>76</v>
      </c>
    </row>
    <row r="238" customFormat="false" ht="15" hidden="false" customHeight="false" outlineLevel="0" collapsed="false">
      <c r="A238" s="10" t="s">
        <v>914</v>
      </c>
      <c r="B238" s="10" t="s">
        <v>915</v>
      </c>
      <c r="C238" s="11" t="s">
        <v>916</v>
      </c>
      <c r="D238" s="12" t="n">
        <v>70</v>
      </c>
      <c r="E238" s="12" t="n">
        <v>70</v>
      </c>
      <c r="F238" s="12"/>
      <c r="G238" s="10" t="s">
        <v>917</v>
      </c>
      <c r="H238" s="10" t="s">
        <v>92</v>
      </c>
      <c r="I238" s="11" t="s">
        <v>910</v>
      </c>
      <c r="J238" s="10" t="s">
        <v>911</v>
      </c>
      <c r="K238" s="10" t="s">
        <v>912</v>
      </c>
      <c r="L238" s="10" t="s">
        <v>68</v>
      </c>
      <c r="M238" s="10" t="s">
        <v>416</v>
      </c>
      <c r="N238" s="11" t="s">
        <v>709</v>
      </c>
      <c r="O238" s="11" t="s">
        <v>896</v>
      </c>
      <c r="P238" s="10" t="s">
        <v>637</v>
      </c>
      <c r="Q238" s="11" t="s">
        <v>72</v>
      </c>
      <c r="R238" s="11" t="s">
        <v>709</v>
      </c>
      <c r="S238" s="11" t="s">
        <v>710</v>
      </c>
      <c r="T238" s="11" t="s">
        <v>918</v>
      </c>
      <c r="U238" s="10" t="n">
        <f aca="false">IF(AND($D238="",$E238="",$F238=""),1,0)</f>
        <v>0</v>
      </c>
      <c r="V238" s="10" t="n">
        <f aca="false">IF(OR($I238="",$I238="—"),1,0)</f>
        <v>0</v>
      </c>
      <c r="W238" s="10" t="n">
        <f aca="false">IF(AND(ISNUMBER($D238),ISNUMBER($E238)),IF($E238&gt;$D238,1,0),0)+IF(AND(ISNUMBER($D238),ISNUMBER($F238)),IF($D238&gt;$F238,1,0),0)+IF(AND(ISNUMBER($E238),ISNUMBER($F238)),IF($E238&gt;$F238,1,0),0)</f>
        <v>0</v>
      </c>
      <c r="X238" s="13" t="s">
        <v>76</v>
      </c>
    </row>
    <row r="239" customFormat="false" ht="15" hidden="false" customHeight="false" outlineLevel="0" collapsed="false">
      <c r="A239" s="10" t="s">
        <v>919</v>
      </c>
      <c r="B239" s="10" t="s">
        <v>920</v>
      </c>
      <c r="C239" s="11" t="s">
        <v>921</v>
      </c>
      <c r="D239" s="12" t="n">
        <v>0.42</v>
      </c>
      <c r="E239" s="12"/>
      <c r="F239" s="12"/>
      <c r="G239" s="10" t="s">
        <v>63</v>
      </c>
      <c r="H239" s="10" t="s">
        <v>64</v>
      </c>
      <c r="I239" s="10" t="s">
        <v>895</v>
      </c>
      <c r="J239" s="10" t="s">
        <v>805</v>
      </c>
      <c r="K239" s="10" t="s">
        <v>806</v>
      </c>
      <c r="L239" s="10" t="s">
        <v>68</v>
      </c>
      <c r="M239" s="10" t="s">
        <v>416</v>
      </c>
      <c r="N239" s="11" t="s">
        <v>709</v>
      </c>
      <c r="O239" s="11" t="s">
        <v>896</v>
      </c>
      <c r="P239" s="10" t="s">
        <v>637</v>
      </c>
      <c r="Q239" s="11" t="s">
        <v>72</v>
      </c>
      <c r="R239" s="11" t="s">
        <v>709</v>
      </c>
      <c r="S239" s="11" t="s">
        <v>710</v>
      </c>
      <c r="T239" s="11" t="s">
        <v>922</v>
      </c>
      <c r="U239" s="10" t="n">
        <f aca="false">IF(AND($D239="",$E239="",$F239=""),1,0)</f>
        <v>0</v>
      </c>
      <c r="V239" s="10" t="n">
        <f aca="false">IF(OR($I239="",$I239="—"),1,0)</f>
        <v>0</v>
      </c>
      <c r="W239" s="10" t="n">
        <f aca="false">IF(AND(ISNUMBER($D239),ISNUMBER($E239)),IF($E239&gt;$D239,1,0),0)+IF(AND(ISNUMBER($D239),ISNUMBER($F239)),IF($D239&gt;$F239,1,0),0)+IF(AND(ISNUMBER($E239),ISNUMBER($F239)),IF($E239&gt;$F239,1,0),0)</f>
        <v>0</v>
      </c>
      <c r="X239" s="13" t="s">
        <v>76</v>
      </c>
    </row>
    <row r="240" customFormat="false" ht="15" hidden="false" customHeight="false" outlineLevel="0" collapsed="false">
      <c r="A240" s="10" t="s">
        <v>923</v>
      </c>
      <c r="B240" s="10" t="s">
        <v>924</v>
      </c>
      <c r="C240" s="11" t="s">
        <v>921</v>
      </c>
      <c r="D240" s="12" t="n">
        <v>1.37</v>
      </c>
      <c r="E240" s="12"/>
      <c r="F240" s="12"/>
      <c r="G240" s="10" t="s">
        <v>63</v>
      </c>
      <c r="H240" s="10" t="s">
        <v>79</v>
      </c>
      <c r="I240" s="10" t="s">
        <v>895</v>
      </c>
      <c r="J240" s="10" t="s">
        <v>805</v>
      </c>
      <c r="K240" s="10" t="s">
        <v>806</v>
      </c>
      <c r="L240" s="10" t="s">
        <v>68</v>
      </c>
      <c r="M240" s="10" t="s">
        <v>416</v>
      </c>
      <c r="N240" s="11" t="s">
        <v>709</v>
      </c>
      <c r="O240" s="11" t="s">
        <v>896</v>
      </c>
      <c r="P240" s="10" t="s">
        <v>637</v>
      </c>
      <c r="Q240" s="11" t="s">
        <v>72</v>
      </c>
      <c r="R240" s="11" t="s">
        <v>709</v>
      </c>
      <c r="S240" s="11" t="s">
        <v>710</v>
      </c>
      <c r="T240" s="11" t="s">
        <v>922</v>
      </c>
      <c r="U240" s="10" t="n">
        <f aca="false">IF(AND($D240="",$E240="",$F240=""),1,0)</f>
        <v>0</v>
      </c>
      <c r="V240" s="10" t="n">
        <f aca="false">IF(OR($I240="",$I240="—"),1,0)</f>
        <v>0</v>
      </c>
      <c r="W240" s="10" t="n">
        <f aca="false">IF(AND(ISNUMBER($D240),ISNUMBER($E240)),IF($E240&gt;$D240,1,0),0)+IF(AND(ISNUMBER($D240),ISNUMBER($F240)),IF($D240&gt;$F240,1,0),0)+IF(AND(ISNUMBER($E240),ISNUMBER($F240)),IF($E240&gt;$F240,1,0),0)</f>
        <v>0</v>
      </c>
      <c r="X240" s="13" t="s">
        <v>76</v>
      </c>
    </row>
    <row r="241" customFormat="false" ht="15" hidden="false" customHeight="false" outlineLevel="0" collapsed="false">
      <c r="A241" s="10" t="s">
        <v>925</v>
      </c>
      <c r="B241" s="10" t="s">
        <v>926</v>
      </c>
      <c r="C241" s="11" t="s">
        <v>921</v>
      </c>
      <c r="D241" s="12" t="n">
        <v>3.24</v>
      </c>
      <c r="E241" s="12"/>
      <c r="F241" s="12"/>
      <c r="G241" s="10" t="s">
        <v>63</v>
      </c>
      <c r="H241" s="10" t="s">
        <v>83</v>
      </c>
      <c r="I241" s="10" t="s">
        <v>895</v>
      </c>
      <c r="J241" s="10" t="s">
        <v>805</v>
      </c>
      <c r="K241" s="10" t="s">
        <v>806</v>
      </c>
      <c r="L241" s="10" t="s">
        <v>68</v>
      </c>
      <c r="M241" s="10" t="s">
        <v>416</v>
      </c>
      <c r="N241" s="11" t="s">
        <v>709</v>
      </c>
      <c r="O241" s="11" t="s">
        <v>896</v>
      </c>
      <c r="P241" s="10" t="s">
        <v>637</v>
      </c>
      <c r="Q241" s="11" t="s">
        <v>72</v>
      </c>
      <c r="R241" s="11" t="s">
        <v>709</v>
      </c>
      <c r="S241" s="11" t="s">
        <v>710</v>
      </c>
      <c r="T241" s="11" t="s">
        <v>922</v>
      </c>
      <c r="U241" s="10" t="n">
        <f aca="false">IF(AND($D241="",$E241="",$F241=""),1,0)</f>
        <v>0</v>
      </c>
      <c r="V241" s="10" t="n">
        <f aca="false">IF(OR($I241="",$I241="—"),1,0)</f>
        <v>0</v>
      </c>
      <c r="W241" s="10" t="n">
        <f aca="false">IF(AND(ISNUMBER($D241),ISNUMBER($E241)),IF($E241&gt;$D241,1,0),0)+IF(AND(ISNUMBER($D241),ISNUMBER($F241)),IF($D241&gt;$F241,1,0),0)+IF(AND(ISNUMBER($E241),ISNUMBER($F241)),IF($E241&gt;$F241,1,0),0)</f>
        <v>0</v>
      </c>
      <c r="X241" s="13" t="s">
        <v>76</v>
      </c>
    </row>
    <row r="242" customFormat="false" ht="15" hidden="false" customHeight="false" outlineLevel="0" collapsed="false">
      <c r="A242" s="10" t="s">
        <v>927</v>
      </c>
      <c r="B242" s="10" t="s">
        <v>928</v>
      </c>
      <c r="C242" s="11" t="s">
        <v>921</v>
      </c>
      <c r="D242" s="12" t="n">
        <v>2.66</v>
      </c>
      <c r="E242" s="12"/>
      <c r="F242" s="12"/>
      <c r="G242" s="10" t="s">
        <v>63</v>
      </c>
      <c r="H242" s="10" t="s">
        <v>92</v>
      </c>
      <c r="I242" s="10" t="s">
        <v>895</v>
      </c>
      <c r="J242" s="10" t="s">
        <v>805</v>
      </c>
      <c r="K242" s="10" t="s">
        <v>806</v>
      </c>
      <c r="L242" s="10" t="s">
        <v>68</v>
      </c>
      <c r="M242" s="10" t="s">
        <v>416</v>
      </c>
      <c r="N242" s="11" t="s">
        <v>709</v>
      </c>
      <c r="O242" s="11" t="s">
        <v>896</v>
      </c>
      <c r="P242" s="10" t="s">
        <v>637</v>
      </c>
      <c r="Q242" s="11" t="s">
        <v>72</v>
      </c>
      <c r="R242" s="11" t="s">
        <v>709</v>
      </c>
      <c r="S242" s="11" t="s">
        <v>710</v>
      </c>
      <c r="T242" s="11" t="s">
        <v>922</v>
      </c>
      <c r="U242" s="10" t="n">
        <f aca="false">IF(AND($D242="",$E242="",$F242=""),1,0)</f>
        <v>0</v>
      </c>
      <c r="V242" s="10" t="n">
        <f aca="false">IF(OR($I242="",$I242="—"),1,0)</f>
        <v>0</v>
      </c>
      <c r="W242" s="10" t="n">
        <f aca="false">IF(AND(ISNUMBER($D242),ISNUMBER($E242)),IF($E242&gt;$D242,1,0),0)+IF(AND(ISNUMBER($D242),ISNUMBER($F242)),IF($D242&gt;$F242,1,0),0)+IF(AND(ISNUMBER($E242),ISNUMBER($F242)),IF($E242&gt;$F242,1,0),0)</f>
        <v>0</v>
      </c>
      <c r="X242" s="13" t="s">
        <v>76</v>
      </c>
    </row>
    <row r="243" customFormat="false" ht="15" hidden="false" customHeight="false" outlineLevel="0" collapsed="false">
      <c r="A243" s="10" t="s">
        <v>929</v>
      </c>
      <c r="B243" s="10" t="s">
        <v>930</v>
      </c>
      <c r="C243" s="11" t="s">
        <v>931</v>
      </c>
      <c r="D243" s="12" t="n">
        <v>14.8</v>
      </c>
      <c r="E243" s="12"/>
      <c r="F243" s="12"/>
      <c r="G243" s="10" t="s">
        <v>401</v>
      </c>
      <c r="H243" s="10" t="s">
        <v>83</v>
      </c>
      <c r="I243" s="11" t="s">
        <v>932</v>
      </c>
      <c r="J243" s="10" t="s">
        <v>933</v>
      </c>
      <c r="K243" s="10" t="s">
        <v>912</v>
      </c>
      <c r="L243" s="10" t="s">
        <v>68</v>
      </c>
      <c r="M243" s="10" t="s">
        <v>416</v>
      </c>
      <c r="N243" s="11" t="s">
        <v>709</v>
      </c>
      <c r="O243" s="11" t="s">
        <v>896</v>
      </c>
      <c r="P243" s="10" t="s">
        <v>637</v>
      </c>
      <c r="Q243" s="11" t="s">
        <v>72</v>
      </c>
      <c r="R243" s="11" t="s">
        <v>709</v>
      </c>
      <c r="S243" s="11" t="s">
        <v>710</v>
      </c>
      <c r="T243" s="11" t="s">
        <v>934</v>
      </c>
      <c r="U243" s="10" t="n">
        <f aca="false">IF(AND($D243="",$E243="",$F243=""),1,0)</f>
        <v>0</v>
      </c>
      <c r="V243" s="10" t="n">
        <f aca="false">IF(OR($I243="",$I243="—"),1,0)</f>
        <v>0</v>
      </c>
      <c r="W243" s="10" t="n">
        <f aca="false">IF(AND(ISNUMBER($D243),ISNUMBER($E243)),IF($E243&gt;$D243,1,0),0)+IF(AND(ISNUMBER($D243),ISNUMBER($F243)),IF($D243&gt;$F243,1,0),0)+IF(AND(ISNUMBER($E243),ISNUMBER($F243)),IF($E243&gt;$F243,1,0),0)</f>
        <v>0</v>
      </c>
      <c r="X243" s="13" t="s">
        <v>76</v>
      </c>
    </row>
    <row r="244" customFormat="false" ht="15" hidden="false" customHeight="false" outlineLevel="0" collapsed="false">
      <c r="A244" s="10" t="s">
        <v>935</v>
      </c>
      <c r="B244" s="10" t="s">
        <v>936</v>
      </c>
      <c r="C244" s="11" t="s">
        <v>937</v>
      </c>
      <c r="D244" s="12" t="n">
        <v>74.4</v>
      </c>
      <c r="E244" s="12"/>
      <c r="F244" s="12"/>
      <c r="G244" s="10" t="s">
        <v>401</v>
      </c>
      <c r="H244" s="10" t="s">
        <v>440</v>
      </c>
      <c r="I244" s="11" t="s">
        <v>932</v>
      </c>
      <c r="J244" s="10" t="s">
        <v>933</v>
      </c>
      <c r="K244" s="10" t="s">
        <v>912</v>
      </c>
      <c r="L244" s="10" t="s">
        <v>68</v>
      </c>
      <c r="M244" s="10" t="s">
        <v>416</v>
      </c>
      <c r="N244" s="11" t="s">
        <v>709</v>
      </c>
      <c r="O244" s="11" t="s">
        <v>896</v>
      </c>
      <c r="P244" s="10" t="s">
        <v>637</v>
      </c>
      <c r="Q244" s="11" t="s">
        <v>72</v>
      </c>
      <c r="R244" s="11" t="s">
        <v>709</v>
      </c>
      <c r="S244" s="11" t="s">
        <v>710</v>
      </c>
      <c r="T244" s="11" t="s">
        <v>938</v>
      </c>
      <c r="U244" s="10" t="n">
        <f aca="false">IF(AND($D244="",$E244="",$F244=""),1,0)</f>
        <v>0</v>
      </c>
      <c r="V244" s="10" t="n">
        <f aca="false">IF(OR($I244="",$I244="—"),1,0)</f>
        <v>0</v>
      </c>
      <c r="W244" s="10" t="n">
        <f aca="false">IF(AND(ISNUMBER($D244),ISNUMBER($E244)),IF($E244&gt;$D244,1,0),0)+IF(AND(ISNUMBER($D244),ISNUMBER($F244)),IF($D244&gt;$F244,1,0),0)+IF(AND(ISNUMBER($E244),ISNUMBER($F244)),IF($E244&gt;$F244,1,0),0)</f>
        <v>0</v>
      </c>
      <c r="X244" s="13" t="s">
        <v>76</v>
      </c>
    </row>
    <row r="245" customFormat="false" ht="15" hidden="false" customHeight="false" outlineLevel="0" collapsed="false">
      <c r="A245" s="10" t="s">
        <v>939</v>
      </c>
      <c r="B245" s="10" t="s">
        <v>940</v>
      </c>
      <c r="C245" s="10" t="s">
        <v>941</v>
      </c>
      <c r="D245" s="12" t="n">
        <v>1.4</v>
      </c>
      <c r="E245" s="12"/>
      <c r="F245" s="12"/>
      <c r="G245" s="10" t="s">
        <v>942</v>
      </c>
      <c r="H245" s="10" t="s">
        <v>943</v>
      </c>
      <c r="I245" s="10" t="s">
        <v>944</v>
      </c>
      <c r="J245" s="10" t="s">
        <v>945</v>
      </c>
      <c r="K245" s="10" t="s">
        <v>68</v>
      </c>
      <c r="L245" s="10" t="s">
        <v>68</v>
      </c>
      <c r="M245" s="10" t="s">
        <v>69</v>
      </c>
      <c r="N245" s="10"/>
      <c r="O245" s="10"/>
      <c r="P245" s="10" t="s">
        <v>71</v>
      </c>
      <c r="Q245" s="11" t="s">
        <v>72</v>
      </c>
      <c r="R245" s="11" t="s">
        <v>946</v>
      </c>
      <c r="S245" s="11" t="s">
        <v>74</v>
      </c>
      <c r="T245" s="11" t="s">
        <v>947</v>
      </c>
      <c r="U245" s="10" t="n">
        <f aca="false">IF(AND($D245="",$E245="",$F245=""),1,0)</f>
        <v>0</v>
      </c>
      <c r="V245" s="10" t="n">
        <f aca="false">IF(OR($I245="",$I245="—"),1,0)</f>
        <v>0</v>
      </c>
      <c r="W245" s="10" t="n">
        <f aca="false">IF(AND(ISNUMBER($D245),ISNUMBER($E245)),IF($E245&gt;$D245,1,0),0)+IF(AND(ISNUMBER($D245),ISNUMBER($F245)),IF($D245&gt;$F245,1,0),0)+IF(AND(ISNUMBER($E245),ISNUMBER($F245)),IF($E245&gt;$F245,1,0),0)</f>
        <v>0</v>
      </c>
      <c r="X245" s="13" t="s">
        <v>76</v>
      </c>
    </row>
    <row r="246" customFormat="false" ht="15" hidden="false" customHeight="false" outlineLevel="0" collapsed="false">
      <c r="A246" s="10" t="s">
        <v>948</v>
      </c>
      <c r="B246" s="10" t="s">
        <v>949</v>
      </c>
      <c r="C246" s="10" t="s">
        <v>950</v>
      </c>
      <c r="D246" s="12" t="n">
        <v>0.26</v>
      </c>
      <c r="E246" s="12"/>
      <c r="F246" s="12"/>
      <c r="G246" s="10" t="s">
        <v>942</v>
      </c>
      <c r="H246" s="10" t="s">
        <v>943</v>
      </c>
      <c r="I246" s="10" t="s">
        <v>944</v>
      </c>
      <c r="J246" s="10" t="s">
        <v>945</v>
      </c>
      <c r="K246" s="10" t="s">
        <v>68</v>
      </c>
      <c r="L246" s="10" t="s">
        <v>68</v>
      </c>
      <c r="M246" s="10" t="s">
        <v>69</v>
      </c>
      <c r="N246" s="10"/>
      <c r="O246" s="10"/>
      <c r="P246" s="10" t="s">
        <v>71</v>
      </c>
      <c r="Q246" s="11" t="s">
        <v>72</v>
      </c>
      <c r="R246" s="11" t="s">
        <v>946</v>
      </c>
      <c r="S246" s="11" t="s">
        <v>74</v>
      </c>
      <c r="T246" s="11" t="s">
        <v>947</v>
      </c>
      <c r="U246" s="10" t="n">
        <f aca="false">IF(AND($D246="",$E246="",$F246=""),1,0)</f>
        <v>0</v>
      </c>
      <c r="V246" s="10" t="n">
        <f aca="false">IF(OR($I246="",$I246="—"),1,0)</f>
        <v>0</v>
      </c>
      <c r="W246" s="10" t="n">
        <f aca="false">IF(AND(ISNUMBER($D246),ISNUMBER($E246)),IF($E246&gt;$D246,1,0),0)+IF(AND(ISNUMBER($D246),ISNUMBER($F246)),IF($D246&gt;$F246,1,0),0)+IF(AND(ISNUMBER($E246),ISNUMBER($F246)),IF($E246&gt;$F246,1,0),0)</f>
        <v>0</v>
      </c>
      <c r="X246" s="13" t="s">
        <v>76</v>
      </c>
    </row>
    <row r="247" customFormat="false" ht="15" hidden="false" customHeight="false" outlineLevel="0" collapsed="false">
      <c r="A247" s="10" t="s">
        <v>951</v>
      </c>
      <c r="B247" s="10" t="s">
        <v>952</v>
      </c>
      <c r="C247" s="10" t="s">
        <v>953</v>
      </c>
      <c r="D247" s="12" t="n">
        <v>4.4</v>
      </c>
      <c r="E247" s="12"/>
      <c r="F247" s="12"/>
      <c r="G247" s="10" t="s">
        <v>942</v>
      </c>
      <c r="H247" s="10" t="s">
        <v>943</v>
      </c>
      <c r="I247" s="10" t="s">
        <v>944</v>
      </c>
      <c r="J247" s="10" t="s">
        <v>945</v>
      </c>
      <c r="K247" s="10" t="s">
        <v>68</v>
      </c>
      <c r="L247" s="10" t="s">
        <v>68</v>
      </c>
      <c r="M247" s="10" t="s">
        <v>69</v>
      </c>
      <c r="N247" s="10"/>
      <c r="O247" s="10"/>
      <c r="P247" s="10" t="s">
        <v>71</v>
      </c>
      <c r="Q247" s="11" t="s">
        <v>72</v>
      </c>
      <c r="R247" s="11" t="s">
        <v>946</v>
      </c>
      <c r="S247" s="11" t="s">
        <v>74</v>
      </c>
      <c r="T247" s="11" t="s">
        <v>947</v>
      </c>
      <c r="U247" s="10" t="n">
        <f aca="false">IF(AND($D247="",$E247="",$F247=""),1,0)</f>
        <v>0</v>
      </c>
      <c r="V247" s="10" t="n">
        <f aca="false">IF(OR($I247="",$I247="—"),1,0)</f>
        <v>0</v>
      </c>
      <c r="W247" s="10" t="n">
        <f aca="false">IF(AND(ISNUMBER($D247),ISNUMBER($E247)),IF($E247&gt;$D247,1,0),0)+IF(AND(ISNUMBER($D247),ISNUMBER($F247)),IF($D247&gt;$F247,1,0),0)+IF(AND(ISNUMBER($E247),ISNUMBER($F247)),IF($E247&gt;$F247,1,0),0)</f>
        <v>0</v>
      </c>
      <c r="X247" s="13" t="s">
        <v>76</v>
      </c>
    </row>
    <row r="248" customFormat="false" ht="15" hidden="false" customHeight="false" outlineLevel="0" collapsed="false">
      <c r="A248" s="10" t="s">
        <v>954</v>
      </c>
      <c r="B248" s="10" t="s">
        <v>955</v>
      </c>
      <c r="C248" s="10" t="s">
        <v>956</v>
      </c>
      <c r="D248" s="12" t="n">
        <v>1.4</v>
      </c>
      <c r="E248" s="12"/>
      <c r="F248" s="12"/>
      <c r="G248" s="10" t="s">
        <v>942</v>
      </c>
      <c r="H248" s="10" t="s">
        <v>943</v>
      </c>
      <c r="I248" s="10" t="s">
        <v>944</v>
      </c>
      <c r="J248" s="10" t="s">
        <v>945</v>
      </c>
      <c r="K248" s="10" t="s">
        <v>68</v>
      </c>
      <c r="L248" s="10" t="s">
        <v>68</v>
      </c>
      <c r="M248" s="10" t="s">
        <v>69</v>
      </c>
      <c r="N248" s="10"/>
      <c r="O248" s="10"/>
      <c r="P248" s="10" t="s">
        <v>71</v>
      </c>
      <c r="Q248" s="11" t="s">
        <v>72</v>
      </c>
      <c r="R248" s="11" t="s">
        <v>946</v>
      </c>
      <c r="S248" s="11" t="s">
        <v>74</v>
      </c>
      <c r="T248" s="11" t="s">
        <v>957</v>
      </c>
      <c r="U248" s="10" t="n">
        <f aca="false">IF(AND($D248="",$E248="",$F248=""),1,0)</f>
        <v>0</v>
      </c>
      <c r="V248" s="10" t="n">
        <f aca="false">IF(OR($I248="",$I248="—"),1,0)</f>
        <v>0</v>
      </c>
      <c r="W248" s="10" t="n">
        <f aca="false">IF(AND(ISNUMBER($D248),ISNUMBER($E248)),IF($E248&gt;$D248,1,0),0)+IF(AND(ISNUMBER($D248),ISNUMBER($F248)),IF($D248&gt;$F248,1,0),0)+IF(AND(ISNUMBER($E248),ISNUMBER($F248)),IF($E248&gt;$F248,1,0),0)</f>
        <v>0</v>
      </c>
      <c r="X248" s="13" t="s">
        <v>76</v>
      </c>
    </row>
    <row r="249" customFormat="false" ht="15" hidden="false" customHeight="false" outlineLevel="0" collapsed="false">
      <c r="A249" s="10" t="s">
        <v>958</v>
      </c>
      <c r="B249" s="10" t="s">
        <v>959</v>
      </c>
      <c r="C249" s="10" t="s">
        <v>960</v>
      </c>
      <c r="D249" s="12" t="n">
        <v>0.26</v>
      </c>
      <c r="E249" s="12"/>
      <c r="F249" s="12"/>
      <c r="G249" s="10" t="s">
        <v>942</v>
      </c>
      <c r="H249" s="10" t="s">
        <v>943</v>
      </c>
      <c r="I249" s="10" t="s">
        <v>944</v>
      </c>
      <c r="J249" s="10" t="s">
        <v>945</v>
      </c>
      <c r="K249" s="10" t="s">
        <v>68</v>
      </c>
      <c r="L249" s="10" t="s">
        <v>68</v>
      </c>
      <c r="M249" s="10" t="s">
        <v>69</v>
      </c>
      <c r="N249" s="10"/>
      <c r="O249" s="10"/>
      <c r="P249" s="10" t="s">
        <v>71</v>
      </c>
      <c r="Q249" s="11" t="s">
        <v>72</v>
      </c>
      <c r="R249" s="11" t="s">
        <v>946</v>
      </c>
      <c r="S249" s="11" t="s">
        <v>74</v>
      </c>
      <c r="T249" s="11" t="s">
        <v>957</v>
      </c>
      <c r="U249" s="10" t="n">
        <f aca="false">IF(AND($D249="",$E249="",$F249=""),1,0)</f>
        <v>0</v>
      </c>
      <c r="V249" s="10" t="n">
        <f aca="false">IF(OR($I249="",$I249="—"),1,0)</f>
        <v>0</v>
      </c>
      <c r="W249" s="10" t="n">
        <f aca="false">IF(AND(ISNUMBER($D249),ISNUMBER($E249)),IF($E249&gt;$D249,1,0),0)+IF(AND(ISNUMBER($D249),ISNUMBER($F249)),IF($D249&gt;$F249,1,0),0)+IF(AND(ISNUMBER($E249),ISNUMBER($F249)),IF($E249&gt;$F249,1,0),0)</f>
        <v>0</v>
      </c>
      <c r="X249" s="13" t="s">
        <v>76</v>
      </c>
    </row>
    <row r="250" customFormat="false" ht="15" hidden="false" customHeight="false" outlineLevel="0" collapsed="false">
      <c r="A250" s="10" t="s">
        <v>961</v>
      </c>
      <c r="B250" s="10" t="s">
        <v>962</v>
      </c>
      <c r="C250" s="10" t="s">
        <v>963</v>
      </c>
      <c r="D250" s="12" t="n">
        <v>4.4</v>
      </c>
      <c r="E250" s="12"/>
      <c r="F250" s="12"/>
      <c r="G250" s="10" t="s">
        <v>942</v>
      </c>
      <c r="H250" s="10" t="s">
        <v>943</v>
      </c>
      <c r="I250" s="10" t="s">
        <v>944</v>
      </c>
      <c r="J250" s="10" t="s">
        <v>945</v>
      </c>
      <c r="K250" s="10" t="s">
        <v>68</v>
      </c>
      <c r="L250" s="10" t="s">
        <v>68</v>
      </c>
      <c r="M250" s="10" t="s">
        <v>69</v>
      </c>
      <c r="N250" s="10"/>
      <c r="O250" s="10"/>
      <c r="P250" s="10" t="s">
        <v>71</v>
      </c>
      <c r="Q250" s="11" t="s">
        <v>72</v>
      </c>
      <c r="R250" s="11" t="s">
        <v>946</v>
      </c>
      <c r="S250" s="11" t="s">
        <v>74</v>
      </c>
      <c r="T250" s="11" t="s">
        <v>957</v>
      </c>
      <c r="U250" s="10" t="n">
        <f aca="false">IF(AND($D250="",$E250="",$F250=""),1,0)</f>
        <v>0</v>
      </c>
      <c r="V250" s="10" t="n">
        <f aca="false">IF(OR($I250="",$I250="—"),1,0)</f>
        <v>0</v>
      </c>
      <c r="W250" s="10" t="n">
        <f aca="false">IF(AND(ISNUMBER($D250),ISNUMBER($E250)),IF($E250&gt;$D250,1,0),0)+IF(AND(ISNUMBER($D250),ISNUMBER($F250)),IF($D250&gt;$F250,1,0),0)+IF(AND(ISNUMBER($E250),ISNUMBER($F250)),IF($E250&gt;$F250,1,0),0)</f>
        <v>0</v>
      </c>
      <c r="X250" s="13" t="s">
        <v>76</v>
      </c>
    </row>
    <row r="251" customFormat="false" ht="15" hidden="false" customHeight="false" outlineLevel="0" collapsed="false">
      <c r="A251" s="10" t="s">
        <v>964</v>
      </c>
      <c r="B251" s="10" t="s">
        <v>965</v>
      </c>
      <c r="C251" s="10" t="s">
        <v>966</v>
      </c>
      <c r="D251" s="12" t="n">
        <v>1.4</v>
      </c>
      <c r="E251" s="12"/>
      <c r="F251" s="12"/>
      <c r="G251" s="10" t="s">
        <v>942</v>
      </c>
      <c r="H251" s="10" t="s">
        <v>943</v>
      </c>
      <c r="I251" s="10" t="s">
        <v>944</v>
      </c>
      <c r="J251" s="10" t="s">
        <v>945</v>
      </c>
      <c r="K251" s="10" t="s">
        <v>68</v>
      </c>
      <c r="L251" s="10" t="s">
        <v>68</v>
      </c>
      <c r="M251" s="10" t="s">
        <v>69</v>
      </c>
      <c r="N251" s="10"/>
      <c r="O251" s="10"/>
      <c r="P251" s="10" t="s">
        <v>71</v>
      </c>
      <c r="Q251" s="11" t="s">
        <v>72</v>
      </c>
      <c r="R251" s="11" t="s">
        <v>946</v>
      </c>
      <c r="S251" s="11" t="s">
        <v>74</v>
      </c>
      <c r="T251" s="11" t="s">
        <v>967</v>
      </c>
      <c r="U251" s="10" t="n">
        <f aca="false">IF(AND($D251="",$E251="",$F251=""),1,0)</f>
        <v>0</v>
      </c>
      <c r="V251" s="10" t="n">
        <f aca="false">IF(OR($I251="",$I251="—"),1,0)</f>
        <v>0</v>
      </c>
      <c r="W251" s="10" t="n">
        <f aca="false">IF(AND(ISNUMBER($D251),ISNUMBER($E251)),IF($E251&gt;$D251,1,0),0)+IF(AND(ISNUMBER($D251),ISNUMBER($F251)),IF($D251&gt;$F251,1,0),0)+IF(AND(ISNUMBER($E251),ISNUMBER($F251)),IF($E251&gt;$F251,1,0),0)</f>
        <v>0</v>
      </c>
      <c r="X251" s="13" t="s">
        <v>76</v>
      </c>
    </row>
    <row r="252" customFormat="false" ht="15" hidden="false" customHeight="false" outlineLevel="0" collapsed="false">
      <c r="A252" s="10" t="s">
        <v>968</v>
      </c>
      <c r="B252" s="10" t="s">
        <v>969</v>
      </c>
      <c r="C252" s="10" t="s">
        <v>970</v>
      </c>
      <c r="D252" s="12" t="n">
        <v>0.26</v>
      </c>
      <c r="E252" s="12"/>
      <c r="F252" s="12"/>
      <c r="G252" s="10" t="s">
        <v>942</v>
      </c>
      <c r="H252" s="10" t="s">
        <v>943</v>
      </c>
      <c r="I252" s="10" t="s">
        <v>944</v>
      </c>
      <c r="J252" s="10" t="s">
        <v>945</v>
      </c>
      <c r="K252" s="10" t="s">
        <v>68</v>
      </c>
      <c r="L252" s="10" t="s">
        <v>68</v>
      </c>
      <c r="M252" s="10" t="s">
        <v>69</v>
      </c>
      <c r="N252" s="10"/>
      <c r="O252" s="10"/>
      <c r="P252" s="10" t="s">
        <v>71</v>
      </c>
      <c r="Q252" s="11" t="s">
        <v>72</v>
      </c>
      <c r="R252" s="11" t="s">
        <v>946</v>
      </c>
      <c r="S252" s="11" t="s">
        <v>74</v>
      </c>
      <c r="T252" s="11" t="s">
        <v>967</v>
      </c>
      <c r="U252" s="10" t="n">
        <f aca="false">IF(AND($D252="",$E252="",$F252=""),1,0)</f>
        <v>0</v>
      </c>
      <c r="V252" s="10" t="n">
        <f aca="false">IF(OR($I252="",$I252="—"),1,0)</f>
        <v>0</v>
      </c>
      <c r="W252" s="10" t="n">
        <f aca="false">IF(AND(ISNUMBER($D252),ISNUMBER($E252)),IF($E252&gt;$D252,1,0),0)+IF(AND(ISNUMBER($D252),ISNUMBER($F252)),IF($D252&gt;$F252,1,0),0)+IF(AND(ISNUMBER($E252),ISNUMBER($F252)),IF($E252&gt;$F252,1,0),0)</f>
        <v>0</v>
      </c>
      <c r="X252" s="13" t="s">
        <v>76</v>
      </c>
    </row>
    <row r="253" customFormat="false" ht="15" hidden="false" customHeight="false" outlineLevel="0" collapsed="false">
      <c r="A253" s="10" t="s">
        <v>971</v>
      </c>
      <c r="B253" s="10" t="s">
        <v>972</v>
      </c>
      <c r="C253" s="10" t="s">
        <v>973</v>
      </c>
      <c r="D253" s="12" t="n">
        <v>4.4</v>
      </c>
      <c r="E253" s="12"/>
      <c r="F253" s="12"/>
      <c r="G253" s="10" t="s">
        <v>942</v>
      </c>
      <c r="H253" s="10" t="s">
        <v>943</v>
      </c>
      <c r="I253" s="10" t="s">
        <v>944</v>
      </c>
      <c r="J253" s="10" t="s">
        <v>945</v>
      </c>
      <c r="K253" s="10" t="s">
        <v>68</v>
      </c>
      <c r="L253" s="10" t="s">
        <v>68</v>
      </c>
      <c r="M253" s="10" t="s">
        <v>69</v>
      </c>
      <c r="N253" s="10"/>
      <c r="O253" s="10"/>
      <c r="P253" s="10" t="s">
        <v>71</v>
      </c>
      <c r="Q253" s="11" t="s">
        <v>72</v>
      </c>
      <c r="R253" s="11" t="s">
        <v>946</v>
      </c>
      <c r="S253" s="11" t="s">
        <v>74</v>
      </c>
      <c r="T253" s="11" t="s">
        <v>967</v>
      </c>
      <c r="U253" s="10" t="n">
        <f aca="false">IF(AND($D253="",$E253="",$F253=""),1,0)</f>
        <v>0</v>
      </c>
      <c r="V253" s="10" t="n">
        <f aca="false">IF(OR($I253="",$I253="—"),1,0)</f>
        <v>0</v>
      </c>
      <c r="W253" s="10" t="n">
        <f aca="false">IF(AND(ISNUMBER($D253),ISNUMBER($E253)),IF($E253&gt;$D253,1,0),0)+IF(AND(ISNUMBER($D253),ISNUMBER($F253)),IF($D253&gt;$F253,1,0),0)+IF(AND(ISNUMBER($E253),ISNUMBER($F253)),IF($E253&gt;$F253,1,0),0)</f>
        <v>0</v>
      </c>
      <c r="X253" s="13" t="s">
        <v>76</v>
      </c>
    </row>
    <row r="254" customFormat="false" ht="15" hidden="false" customHeight="false" outlineLevel="0" collapsed="false">
      <c r="A254" s="10" t="s">
        <v>974</v>
      </c>
      <c r="B254" s="10" t="s">
        <v>975</v>
      </c>
      <c r="C254" s="10" t="s">
        <v>976</v>
      </c>
      <c r="D254" s="12" t="n">
        <v>1</v>
      </c>
      <c r="E254" s="12"/>
      <c r="F254" s="12"/>
      <c r="G254" s="10" t="s">
        <v>942</v>
      </c>
      <c r="H254" s="10" t="s">
        <v>943</v>
      </c>
      <c r="I254" s="10" t="s">
        <v>944</v>
      </c>
      <c r="J254" s="10" t="s">
        <v>945</v>
      </c>
      <c r="K254" s="10" t="s">
        <v>68</v>
      </c>
      <c r="L254" s="10" t="s">
        <v>68</v>
      </c>
      <c r="M254" s="10" t="s">
        <v>69</v>
      </c>
      <c r="N254" s="10"/>
      <c r="O254" s="10"/>
      <c r="P254" s="10" t="s">
        <v>71</v>
      </c>
      <c r="Q254" s="11" t="s">
        <v>72</v>
      </c>
      <c r="R254" s="11" t="s">
        <v>946</v>
      </c>
      <c r="S254" s="11" t="s">
        <v>74</v>
      </c>
      <c r="T254" s="11" t="s">
        <v>977</v>
      </c>
      <c r="U254" s="10" t="n">
        <f aca="false">IF(AND($D254="",$E254="",$F254=""),1,0)</f>
        <v>0</v>
      </c>
      <c r="V254" s="10" t="n">
        <f aca="false">IF(OR($I254="",$I254="—"),1,0)</f>
        <v>0</v>
      </c>
      <c r="W254" s="10" t="n">
        <f aca="false">IF(AND(ISNUMBER($D254),ISNUMBER($E254)),IF($E254&gt;$D254,1,0),0)+IF(AND(ISNUMBER($D254),ISNUMBER($F254)),IF($D254&gt;$F254,1,0),0)+IF(AND(ISNUMBER($E254),ISNUMBER($F254)),IF($E254&gt;$F254,1,0),0)</f>
        <v>0</v>
      </c>
      <c r="X254" s="13" t="s">
        <v>76</v>
      </c>
    </row>
    <row r="255" customFormat="false" ht="15" hidden="false" customHeight="false" outlineLevel="0" collapsed="false">
      <c r="A255" s="10" t="s">
        <v>978</v>
      </c>
      <c r="B255" s="10" t="s">
        <v>979</v>
      </c>
      <c r="C255" s="10" t="s">
        <v>980</v>
      </c>
      <c r="D255" s="12" t="n">
        <v>0.2</v>
      </c>
      <c r="E255" s="12"/>
      <c r="F255" s="12"/>
      <c r="G255" s="10" t="s">
        <v>942</v>
      </c>
      <c r="H255" s="10" t="s">
        <v>943</v>
      </c>
      <c r="I255" s="10" t="s">
        <v>944</v>
      </c>
      <c r="J255" s="10" t="s">
        <v>945</v>
      </c>
      <c r="K255" s="10" t="s">
        <v>68</v>
      </c>
      <c r="L255" s="10" t="s">
        <v>68</v>
      </c>
      <c r="M255" s="10" t="s">
        <v>69</v>
      </c>
      <c r="N255" s="10"/>
      <c r="O255" s="10"/>
      <c r="P255" s="10" t="s">
        <v>71</v>
      </c>
      <c r="Q255" s="11" t="s">
        <v>72</v>
      </c>
      <c r="R255" s="11" t="s">
        <v>946</v>
      </c>
      <c r="S255" s="11" t="s">
        <v>74</v>
      </c>
      <c r="T255" s="11" t="s">
        <v>977</v>
      </c>
      <c r="U255" s="10" t="n">
        <f aca="false">IF(AND($D255="",$E255="",$F255=""),1,0)</f>
        <v>0</v>
      </c>
      <c r="V255" s="10" t="n">
        <f aca="false">IF(OR($I255="",$I255="—"),1,0)</f>
        <v>0</v>
      </c>
      <c r="W255" s="10" t="n">
        <f aca="false">IF(AND(ISNUMBER($D255),ISNUMBER($E255)),IF($E255&gt;$D255,1,0),0)+IF(AND(ISNUMBER($D255),ISNUMBER($F255)),IF($D255&gt;$F255,1,0),0)+IF(AND(ISNUMBER($E255),ISNUMBER($F255)),IF($E255&gt;$F255,1,0),0)</f>
        <v>0</v>
      </c>
      <c r="X255" s="13" t="s">
        <v>76</v>
      </c>
    </row>
    <row r="256" customFormat="false" ht="15" hidden="false" customHeight="false" outlineLevel="0" collapsed="false">
      <c r="A256" s="10" t="s">
        <v>981</v>
      </c>
      <c r="B256" s="10" t="s">
        <v>982</v>
      </c>
      <c r="C256" s="10" t="s">
        <v>983</v>
      </c>
      <c r="D256" s="12" t="n">
        <v>3.2</v>
      </c>
      <c r="E256" s="12"/>
      <c r="F256" s="12"/>
      <c r="G256" s="10" t="s">
        <v>942</v>
      </c>
      <c r="H256" s="10" t="s">
        <v>943</v>
      </c>
      <c r="I256" s="10" t="s">
        <v>944</v>
      </c>
      <c r="J256" s="10" t="s">
        <v>945</v>
      </c>
      <c r="K256" s="10" t="s">
        <v>68</v>
      </c>
      <c r="L256" s="10" t="s">
        <v>68</v>
      </c>
      <c r="M256" s="10" t="s">
        <v>69</v>
      </c>
      <c r="N256" s="10"/>
      <c r="O256" s="10"/>
      <c r="P256" s="10" t="s">
        <v>71</v>
      </c>
      <c r="Q256" s="11" t="s">
        <v>72</v>
      </c>
      <c r="R256" s="11" t="s">
        <v>946</v>
      </c>
      <c r="S256" s="11" t="s">
        <v>74</v>
      </c>
      <c r="T256" s="11" t="s">
        <v>977</v>
      </c>
      <c r="U256" s="10" t="n">
        <f aca="false">IF(AND($D256="",$E256="",$F256=""),1,0)</f>
        <v>0</v>
      </c>
      <c r="V256" s="10" t="n">
        <f aca="false">IF(OR($I256="",$I256="—"),1,0)</f>
        <v>0</v>
      </c>
      <c r="W256" s="10" t="n">
        <f aca="false">IF(AND(ISNUMBER($D256),ISNUMBER($E256)),IF($E256&gt;$D256,1,0),0)+IF(AND(ISNUMBER($D256),ISNUMBER($F256)),IF($D256&gt;$F256,1,0),0)+IF(AND(ISNUMBER($E256),ISNUMBER($F256)),IF($E256&gt;$F256,1,0),0)</f>
        <v>0</v>
      </c>
      <c r="X256" s="13" t="s">
        <v>76</v>
      </c>
    </row>
    <row r="257" customFormat="false" ht="15" hidden="false" customHeight="false" outlineLevel="0" collapsed="false">
      <c r="A257" s="10" t="s">
        <v>984</v>
      </c>
      <c r="B257" s="10" t="s">
        <v>985</v>
      </c>
      <c r="C257" s="10" t="s">
        <v>986</v>
      </c>
      <c r="D257" s="12" t="n">
        <v>0.6</v>
      </c>
      <c r="E257" s="12"/>
      <c r="F257" s="12"/>
      <c r="G257" s="10" t="s">
        <v>942</v>
      </c>
      <c r="H257" s="10" t="s">
        <v>943</v>
      </c>
      <c r="I257" s="10" t="s">
        <v>944</v>
      </c>
      <c r="J257" s="10" t="s">
        <v>945</v>
      </c>
      <c r="K257" s="10" t="s">
        <v>68</v>
      </c>
      <c r="L257" s="10" t="s">
        <v>68</v>
      </c>
      <c r="M257" s="10" t="s">
        <v>69</v>
      </c>
      <c r="N257" s="10"/>
      <c r="O257" s="10"/>
      <c r="P257" s="10" t="s">
        <v>71</v>
      </c>
      <c r="Q257" s="11" t="s">
        <v>72</v>
      </c>
      <c r="R257" s="11" t="s">
        <v>946</v>
      </c>
      <c r="S257" s="11" t="s">
        <v>74</v>
      </c>
      <c r="T257" s="11" t="s">
        <v>987</v>
      </c>
      <c r="U257" s="10" t="n">
        <f aca="false">IF(AND($D257="",$E257="",$F257=""),1,0)</f>
        <v>0</v>
      </c>
      <c r="V257" s="10" t="n">
        <f aca="false">IF(OR($I257="",$I257="—"),1,0)</f>
        <v>0</v>
      </c>
      <c r="W257" s="10" t="n">
        <f aca="false">IF(AND(ISNUMBER($D257),ISNUMBER($E257)),IF($E257&gt;$D257,1,0),0)+IF(AND(ISNUMBER($D257),ISNUMBER($F257)),IF($D257&gt;$F257,1,0),0)+IF(AND(ISNUMBER($E257),ISNUMBER($F257)),IF($E257&gt;$F257,1,0),0)</f>
        <v>0</v>
      </c>
      <c r="X257" s="13" t="s">
        <v>76</v>
      </c>
    </row>
    <row r="258" customFormat="false" ht="15" hidden="false" customHeight="false" outlineLevel="0" collapsed="false">
      <c r="A258" s="10" t="s">
        <v>988</v>
      </c>
      <c r="B258" s="10" t="s">
        <v>989</v>
      </c>
      <c r="C258" s="10" t="s">
        <v>990</v>
      </c>
      <c r="D258" s="12" t="n">
        <v>0.11</v>
      </c>
      <c r="E258" s="12"/>
      <c r="F258" s="12"/>
      <c r="G258" s="10" t="s">
        <v>942</v>
      </c>
      <c r="H258" s="10" t="s">
        <v>943</v>
      </c>
      <c r="I258" s="10" t="s">
        <v>944</v>
      </c>
      <c r="J258" s="10" t="s">
        <v>945</v>
      </c>
      <c r="K258" s="10" t="s">
        <v>68</v>
      </c>
      <c r="L258" s="10" t="s">
        <v>68</v>
      </c>
      <c r="M258" s="10" t="s">
        <v>69</v>
      </c>
      <c r="N258" s="10"/>
      <c r="O258" s="10"/>
      <c r="P258" s="10" t="s">
        <v>71</v>
      </c>
      <c r="Q258" s="11" t="s">
        <v>72</v>
      </c>
      <c r="R258" s="11" t="s">
        <v>946</v>
      </c>
      <c r="S258" s="11" t="s">
        <v>74</v>
      </c>
      <c r="T258" s="11" t="s">
        <v>987</v>
      </c>
      <c r="U258" s="10" t="n">
        <f aca="false">IF(AND($D258="",$E258="",$F258=""),1,0)</f>
        <v>0</v>
      </c>
      <c r="V258" s="10" t="n">
        <f aca="false">IF(OR($I258="",$I258="—"),1,0)</f>
        <v>0</v>
      </c>
      <c r="W258" s="10" t="n">
        <f aca="false">IF(AND(ISNUMBER($D258),ISNUMBER($E258)),IF($E258&gt;$D258,1,0),0)+IF(AND(ISNUMBER($D258),ISNUMBER($F258)),IF($D258&gt;$F258,1,0),0)+IF(AND(ISNUMBER($E258),ISNUMBER($F258)),IF($E258&gt;$F258,1,0),0)</f>
        <v>0</v>
      </c>
      <c r="X258" s="13" t="s">
        <v>76</v>
      </c>
    </row>
    <row r="259" customFormat="false" ht="15" hidden="false" customHeight="false" outlineLevel="0" collapsed="false">
      <c r="A259" s="10" t="s">
        <v>991</v>
      </c>
      <c r="B259" s="10" t="s">
        <v>992</v>
      </c>
      <c r="C259" s="10" t="s">
        <v>993</v>
      </c>
      <c r="D259" s="12" t="n">
        <v>2.2</v>
      </c>
      <c r="E259" s="12"/>
      <c r="F259" s="12"/>
      <c r="G259" s="10" t="s">
        <v>942</v>
      </c>
      <c r="H259" s="10" t="s">
        <v>943</v>
      </c>
      <c r="I259" s="10" t="s">
        <v>944</v>
      </c>
      <c r="J259" s="10" t="s">
        <v>945</v>
      </c>
      <c r="K259" s="10" t="s">
        <v>68</v>
      </c>
      <c r="L259" s="10" t="s">
        <v>68</v>
      </c>
      <c r="M259" s="10" t="s">
        <v>69</v>
      </c>
      <c r="N259" s="10"/>
      <c r="O259" s="10"/>
      <c r="P259" s="10" t="s">
        <v>71</v>
      </c>
      <c r="Q259" s="11" t="s">
        <v>72</v>
      </c>
      <c r="R259" s="11" t="s">
        <v>946</v>
      </c>
      <c r="S259" s="11" t="s">
        <v>74</v>
      </c>
      <c r="T259" s="11" t="s">
        <v>987</v>
      </c>
      <c r="U259" s="10" t="n">
        <f aca="false">IF(AND($D259="",$E259="",$F259=""),1,0)</f>
        <v>0</v>
      </c>
      <c r="V259" s="10" t="n">
        <f aca="false">IF(OR($I259="",$I259="—"),1,0)</f>
        <v>0</v>
      </c>
      <c r="W259" s="10" t="n">
        <f aca="false">IF(AND(ISNUMBER($D259),ISNUMBER($E259)),IF($E259&gt;$D259,1,0),0)+IF(AND(ISNUMBER($D259),ISNUMBER($F259)),IF($D259&gt;$F259,1,0),0)+IF(AND(ISNUMBER($E259),ISNUMBER($F259)),IF($E259&gt;$F259,1,0),0)</f>
        <v>0</v>
      </c>
      <c r="X259" s="13" t="s">
        <v>76</v>
      </c>
    </row>
    <row r="260" customFormat="false" ht="15" hidden="false" customHeight="false" outlineLevel="0" collapsed="false">
      <c r="A260" s="10" t="s">
        <v>994</v>
      </c>
      <c r="B260" s="10" t="s">
        <v>995</v>
      </c>
      <c r="C260" s="10" t="s">
        <v>996</v>
      </c>
      <c r="D260" s="12" t="n">
        <v>0.6</v>
      </c>
      <c r="E260" s="12"/>
      <c r="F260" s="12"/>
      <c r="G260" s="10" t="s">
        <v>942</v>
      </c>
      <c r="H260" s="10" t="s">
        <v>943</v>
      </c>
      <c r="I260" s="10" t="s">
        <v>944</v>
      </c>
      <c r="J260" s="10" t="s">
        <v>945</v>
      </c>
      <c r="K260" s="10" t="s">
        <v>68</v>
      </c>
      <c r="L260" s="10" t="s">
        <v>68</v>
      </c>
      <c r="M260" s="10" t="s">
        <v>69</v>
      </c>
      <c r="N260" s="10"/>
      <c r="O260" s="10"/>
      <c r="P260" s="10" t="s">
        <v>71</v>
      </c>
      <c r="Q260" s="11" t="s">
        <v>72</v>
      </c>
      <c r="R260" s="11" t="s">
        <v>946</v>
      </c>
      <c r="S260" s="11" t="s">
        <v>74</v>
      </c>
      <c r="T260" s="11" t="s">
        <v>997</v>
      </c>
      <c r="U260" s="10" t="n">
        <f aca="false">IF(AND($D260="",$E260="",$F260=""),1,0)</f>
        <v>0</v>
      </c>
      <c r="V260" s="10" t="n">
        <f aca="false">IF(OR($I260="",$I260="—"),1,0)</f>
        <v>0</v>
      </c>
      <c r="W260" s="10" t="n">
        <f aca="false">IF(AND(ISNUMBER($D260),ISNUMBER($E260)),IF($E260&gt;$D260,1,0),0)+IF(AND(ISNUMBER($D260),ISNUMBER($F260)),IF($D260&gt;$F260,1,0),0)+IF(AND(ISNUMBER($E260),ISNUMBER($F260)),IF($E260&gt;$F260,1,0),0)</f>
        <v>0</v>
      </c>
      <c r="X260" s="13" t="s">
        <v>76</v>
      </c>
    </row>
    <row r="261" customFormat="false" ht="15" hidden="false" customHeight="false" outlineLevel="0" collapsed="false">
      <c r="A261" s="10" t="s">
        <v>998</v>
      </c>
      <c r="B261" s="10" t="s">
        <v>999</v>
      </c>
      <c r="C261" s="10" t="s">
        <v>1000</v>
      </c>
      <c r="D261" s="12" t="n">
        <v>0.11</v>
      </c>
      <c r="E261" s="12"/>
      <c r="F261" s="12"/>
      <c r="G261" s="10" t="s">
        <v>942</v>
      </c>
      <c r="H261" s="10" t="s">
        <v>943</v>
      </c>
      <c r="I261" s="10" t="s">
        <v>944</v>
      </c>
      <c r="J261" s="10" t="s">
        <v>945</v>
      </c>
      <c r="K261" s="10" t="s">
        <v>68</v>
      </c>
      <c r="L261" s="10" t="s">
        <v>68</v>
      </c>
      <c r="M261" s="10" t="s">
        <v>69</v>
      </c>
      <c r="N261" s="10"/>
      <c r="O261" s="10"/>
      <c r="P261" s="10" t="s">
        <v>71</v>
      </c>
      <c r="Q261" s="11" t="s">
        <v>72</v>
      </c>
      <c r="R261" s="11" t="s">
        <v>946</v>
      </c>
      <c r="S261" s="11" t="s">
        <v>74</v>
      </c>
      <c r="T261" s="11" t="s">
        <v>997</v>
      </c>
      <c r="U261" s="10" t="n">
        <f aca="false">IF(AND($D261="",$E261="",$F261=""),1,0)</f>
        <v>0</v>
      </c>
      <c r="V261" s="10" t="n">
        <f aca="false">IF(OR($I261="",$I261="—"),1,0)</f>
        <v>0</v>
      </c>
      <c r="W261" s="10" t="n">
        <f aca="false">IF(AND(ISNUMBER($D261),ISNUMBER($E261)),IF($E261&gt;$D261,1,0),0)+IF(AND(ISNUMBER($D261),ISNUMBER($F261)),IF($D261&gt;$F261,1,0),0)+IF(AND(ISNUMBER($E261),ISNUMBER($F261)),IF($E261&gt;$F261,1,0),0)</f>
        <v>0</v>
      </c>
      <c r="X261" s="13" t="s">
        <v>76</v>
      </c>
    </row>
    <row r="262" customFormat="false" ht="15" hidden="false" customHeight="false" outlineLevel="0" collapsed="false">
      <c r="A262" s="10" t="s">
        <v>1001</v>
      </c>
      <c r="B262" s="10" t="s">
        <v>1002</v>
      </c>
      <c r="C262" s="10" t="s">
        <v>1003</v>
      </c>
      <c r="D262" s="12" t="n">
        <v>2.2</v>
      </c>
      <c r="E262" s="12"/>
      <c r="F262" s="12"/>
      <c r="G262" s="10" t="s">
        <v>942</v>
      </c>
      <c r="H262" s="10" t="s">
        <v>943</v>
      </c>
      <c r="I262" s="10" t="s">
        <v>944</v>
      </c>
      <c r="J262" s="10" t="s">
        <v>945</v>
      </c>
      <c r="K262" s="10" t="s">
        <v>68</v>
      </c>
      <c r="L262" s="10" t="s">
        <v>68</v>
      </c>
      <c r="M262" s="10" t="s">
        <v>69</v>
      </c>
      <c r="N262" s="10"/>
      <c r="O262" s="10"/>
      <c r="P262" s="10" t="s">
        <v>71</v>
      </c>
      <c r="Q262" s="11" t="s">
        <v>72</v>
      </c>
      <c r="R262" s="11" t="s">
        <v>946</v>
      </c>
      <c r="S262" s="11" t="s">
        <v>74</v>
      </c>
      <c r="T262" s="11" t="s">
        <v>997</v>
      </c>
      <c r="U262" s="10" t="n">
        <f aca="false">IF(AND($D262="",$E262="",$F262=""),1,0)</f>
        <v>0</v>
      </c>
      <c r="V262" s="10" t="n">
        <f aca="false">IF(OR($I262="",$I262="—"),1,0)</f>
        <v>0</v>
      </c>
      <c r="W262" s="10" t="n">
        <f aca="false">IF(AND(ISNUMBER($D262),ISNUMBER($E262)),IF($E262&gt;$D262,1,0),0)+IF(AND(ISNUMBER($D262),ISNUMBER($F262)),IF($D262&gt;$F262,1,0),0)+IF(AND(ISNUMBER($E262),ISNUMBER($F262)),IF($E262&gt;$F262,1,0),0)</f>
        <v>0</v>
      </c>
      <c r="X262" s="13" t="s">
        <v>76</v>
      </c>
    </row>
    <row r="263" customFormat="false" ht="15" hidden="false" customHeight="false" outlineLevel="0" collapsed="false">
      <c r="A263" s="10" t="s">
        <v>1004</v>
      </c>
      <c r="B263" s="10" t="s">
        <v>1005</v>
      </c>
      <c r="C263" s="10" t="s">
        <v>1006</v>
      </c>
      <c r="D263" s="12" t="n">
        <v>0.6</v>
      </c>
      <c r="E263" s="12"/>
      <c r="F263" s="12"/>
      <c r="G263" s="10" t="s">
        <v>942</v>
      </c>
      <c r="H263" s="10" t="s">
        <v>943</v>
      </c>
      <c r="I263" s="10" t="s">
        <v>944</v>
      </c>
      <c r="J263" s="10" t="s">
        <v>945</v>
      </c>
      <c r="K263" s="10" t="s">
        <v>68</v>
      </c>
      <c r="L263" s="10" t="s">
        <v>68</v>
      </c>
      <c r="M263" s="10" t="s">
        <v>69</v>
      </c>
      <c r="N263" s="10"/>
      <c r="O263" s="10"/>
      <c r="P263" s="10" t="s">
        <v>71</v>
      </c>
      <c r="Q263" s="11" t="s">
        <v>72</v>
      </c>
      <c r="R263" s="11" t="s">
        <v>946</v>
      </c>
      <c r="S263" s="11" t="s">
        <v>74</v>
      </c>
      <c r="T263" s="11" t="s">
        <v>1007</v>
      </c>
      <c r="U263" s="10" t="n">
        <f aca="false">IF(AND($D263="",$E263="",$F263=""),1,0)</f>
        <v>0</v>
      </c>
      <c r="V263" s="10" t="n">
        <f aca="false">IF(OR($I263="",$I263="—"),1,0)</f>
        <v>0</v>
      </c>
      <c r="W263" s="10" t="n">
        <f aca="false">IF(AND(ISNUMBER($D263),ISNUMBER($E263)),IF($E263&gt;$D263,1,0),0)+IF(AND(ISNUMBER($D263),ISNUMBER($F263)),IF($D263&gt;$F263,1,0),0)+IF(AND(ISNUMBER($E263),ISNUMBER($F263)),IF($E263&gt;$F263,1,0),0)</f>
        <v>0</v>
      </c>
      <c r="X263" s="13" t="s">
        <v>76</v>
      </c>
    </row>
    <row r="264" customFormat="false" ht="15" hidden="false" customHeight="false" outlineLevel="0" collapsed="false">
      <c r="A264" s="10" t="s">
        <v>1008</v>
      </c>
      <c r="B264" s="10" t="s">
        <v>1009</v>
      </c>
      <c r="C264" s="10" t="s">
        <v>1010</v>
      </c>
      <c r="D264" s="12" t="n">
        <v>0.11</v>
      </c>
      <c r="E264" s="12"/>
      <c r="F264" s="12"/>
      <c r="G264" s="10" t="s">
        <v>942</v>
      </c>
      <c r="H264" s="10" t="s">
        <v>943</v>
      </c>
      <c r="I264" s="10" t="s">
        <v>944</v>
      </c>
      <c r="J264" s="10" t="s">
        <v>945</v>
      </c>
      <c r="K264" s="10" t="s">
        <v>68</v>
      </c>
      <c r="L264" s="10" t="s">
        <v>68</v>
      </c>
      <c r="M264" s="10" t="s">
        <v>69</v>
      </c>
      <c r="N264" s="10"/>
      <c r="O264" s="10"/>
      <c r="P264" s="10" t="s">
        <v>71</v>
      </c>
      <c r="Q264" s="11" t="s">
        <v>72</v>
      </c>
      <c r="R264" s="11" t="s">
        <v>946</v>
      </c>
      <c r="S264" s="11" t="s">
        <v>74</v>
      </c>
      <c r="T264" s="11" t="s">
        <v>1007</v>
      </c>
      <c r="U264" s="10" t="n">
        <f aca="false">IF(AND($D264="",$E264="",$F264=""),1,0)</f>
        <v>0</v>
      </c>
      <c r="V264" s="10" t="n">
        <f aca="false">IF(OR($I264="",$I264="—"),1,0)</f>
        <v>0</v>
      </c>
      <c r="W264" s="10" t="n">
        <f aca="false">IF(AND(ISNUMBER($D264),ISNUMBER($E264)),IF($E264&gt;$D264,1,0),0)+IF(AND(ISNUMBER($D264),ISNUMBER($F264)),IF($D264&gt;$F264,1,0),0)+IF(AND(ISNUMBER($E264),ISNUMBER($F264)),IF($E264&gt;$F264,1,0),0)</f>
        <v>0</v>
      </c>
      <c r="X264" s="13" t="s">
        <v>76</v>
      </c>
    </row>
    <row r="265" customFormat="false" ht="15" hidden="false" customHeight="false" outlineLevel="0" collapsed="false">
      <c r="A265" s="10" t="s">
        <v>1011</v>
      </c>
      <c r="B265" s="10" t="s">
        <v>1012</v>
      </c>
      <c r="C265" s="10" t="s">
        <v>1013</v>
      </c>
      <c r="D265" s="12" t="n">
        <v>2.2</v>
      </c>
      <c r="E265" s="12"/>
      <c r="F265" s="12"/>
      <c r="G265" s="10" t="s">
        <v>942</v>
      </c>
      <c r="H265" s="10" t="s">
        <v>943</v>
      </c>
      <c r="I265" s="10" t="s">
        <v>944</v>
      </c>
      <c r="J265" s="10" t="s">
        <v>945</v>
      </c>
      <c r="K265" s="10" t="s">
        <v>68</v>
      </c>
      <c r="L265" s="10" t="s">
        <v>68</v>
      </c>
      <c r="M265" s="10" t="s">
        <v>69</v>
      </c>
      <c r="N265" s="10"/>
      <c r="O265" s="10"/>
      <c r="P265" s="10" t="s">
        <v>71</v>
      </c>
      <c r="Q265" s="11" t="s">
        <v>72</v>
      </c>
      <c r="R265" s="11" t="s">
        <v>946</v>
      </c>
      <c r="S265" s="11" t="s">
        <v>74</v>
      </c>
      <c r="T265" s="11" t="s">
        <v>1007</v>
      </c>
      <c r="U265" s="10" t="n">
        <f aca="false">IF(AND($D265="",$E265="",$F265=""),1,0)</f>
        <v>0</v>
      </c>
      <c r="V265" s="10" t="n">
        <f aca="false">IF(OR($I265="",$I265="—"),1,0)</f>
        <v>0</v>
      </c>
      <c r="W265" s="10" t="n">
        <f aca="false">IF(AND(ISNUMBER($D265),ISNUMBER($E265)),IF($E265&gt;$D265,1,0),0)+IF(AND(ISNUMBER($D265),ISNUMBER($F265)),IF($D265&gt;$F265,1,0),0)+IF(AND(ISNUMBER($E265),ISNUMBER($F265)),IF($E265&gt;$F265,1,0),0)</f>
        <v>0</v>
      </c>
      <c r="X265" s="13" t="s">
        <v>76</v>
      </c>
    </row>
    <row r="266" customFormat="false" ht="15" hidden="false" customHeight="false" outlineLevel="0" collapsed="false">
      <c r="A266" s="10" t="s">
        <v>1014</v>
      </c>
      <c r="B266" s="10" t="s">
        <v>1015</v>
      </c>
      <c r="C266" s="10" t="s">
        <v>1016</v>
      </c>
      <c r="D266" s="12" t="n">
        <v>2.2</v>
      </c>
      <c r="E266" s="12"/>
      <c r="F266" s="12"/>
      <c r="G266" s="10" t="s">
        <v>942</v>
      </c>
      <c r="H266" s="10" t="s">
        <v>943</v>
      </c>
      <c r="I266" s="10" t="s">
        <v>944</v>
      </c>
      <c r="J266" s="10" t="s">
        <v>945</v>
      </c>
      <c r="K266" s="10" t="s">
        <v>68</v>
      </c>
      <c r="L266" s="10" t="s">
        <v>68</v>
      </c>
      <c r="M266" s="10" t="s">
        <v>69</v>
      </c>
      <c r="N266" s="10"/>
      <c r="O266" s="10"/>
      <c r="P266" s="10" t="s">
        <v>71</v>
      </c>
      <c r="Q266" s="11" t="s">
        <v>72</v>
      </c>
      <c r="R266" s="11" t="s">
        <v>946</v>
      </c>
      <c r="S266" s="11" t="s">
        <v>74</v>
      </c>
      <c r="T266" s="11" t="s">
        <v>1017</v>
      </c>
      <c r="U266" s="10" t="n">
        <f aca="false">IF(AND($D266="",$E266="",$F266=""),1,0)</f>
        <v>0</v>
      </c>
      <c r="V266" s="10" t="n">
        <f aca="false">IF(OR($I266="",$I266="—"),1,0)</f>
        <v>0</v>
      </c>
      <c r="W266" s="10" t="n">
        <f aca="false">IF(AND(ISNUMBER($D266),ISNUMBER($E266)),IF($E266&gt;$D266,1,0),0)+IF(AND(ISNUMBER($D266),ISNUMBER($F266)),IF($D266&gt;$F266,1,0),0)+IF(AND(ISNUMBER($E266),ISNUMBER($F266)),IF($E266&gt;$F266,1,0),0)</f>
        <v>0</v>
      </c>
      <c r="X266" s="13" t="s">
        <v>76</v>
      </c>
    </row>
    <row r="267" customFormat="false" ht="15" hidden="false" customHeight="false" outlineLevel="0" collapsed="false">
      <c r="A267" s="10" t="s">
        <v>1018</v>
      </c>
      <c r="B267" s="10" t="s">
        <v>1019</v>
      </c>
      <c r="C267" s="10" t="s">
        <v>1020</v>
      </c>
      <c r="D267" s="12" t="n">
        <v>0.45</v>
      </c>
      <c r="E267" s="12"/>
      <c r="F267" s="12"/>
      <c r="G267" s="10" t="s">
        <v>942</v>
      </c>
      <c r="H267" s="10" t="s">
        <v>943</v>
      </c>
      <c r="I267" s="10" t="s">
        <v>944</v>
      </c>
      <c r="J267" s="10" t="s">
        <v>945</v>
      </c>
      <c r="K267" s="10" t="s">
        <v>68</v>
      </c>
      <c r="L267" s="10" t="s">
        <v>68</v>
      </c>
      <c r="M267" s="10" t="s">
        <v>69</v>
      </c>
      <c r="N267" s="10"/>
      <c r="O267" s="10"/>
      <c r="P267" s="10" t="s">
        <v>71</v>
      </c>
      <c r="Q267" s="11" t="s">
        <v>72</v>
      </c>
      <c r="R267" s="11" t="s">
        <v>946</v>
      </c>
      <c r="S267" s="11" t="s">
        <v>74</v>
      </c>
      <c r="T267" s="11" t="s">
        <v>1017</v>
      </c>
      <c r="U267" s="10" t="n">
        <f aca="false">IF(AND($D267="",$E267="",$F267=""),1,0)</f>
        <v>0</v>
      </c>
      <c r="V267" s="10" t="n">
        <f aca="false">IF(OR($I267="",$I267="—"),1,0)</f>
        <v>0</v>
      </c>
      <c r="W267" s="10" t="n">
        <f aca="false">IF(AND(ISNUMBER($D267),ISNUMBER($E267)),IF($E267&gt;$D267,1,0),0)+IF(AND(ISNUMBER($D267),ISNUMBER($F267)),IF($D267&gt;$F267,1,0),0)+IF(AND(ISNUMBER($E267),ISNUMBER($F267)),IF($E267&gt;$F267,1,0),0)</f>
        <v>0</v>
      </c>
      <c r="X267" s="13" t="s">
        <v>76</v>
      </c>
    </row>
    <row r="268" customFormat="false" ht="15" hidden="false" customHeight="false" outlineLevel="0" collapsed="false">
      <c r="A268" s="10" t="s">
        <v>1021</v>
      </c>
      <c r="B268" s="10" t="s">
        <v>1022</v>
      </c>
      <c r="C268" s="10" t="s">
        <v>1023</v>
      </c>
      <c r="D268" s="12" t="n">
        <v>8.9</v>
      </c>
      <c r="E268" s="12"/>
      <c r="F268" s="12"/>
      <c r="G268" s="10" t="s">
        <v>942</v>
      </c>
      <c r="H268" s="10" t="s">
        <v>943</v>
      </c>
      <c r="I268" s="10" t="s">
        <v>944</v>
      </c>
      <c r="J268" s="10" t="s">
        <v>945</v>
      </c>
      <c r="K268" s="10" t="s">
        <v>68</v>
      </c>
      <c r="L268" s="10" t="s">
        <v>68</v>
      </c>
      <c r="M268" s="10" t="s">
        <v>69</v>
      </c>
      <c r="N268" s="10"/>
      <c r="O268" s="10"/>
      <c r="P268" s="10" t="s">
        <v>71</v>
      </c>
      <c r="Q268" s="11" t="s">
        <v>72</v>
      </c>
      <c r="R268" s="11" t="s">
        <v>946</v>
      </c>
      <c r="S268" s="11" t="s">
        <v>74</v>
      </c>
      <c r="T268" s="11" t="s">
        <v>1017</v>
      </c>
      <c r="U268" s="10" t="n">
        <f aca="false">IF(AND($D268="",$E268="",$F268=""),1,0)</f>
        <v>0</v>
      </c>
      <c r="V268" s="10" t="n">
        <f aca="false">IF(OR($I268="",$I268="—"),1,0)</f>
        <v>0</v>
      </c>
      <c r="W268" s="10" t="n">
        <f aca="false">IF(AND(ISNUMBER($D268),ISNUMBER($E268)),IF($E268&gt;$D268,1,0),0)+IF(AND(ISNUMBER($D268),ISNUMBER($F268)),IF($D268&gt;$F268,1,0),0)+IF(AND(ISNUMBER($E268),ISNUMBER($F268)),IF($E268&gt;$F268,1,0),0)</f>
        <v>0</v>
      </c>
      <c r="X268" s="13" t="s">
        <v>76</v>
      </c>
    </row>
    <row r="269" customFormat="false" ht="15" hidden="false" customHeight="false" outlineLevel="0" collapsed="false">
      <c r="A269" s="10" t="s">
        <v>1024</v>
      </c>
      <c r="B269" s="10" t="s">
        <v>1025</v>
      </c>
      <c r="C269" s="10" t="s">
        <v>1026</v>
      </c>
      <c r="D269" s="12" t="n">
        <v>0.2</v>
      </c>
      <c r="E269" s="12"/>
      <c r="F269" s="12"/>
      <c r="G269" s="10" t="s">
        <v>942</v>
      </c>
      <c r="H269" s="10" t="s">
        <v>943</v>
      </c>
      <c r="I269" s="10" t="s">
        <v>944</v>
      </c>
      <c r="J269" s="10" t="s">
        <v>945</v>
      </c>
      <c r="K269" s="10" t="s">
        <v>68</v>
      </c>
      <c r="L269" s="10" t="s">
        <v>68</v>
      </c>
      <c r="M269" s="10" t="s">
        <v>69</v>
      </c>
      <c r="N269" s="10"/>
      <c r="O269" s="10"/>
      <c r="P269" s="10" t="s">
        <v>71</v>
      </c>
      <c r="Q269" s="11" t="s">
        <v>72</v>
      </c>
      <c r="R269" s="11" t="s">
        <v>946</v>
      </c>
      <c r="S269" s="11" t="s">
        <v>74</v>
      </c>
      <c r="T269" s="11" t="s">
        <v>1027</v>
      </c>
      <c r="U269" s="10" t="n">
        <f aca="false">IF(AND($D269="",$E269="",$F269=""),1,0)</f>
        <v>0</v>
      </c>
      <c r="V269" s="10" t="n">
        <f aca="false">IF(OR($I269="",$I269="—"),1,0)</f>
        <v>0</v>
      </c>
      <c r="W269" s="10" t="n">
        <f aca="false">IF(AND(ISNUMBER($D269),ISNUMBER($E269)),IF($E269&gt;$D269,1,0),0)+IF(AND(ISNUMBER($D269),ISNUMBER($F269)),IF($D269&gt;$F269,1,0),0)+IF(AND(ISNUMBER($E269),ISNUMBER($F269)),IF($E269&gt;$F269,1,0),0)</f>
        <v>0</v>
      </c>
      <c r="X269" s="13" t="s">
        <v>76</v>
      </c>
    </row>
    <row r="270" customFormat="false" ht="15" hidden="false" customHeight="false" outlineLevel="0" collapsed="false">
      <c r="A270" s="10" t="s">
        <v>1028</v>
      </c>
      <c r="B270" s="10" t="s">
        <v>1029</v>
      </c>
      <c r="C270" s="10" t="s">
        <v>1030</v>
      </c>
      <c r="D270" s="12" t="n">
        <v>0.03</v>
      </c>
      <c r="E270" s="12"/>
      <c r="F270" s="12"/>
      <c r="G270" s="10" t="s">
        <v>942</v>
      </c>
      <c r="H270" s="10" t="s">
        <v>943</v>
      </c>
      <c r="I270" s="10" t="s">
        <v>944</v>
      </c>
      <c r="J270" s="10" t="s">
        <v>945</v>
      </c>
      <c r="K270" s="10" t="s">
        <v>68</v>
      </c>
      <c r="L270" s="10" t="s">
        <v>68</v>
      </c>
      <c r="M270" s="10" t="s">
        <v>69</v>
      </c>
      <c r="N270" s="10"/>
      <c r="O270" s="10"/>
      <c r="P270" s="10" t="s">
        <v>71</v>
      </c>
      <c r="Q270" s="11" t="s">
        <v>72</v>
      </c>
      <c r="R270" s="11" t="s">
        <v>946</v>
      </c>
      <c r="S270" s="11" t="s">
        <v>74</v>
      </c>
      <c r="T270" s="11" t="s">
        <v>1027</v>
      </c>
      <c r="U270" s="10" t="n">
        <f aca="false">IF(AND($D270="",$E270="",$F270=""),1,0)</f>
        <v>0</v>
      </c>
      <c r="V270" s="10" t="n">
        <f aca="false">IF(OR($I270="",$I270="—"),1,0)</f>
        <v>0</v>
      </c>
      <c r="W270" s="10" t="n">
        <f aca="false">IF(AND(ISNUMBER($D270),ISNUMBER($E270)),IF($E270&gt;$D270,1,0),0)+IF(AND(ISNUMBER($D270),ISNUMBER($F270)),IF($D270&gt;$F270,1,0),0)+IF(AND(ISNUMBER($E270),ISNUMBER($F270)),IF($E270&gt;$F270,1,0),0)</f>
        <v>0</v>
      </c>
      <c r="X270" s="13" t="s">
        <v>76</v>
      </c>
    </row>
    <row r="271" customFormat="false" ht="15" hidden="false" customHeight="false" outlineLevel="0" collapsed="false">
      <c r="A271" s="10" t="s">
        <v>1031</v>
      </c>
      <c r="B271" s="10" t="s">
        <v>1032</v>
      </c>
      <c r="C271" s="10" t="s">
        <v>1033</v>
      </c>
      <c r="D271" s="12" t="n">
        <v>1.1</v>
      </c>
      <c r="E271" s="12"/>
      <c r="F271" s="12"/>
      <c r="G271" s="10" t="s">
        <v>942</v>
      </c>
      <c r="H271" s="10" t="s">
        <v>943</v>
      </c>
      <c r="I271" s="10" t="s">
        <v>944</v>
      </c>
      <c r="J271" s="10" t="s">
        <v>945</v>
      </c>
      <c r="K271" s="10" t="s">
        <v>68</v>
      </c>
      <c r="L271" s="10" t="s">
        <v>68</v>
      </c>
      <c r="M271" s="10" t="s">
        <v>69</v>
      </c>
      <c r="N271" s="10"/>
      <c r="O271" s="10"/>
      <c r="P271" s="10" t="s">
        <v>71</v>
      </c>
      <c r="Q271" s="11" t="s">
        <v>72</v>
      </c>
      <c r="R271" s="11" t="s">
        <v>946</v>
      </c>
      <c r="S271" s="11" t="s">
        <v>74</v>
      </c>
      <c r="T271" s="11" t="s">
        <v>1027</v>
      </c>
      <c r="U271" s="10" t="n">
        <f aca="false">IF(AND($D271="",$E271="",$F271=""),1,0)</f>
        <v>0</v>
      </c>
      <c r="V271" s="10" t="n">
        <f aca="false">IF(OR($I271="",$I271="—"),1,0)</f>
        <v>0</v>
      </c>
      <c r="W271" s="10" t="n">
        <f aca="false">IF(AND(ISNUMBER($D271),ISNUMBER($E271)),IF($E271&gt;$D271,1,0),0)+IF(AND(ISNUMBER($D271),ISNUMBER($F271)),IF($D271&gt;$F271,1,0),0)+IF(AND(ISNUMBER($E271),ISNUMBER($F271)),IF($E271&gt;$F271,1,0),0)</f>
        <v>0</v>
      </c>
      <c r="X271" s="13" t="s">
        <v>76</v>
      </c>
    </row>
    <row r="272" customFormat="false" ht="15" hidden="false" customHeight="false" outlineLevel="0" collapsed="false">
      <c r="A272" s="10" t="s">
        <v>1034</v>
      </c>
      <c r="B272" s="10" t="s">
        <v>1035</v>
      </c>
      <c r="C272" s="10" t="s">
        <v>1036</v>
      </c>
      <c r="D272" s="12" t="n">
        <v>1.1</v>
      </c>
      <c r="E272" s="12"/>
      <c r="F272" s="12"/>
      <c r="G272" s="10" t="s">
        <v>942</v>
      </c>
      <c r="H272" s="10" t="s">
        <v>943</v>
      </c>
      <c r="I272" s="10" t="s">
        <v>944</v>
      </c>
      <c r="J272" s="10" t="s">
        <v>945</v>
      </c>
      <c r="K272" s="10" t="s">
        <v>68</v>
      </c>
      <c r="L272" s="10" t="s">
        <v>68</v>
      </c>
      <c r="M272" s="10" t="s">
        <v>69</v>
      </c>
      <c r="N272" s="10"/>
      <c r="O272" s="10"/>
      <c r="P272" s="10" t="s">
        <v>71</v>
      </c>
      <c r="Q272" s="11" t="s">
        <v>72</v>
      </c>
      <c r="R272" s="11" t="s">
        <v>946</v>
      </c>
      <c r="S272" s="11" t="s">
        <v>74</v>
      </c>
      <c r="T272" s="11" t="s">
        <v>1037</v>
      </c>
      <c r="U272" s="10" t="n">
        <f aca="false">IF(AND($D272="",$E272="",$F272=""),1,0)</f>
        <v>0</v>
      </c>
      <c r="V272" s="10" t="n">
        <f aca="false">IF(OR($I272="",$I272="—"),1,0)</f>
        <v>0</v>
      </c>
      <c r="W272" s="10" t="n">
        <f aca="false">IF(AND(ISNUMBER($D272),ISNUMBER($E272)),IF($E272&gt;$D272,1,0),0)+IF(AND(ISNUMBER($D272),ISNUMBER($F272)),IF($D272&gt;$F272,1,0),0)+IF(AND(ISNUMBER($E272),ISNUMBER($F272)),IF($E272&gt;$F272,1,0),0)</f>
        <v>0</v>
      </c>
      <c r="X272" s="13" t="s">
        <v>76</v>
      </c>
    </row>
    <row r="273" customFormat="false" ht="15" hidden="false" customHeight="false" outlineLevel="0" collapsed="false">
      <c r="A273" s="10" t="s">
        <v>1038</v>
      </c>
      <c r="B273" s="10" t="s">
        <v>1039</v>
      </c>
      <c r="C273" s="10" t="s">
        <v>1040</v>
      </c>
      <c r="D273" s="12" t="n">
        <v>0.22</v>
      </c>
      <c r="E273" s="12"/>
      <c r="F273" s="12"/>
      <c r="G273" s="10" t="s">
        <v>942</v>
      </c>
      <c r="H273" s="10" t="s">
        <v>943</v>
      </c>
      <c r="I273" s="10" t="s">
        <v>944</v>
      </c>
      <c r="J273" s="10" t="s">
        <v>945</v>
      </c>
      <c r="K273" s="10" t="s">
        <v>68</v>
      </c>
      <c r="L273" s="10" t="s">
        <v>68</v>
      </c>
      <c r="M273" s="10" t="s">
        <v>69</v>
      </c>
      <c r="N273" s="10"/>
      <c r="O273" s="10"/>
      <c r="P273" s="10" t="s">
        <v>71</v>
      </c>
      <c r="Q273" s="11" t="s">
        <v>72</v>
      </c>
      <c r="R273" s="11" t="s">
        <v>946</v>
      </c>
      <c r="S273" s="11" t="s">
        <v>74</v>
      </c>
      <c r="T273" s="11" t="s">
        <v>1037</v>
      </c>
      <c r="U273" s="10" t="n">
        <f aca="false">IF(AND($D273="",$E273="",$F273=""),1,0)</f>
        <v>0</v>
      </c>
      <c r="V273" s="10" t="n">
        <f aca="false">IF(OR($I273="",$I273="—"),1,0)</f>
        <v>0</v>
      </c>
      <c r="W273" s="10" t="n">
        <f aca="false">IF(AND(ISNUMBER($D273),ISNUMBER($E273)),IF($E273&gt;$D273,1,0),0)+IF(AND(ISNUMBER($D273),ISNUMBER($F273)),IF($D273&gt;$F273,1,0),0)+IF(AND(ISNUMBER($E273),ISNUMBER($F273)),IF($E273&gt;$F273,1,0),0)</f>
        <v>0</v>
      </c>
      <c r="X273" s="13" t="s">
        <v>76</v>
      </c>
    </row>
    <row r="274" customFormat="false" ht="15" hidden="false" customHeight="false" outlineLevel="0" collapsed="false">
      <c r="A274" s="10" t="s">
        <v>1041</v>
      </c>
      <c r="B274" s="10" t="s">
        <v>1042</v>
      </c>
      <c r="C274" s="10" t="s">
        <v>1043</v>
      </c>
      <c r="D274" s="12" t="n">
        <v>4.5</v>
      </c>
      <c r="E274" s="12"/>
      <c r="F274" s="12"/>
      <c r="G274" s="10" t="s">
        <v>942</v>
      </c>
      <c r="H274" s="10" t="s">
        <v>943</v>
      </c>
      <c r="I274" s="10" t="s">
        <v>944</v>
      </c>
      <c r="J274" s="10" t="s">
        <v>945</v>
      </c>
      <c r="K274" s="10" t="s">
        <v>68</v>
      </c>
      <c r="L274" s="10" t="s">
        <v>68</v>
      </c>
      <c r="M274" s="10" t="s">
        <v>69</v>
      </c>
      <c r="N274" s="10"/>
      <c r="O274" s="10"/>
      <c r="P274" s="10" t="s">
        <v>71</v>
      </c>
      <c r="Q274" s="11" t="s">
        <v>72</v>
      </c>
      <c r="R274" s="11" t="s">
        <v>946</v>
      </c>
      <c r="S274" s="11" t="s">
        <v>74</v>
      </c>
      <c r="T274" s="11" t="s">
        <v>1037</v>
      </c>
      <c r="U274" s="10" t="n">
        <f aca="false">IF(AND($D274="",$E274="",$F274=""),1,0)</f>
        <v>0</v>
      </c>
      <c r="V274" s="10" t="n">
        <f aca="false">IF(OR($I274="",$I274="—"),1,0)</f>
        <v>0</v>
      </c>
      <c r="W274" s="10" t="n">
        <f aca="false">IF(AND(ISNUMBER($D274),ISNUMBER($E274)),IF($E274&gt;$D274,1,0),0)+IF(AND(ISNUMBER($D274),ISNUMBER($F274)),IF($D274&gt;$F274,1,0),0)+IF(AND(ISNUMBER($E274),ISNUMBER($F274)),IF($E274&gt;$F274,1,0),0)</f>
        <v>0</v>
      </c>
      <c r="X274" s="13" t="s">
        <v>76</v>
      </c>
    </row>
    <row r="275" customFormat="false" ht="15" hidden="false" customHeight="false" outlineLevel="0" collapsed="false">
      <c r="A275" s="10" t="s">
        <v>1044</v>
      </c>
      <c r="B275" s="10" t="s">
        <v>1045</v>
      </c>
      <c r="C275" s="10" t="s">
        <v>1046</v>
      </c>
      <c r="D275" s="12" t="n">
        <v>0.15</v>
      </c>
      <c r="E275" s="12"/>
      <c r="F275" s="12"/>
      <c r="G275" s="10" t="s">
        <v>942</v>
      </c>
      <c r="H275" s="10" t="s">
        <v>943</v>
      </c>
      <c r="I275" s="10" t="s">
        <v>944</v>
      </c>
      <c r="J275" s="10" t="s">
        <v>945</v>
      </c>
      <c r="K275" s="10" t="s">
        <v>68</v>
      </c>
      <c r="L275" s="10" t="s">
        <v>68</v>
      </c>
      <c r="M275" s="10" t="s">
        <v>69</v>
      </c>
      <c r="N275" s="10"/>
      <c r="O275" s="10"/>
      <c r="P275" s="10" t="s">
        <v>71</v>
      </c>
      <c r="Q275" s="11" t="s">
        <v>72</v>
      </c>
      <c r="R275" s="11" t="s">
        <v>946</v>
      </c>
      <c r="S275" s="11" t="s">
        <v>74</v>
      </c>
      <c r="T275" s="11" t="s">
        <v>1047</v>
      </c>
      <c r="U275" s="10" t="n">
        <f aca="false">IF(AND($D275="",$E275="",$F275=""),1,0)</f>
        <v>0</v>
      </c>
      <c r="V275" s="10" t="n">
        <f aca="false">IF(OR($I275="",$I275="—"),1,0)</f>
        <v>0</v>
      </c>
      <c r="W275" s="10" t="n">
        <f aca="false">IF(AND(ISNUMBER($D275),ISNUMBER($E275)),IF($E275&gt;$D275,1,0),0)+IF(AND(ISNUMBER($D275),ISNUMBER($F275)),IF($D275&gt;$F275,1,0),0)+IF(AND(ISNUMBER($E275),ISNUMBER($F275)),IF($E275&gt;$F275,1,0),0)</f>
        <v>0</v>
      </c>
      <c r="X275" s="13" t="s">
        <v>76</v>
      </c>
    </row>
    <row r="276" customFormat="false" ht="15" hidden="false" customHeight="false" outlineLevel="0" collapsed="false">
      <c r="A276" s="10" t="s">
        <v>1048</v>
      </c>
      <c r="B276" s="10" t="s">
        <v>1049</v>
      </c>
      <c r="C276" s="10" t="s">
        <v>1050</v>
      </c>
      <c r="D276" s="12" t="n">
        <v>0.03</v>
      </c>
      <c r="E276" s="12"/>
      <c r="F276" s="12"/>
      <c r="G276" s="10" t="s">
        <v>942</v>
      </c>
      <c r="H276" s="10" t="s">
        <v>943</v>
      </c>
      <c r="I276" s="10" t="s">
        <v>944</v>
      </c>
      <c r="J276" s="10" t="s">
        <v>945</v>
      </c>
      <c r="K276" s="10" t="s">
        <v>68</v>
      </c>
      <c r="L276" s="10" t="s">
        <v>68</v>
      </c>
      <c r="M276" s="10" t="s">
        <v>69</v>
      </c>
      <c r="N276" s="10"/>
      <c r="O276" s="10"/>
      <c r="P276" s="10" t="s">
        <v>71</v>
      </c>
      <c r="Q276" s="11" t="s">
        <v>72</v>
      </c>
      <c r="R276" s="11" t="s">
        <v>946</v>
      </c>
      <c r="S276" s="11" t="s">
        <v>74</v>
      </c>
      <c r="T276" s="11" t="s">
        <v>1047</v>
      </c>
      <c r="U276" s="10" t="n">
        <f aca="false">IF(AND($D276="",$E276="",$F276=""),1,0)</f>
        <v>0</v>
      </c>
      <c r="V276" s="10" t="n">
        <f aca="false">IF(OR($I276="",$I276="—"),1,0)</f>
        <v>0</v>
      </c>
      <c r="W276" s="10" t="n">
        <f aca="false">IF(AND(ISNUMBER($D276),ISNUMBER($E276)),IF($E276&gt;$D276,1,0),0)+IF(AND(ISNUMBER($D276),ISNUMBER($F276)),IF($D276&gt;$F276,1,0),0)+IF(AND(ISNUMBER($E276),ISNUMBER($F276)),IF($E276&gt;$F276,1,0),0)</f>
        <v>0</v>
      </c>
      <c r="X276" s="13" t="s">
        <v>76</v>
      </c>
    </row>
    <row r="277" customFormat="false" ht="15" hidden="false" customHeight="false" outlineLevel="0" collapsed="false">
      <c r="A277" s="10" t="s">
        <v>1051</v>
      </c>
      <c r="B277" s="10" t="s">
        <v>1052</v>
      </c>
      <c r="C277" s="10" t="s">
        <v>1053</v>
      </c>
      <c r="D277" s="12" t="n">
        <v>0.5</v>
      </c>
      <c r="E277" s="12"/>
      <c r="F277" s="12"/>
      <c r="G277" s="10" t="s">
        <v>942</v>
      </c>
      <c r="H277" s="10" t="s">
        <v>943</v>
      </c>
      <c r="I277" s="10" t="s">
        <v>944</v>
      </c>
      <c r="J277" s="10" t="s">
        <v>945</v>
      </c>
      <c r="K277" s="10" t="s">
        <v>68</v>
      </c>
      <c r="L277" s="10" t="s">
        <v>68</v>
      </c>
      <c r="M277" s="10" t="s">
        <v>69</v>
      </c>
      <c r="N277" s="10"/>
      <c r="O277" s="10"/>
      <c r="P277" s="10" t="s">
        <v>71</v>
      </c>
      <c r="Q277" s="11" t="s">
        <v>72</v>
      </c>
      <c r="R277" s="11" t="s">
        <v>946</v>
      </c>
      <c r="S277" s="11" t="s">
        <v>74</v>
      </c>
      <c r="T277" s="11" t="s">
        <v>1047</v>
      </c>
      <c r="U277" s="10" t="n">
        <f aca="false">IF(AND($D277="",$E277="",$F277=""),1,0)</f>
        <v>0</v>
      </c>
      <c r="V277" s="10" t="n">
        <f aca="false">IF(OR($I277="",$I277="—"),1,0)</f>
        <v>0</v>
      </c>
      <c r="W277" s="10" t="n">
        <f aca="false">IF(AND(ISNUMBER($D277),ISNUMBER($E277)),IF($E277&gt;$D277,1,0),0)+IF(AND(ISNUMBER($D277),ISNUMBER($F277)),IF($D277&gt;$F277,1,0),0)+IF(AND(ISNUMBER($E277),ISNUMBER($F277)),IF($E277&gt;$F277,1,0),0)</f>
        <v>0</v>
      </c>
      <c r="X277" s="13" t="s">
        <v>76</v>
      </c>
    </row>
    <row r="278" customFormat="false" ht="15" hidden="false" customHeight="false" outlineLevel="0" collapsed="false">
      <c r="A278" s="10" t="s">
        <v>1054</v>
      </c>
      <c r="B278" s="10" t="s">
        <v>1055</v>
      </c>
      <c r="C278" s="10" t="s">
        <v>1056</v>
      </c>
      <c r="D278" s="12" t="n">
        <v>0.37</v>
      </c>
      <c r="E278" s="12"/>
      <c r="F278" s="12"/>
      <c r="G278" s="10" t="s">
        <v>942</v>
      </c>
      <c r="H278" s="10" t="s">
        <v>943</v>
      </c>
      <c r="I278" s="10" t="s">
        <v>944</v>
      </c>
      <c r="J278" s="10" t="s">
        <v>945</v>
      </c>
      <c r="K278" s="10" t="s">
        <v>68</v>
      </c>
      <c r="L278" s="10" t="s">
        <v>68</v>
      </c>
      <c r="M278" s="10" t="s">
        <v>69</v>
      </c>
      <c r="N278" s="10"/>
      <c r="O278" s="10"/>
      <c r="P278" s="10" t="s">
        <v>71</v>
      </c>
      <c r="Q278" s="11" t="s">
        <v>72</v>
      </c>
      <c r="R278" s="11" t="s">
        <v>946</v>
      </c>
      <c r="S278" s="11" t="s">
        <v>74</v>
      </c>
      <c r="T278" s="11" t="s">
        <v>1057</v>
      </c>
      <c r="U278" s="10" t="n">
        <f aca="false">IF(AND($D278="",$E278="",$F278=""),1,0)</f>
        <v>0</v>
      </c>
      <c r="V278" s="10" t="n">
        <f aca="false">IF(OR($I278="",$I278="—"),1,0)</f>
        <v>0</v>
      </c>
      <c r="W278" s="10" t="n">
        <f aca="false">IF(AND(ISNUMBER($D278),ISNUMBER($E278)),IF($E278&gt;$D278,1,0),0)+IF(AND(ISNUMBER($D278),ISNUMBER($F278)),IF($D278&gt;$F278,1,0),0)+IF(AND(ISNUMBER($E278),ISNUMBER($F278)),IF($E278&gt;$F278,1,0),0)</f>
        <v>0</v>
      </c>
      <c r="X278" s="13" t="s">
        <v>76</v>
      </c>
    </row>
    <row r="279" customFormat="false" ht="15" hidden="false" customHeight="false" outlineLevel="0" collapsed="false">
      <c r="A279" s="10" t="s">
        <v>1058</v>
      </c>
      <c r="B279" s="10" t="s">
        <v>1059</v>
      </c>
      <c r="C279" s="10" t="s">
        <v>1060</v>
      </c>
      <c r="D279" s="12" t="n">
        <v>0.075</v>
      </c>
      <c r="E279" s="12"/>
      <c r="F279" s="12"/>
      <c r="G279" s="10" t="s">
        <v>942</v>
      </c>
      <c r="H279" s="10" t="s">
        <v>943</v>
      </c>
      <c r="I279" s="10" t="s">
        <v>944</v>
      </c>
      <c r="J279" s="10" t="s">
        <v>945</v>
      </c>
      <c r="K279" s="10" t="s">
        <v>68</v>
      </c>
      <c r="L279" s="10" t="s">
        <v>68</v>
      </c>
      <c r="M279" s="10" t="s">
        <v>69</v>
      </c>
      <c r="N279" s="10"/>
      <c r="O279" s="10"/>
      <c r="P279" s="10" t="s">
        <v>71</v>
      </c>
      <c r="Q279" s="11" t="s">
        <v>72</v>
      </c>
      <c r="R279" s="11" t="s">
        <v>946</v>
      </c>
      <c r="S279" s="11" t="s">
        <v>74</v>
      </c>
      <c r="T279" s="11" t="s">
        <v>1057</v>
      </c>
      <c r="U279" s="10" t="n">
        <f aca="false">IF(AND($D279="",$E279="",$F279=""),1,0)</f>
        <v>0</v>
      </c>
      <c r="V279" s="10" t="n">
        <f aca="false">IF(OR($I279="",$I279="—"),1,0)</f>
        <v>0</v>
      </c>
      <c r="W279" s="10" t="n">
        <f aca="false">IF(AND(ISNUMBER($D279),ISNUMBER($E279)),IF($E279&gt;$D279,1,0),0)+IF(AND(ISNUMBER($D279),ISNUMBER($F279)),IF($D279&gt;$F279,1,0),0)+IF(AND(ISNUMBER($E279),ISNUMBER($F279)),IF($E279&gt;$F279,1,0),0)</f>
        <v>0</v>
      </c>
      <c r="X279" s="13" t="s">
        <v>76</v>
      </c>
    </row>
    <row r="280" customFormat="false" ht="15" hidden="false" customHeight="false" outlineLevel="0" collapsed="false">
      <c r="A280" s="10" t="s">
        <v>1061</v>
      </c>
      <c r="B280" s="10" t="s">
        <v>1062</v>
      </c>
      <c r="C280" s="10" t="s">
        <v>1063</v>
      </c>
      <c r="D280" s="12" t="n">
        <v>1.25</v>
      </c>
      <c r="E280" s="12"/>
      <c r="F280" s="12"/>
      <c r="G280" s="10" t="s">
        <v>942</v>
      </c>
      <c r="H280" s="10" t="s">
        <v>943</v>
      </c>
      <c r="I280" s="10" t="s">
        <v>944</v>
      </c>
      <c r="J280" s="10" t="s">
        <v>945</v>
      </c>
      <c r="K280" s="10" t="s">
        <v>68</v>
      </c>
      <c r="L280" s="10" t="s">
        <v>68</v>
      </c>
      <c r="M280" s="10" t="s">
        <v>69</v>
      </c>
      <c r="N280" s="10"/>
      <c r="O280" s="10"/>
      <c r="P280" s="10" t="s">
        <v>71</v>
      </c>
      <c r="Q280" s="11" t="s">
        <v>72</v>
      </c>
      <c r="R280" s="11" t="s">
        <v>946</v>
      </c>
      <c r="S280" s="11" t="s">
        <v>74</v>
      </c>
      <c r="T280" s="11" t="s">
        <v>1057</v>
      </c>
      <c r="U280" s="10" t="n">
        <f aca="false">IF(AND($D280="",$E280="",$F280=""),1,0)</f>
        <v>0</v>
      </c>
      <c r="V280" s="10" t="n">
        <f aca="false">IF(OR($I280="",$I280="—"),1,0)</f>
        <v>0</v>
      </c>
      <c r="W280" s="10" t="n">
        <f aca="false">IF(AND(ISNUMBER($D280),ISNUMBER($E280)),IF($E280&gt;$D280,1,0),0)+IF(AND(ISNUMBER($D280),ISNUMBER($F280)),IF($D280&gt;$F280,1,0),0)+IF(AND(ISNUMBER($E280),ISNUMBER($F280)),IF($E280&gt;$F280,1,0),0)</f>
        <v>0</v>
      </c>
      <c r="X280" s="13" t="s">
        <v>76</v>
      </c>
    </row>
    <row r="281" customFormat="false" ht="15" hidden="false" customHeight="false" outlineLevel="0" collapsed="false">
      <c r="A281" s="10" t="s">
        <v>1064</v>
      </c>
      <c r="B281" s="10" t="s">
        <v>1065</v>
      </c>
      <c r="C281" s="10" t="s">
        <v>1066</v>
      </c>
      <c r="D281" s="12" t="n">
        <v>0.07</v>
      </c>
      <c r="E281" s="12"/>
      <c r="F281" s="12"/>
      <c r="G281" s="10" t="s">
        <v>942</v>
      </c>
      <c r="H281" s="10" t="s">
        <v>943</v>
      </c>
      <c r="I281" s="10" t="s">
        <v>944</v>
      </c>
      <c r="J281" s="10" t="s">
        <v>945</v>
      </c>
      <c r="K281" s="10" t="s">
        <v>68</v>
      </c>
      <c r="L281" s="10" t="s">
        <v>68</v>
      </c>
      <c r="M281" s="10" t="s">
        <v>69</v>
      </c>
      <c r="N281" s="10"/>
      <c r="O281" s="10"/>
      <c r="P281" s="10" t="s">
        <v>71</v>
      </c>
      <c r="Q281" s="11" t="s">
        <v>72</v>
      </c>
      <c r="R281" s="11" t="s">
        <v>946</v>
      </c>
      <c r="S281" s="11" t="s">
        <v>74</v>
      </c>
      <c r="T281" s="11" t="s">
        <v>1067</v>
      </c>
      <c r="U281" s="10" t="n">
        <f aca="false">IF(AND($D281="",$E281="",$F281=""),1,0)</f>
        <v>0</v>
      </c>
      <c r="V281" s="10" t="n">
        <f aca="false">IF(OR($I281="",$I281="—"),1,0)</f>
        <v>0</v>
      </c>
      <c r="W281" s="10" t="n">
        <f aca="false">IF(AND(ISNUMBER($D281),ISNUMBER($E281)),IF($E281&gt;$D281,1,0),0)+IF(AND(ISNUMBER($D281),ISNUMBER($F281)),IF($D281&gt;$F281,1,0),0)+IF(AND(ISNUMBER($E281),ISNUMBER($F281)),IF($E281&gt;$F281,1,0),0)</f>
        <v>0</v>
      </c>
      <c r="X281" s="13" t="s">
        <v>76</v>
      </c>
    </row>
    <row r="282" customFormat="false" ht="15" hidden="false" customHeight="false" outlineLevel="0" collapsed="false">
      <c r="A282" s="10" t="s">
        <v>1068</v>
      </c>
      <c r="B282" s="10" t="s">
        <v>1069</v>
      </c>
      <c r="C282" s="10" t="s">
        <v>1070</v>
      </c>
      <c r="D282" s="12" t="n">
        <v>0.01</v>
      </c>
      <c r="E282" s="12"/>
      <c r="F282" s="12"/>
      <c r="G282" s="10" t="s">
        <v>942</v>
      </c>
      <c r="H282" s="10" t="s">
        <v>943</v>
      </c>
      <c r="I282" s="10" t="s">
        <v>944</v>
      </c>
      <c r="J282" s="10" t="s">
        <v>945</v>
      </c>
      <c r="K282" s="10" t="s">
        <v>68</v>
      </c>
      <c r="L282" s="10" t="s">
        <v>68</v>
      </c>
      <c r="M282" s="10" t="s">
        <v>69</v>
      </c>
      <c r="N282" s="10"/>
      <c r="O282" s="10"/>
      <c r="P282" s="10" t="s">
        <v>71</v>
      </c>
      <c r="Q282" s="11" t="s">
        <v>72</v>
      </c>
      <c r="R282" s="11" t="s">
        <v>946</v>
      </c>
      <c r="S282" s="11" t="s">
        <v>74</v>
      </c>
      <c r="T282" s="11" t="s">
        <v>1067</v>
      </c>
      <c r="U282" s="10" t="n">
        <f aca="false">IF(AND($D282="",$E282="",$F282=""),1,0)</f>
        <v>0</v>
      </c>
      <c r="V282" s="10" t="n">
        <f aca="false">IF(OR($I282="",$I282="—"),1,0)</f>
        <v>0</v>
      </c>
      <c r="W282" s="10" t="n">
        <f aca="false">IF(AND(ISNUMBER($D282),ISNUMBER($E282)),IF($E282&gt;$D282,1,0),0)+IF(AND(ISNUMBER($D282),ISNUMBER($F282)),IF($D282&gt;$F282,1,0),0)+IF(AND(ISNUMBER($E282),ISNUMBER($F282)),IF($E282&gt;$F282,1,0),0)</f>
        <v>0</v>
      </c>
      <c r="X282" s="13" t="s">
        <v>76</v>
      </c>
    </row>
    <row r="283" customFormat="false" ht="15" hidden="false" customHeight="false" outlineLevel="0" collapsed="false">
      <c r="A283" s="10" t="s">
        <v>1071</v>
      </c>
      <c r="B283" s="10" t="s">
        <v>1072</v>
      </c>
      <c r="C283" s="10" t="s">
        <v>1073</v>
      </c>
      <c r="D283" s="12" t="n">
        <v>0.4</v>
      </c>
      <c r="E283" s="12"/>
      <c r="F283" s="12"/>
      <c r="G283" s="10" t="s">
        <v>942</v>
      </c>
      <c r="H283" s="10" t="s">
        <v>943</v>
      </c>
      <c r="I283" s="10" t="s">
        <v>944</v>
      </c>
      <c r="J283" s="10" t="s">
        <v>945</v>
      </c>
      <c r="K283" s="10" t="s">
        <v>68</v>
      </c>
      <c r="L283" s="10" t="s">
        <v>68</v>
      </c>
      <c r="M283" s="10" t="s">
        <v>69</v>
      </c>
      <c r="N283" s="10"/>
      <c r="O283" s="10"/>
      <c r="P283" s="10" t="s">
        <v>71</v>
      </c>
      <c r="Q283" s="11" t="s">
        <v>72</v>
      </c>
      <c r="R283" s="11" t="s">
        <v>946</v>
      </c>
      <c r="S283" s="11" t="s">
        <v>74</v>
      </c>
      <c r="T283" s="11" t="s">
        <v>1067</v>
      </c>
      <c r="U283" s="10" t="n">
        <f aca="false">IF(AND($D283="",$E283="",$F283=""),1,0)</f>
        <v>0</v>
      </c>
      <c r="V283" s="10" t="n">
        <f aca="false">IF(OR($I283="",$I283="—"),1,0)</f>
        <v>0</v>
      </c>
      <c r="W283" s="10" t="n">
        <f aca="false">IF(AND(ISNUMBER($D283),ISNUMBER($E283)),IF($E283&gt;$D283,1,0),0)+IF(AND(ISNUMBER($D283),ISNUMBER($F283)),IF($D283&gt;$F283,1,0),0)+IF(AND(ISNUMBER($E283),ISNUMBER($F283)),IF($E283&gt;$F283,1,0),0)</f>
        <v>0</v>
      </c>
      <c r="X283" s="13" t="s">
        <v>76</v>
      </c>
    </row>
    <row r="284" customFormat="false" ht="15" hidden="false" customHeight="false" outlineLevel="0" collapsed="false">
      <c r="A284" s="10" t="s">
        <v>1074</v>
      </c>
      <c r="B284" s="10" t="s">
        <v>1075</v>
      </c>
      <c r="C284" s="11" t="s">
        <v>1076</v>
      </c>
      <c r="D284" s="12" t="n">
        <v>0</v>
      </c>
      <c r="E284" s="12"/>
      <c r="F284" s="12"/>
      <c r="G284" s="10" t="s">
        <v>942</v>
      </c>
      <c r="H284" s="10" t="s">
        <v>943</v>
      </c>
      <c r="I284" s="10" t="s">
        <v>944</v>
      </c>
      <c r="J284" s="10" t="s">
        <v>945</v>
      </c>
      <c r="K284" s="10" t="s">
        <v>68</v>
      </c>
      <c r="L284" s="10" t="s">
        <v>68</v>
      </c>
      <c r="M284" s="10" t="s">
        <v>69</v>
      </c>
      <c r="N284" s="10"/>
      <c r="O284" s="10"/>
      <c r="P284" s="10" t="s">
        <v>71</v>
      </c>
      <c r="Q284" s="11" t="s">
        <v>72</v>
      </c>
      <c r="R284" s="11" t="s">
        <v>946</v>
      </c>
      <c r="S284" s="11" t="s">
        <v>74</v>
      </c>
      <c r="T284" s="11" t="s">
        <v>1077</v>
      </c>
      <c r="U284" s="10" t="n">
        <f aca="false">IF(AND($D284="",$E284="",$F284=""),1,0)</f>
        <v>0</v>
      </c>
      <c r="V284" s="10" t="n">
        <f aca="false">IF(OR($I284="",$I284="—"),1,0)</f>
        <v>0</v>
      </c>
      <c r="W284" s="10" t="n">
        <f aca="false">IF(AND(ISNUMBER($D284),ISNUMBER($E284)),IF($E284&gt;$D284,1,0),0)+IF(AND(ISNUMBER($D284),ISNUMBER($F284)),IF($D284&gt;$F284,1,0),0)+IF(AND(ISNUMBER($E284),ISNUMBER($F284)),IF($E284&gt;$F284,1,0),0)</f>
        <v>0</v>
      </c>
      <c r="X284" s="13" t="s">
        <v>76</v>
      </c>
    </row>
    <row r="285" customFormat="false" ht="15" hidden="false" customHeight="false" outlineLevel="0" collapsed="false">
      <c r="A285" s="10" t="s">
        <v>1078</v>
      </c>
      <c r="B285" s="10" t="s">
        <v>1079</v>
      </c>
      <c r="C285" s="11" t="s">
        <v>1080</v>
      </c>
      <c r="D285" s="12" t="n">
        <v>0.01</v>
      </c>
      <c r="E285" s="12"/>
      <c r="F285" s="12"/>
      <c r="G285" s="10" t="s">
        <v>1081</v>
      </c>
      <c r="H285" s="10" t="s">
        <v>943</v>
      </c>
      <c r="I285" s="10" t="s">
        <v>944</v>
      </c>
      <c r="J285" s="10" t="s">
        <v>945</v>
      </c>
      <c r="K285" s="10" t="s">
        <v>68</v>
      </c>
      <c r="L285" s="10" t="s">
        <v>68</v>
      </c>
      <c r="M285" s="10" t="s">
        <v>69</v>
      </c>
      <c r="N285" s="10"/>
      <c r="O285" s="10"/>
      <c r="P285" s="10" t="s">
        <v>71</v>
      </c>
      <c r="Q285" s="11" t="s">
        <v>72</v>
      </c>
      <c r="R285" s="11" t="s">
        <v>946</v>
      </c>
      <c r="S285" s="11" t="s">
        <v>74</v>
      </c>
      <c r="T285" s="11" t="s">
        <v>1082</v>
      </c>
      <c r="U285" s="10" t="n">
        <f aca="false">IF(AND($D285="",$E285="",$F285=""),1,0)</f>
        <v>0</v>
      </c>
      <c r="V285" s="10" t="n">
        <f aca="false">IF(OR($I285="",$I285="—"),1,0)</f>
        <v>0</v>
      </c>
      <c r="W285" s="10" t="n">
        <f aca="false">IF(AND(ISNUMBER($D285),ISNUMBER($E285)),IF($E285&gt;$D285,1,0),0)+IF(AND(ISNUMBER($D285),ISNUMBER($F285)),IF($D285&gt;$F285,1,0),0)+IF(AND(ISNUMBER($E285),ISNUMBER($F285)),IF($E285&gt;$F285,1,0),0)</f>
        <v>0</v>
      </c>
      <c r="X285" s="13" t="s">
        <v>76</v>
      </c>
    </row>
    <row r="286" customFormat="false" ht="15" hidden="false" customHeight="false" outlineLevel="0" collapsed="false">
      <c r="A286" s="10" t="s">
        <v>1083</v>
      </c>
      <c r="B286" s="10" t="s">
        <v>1084</v>
      </c>
      <c r="C286" s="10" t="s">
        <v>1085</v>
      </c>
      <c r="D286" s="12" t="n">
        <v>1.2</v>
      </c>
      <c r="E286" s="12"/>
      <c r="F286" s="12"/>
      <c r="G286" s="10" t="s">
        <v>942</v>
      </c>
      <c r="H286" s="10" t="s">
        <v>1086</v>
      </c>
      <c r="I286" s="10" t="s">
        <v>1087</v>
      </c>
      <c r="J286" s="10" t="s">
        <v>1088</v>
      </c>
      <c r="K286" s="10" t="s">
        <v>1089</v>
      </c>
      <c r="L286" s="10" t="s">
        <v>68</v>
      </c>
      <c r="M286" s="10" t="s">
        <v>69</v>
      </c>
      <c r="N286" s="10"/>
      <c r="O286" s="10"/>
      <c r="P286" s="10" t="s">
        <v>637</v>
      </c>
      <c r="Q286" s="11" t="s">
        <v>72</v>
      </c>
      <c r="R286" s="11" t="s">
        <v>1090</v>
      </c>
      <c r="S286" s="11" t="s">
        <v>710</v>
      </c>
      <c r="T286" s="11" t="s">
        <v>1091</v>
      </c>
      <c r="U286" s="10" t="n">
        <f aca="false">IF(AND($D286="",$E286="",$F286=""),1,0)</f>
        <v>0</v>
      </c>
      <c r="V286" s="10" t="n">
        <f aca="false">IF(OR($I286="",$I286="—"),1,0)</f>
        <v>0</v>
      </c>
      <c r="W286" s="10" t="n">
        <f aca="false">IF(AND(ISNUMBER($D286),ISNUMBER($E286)),IF($E286&gt;$D286,1,0),0)+IF(AND(ISNUMBER($D286),ISNUMBER($F286)),IF($D286&gt;$F286,1,0),0)+IF(AND(ISNUMBER($E286),ISNUMBER($F286)),IF($E286&gt;$F286,1,0),0)</f>
        <v>0</v>
      </c>
      <c r="X286" s="13" t="s">
        <v>76</v>
      </c>
    </row>
    <row r="287" customFormat="false" ht="15" hidden="false" customHeight="false" outlineLevel="0" collapsed="false">
      <c r="A287" s="10" t="s">
        <v>1092</v>
      </c>
      <c r="B287" s="10" t="s">
        <v>1093</v>
      </c>
      <c r="C287" s="10" t="s">
        <v>1094</v>
      </c>
      <c r="D287" s="12" t="n">
        <v>4</v>
      </c>
      <c r="E287" s="12"/>
      <c r="F287" s="12"/>
      <c r="G287" s="10" t="s">
        <v>942</v>
      </c>
      <c r="H287" s="10" t="s">
        <v>1086</v>
      </c>
      <c r="I287" s="10" t="s">
        <v>1087</v>
      </c>
      <c r="J287" s="10" t="s">
        <v>1088</v>
      </c>
      <c r="K287" s="10" t="s">
        <v>1089</v>
      </c>
      <c r="L287" s="10" t="s">
        <v>68</v>
      </c>
      <c r="M287" s="10" t="s">
        <v>69</v>
      </c>
      <c r="N287" s="10"/>
      <c r="O287" s="10"/>
      <c r="P287" s="10" t="s">
        <v>637</v>
      </c>
      <c r="Q287" s="11" t="s">
        <v>72</v>
      </c>
      <c r="R287" s="11" t="s">
        <v>1090</v>
      </c>
      <c r="S287" s="11" t="s">
        <v>710</v>
      </c>
      <c r="T287" s="11" t="s">
        <v>1095</v>
      </c>
      <c r="U287" s="10" t="n">
        <f aca="false">IF(AND($D287="",$E287="",$F287=""),1,0)</f>
        <v>0</v>
      </c>
      <c r="V287" s="10" t="n">
        <f aca="false">IF(OR($I287="",$I287="—"),1,0)</f>
        <v>0</v>
      </c>
      <c r="W287" s="10" t="n">
        <f aca="false">IF(AND(ISNUMBER($D287),ISNUMBER($E287)),IF($E287&gt;$D287,1,0),0)+IF(AND(ISNUMBER($D287),ISNUMBER($F287)),IF($D287&gt;$F287,1,0),0)+IF(AND(ISNUMBER($E287),ISNUMBER($F287)),IF($E287&gt;$F287,1,0),0)</f>
        <v>0</v>
      </c>
      <c r="X287" s="13" t="s">
        <v>76</v>
      </c>
    </row>
    <row r="288" customFormat="false" ht="15" hidden="false" customHeight="false" outlineLevel="0" collapsed="false">
      <c r="A288" s="10" t="s">
        <v>1096</v>
      </c>
      <c r="B288" s="10" t="s">
        <v>1097</v>
      </c>
      <c r="C288" s="10" t="s">
        <v>1098</v>
      </c>
      <c r="D288" s="12" t="n">
        <v>8</v>
      </c>
      <c r="E288" s="12"/>
      <c r="F288" s="12"/>
      <c r="G288" s="10" t="s">
        <v>1099</v>
      </c>
      <c r="H288" s="10" t="s">
        <v>1100</v>
      </c>
      <c r="I288" s="11" t="s">
        <v>1101</v>
      </c>
      <c r="J288" s="10" t="s">
        <v>1102</v>
      </c>
      <c r="K288" s="10" t="s">
        <v>1103</v>
      </c>
      <c r="L288" s="10" t="s">
        <v>68</v>
      </c>
      <c r="M288" s="10" t="s">
        <v>69</v>
      </c>
      <c r="N288" s="10"/>
      <c r="O288" s="10"/>
      <c r="P288" s="10" t="s">
        <v>637</v>
      </c>
      <c r="Q288" s="11" t="s">
        <v>72</v>
      </c>
      <c r="R288" s="11" t="s">
        <v>73</v>
      </c>
      <c r="S288" s="11" t="s">
        <v>1104</v>
      </c>
      <c r="T288" s="11" t="s">
        <v>1105</v>
      </c>
      <c r="U288" s="10" t="n">
        <f aca="false">IF(AND($D288="",$E288="",$F288=""),1,0)</f>
        <v>0</v>
      </c>
      <c r="V288" s="10" t="n">
        <f aca="false">IF(OR($I288="",$I288="—"),1,0)</f>
        <v>0</v>
      </c>
      <c r="W288" s="10" t="n">
        <f aca="false">IF(AND(ISNUMBER($D288),ISNUMBER($E288)),IF($E288&gt;$D288,1,0),0)+IF(AND(ISNUMBER($D288),ISNUMBER($F288)),IF($D288&gt;$F288,1,0),0)+IF(AND(ISNUMBER($E288),ISNUMBER($F288)),IF($E288&gt;$F288,1,0),0)</f>
        <v>0</v>
      </c>
      <c r="X288" s="13" t="s">
        <v>76</v>
      </c>
    </row>
    <row r="289" customFormat="false" ht="15" hidden="false" customHeight="false" outlineLevel="0" collapsed="false">
      <c r="A289" s="10" t="s">
        <v>1106</v>
      </c>
      <c r="B289" s="10" t="s">
        <v>1107</v>
      </c>
      <c r="C289" s="10" t="s">
        <v>1108</v>
      </c>
      <c r="D289" s="12" t="n">
        <v>2</v>
      </c>
      <c r="E289" s="12"/>
      <c r="F289" s="12"/>
      <c r="G289" s="10" t="s">
        <v>1099</v>
      </c>
      <c r="H289" s="10" t="s">
        <v>1100</v>
      </c>
      <c r="I289" s="11" t="s">
        <v>1101</v>
      </c>
      <c r="J289" s="10" t="s">
        <v>1102</v>
      </c>
      <c r="K289" s="10" t="s">
        <v>1103</v>
      </c>
      <c r="L289" s="10" t="s">
        <v>68</v>
      </c>
      <c r="M289" s="10" t="s">
        <v>69</v>
      </c>
      <c r="N289" s="10"/>
      <c r="O289" s="10"/>
      <c r="P289" s="10" t="s">
        <v>637</v>
      </c>
      <c r="Q289" s="11" t="s">
        <v>72</v>
      </c>
      <c r="R289" s="11" t="s">
        <v>73</v>
      </c>
      <c r="S289" s="11" t="s">
        <v>1104</v>
      </c>
      <c r="T289" s="11" t="s">
        <v>1105</v>
      </c>
      <c r="U289" s="10" t="n">
        <f aca="false">IF(AND($D289="",$E289="",$F289=""),1,0)</f>
        <v>0</v>
      </c>
      <c r="V289" s="10" t="n">
        <f aca="false">IF(OR($I289="",$I289="—"),1,0)</f>
        <v>0</v>
      </c>
      <c r="W289" s="10" t="n">
        <f aca="false">IF(AND(ISNUMBER($D289),ISNUMBER($E289)),IF($E289&gt;$D289,1,0),0)+IF(AND(ISNUMBER($D289),ISNUMBER($F289)),IF($D289&gt;$F289,1,0),0)+IF(AND(ISNUMBER($E289),ISNUMBER($F289)),IF($E289&gt;$F289,1,0),0)</f>
        <v>0</v>
      </c>
      <c r="X289" s="13" t="s">
        <v>76</v>
      </c>
    </row>
    <row r="290" customFormat="false" ht="15" hidden="false" customHeight="false" outlineLevel="0" collapsed="false">
      <c r="A290" s="10" t="s">
        <v>1109</v>
      </c>
      <c r="B290" s="10" t="s">
        <v>1110</v>
      </c>
      <c r="C290" s="10" t="s">
        <v>1111</v>
      </c>
      <c r="D290" s="12" t="n">
        <v>28</v>
      </c>
      <c r="E290" s="12"/>
      <c r="F290" s="12"/>
      <c r="G290" s="10" t="s">
        <v>1099</v>
      </c>
      <c r="H290" s="10" t="s">
        <v>1100</v>
      </c>
      <c r="I290" s="11" t="s">
        <v>1101</v>
      </c>
      <c r="J290" s="10" t="s">
        <v>1102</v>
      </c>
      <c r="K290" s="10" t="s">
        <v>1103</v>
      </c>
      <c r="L290" s="10" t="s">
        <v>68</v>
      </c>
      <c r="M290" s="10" t="s">
        <v>69</v>
      </c>
      <c r="N290" s="10"/>
      <c r="O290" s="10"/>
      <c r="P290" s="10" t="s">
        <v>637</v>
      </c>
      <c r="Q290" s="11" t="s">
        <v>72</v>
      </c>
      <c r="R290" s="11" t="s">
        <v>73</v>
      </c>
      <c r="S290" s="11" t="s">
        <v>1104</v>
      </c>
      <c r="T290" s="11" t="s">
        <v>1105</v>
      </c>
      <c r="U290" s="10" t="n">
        <f aca="false">IF(AND($D290="",$E290="",$F290=""),1,0)</f>
        <v>0</v>
      </c>
      <c r="V290" s="10" t="n">
        <f aca="false">IF(OR($I290="",$I290="—"),1,0)</f>
        <v>0</v>
      </c>
      <c r="W290" s="10" t="n">
        <f aca="false">IF(AND(ISNUMBER($D290),ISNUMBER($E290)),IF($E290&gt;$D290,1,0),0)+IF(AND(ISNUMBER($D290),ISNUMBER($F290)),IF($D290&gt;$F290,1,0),0)+IF(AND(ISNUMBER($E290),ISNUMBER($F290)),IF($E290&gt;$F290,1,0),0)</f>
        <v>0</v>
      </c>
      <c r="X290" s="13" t="s">
        <v>76</v>
      </c>
    </row>
    <row r="291" customFormat="false" ht="15" hidden="false" customHeight="false" outlineLevel="0" collapsed="false">
      <c r="A291" s="10" t="s">
        <v>1112</v>
      </c>
      <c r="B291" s="10" t="s">
        <v>1113</v>
      </c>
      <c r="C291" s="10" t="s">
        <v>1114</v>
      </c>
      <c r="D291" s="12" t="n">
        <v>8</v>
      </c>
      <c r="E291" s="12"/>
      <c r="F291" s="12"/>
      <c r="G291" s="10" t="s">
        <v>1099</v>
      </c>
      <c r="H291" s="10" t="s">
        <v>1100</v>
      </c>
      <c r="I291" s="11" t="s">
        <v>1101</v>
      </c>
      <c r="J291" s="10" t="s">
        <v>1102</v>
      </c>
      <c r="K291" s="10" t="s">
        <v>1103</v>
      </c>
      <c r="L291" s="10" t="s">
        <v>68</v>
      </c>
      <c r="M291" s="10" t="s">
        <v>69</v>
      </c>
      <c r="N291" s="10"/>
      <c r="O291" s="10"/>
      <c r="P291" s="10" t="s">
        <v>637</v>
      </c>
      <c r="Q291" s="11" t="s">
        <v>72</v>
      </c>
      <c r="R291" s="11" t="s">
        <v>73</v>
      </c>
      <c r="S291" s="11" t="s">
        <v>1104</v>
      </c>
      <c r="T291" s="11" t="s">
        <v>1115</v>
      </c>
      <c r="U291" s="10" t="n">
        <f aca="false">IF(AND($D291="",$E291="",$F291=""),1,0)</f>
        <v>0</v>
      </c>
      <c r="V291" s="10" t="n">
        <f aca="false">IF(OR($I291="",$I291="—"),1,0)</f>
        <v>0</v>
      </c>
      <c r="W291" s="10" t="n">
        <f aca="false">IF(AND(ISNUMBER($D291),ISNUMBER($E291)),IF($E291&gt;$D291,1,0),0)+IF(AND(ISNUMBER($D291),ISNUMBER($F291)),IF($D291&gt;$F291,1,0),0)+IF(AND(ISNUMBER($E291),ISNUMBER($F291)),IF($E291&gt;$F291,1,0),0)</f>
        <v>0</v>
      </c>
      <c r="X291" s="13" t="s">
        <v>76</v>
      </c>
    </row>
    <row r="292" customFormat="false" ht="15" hidden="false" customHeight="false" outlineLevel="0" collapsed="false">
      <c r="A292" s="10" t="s">
        <v>1116</v>
      </c>
      <c r="B292" s="10" t="s">
        <v>1117</v>
      </c>
      <c r="C292" s="10" t="s">
        <v>1118</v>
      </c>
      <c r="D292" s="12" t="n">
        <v>2</v>
      </c>
      <c r="E292" s="12"/>
      <c r="F292" s="12"/>
      <c r="G292" s="10" t="s">
        <v>1099</v>
      </c>
      <c r="H292" s="10" t="s">
        <v>1100</v>
      </c>
      <c r="I292" s="11" t="s">
        <v>1101</v>
      </c>
      <c r="J292" s="10" t="s">
        <v>1102</v>
      </c>
      <c r="K292" s="10" t="s">
        <v>1103</v>
      </c>
      <c r="L292" s="10" t="s">
        <v>68</v>
      </c>
      <c r="M292" s="10" t="s">
        <v>69</v>
      </c>
      <c r="N292" s="10"/>
      <c r="O292" s="10"/>
      <c r="P292" s="10" t="s">
        <v>637</v>
      </c>
      <c r="Q292" s="11" t="s">
        <v>72</v>
      </c>
      <c r="R292" s="11" t="s">
        <v>73</v>
      </c>
      <c r="S292" s="11" t="s">
        <v>1104</v>
      </c>
      <c r="T292" s="11" t="s">
        <v>1115</v>
      </c>
      <c r="U292" s="10" t="n">
        <f aca="false">IF(AND($D292="",$E292="",$F292=""),1,0)</f>
        <v>0</v>
      </c>
      <c r="V292" s="10" t="n">
        <f aca="false">IF(OR($I292="",$I292="—"),1,0)</f>
        <v>0</v>
      </c>
      <c r="W292" s="10" t="n">
        <f aca="false">IF(AND(ISNUMBER($D292),ISNUMBER($E292)),IF($E292&gt;$D292,1,0),0)+IF(AND(ISNUMBER($D292),ISNUMBER($F292)),IF($D292&gt;$F292,1,0),0)+IF(AND(ISNUMBER($E292),ISNUMBER($F292)),IF($E292&gt;$F292,1,0),0)</f>
        <v>0</v>
      </c>
      <c r="X292" s="13" t="s">
        <v>76</v>
      </c>
    </row>
    <row r="293" customFormat="false" ht="15" hidden="false" customHeight="false" outlineLevel="0" collapsed="false">
      <c r="A293" s="10" t="s">
        <v>1119</v>
      </c>
      <c r="B293" s="10" t="s">
        <v>1120</v>
      </c>
      <c r="C293" s="10" t="s">
        <v>1121</v>
      </c>
      <c r="D293" s="12" t="n">
        <v>28</v>
      </c>
      <c r="E293" s="12"/>
      <c r="F293" s="12"/>
      <c r="G293" s="10" t="s">
        <v>1099</v>
      </c>
      <c r="H293" s="10" t="s">
        <v>1100</v>
      </c>
      <c r="I293" s="11" t="s">
        <v>1101</v>
      </c>
      <c r="J293" s="10" t="s">
        <v>1102</v>
      </c>
      <c r="K293" s="10" t="s">
        <v>1103</v>
      </c>
      <c r="L293" s="10" t="s">
        <v>68</v>
      </c>
      <c r="M293" s="10" t="s">
        <v>69</v>
      </c>
      <c r="N293" s="10"/>
      <c r="O293" s="10"/>
      <c r="P293" s="10" t="s">
        <v>637</v>
      </c>
      <c r="Q293" s="11" t="s">
        <v>72</v>
      </c>
      <c r="R293" s="11" t="s">
        <v>73</v>
      </c>
      <c r="S293" s="11" t="s">
        <v>1104</v>
      </c>
      <c r="T293" s="11" t="s">
        <v>1115</v>
      </c>
      <c r="U293" s="10" t="n">
        <f aca="false">IF(AND($D293="",$E293="",$F293=""),1,0)</f>
        <v>0</v>
      </c>
      <c r="V293" s="10" t="n">
        <f aca="false">IF(OR($I293="",$I293="—"),1,0)</f>
        <v>0</v>
      </c>
      <c r="W293" s="10" t="n">
        <f aca="false">IF(AND(ISNUMBER($D293),ISNUMBER($E293)),IF($E293&gt;$D293,1,0),0)+IF(AND(ISNUMBER($D293),ISNUMBER($F293)),IF($D293&gt;$F293,1,0),0)+IF(AND(ISNUMBER($E293),ISNUMBER($F293)),IF($E293&gt;$F293,1,0),0)</f>
        <v>0</v>
      </c>
      <c r="X293" s="13" t="s">
        <v>76</v>
      </c>
    </row>
    <row r="294" customFormat="false" ht="15" hidden="false" customHeight="false" outlineLevel="0" collapsed="false">
      <c r="A294" s="10" t="s">
        <v>1122</v>
      </c>
      <c r="B294" s="10" t="s">
        <v>1123</v>
      </c>
      <c r="C294" s="10" t="s">
        <v>1124</v>
      </c>
      <c r="D294" s="12" t="n">
        <v>6</v>
      </c>
      <c r="E294" s="12"/>
      <c r="F294" s="12"/>
      <c r="G294" s="10" t="s">
        <v>1099</v>
      </c>
      <c r="H294" s="10" t="s">
        <v>1100</v>
      </c>
      <c r="I294" s="11" t="s">
        <v>1101</v>
      </c>
      <c r="J294" s="10" t="s">
        <v>1102</v>
      </c>
      <c r="K294" s="10" t="s">
        <v>1103</v>
      </c>
      <c r="L294" s="10" t="s">
        <v>68</v>
      </c>
      <c r="M294" s="10" t="s">
        <v>69</v>
      </c>
      <c r="N294" s="10"/>
      <c r="O294" s="10"/>
      <c r="P294" s="10" t="s">
        <v>637</v>
      </c>
      <c r="Q294" s="11" t="s">
        <v>72</v>
      </c>
      <c r="R294" s="11" t="s">
        <v>73</v>
      </c>
      <c r="S294" s="11" t="s">
        <v>1104</v>
      </c>
      <c r="T294" s="11" t="s">
        <v>1125</v>
      </c>
      <c r="U294" s="10" t="n">
        <f aca="false">IF(AND($D294="",$E294="",$F294=""),1,0)</f>
        <v>0</v>
      </c>
      <c r="V294" s="10" t="n">
        <f aca="false">IF(OR($I294="",$I294="—"),1,0)</f>
        <v>0</v>
      </c>
      <c r="W294" s="10" t="n">
        <f aca="false">IF(AND(ISNUMBER($D294),ISNUMBER($E294)),IF($E294&gt;$D294,1,0),0)+IF(AND(ISNUMBER($D294),ISNUMBER($F294)),IF($D294&gt;$F294,1,0),0)+IF(AND(ISNUMBER($E294),ISNUMBER($F294)),IF($E294&gt;$F294,1,0),0)</f>
        <v>0</v>
      </c>
      <c r="X294" s="13" t="s">
        <v>76</v>
      </c>
    </row>
    <row r="295" customFormat="false" ht="15" hidden="false" customHeight="false" outlineLevel="0" collapsed="false">
      <c r="A295" s="10" t="s">
        <v>1126</v>
      </c>
      <c r="B295" s="10" t="s">
        <v>1127</v>
      </c>
      <c r="C295" s="10" t="s">
        <v>1128</v>
      </c>
      <c r="D295" s="12" t="n">
        <v>1.3</v>
      </c>
      <c r="E295" s="12"/>
      <c r="F295" s="12"/>
      <c r="G295" s="10" t="s">
        <v>1099</v>
      </c>
      <c r="H295" s="10" t="s">
        <v>1100</v>
      </c>
      <c r="I295" s="11" t="s">
        <v>1101</v>
      </c>
      <c r="J295" s="10" t="s">
        <v>1102</v>
      </c>
      <c r="K295" s="10" t="s">
        <v>1103</v>
      </c>
      <c r="L295" s="10" t="s">
        <v>68</v>
      </c>
      <c r="M295" s="10" t="s">
        <v>69</v>
      </c>
      <c r="N295" s="10"/>
      <c r="O295" s="10"/>
      <c r="P295" s="10" t="s">
        <v>637</v>
      </c>
      <c r="Q295" s="11" t="s">
        <v>72</v>
      </c>
      <c r="R295" s="11" t="s">
        <v>73</v>
      </c>
      <c r="S295" s="11" t="s">
        <v>1104</v>
      </c>
      <c r="T295" s="11" t="s">
        <v>1125</v>
      </c>
      <c r="U295" s="10" t="n">
        <f aca="false">IF(AND($D295="",$E295="",$F295=""),1,0)</f>
        <v>0</v>
      </c>
      <c r="V295" s="10" t="n">
        <f aca="false">IF(OR($I295="",$I295="—"),1,0)</f>
        <v>0</v>
      </c>
      <c r="W295" s="10" t="n">
        <f aca="false">IF(AND(ISNUMBER($D295),ISNUMBER($E295)),IF($E295&gt;$D295,1,0),0)+IF(AND(ISNUMBER($D295),ISNUMBER($F295)),IF($D295&gt;$F295,1,0),0)+IF(AND(ISNUMBER($E295),ISNUMBER($F295)),IF($E295&gt;$F295,1,0),0)</f>
        <v>0</v>
      </c>
      <c r="X295" s="13" t="s">
        <v>76</v>
      </c>
    </row>
    <row r="296" customFormat="false" ht="15" hidden="false" customHeight="false" outlineLevel="0" collapsed="false">
      <c r="A296" s="10" t="s">
        <v>1129</v>
      </c>
      <c r="B296" s="10" t="s">
        <v>1130</v>
      </c>
      <c r="C296" s="10" t="s">
        <v>1131</v>
      </c>
      <c r="D296" s="12" t="n">
        <v>24</v>
      </c>
      <c r="E296" s="12"/>
      <c r="F296" s="12"/>
      <c r="G296" s="10" t="s">
        <v>1099</v>
      </c>
      <c r="H296" s="10" t="s">
        <v>1100</v>
      </c>
      <c r="I296" s="11" t="s">
        <v>1101</v>
      </c>
      <c r="J296" s="10" t="s">
        <v>1102</v>
      </c>
      <c r="K296" s="10" t="s">
        <v>1103</v>
      </c>
      <c r="L296" s="10" t="s">
        <v>68</v>
      </c>
      <c r="M296" s="10" t="s">
        <v>69</v>
      </c>
      <c r="N296" s="10"/>
      <c r="O296" s="10"/>
      <c r="P296" s="10" t="s">
        <v>637</v>
      </c>
      <c r="Q296" s="11" t="s">
        <v>72</v>
      </c>
      <c r="R296" s="11" t="s">
        <v>73</v>
      </c>
      <c r="S296" s="11" t="s">
        <v>1104</v>
      </c>
      <c r="T296" s="11" t="s">
        <v>1125</v>
      </c>
      <c r="U296" s="10" t="n">
        <f aca="false">IF(AND($D296="",$E296="",$F296=""),1,0)</f>
        <v>0</v>
      </c>
      <c r="V296" s="10" t="n">
        <f aca="false">IF(OR($I296="",$I296="—"),1,0)</f>
        <v>0</v>
      </c>
      <c r="W296" s="10" t="n">
        <f aca="false">IF(AND(ISNUMBER($D296),ISNUMBER($E296)),IF($E296&gt;$D296,1,0),0)+IF(AND(ISNUMBER($D296),ISNUMBER($F296)),IF($D296&gt;$F296,1,0),0)+IF(AND(ISNUMBER($E296),ISNUMBER($F296)),IF($E296&gt;$F296,1,0),0)</f>
        <v>0</v>
      </c>
      <c r="X296" s="13" t="s">
        <v>76</v>
      </c>
    </row>
    <row r="297" customFormat="false" ht="15" hidden="false" customHeight="false" outlineLevel="0" collapsed="false">
      <c r="A297" s="10" t="s">
        <v>1132</v>
      </c>
      <c r="B297" s="10" t="s">
        <v>1133</v>
      </c>
      <c r="C297" s="10" t="s">
        <v>1134</v>
      </c>
      <c r="D297" s="12" t="n">
        <v>8</v>
      </c>
      <c r="E297" s="12"/>
      <c r="F297" s="12"/>
      <c r="G297" s="10" t="s">
        <v>1099</v>
      </c>
      <c r="H297" s="10" t="s">
        <v>1100</v>
      </c>
      <c r="I297" s="11" t="s">
        <v>1101</v>
      </c>
      <c r="J297" s="10" t="s">
        <v>1102</v>
      </c>
      <c r="K297" s="10" t="s">
        <v>1103</v>
      </c>
      <c r="L297" s="10" t="s">
        <v>68</v>
      </c>
      <c r="M297" s="10" t="s">
        <v>69</v>
      </c>
      <c r="N297" s="10"/>
      <c r="O297" s="10"/>
      <c r="P297" s="10" t="s">
        <v>637</v>
      </c>
      <c r="Q297" s="11" t="s">
        <v>72</v>
      </c>
      <c r="R297" s="11" t="s">
        <v>73</v>
      </c>
      <c r="S297" s="11" t="s">
        <v>1104</v>
      </c>
      <c r="T297" s="11" t="s">
        <v>1135</v>
      </c>
      <c r="U297" s="10" t="n">
        <f aca="false">IF(AND($D297="",$E297="",$F297=""),1,0)</f>
        <v>0</v>
      </c>
      <c r="V297" s="10" t="n">
        <f aca="false">IF(OR($I297="",$I297="—"),1,0)</f>
        <v>0</v>
      </c>
      <c r="W297" s="10" t="n">
        <f aca="false">IF(AND(ISNUMBER($D297),ISNUMBER($E297)),IF($E297&gt;$D297,1,0),0)+IF(AND(ISNUMBER($D297),ISNUMBER($F297)),IF($D297&gt;$F297,1,0),0)+IF(AND(ISNUMBER($E297),ISNUMBER($F297)),IF($E297&gt;$F297,1,0),0)</f>
        <v>0</v>
      </c>
      <c r="X297" s="13" t="s">
        <v>76</v>
      </c>
    </row>
    <row r="298" customFormat="false" ht="15" hidden="false" customHeight="false" outlineLevel="0" collapsed="false">
      <c r="A298" s="10" t="s">
        <v>1136</v>
      </c>
      <c r="B298" s="10" t="s">
        <v>1137</v>
      </c>
      <c r="C298" s="10" t="s">
        <v>1138</v>
      </c>
      <c r="D298" s="12" t="n">
        <v>2</v>
      </c>
      <c r="E298" s="12"/>
      <c r="F298" s="12"/>
      <c r="G298" s="10" t="s">
        <v>1099</v>
      </c>
      <c r="H298" s="10" t="s">
        <v>1100</v>
      </c>
      <c r="I298" s="11" t="s">
        <v>1101</v>
      </c>
      <c r="J298" s="10" t="s">
        <v>1102</v>
      </c>
      <c r="K298" s="10" t="s">
        <v>1103</v>
      </c>
      <c r="L298" s="10" t="s">
        <v>68</v>
      </c>
      <c r="M298" s="10" t="s">
        <v>69</v>
      </c>
      <c r="N298" s="10"/>
      <c r="O298" s="10"/>
      <c r="P298" s="10" t="s">
        <v>637</v>
      </c>
      <c r="Q298" s="11" t="s">
        <v>72</v>
      </c>
      <c r="R298" s="11" t="s">
        <v>73</v>
      </c>
      <c r="S298" s="11" t="s">
        <v>1104</v>
      </c>
      <c r="T298" s="11" t="s">
        <v>1135</v>
      </c>
      <c r="U298" s="10" t="n">
        <f aca="false">IF(AND($D298="",$E298="",$F298=""),1,0)</f>
        <v>0</v>
      </c>
      <c r="V298" s="10" t="n">
        <f aca="false">IF(OR($I298="",$I298="—"),1,0)</f>
        <v>0</v>
      </c>
      <c r="W298" s="10" t="n">
        <f aca="false">IF(AND(ISNUMBER($D298),ISNUMBER($E298)),IF($E298&gt;$D298,1,0),0)+IF(AND(ISNUMBER($D298),ISNUMBER($F298)),IF($D298&gt;$F298,1,0),0)+IF(AND(ISNUMBER($E298),ISNUMBER($F298)),IF($E298&gt;$F298,1,0),0)</f>
        <v>0</v>
      </c>
      <c r="X298" s="13" t="s">
        <v>76</v>
      </c>
    </row>
    <row r="299" customFormat="false" ht="15" hidden="false" customHeight="false" outlineLevel="0" collapsed="false">
      <c r="A299" s="10" t="s">
        <v>1139</v>
      </c>
      <c r="B299" s="10" t="s">
        <v>1140</v>
      </c>
      <c r="C299" s="10" t="s">
        <v>1141</v>
      </c>
      <c r="D299" s="12" t="n">
        <v>28</v>
      </c>
      <c r="E299" s="12"/>
      <c r="F299" s="12"/>
      <c r="G299" s="10" t="s">
        <v>1099</v>
      </c>
      <c r="H299" s="10" t="s">
        <v>1100</v>
      </c>
      <c r="I299" s="11" t="s">
        <v>1101</v>
      </c>
      <c r="J299" s="10" t="s">
        <v>1102</v>
      </c>
      <c r="K299" s="10" t="s">
        <v>1103</v>
      </c>
      <c r="L299" s="10" t="s">
        <v>68</v>
      </c>
      <c r="M299" s="10" t="s">
        <v>69</v>
      </c>
      <c r="N299" s="10"/>
      <c r="O299" s="10"/>
      <c r="P299" s="10" t="s">
        <v>637</v>
      </c>
      <c r="Q299" s="11" t="s">
        <v>72</v>
      </c>
      <c r="R299" s="11" t="s">
        <v>73</v>
      </c>
      <c r="S299" s="11" t="s">
        <v>1104</v>
      </c>
      <c r="T299" s="11" t="s">
        <v>1135</v>
      </c>
      <c r="U299" s="10" t="n">
        <f aca="false">IF(AND($D299="",$E299="",$F299=""),1,0)</f>
        <v>0</v>
      </c>
      <c r="V299" s="10" t="n">
        <f aca="false">IF(OR($I299="",$I299="—"),1,0)</f>
        <v>0</v>
      </c>
      <c r="W299" s="10" t="n">
        <f aca="false">IF(AND(ISNUMBER($D299),ISNUMBER($E299)),IF($E299&gt;$D299,1,0),0)+IF(AND(ISNUMBER($D299),ISNUMBER($F299)),IF($D299&gt;$F299,1,0),0)+IF(AND(ISNUMBER($E299),ISNUMBER($F299)),IF($E299&gt;$F299,1,0),0)</f>
        <v>0</v>
      </c>
      <c r="X299" s="13" t="s">
        <v>76</v>
      </c>
    </row>
    <row r="300" customFormat="false" ht="15" hidden="false" customHeight="false" outlineLevel="0" collapsed="false">
      <c r="A300" s="10" t="s">
        <v>1142</v>
      </c>
      <c r="B300" s="10" t="s">
        <v>1143</v>
      </c>
      <c r="C300" s="10" t="s">
        <v>1144</v>
      </c>
      <c r="D300" s="12" t="n">
        <v>5</v>
      </c>
      <c r="E300" s="12"/>
      <c r="F300" s="12"/>
      <c r="G300" s="10" t="s">
        <v>1099</v>
      </c>
      <c r="H300" s="10" t="s">
        <v>1100</v>
      </c>
      <c r="I300" s="11" t="s">
        <v>1101</v>
      </c>
      <c r="J300" s="10" t="s">
        <v>1102</v>
      </c>
      <c r="K300" s="10" t="s">
        <v>1103</v>
      </c>
      <c r="L300" s="10" t="s">
        <v>68</v>
      </c>
      <c r="M300" s="10" t="s">
        <v>69</v>
      </c>
      <c r="N300" s="10"/>
      <c r="O300" s="10"/>
      <c r="P300" s="10" t="s">
        <v>637</v>
      </c>
      <c r="Q300" s="11" t="s">
        <v>72</v>
      </c>
      <c r="R300" s="11" t="s">
        <v>73</v>
      </c>
      <c r="S300" s="11" t="s">
        <v>1104</v>
      </c>
      <c r="T300" s="11" t="s">
        <v>1145</v>
      </c>
      <c r="U300" s="10" t="n">
        <f aca="false">IF(AND($D300="",$E300="",$F300=""),1,0)</f>
        <v>0</v>
      </c>
      <c r="V300" s="10" t="n">
        <f aca="false">IF(OR($I300="",$I300="—"),1,0)</f>
        <v>0</v>
      </c>
      <c r="W300" s="10" t="n">
        <f aca="false">IF(AND(ISNUMBER($D300),ISNUMBER($E300)),IF($E300&gt;$D300,1,0),0)+IF(AND(ISNUMBER($D300),ISNUMBER($F300)),IF($D300&gt;$F300,1,0),0)+IF(AND(ISNUMBER($E300),ISNUMBER($F300)),IF($E300&gt;$F300,1,0),0)</f>
        <v>0</v>
      </c>
      <c r="X300" s="13" t="s">
        <v>76</v>
      </c>
    </row>
    <row r="301" customFormat="false" ht="15" hidden="false" customHeight="false" outlineLevel="0" collapsed="false">
      <c r="A301" s="10" t="s">
        <v>1146</v>
      </c>
      <c r="B301" s="10" t="s">
        <v>1147</v>
      </c>
      <c r="C301" s="10" t="s">
        <v>1148</v>
      </c>
      <c r="D301" s="12" t="n">
        <v>1.2</v>
      </c>
      <c r="E301" s="12"/>
      <c r="F301" s="12"/>
      <c r="G301" s="10" t="s">
        <v>1099</v>
      </c>
      <c r="H301" s="10" t="s">
        <v>1100</v>
      </c>
      <c r="I301" s="11" t="s">
        <v>1101</v>
      </c>
      <c r="J301" s="10" t="s">
        <v>1102</v>
      </c>
      <c r="K301" s="10" t="s">
        <v>1103</v>
      </c>
      <c r="L301" s="10" t="s">
        <v>68</v>
      </c>
      <c r="M301" s="10" t="s">
        <v>69</v>
      </c>
      <c r="N301" s="10"/>
      <c r="O301" s="10"/>
      <c r="P301" s="10" t="s">
        <v>637</v>
      </c>
      <c r="Q301" s="11" t="s">
        <v>72</v>
      </c>
      <c r="R301" s="11" t="s">
        <v>73</v>
      </c>
      <c r="S301" s="11" t="s">
        <v>1104</v>
      </c>
      <c r="T301" s="11" t="s">
        <v>1145</v>
      </c>
      <c r="U301" s="10" t="n">
        <f aca="false">IF(AND($D301="",$E301="",$F301=""),1,0)</f>
        <v>0</v>
      </c>
      <c r="V301" s="10" t="n">
        <f aca="false">IF(OR($I301="",$I301="—"),1,0)</f>
        <v>0</v>
      </c>
      <c r="W301" s="10" t="n">
        <f aca="false">IF(AND(ISNUMBER($D301),ISNUMBER($E301)),IF($E301&gt;$D301,1,0),0)+IF(AND(ISNUMBER($D301),ISNUMBER($F301)),IF($D301&gt;$F301,1,0),0)+IF(AND(ISNUMBER($E301),ISNUMBER($F301)),IF($E301&gt;$F301,1,0),0)</f>
        <v>0</v>
      </c>
      <c r="X301" s="13" t="s">
        <v>76</v>
      </c>
    </row>
    <row r="302" customFormat="false" ht="15" hidden="false" customHeight="false" outlineLevel="0" collapsed="false">
      <c r="A302" s="10" t="s">
        <v>1149</v>
      </c>
      <c r="B302" s="10" t="s">
        <v>1150</v>
      </c>
      <c r="C302" s="10" t="s">
        <v>1151</v>
      </c>
      <c r="D302" s="12" t="n">
        <v>22</v>
      </c>
      <c r="E302" s="12"/>
      <c r="F302" s="12"/>
      <c r="G302" s="10" t="s">
        <v>1099</v>
      </c>
      <c r="H302" s="10" t="s">
        <v>1100</v>
      </c>
      <c r="I302" s="11" t="s">
        <v>1101</v>
      </c>
      <c r="J302" s="10" t="s">
        <v>1102</v>
      </c>
      <c r="K302" s="10" t="s">
        <v>1103</v>
      </c>
      <c r="L302" s="10" t="s">
        <v>68</v>
      </c>
      <c r="M302" s="10" t="s">
        <v>69</v>
      </c>
      <c r="N302" s="10"/>
      <c r="O302" s="10"/>
      <c r="P302" s="10" t="s">
        <v>637</v>
      </c>
      <c r="Q302" s="11" t="s">
        <v>72</v>
      </c>
      <c r="R302" s="11" t="s">
        <v>73</v>
      </c>
      <c r="S302" s="11" t="s">
        <v>1104</v>
      </c>
      <c r="T302" s="11" t="s">
        <v>1145</v>
      </c>
      <c r="U302" s="10" t="n">
        <f aca="false">IF(AND($D302="",$E302="",$F302=""),1,0)</f>
        <v>0</v>
      </c>
      <c r="V302" s="10" t="n">
        <f aca="false">IF(OR($I302="",$I302="—"),1,0)</f>
        <v>0</v>
      </c>
      <c r="W302" s="10" t="n">
        <f aca="false">IF(AND(ISNUMBER($D302),ISNUMBER($E302)),IF($E302&gt;$D302,1,0),0)+IF(AND(ISNUMBER($D302),ISNUMBER($F302)),IF($D302&gt;$F302,1,0),0)+IF(AND(ISNUMBER($E302),ISNUMBER($F302)),IF($E302&gt;$F302,1,0),0)</f>
        <v>0</v>
      </c>
      <c r="X302" s="13" t="s">
        <v>76</v>
      </c>
    </row>
    <row r="303" customFormat="false" ht="15" hidden="false" customHeight="false" outlineLevel="0" collapsed="false">
      <c r="A303" s="10" t="s">
        <v>1152</v>
      </c>
      <c r="B303" s="10" t="s">
        <v>1153</v>
      </c>
      <c r="C303" s="10" t="s">
        <v>1154</v>
      </c>
      <c r="D303" s="12" t="n">
        <v>7</v>
      </c>
      <c r="E303" s="12"/>
      <c r="F303" s="12"/>
      <c r="G303" s="10" t="s">
        <v>1099</v>
      </c>
      <c r="H303" s="10" t="s">
        <v>1100</v>
      </c>
      <c r="I303" s="11" t="s">
        <v>1101</v>
      </c>
      <c r="J303" s="10" t="s">
        <v>1102</v>
      </c>
      <c r="K303" s="10" t="s">
        <v>1103</v>
      </c>
      <c r="L303" s="10" t="s">
        <v>68</v>
      </c>
      <c r="M303" s="10" t="s">
        <v>69</v>
      </c>
      <c r="N303" s="10"/>
      <c r="O303" s="10"/>
      <c r="P303" s="10" t="s">
        <v>637</v>
      </c>
      <c r="Q303" s="11" t="s">
        <v>72</v>
      </c>
      <c r="R303" s="11" t="s">
        <v>73</v>
      </c>
      <c r="S303" s="11" t="s">
        <v>1104</v>
      </c>
      <c r="T303" s="11" t="s">
        <v>1155</v>
      </c>
      <c r="U303" s="10" t="n">
        <f aca="false">IF(AND($D303="",$E303="",$F303=""),1,0)</f>
        <v>0</v>
      </c>
      <c r="V303" s="10" t="n">
        <f aca="false">IF(OR($I303="",$I303="—"),1,0)</f>
        <v>0</v>
      </c>
      <c r="W303" s="10" t="n">
        <f aca="false">IF(AND(ISNUMBER($D303),ISNUMBER($E303)),IF($E303&gt;$D303,1,0),0)+IF(AND(ISNUMBER($D303),ISNUMBER($F303)),IF($D303&gt;$F303,1,0),0)+IF(AND(ISNUMBER($E303),ISNUMBER($F303)),IF($E303&gt;$F303,1,0),0)</f>
        <v>0</v>
      </c>
      <c r="X303" s="13" t="s">
        <v>76</v>
      </c>
    </row>
    <row r="304" customFormat="false" ht="15" hidden="false" customHeight="false" outlineLevel="0" collapsed="false">
      <c r="A304" s="10" t="s">
        <v>1156</v>
      </c>
      <c r="B304" s="10" t="s">
        <v>1157</v>
      </c>
      <c r="C304" s="10" t="s">
        <v>1158</v>
      </c>
      <c r="D304" s="12" t="n">
        <v>1.8</v>
      </c>
      <c r="E304" s="12"/>
      <c r="F304" s="12"/>
      <c r="G304" s="10" t="s">
        <v>1099</v>
      </c>
      <c r="H304" s="10" t="s">
        <v>1100</v>
      </c>
      <c r="I304" s="11" t="s">
        <v>1101</v>
      </c>
      <c r="J304" s="10" t="s">
        <v>1102</v>
      </c>
      <c r="K304" s="10" t="s">
        <v>1103</v>
      </c>
      <c r="L304" s="10" t="s">
        <v>68</v>
      </c>
      <c r="M304" s="10" t="s">
        <v>69</v>
      </c>
      <c r="N304" s="10"/>
      <c r="O304" s="10"/>
      <c r="P304" s="10" t="s">
        <v>637</v>
      </c>
      <c r="Q304" s="11" t="s">
        <v>72</v>
      </c>
      <c r="R304" s="11" t="s">
        <v>73</v>
      </c>
      <c r="S304" s="11" t="s">
        <v>1104</v>
      </c>
      <c r="T304" s="11" t="s">
        <v>1155</v>
      </c>
      <c r="U304" s="10" t="n">
        <f aca="false">IF(AND($D304="",$E304="",$F304=""),1,0)</f>
        <v>0</v>
      </c>
      <c r="V304" s="10" t="n">
        <f aca="false">IF(OR($I304="",$I304="—"),1,0)</f>
        <v>0</v>
      </c>
      <c r="W304" s="10" t="n">
        <f aca="false">IF(AND(ISNUMBER($D304),ISNUMBER($E304)),IF($E304&gt;$D304,1,0),0)+IF(AND(ISNUMBER($D304),ISNUMBER($F304)),IF($D304&gt;$F304,1,0),0)+IF(AND(ISNUMBER($E304),ISNUMBER($F304)),IF($E304&gt;$F304,1,0),0)</f>
        <v>0</v>
      </c>
      <c r="X304" s="13" t="s">
        <v>76</v>
      </c>
    </row>
    <row r="305" customFormat="false" ht="15" hidden="false" customHeight="false" outlineLevel="0" collapsed="false">
      <c r="A305" s="10" t="s">
        <v>1159</v>
      </c>
      <c r="B305" s="10" t="s">
        <v>1160</v>
      </c>
      <c r="C305" s="10" t="s">
        <v>1161</v>
      </c>
      <c r="D305" s="12" t="n">
        <v>26</v>
      </c>
      <c r="E305" s="12"/>
      <c r="F305" s="12"/>
      <c r="G305" s="10" t="s">
        <v>1099</v>
      </c>
      <c r="H305" s="10" t="s">
        <v>1100</v>
      </c>
      <c r="I305" s="11" t="s">
        <v>1101</v>
      </c>
      <c r="J305" s="10" t="s">
        <v>1102</v>
      </c>
      <c r="K305" s="10" t="s">
        <v>1103</v>
      </c>
      <c r="L305" s="10" t="s">
        <v>68</v>
      </c>
      <c r="M305" s="10" t="s">
        <v>69</v>
      </c>
      <c r="N305" s="10"/>
      <c r="O305" s="10"/>
      <c r="P305" s="10" t="s">
        <v>637</v>
      </c>
      <c r="Q305" s="11" t="s">
        <v>72</v>
      </c>
      <c r="R305" s="11" t="s">
        <v>73</v>
      </c>
      <c r="S305" s="11" t="s">
        <v>1104</v>
      </c>
      <c r="T305" s="11" t="s">
        <v>1155</v>
      </c>
      <c r="U305" s="10" t="n">
        <f aca="false">IF(AND($D305="",$E305="",$F305=""),1,0)</f>
        <v>0</v>
      </c>
      <c r="V305" s="10" t="n">
        <f aca="false">IF(OR($I305="",$I305="—"),1,0)</f>
        <v>0</v>
      </c>
      <c r="W305" s="10" t="n">
        <f aca="false">IF(AND(ISNUMBER($D305),ISNUMBER($E305)),IF($E305&gt;$D305,1,0),0)+IF(AND(ISNUMBER($D305),ISNUMBER($F305)),IF($D305&gt;$F305,1,0),0)+IF(AND(ISNUMBER($E305),ISNUMBER($F305)),IF($E305&gt;$F305,1,0),0)</f>
        <v>0</v>
      </c>
      <c r="X305" s="13" t="s">
        <v>76</v>
      </c>
    </row>
    <row r="306" customFormat="false" ht="15" hidden="false" customHeight="false" outlineLevel="0" collapsed="false">
      <c r="A306" s="10" t="s">
        <v>1162</v>
      </c>
      <c r="B306" s="10" t="s">
        <v>1163</v>
      </c>
      <c r="C306" s="10" t="s">
        <v>1164</v>
      </c>
      <c r="D306" s="12" t="n">
        <v>4</v>
      </c>
      <c r="E306" s="12"/>
      <c r="F306" s="12"/>
      <c r="G306" s="10" t="s">
        <v>1099</v>
      </c>
      <c r="H306" s="10" t="s">
        <v>1100</v>
      </c>
      <c r="I306" s="11" t="s">
        <v>1101</v>
      </c>
      <c r="J306" s="10" t="s">
        <v>1102</v>
      </c>
      <c r="K306" s="10" t="s">
        <v>1103</v>
      </c>
      <c r="L306" s="10" t="s">
        <v>68</v>
      </c>
      <c r="M306" s="10" t="s">
        <v>69</v>
      </c>
      <c r="N306" s="10"/>
      <c r="O306" s="10"/>
      <c r="P306" s="10" t="s">
        <v>637</v>
      </c>
      <c r="Q306" s="11" t="s">
        <v>72</v>
      </c>
      <c r="R306" s="11" t="s">
        <v>73</v>
      </c>
      <c r="S306" s="11" t="s">
        <v>1104</v>
      </c>
      <c r="T306" s="11" t="s">
        <v>1165</v>
      </c>
      <c r="U306" s="10" t="n">
        <f aca="false">IF(AND($D306="",$E306="",$F306=""),1,0)</f>
        <v>0</v>
      </c>
      <c r="V306" s="10" t="n">
        <f aca="false">IF(OR($I306="",$I306="—"),1,0)</f>
        <v>0</v>
      </c>
      <c r="W306" s="10" t="n">
        <f aca="false">IF(AND(ISNUMBER($D306),ISNUMBER($E306)),IF($E306&gt;$D306,1,0),0)+IF(AND(ISNUMBER($D306),ISNUMBER($F306)),IF($D306&gt;$F306,1,0),0)+IF(AND(ISNUMBER($E306),ISNUMBER($F306)),IF($E306&gt;$F306,1,0),0)</f>
        <v>0</v>
      </c>
      <c r="X306" s="13" t="s">
        <v>76</v>
      </c>
    </row>
    <row r="307" customFormat="false" ht="15" hidden="false" customHeight="false" outlineLevel="0" collapsed="false">
      <c r="A307" s="10" t="s">
        <v>1166</v>
      </c>
      <c r="B307" s="10" t="s">
        <v>1167</v>
      </c>
      <c r="C307" s="10" t="s">
        <v>1168</v>
      </c>
      <c r="D307" s="12" t="n">
        <v>1</v>
      </c>
      <c r="E307" s="12"/>
      <c r="F307" s="12"/>
      <c r="G307" s="10" t="s">
        <v>1099</v>
      </c>
      <c r="H307" s="10" t="s">
        <v>1100</v>
      </c>
      <c r="I307" s="11" t="s">
        <v>1101</v>
      </c>
      <c r="J307" s="10" t="s">
        <v>1102</v>
      </c>
      <c r="K307" s="10" t="s">
        <v>1103</v>
      </c>
      <c r="L307" s="10" t="s">
        <v>68</v>
      </c>
      <c r="M307" s="10" t="s">
        <v>69</v>
      </c>
      <c r="N307" s="10"/>
      <c r="O307" s="10"/>
      <c r="P307" s="10" t="s">
        <v>637</v>
      </c>
      <c r="Q307" s="11" t="s">
        <v>72</v>
      </c>
      <c r="R307" s="11" t="s">
        <v>73</v>
      </c>
      <c r="S307" s="11" t="s">
        <v>1104</v>
      </c>
      <c r="T307" s="11" t="s">
        <v>1165</v>
      </c>
      <c r="U307" s="10" t="n">
        <f aca="false">IF(AND($D307="",$E307="",$F307=""),1,0)</f>
        <v>0</v>
      </c>
      <c r="V307" s="10" t="n">
        <f aca="false">IF(OR($I307="",$I307="—"),1,0)</f>
        <v>0</v>
      </c>
      <c r="W307" s="10" t="n">
        <f aca="false">IF(AND(ISNUMBER($D307),ISNUMBER($E307)),IF($E307&gt;$D307,1,0),0)+IF(AND(ISNUMBER($D307),ISNUMBER($F307)),IF($D307&gt;$F307,1,0),0)+IF(AND(ISNUMBER($E307),ISNUMBER($F307)),IF($E307&gt;$F307,1,0),0)</f>
        <v>0</v>
      </c>
      <c r="X307" s="13" t="s">
        <v>76</v>
      </c>
    </row>
    <row r="308" customFormat="false" ht="15" hidden="false" customHeight="false" outlineLevel="0" collapsed="false">
      <c r="A308" s="10" t="s">
        <v>1169</v>
      </c>
      <c r="B308" s="10" t="s">
        <v>1170</v>
      </c>
      <c r="C308" s="10" t="s">
        <v>1171</v>
      </c>
      <c r="D308" s="12" t="n">
        <v>18</v>
      </c>
      <c r="E308" s="12"/>
      <c r="F308" s="12"/>
      <c r="G308" s="10" t="s">
        <v>1099</v>
      </c>
      <c r="H308" s="10" t="s">
        <v>1100</v>
      </c>
      <c r="I308" s="11" t="s">
        <v>1101</v>
      </c>
      <c r="J308" s="10" t="s">
        <v>1102</v>
      </c>
      <c r="K308" s="10" t="s">
        <v>1103</v>
      </c>
      <c r="L308" s="10" t="s">
        <v>68</v>
      </c>
      <c r="M308" s="10" t="s">
        <v>69</v>
      </c>
      <c r="N308" s="10"/>
      <c r="O308" s="10"/>
      <c r="P308" s="10" t="s">
        <v>637</v>
      </c>
      <c r="Q308" s="11" t="s">
        <v>72</v>
      </c>
      <c r="R308" s="11" t="s">
        <v>73</v>
      </c>
      <c r="S308" s="11" t="s">
        <v>1104</v>
      </c>
      <c r="T308" s="11" t="s">
        <v>1165</v>
      </c>
      <c r="U308" s="10" t="n">
        <f aca="false">IF(AND($D308="",$E308="",$F308=""),1,0)</f>
        <v>0</v>
      </c>
      <c r="V308" s="10" t="n">
        <f aca="false">IF(OR($I308="",$I308="—"),1,0)</f>
        <v>0</v>
      </c>
      <c r="W308" s="10" t="n">
        <f aca="false">IF(AND(ISNUMBER($D308),ISNUMBER($E308)),IF($E308&gt;$D308,1,0),0)+IF(AND(ISNUMBER($D308),ISNUMBER($F308)),IF($D308&gt;$F308,1,0),0)+IF(AND(ISNUMBER($E308),ISNUMBER($F308)),IF($E308&gt;$F308,1,0),0)</f>
        <v>0</v>
      </c>
      <c r="X308" s="13" t="s">
        <v>76</v>
      </c>
    </row>
    <row r="309" customFormat="false" ht="15" hidden="false" customHeight="false" outlineLevel="0" collapsed="false">
      <c r="A309" s="10" t="s">
        <v>1172</v>
      </c>
      <c r="B309" s="10" t="s">
        <v>1173</v>
      </c>
      <c r="C309" s="10" t="s">
        <v>1174</v>
      </c>
      <c r="D309" s="12" t="n">
        <v>6</v>
      </c>
      <c r="E309" s="12"/>
      <c r="F309" s="12"/>
      <c r="G309" s="10" t="s">
        <v>1099</v>
      </c>
      <c r="H309" s="10" t="s">
        <v>1100</v>
      </c>
      <c r="I309" s="11" t="s">
        <v>1101</v>
      </c>
      <c r="J309" s="10" t="s">
        <v>1102</v>
      </c>
      <c r="K309" s="10" t="s">
        <v>1103</v>
      </c>
      <c r="L309" s="10" t="s">
        <v>68</v>
      </c>
      <c r="M309" s="10" t="s">
        <v>69</v>
      </c>
      <c r="N309" s="10"/>
      <c r="O309" s="10"/>
      <c r="P309" s="10" t="s">
        <v>637</v>
      </c>
      <c r="Q309" s="11" t="s">
        <v>72</v>
      </c>
      <c r="R309" s="11" t="s">
        <v>73</v>
      </c>
      <c r="S309" s="11" t="s">
        <v>1104</v>
      </c>
      <c r="T309" s="11" t="s">
        <v>1175</v>
      </c>
      <c r="U309" s="10" t="n">
        <f aca="false">IF(AND($D309="",$E309="",$F309=""),1,0)</f>
        <v>0</v>
      </c>
      <c r="V309" s="10" t="n">
        <f aca="false">IF(OR($I309="",$I309="—"),1,0)</f>
        <v>0</v>
      </c>
      <c r="W309" s="10" t="n">
        <f aca="false">IF(AND(ISNUMBER($D309),ISNUMBER($E309)),IF($E309&gt;$D309,1,0),0)+IF(AND(ISNUMBER($D309),ISNUMBER($F309)),IF($D309&gt;$F309,1,0),0)+IF(AND(ISNUMBER($E309),ISNUMBER($F309)),IF($E309&gt;$F309,1,0),0)</f>
        <v>0</v>
      </c>
      <c r="X309" s="13" t="s">
        <v>76</v>
      </c>
    </row>
    <row r="310" customFormat="false" ht="15" hidden="false" customHeight="false" outlineLevel="0" collapsed="false">
      <c r="A310" s="10" t="s">
        <v>1176</v>
      </c>
      <c r="B310" s="10" t="s">
        <v>1177</v>
      </c>
      <c r="C310" s="10" t="s">
        <v>1178</v>
      </c>
      <c r="D310" s="12" t="n">
        <v>1.5</v>
      </c>
      <c r="E310" s="12"/>
      <c r="F310" s="12"/>
      <c r="G310" s="10" t="s">
        <v>1099</v>
      </c>
      <c r="H310" s="10" t="s">
        <v>1100</v>
      </c>
      <c r="I310" s="11" t="s">
        <v>1101</v>
      </c>
      <c r="J310" s="10" t="s">
        <v>1102</v>
      </c>
      <c r="K310" s="10" t="s">
        <v>1103</v>
      </c>
      <c r="L310" s="10" t="s">
        <v>68</v>
      </c>
      <c r="M310" s="10" t="s">
        <v>69</v>
      </c>
      <c r="N310" s="10"/>
      <c r="O310" s="10"/>
      <c r="P310" s="10" t="s">
        <v>637</v>
      </c>
      <c r="Q310" s="11" t="s">
        <v>72</v>
      </c>
      <c r="R310" s="11" t="s">
        <v>73</v>
      </c>
      <c r="S310" s="11" t="s">
        <v>1104</v>
      </c>
      <c r="T310" s="11" t="s">
        <v>1175</v>
      </c>
      <c r="U310" s="10" t="n">
        <f aca="false">IF(AND($D310="",$E310="",$F310=""),1,0)</f>
        <v>0</v>
      </c>
      <c r="V310" s="10" t="n">
        <f aca="false">IF(OR($I310="",$I310="—"),1,0)</f>
        <v>0</v>
      </c>
      <c r="W310" s="10" t="n">
        <f aca="false">IF(AND(ISNUMBER($D310),ISNUMBER($E310)),IF($E310&gt;$D310,1,0),0)+IF(AND(ISNUMBER($D310),ISNUMBER($F310)),IF($D310&gt;$F310,1,0),0)+IF(AND(ISNUMBER($E310),ISNUMBER($F310)),IF($E310&gt;$F310,1,0),0)</f>
        <v>0</v>
      </c>
      <c r="X310" s="13" t="s">
        <v>76</v>
      </c>
    </row>
    <row r="311" customFormat="false" ht="15" hidden="false" customHeight="false" outlineLevel="0" collapsed="false">
      <c r="A311" s="10" t="s">
        <v>1179</v>
      </c>
      <c r="B311" s="10" t="s">
        <v>1180</v>
      </c>
      <c r="C311" s="10" t="s">
        <v>1181</v>
      </c>
      <c r="D311" s="12" t="n">
        <v>22</v>
      </c>
      <c r="E311" s="12"/>
      <c r="F311" s="12"/>
      <c r="G311" s="10" t="s">
        <v>1099</v>
      </c>
      <c r="H311" s="10" t="s">
        <v>1100</v>
      </c>
      <c r="I311" s="11" t="s">
        <v>1101</v>
      </c>
      <c r="J311" s="10" t="s">
        <v>1102</v>
      </c>
      <c r="K311" s="10" t="s">
        <v>1103</v>
      </c>
      <c r="L311" s="10" t="s">
        <v>68</v>
      </c>
      <c r="M311" s="10" t="s">
        <v>69</v>
      </c>
      <c r="N311" s="10"/>
      <c r="O311" s="10"/>
      <c r="P311" s="10" t="s">
        <v>637</v>
      </c>
      <c r="Q311" s="11" t="s">
        <v>72</v>
      </c>
      <c r="R311" s="11" t="s">
        <v>73</v>
      </c>
      <c r="S311" s="11" t="s">
        <v>1104</v>
      </c>
      <c r="T311" s="11" t="s">
        <v>1175</v>
      </c>
      <c r="U311" s="10" t="n">
        <f aca="false">IF(AND($D311="",$E311="",$F311=""),1,0)</f>
        <v>0</v>
      </c>
      <c r="V311" s="10" t="n">
        <f aca="false">IF(OR($I311="",$I311="—"),1,0)</f>
        <v>0</v>
      </c>
      <c r="W311" s="10" t="n">
        <f aca="false">IF(AND(ISNUMBER($D311),ISNUMBER($E311)),IF($E311&gt;$D311,1,0),0)+IF(AND(ISNUMBER($D311),ISNUMBER($F311)),IF($D311&gt;$F311,1,0),0)+IF(AND(ISNUMBER($E311),ISNUMBER($F311)),IF($E311&gt;$F311,1,0),0)</f>
        <v>0</v>
      </c>
      <c r="X311" s="13" t="s">
        <v>76</v>
      </c>
    </row>
    <row r="312" customFormat="false" ht="15" hidden="false" customHeight="false" outlineLevel="0" collapsed="false">
      <c r="A312" s="10" t="s">
        <v>1182</v>
      </c>
      <c r="B312" s="10" t="s">
        <v>1183</v>
      </c>
      <c r="C312" s="10" t="s">
        <v>1184</v>
      </c>
      <c r="D312" s="12" t="n">
        <v>2</v>
      </c>
      <c r="E312" s="12"/>
      <c r="F312" s="12"/>
      <c r="G312" s="10" t="s">
        <v>1099</v>
      </c>
      <c r="H312" s="10" t="s">
        <v>1100</v>
      </c>
      <c r="I312" s="11" t="s">
        <v>1101</v>
      </c>
      <c r="J312" s="10" t="s">
        <v>1102</v>
      </c>
      <c r="K312" s="10" t="s">
        <v>1103</v>
      </c>
      <c r="L312" s="10" t="s">
        <v>68</v>
      </c>
      <c r="M312" s="10" t="s">
        <v>69</v>
      </c>
      <c r="N312" s="10"/>
      <c r="O312" s="10"/>
      <c r="P312" s="10" t="s">
        <v>637</v>
      </c>
      <c r="Q312" s="11" t="s">
        <v>72</v>
      </c>
      <c r="R312" s="11" t="s">
        <v>73</v>
      </c>
      <c r="S312" s="11" t="s">
        <v>1104</v>
      </c>
      <c r="T312" s="11" t="s">
        <v>1185</v>
      </c>
      <c r="U312" s="10" t="n">
        <f aca="false">IF(AND($D312="",$E312="",$F312=""),1,0)</f>
        <v>0</v>
      </c>
      <c r="V312" s="10" t="n">
        <f aca="false">IF(OR($I312="",$I312="—"),1,0)</f>
        <v>0</v>
      </c>
      <c r="W312" s="10" t="n">
        <f aca="false">IF(AND(ISNUMBER($D312),ISNUMBER($E312)),IF($E312&gt;$D312,1,0),0)+IF(AND(ISNUMBER($D312),ISNUMBER($F312)),IF($D312&gt;$F312,1,0),0)+IF(AND(ISNUMBER($E312),ISNUMBER($F312)),IF($E312&gt;$F312,1,0),0)</f>
        <v>0</v>
      </c>
      <c r="X312" s="13" t="s">
        <v>76</v>
      </c>
    </row>
    <row r="313" customFormat="false" ht="15" hidden="false" customHeight="false" outlineLevel="0" collapsed="false">
      <c r="A313" s="10" t="s">
        <v>1186</v>
      </c>
      <c r="B313" s="10" t="s">
        <v>1187</v>
      </c>
      <c r="C313" s="10" t="s">
        <v>1188</v>
      </c>
      <c r="D313" s="12" t="n">
        <v>0.4</v>
      </c>
      <c r="E313" s="12"/>
      <c r="F313" s="12"/>
      <c r="G313" s="10" t="s">
        <v>1099</v>
      </c>
      <c r="H313" s="10" t="s">
        <v>1100</v>
      </c>
      <c r="I313" s="11" t="s">
        <v>1101</v>
      </c>
      <c r="J313" s="10" t="s">
        <v>1102</v>
      </c>
      <c r="K313" s="10" t="s">
        <v>1103</v>
      </c>
      <c r="L313" s="10" t="s">
        <v>68</v>
      </c>
      <c r="M313" s="10" t="s">
        <v>69</v>
      </c>
      <c r="N313" s="10"/>
      <c r="O313" s="10"/>
      <c r="P313" s="10" t="s">
        <v>637</v>
      </c>
      <c r="Q313" s="11" t="s">
        <v>72</v>
      </c>
      <c r="R313" s="11" t="s">
        <v>73</v>
      </c>
      <c r="S313" s="11" t="s">
        <v>1104</v>
      </c>
      <c r="T313" s="11" t="s">
        <v>1185</v>
      </c>
      <c r="U313" s="10" t="n">
        <f aca="false">IF(AND($D313="",$E313="",$F313=""),1,0)</f>
        <v>0</v>
      </c>
      <c r="V313" s="10" t="n">
        <f aca="false">IF(OR($I313="",$I313="—"),1,0)</f>
        <v>0</v>
      </c>
      <c r="W313" s="10" t="n">
        <f aca="false">IF(AND(ISNUMBER($D313),ISNUMBER($E313)),IF($E313&gt;$D313,1,0),0)+IF(AND(ISNUMBER($D313),ISNUMBER($F313)),IF($D313&gt;$F313,1,0),0)+IF(AND(ISNUMBER($E313),ISNUMBER($F313)),IF($E313&gt;$F313,1,0),0)</f>
        <v>0</v>
      </c>
      <c r="X313" s="13" t="s">
        <v>76</v>
      </c>
    </row>
    <row r="314" customFormat="false" ht="15" hidden="false" customHeight="false" outlineLevel="0" collapsed="false">
      <c r="A314" s="10" t="s">
        <v>1189</v>
      </c>
      <c r="B314" s="10" t="s">
        <v>1190</v>
      </c>
      <c r="C314" s="10" t="s">
        <v>1191</v>
      </c>
      <c r="D314" s="12" t="n">
        <v>8</v>
      </c>
      <c r="E314" s="12"/>
      <c r="F314" s="12"/>
      <c r="G314" s="10" t="s">
        <v>1099</v>
      </c>
      <c r="H314" s="10" t="s">
        <v>1100</v>
      </c>
      <c r="I314" s="11" t="s">
        <v>1101</v>
      </c>
      <c r="J314" s="10" t="s">
        <v>1102</v>
      </c>
      <c r="K314" s="10" t="s">
        <v>1103</v>
      </c>
      <c r="L314" s="10" t="s">
        <v>68</v>
      </c>
      <c r="M314" s="10" t="s">
        <v>69</v>
      </c>
      <c r="N314" s="10"/>
      <c r="O314" s="10"/>
      <c r="P314" s="10" t="s">
        <v>637</v>
      </c>
      <c r="Q314" s="11" t="s">
        <v>72</v>
      </c>
      <c r="R314" s="11" t="s">
        <v>73</v>
      </c>
      <c r="S314" s="11" t="s">
        <v>1104</v>
      </c>
      <c r="T314" s="11" t="s">
        <v>1185</v>
      </c>
      <c r="U314" s="10" t="n">
        <f aca="false">IF(AND($D314="",$E314="",$F314=""),1,0)</f>
        <v>0</v>
      </c>
      <c r="V314" s="10" t="n">
        <f aca="false">IF(OR($I314="",$I314="—"),1,0)</f>
        <v>0</v>
      </c>
      <c r="W314" s="10" t="n">
        <f aca="false">IF(AND(ISNUMBER($D314),ISNUMBER($E314)),IF($E314&gt;$D314,1,0),0)+IF(AND(ISNUMBER($D314),ISNUMBER($F314)),IF($D314&gt;$F314,1,0),0)+IF(AND(ISNUMBER($E314),ISNUMBER($F314)),IF($E314&gt;$F314,1,0),0)</f>
        <v>0</v>
      </c>
      <c r="X314" s="13" t="s">
        <v>76</v>
      </c>
    </row>
    <row r="315" customFormat="false" ht="15" hidden="false" customHeight="false" outlineLevel="0" collapsed="false">
      <c r="A315" s="10" t="s">
        <v>1192</v>
      </c>
      <c r="B315" s="10" t="s">
        <v>1193</v>
      </c>
      <c r="C315" s="10" t="s">
        <v>1194</v>
      </c>
      <c r="D315" s="12" t="n">
        <v>3</v>
      </c>
      <c r="E315" s="12"/>
      <c r="F315" s="12"/>
      <c r="G315" s="10" t="s">
        <v>1099</v>
      </c>
      <c r="H315" s="10" t="s">
        <v>1100</v>
      </c>
      <c r="I315" s="11" t="s">
        <v>1101</v>
      </c>
      <c r="J315" s="10" t="s">
        <v>1102</v>
      </c>
      <c r="K315" s="10" t="s">
        <v>1103</v>
      </c>
      <c r="L315" s="10" t="s">
        <v>68</v>
      </c>
      <c r="M315" s="10" t="s">
        <v>69</v>
      </c>
      <c r="N315" s="10"/>
      <c r="O315" s="10"/>
      <c r="P315" s="10" t="s">
        <v>637</v>
      </c>
      <c r="Q315" s="11" t="s">
        <v>72</v>
      </c>
      <c r="R315" s="11" t="s">
        <v>73</v>
      </c>
      <c r="S315" s="11" t="s">
        <v>1104</v>
      </c>
      <c r="T315" s="11" t="s">
        <v>1195</v>
      </c>
      <c r="U315" s="10" t="n">
        <f aca="false">IF(AND($D315="",$E315="",$F315=""),1,0)</f>
        <v>0</v>
      </c>
      <c r="V315" s="10" t="n">
        <f aca="false">IF(OR($I315="",$I315="—"),1,0)</f>
        <v>0</v>
      </c>
      <c r="W315" s="10" t="n">
        <f aca="false">IF(AND(ISNUMBER($D315),ISNUMBER($E315)),IF($E315&gt;$D315,1,0),0)+IF(AND(ISNUMBER($D315),ISNUMBER($F315)),IF($D315&gt;$F315,1,0),0)+IF(AND(ISNUMBER($E315),ISNUMBER($F315)),IF($E315&gt;$F315,1,0),0)</f>
        <v>0</v>
      </c>
      <c r="X315" s="13" t="s">
        <v>76</v>
      </c>
    </row>
    <row r="316" customFormat="false" ht="15" hidden="false" customHeight="false" outlineLevel="0" collapsed="false">
      <c r="A316" s="10" t="s">
        <v>1196</v>
      </c>
      <c r="B316" s="10" t="s">
        <v>1197</v>
      </c>
      <c r="C316" s="10" t="s">
        <v>1198</v>
      </c>
      <c r="D316" s="12" t="n">
        <v>0.6</v>
      </c>
      <c r="E316" s="12"/>
      <c r="F316" s="12"/>
      <c r="G316" s="10" t="s">
        <v>1099</v>
      </c>
      <c r="H316" s="10" t="s">
        <v>1100</v>
      </c>
      <c r="I316" s="11" t="s">
        <v>1101</v>
      </c>
      <c r="J316" s="10" t="s">
        <v>1102</v>
      </c>
      <c r="K316" s="10" t="s">
        <v>1103</v>
      </c>
      <c r="L316" s="10" t="s">
        <v>68</v>
      </c>
      <c r="M316" s="10" t="s">
        <v>69</v>
      </c>
      <c r="N316" s="10"/>
      <c r="O316" s="10"/>
      <c r="P316" s="10" t="s">
        <v>637</v>
      </c>
      <c r="Q316" s="11" t="s">
        <v>72</v>
      </c>
      <c r="R316" s="11" t="s">
        <v>73</v>
      </c>
      <c r="S316" s="11" t="s">
        <v>1104</v>
      </c>
      <c r="T316" s="11" t="s">
        <v>1195</v>
      </c>
      <c r="U316" s="10" t="n">
        <f aca="false">IF(AND($D316="",$E316="",$F316=""),1,0)</f>
        <v>0</v>
      </c>
      <c r="V316" s="10" t="n">
        <f aca="false">IF(OR($I316="",$I316="—"),1,0)</f>
        <v>0</v>
      </c>
      <c r="W316" s="10" t="n">
        <f aca="false">IF(AND(ISNUMBER($D316),ISNUMBER($E316)),IF($E316&gt;$D316,1,0),0)+IF(AND(ISNUMBER($D316),ISNUMBER($F316)),IF($D316&gt;$F316,1,0),0)+IF(AND(ISNUMBER($E316),ISNUMBER($F316)),IF($E316&gt;$F316,1,0),0)</f>
        <v>0</v>
      </c>
      <c r="X316" s="13" t="s">
        <v>76</v>
      </c>
    </row>
    <row r="317" customFormat="false" ht="15" hidden="false" customHeight="false" outlineLevel="0" collapsed="false">
      <c r="A317" s="10" t="s">
        <v>1199</v>
      </c>
      <c r="B317" s="10" t="s">
        <v>1200</v>
      </c>
      <c r="C317" s="10" t="s">
        <v>1201</v>
      </c>
      <c r="D317" s="12" t="n">
        <v>14</v>
      </c>
      <c r="E317" s="12"/>
      <c r="F317" s="12"/>
      <c r="G317" s="10" t="s">
        <v>1099</v>
      </c>
      <c r="H317" s="10" t="s">
        <v>1100</v>
      </c>
      <c r="I317" s="11" t="s">
        <v>1101</v>
      </c>
      <c r="J317" s="10" t="s">
        <v>1102</v>
      </c>
      <c r="K317" s="10" t="s">
        <v>1103</v>
      </c>
      <c r="L317" s="10" t="s">
        <v>68</v>
      </c>
      <c r="M317" s="10" t="s">
        <v>69</v>
      </c>
      <c r="N317" s="10"/>
      <c r="O317" s="10"/>
      <c r="P317" s="10" t="s">
        <v>637</v>
      </c>
      <c r="Q317" s="11" t="s">
        <v>72</v>
      </c>
      <c r="R317" s="11" t="s">
        <v>73</v>
      </c>
      <c r="S317" s="11" t="s">
        <v>1104</v>
      </c>
      <c r="T317" s="11" t="s">
        <v>1195</v>
      </c>
      <c r="U317" s="10" t="n">
        <f aca="false">IF(AND($D317="",$E317="",$F317=""),1,0)</f>
        <v>0</v>
      </c>
      <c r="V317" s="10" t="n">
        <f aca="false">IF(OR($I317="",$I317="—"),1,0)</f>
        <v>0</v>
      </c>
      <c r="W317" s="10" t="n">
        <f aca="false">IF(AND(ISNUMBER($D317),ISNUMBER($E317)),IF($E317&gt;$D317,1,0),0)+IF(AND(ISNUMBER($D317),ISNUMBER($F317)),IF($D317&gt;$F317,1,0),0)+IF(AND(ISNUMBER($E317),ISNUMBER($F317)),IF($E317&gt;$F317,1,0),0)</f>
        <v>0</v>
      </c>
      <c r="X317" s="13" t="s">
        <v>76</v>
      </c>
    </row>
    <row r="318" customFormat="false" ht="15" hidden="false" customHeight="false" outlineLevel="0" collapsed="false">
      <c r="A318" s="10" t="s">
        <v>1202</v>
      </c>
      <c r="B318" s="10" t="s">
        <v>1203</v>
      </c>
      <c r="C318" s="10" t="s">
        <v>1204</v>
      </c>
      <c r="D318" s="12" t="n">
        <v>4</v>
      </c>
      <c r="E318" s="12"/>
      <c r="F318" s="12"/>
      <c r="G318" s="10" t="s">
        <v>1099</v>
      </c>
      <c r="H318" s="10" t="s">
        <v>1100</v>
      </c>
      <c r="I318" s="11" t="s">
        <v>1101</v>
      </c>
      <c r="J318" s="10" t="s">
        <v>1102</v>
      </c>
      <c r="K318" s="10" t="s">
        <v>1103</v>
      </c>
      <c r="L318" s="10" t="s">
        <v>68</v>
      </c>
      <c r="M318" s="10" t="s">
        <v>69</v>
      </c>
      <c r="N318" s="10"/>
      <c r="O318" s="10"/>
      <c r="P318" s="10" t="s">
        <v>637</v>
      </c>
      <c r="Q318" s="11" t="s">
        <v>72</v>
      </c>
      <c r="R318" s="11" t="s">
        <v>73</v>
      </c>
      <c r="S318" s="11" t="s">
        <v>1104</v>
      </c>
      <c r="T318" s="11" t="s">
        <v>1205</v>
      </c>
      <c r="U318" s="10" t="n">
        <f aca="false">IF(AND($D318="",$E318="",$F318=""),1,0)</f>
        <v>0</v>
      </c>
      <c r="V318" s="10" t="n">
        <f aca="false">IF(OR($I318="",$I318="—"),1,0)</f>
        <v>0</v>
      </c>
      <c r="W318" s="10" t="n">
        <f aca="false">IF(AND(ISNUMBER($D318),ISNUMBER($E318)),IF($E318&gt;$D318,1,0),0)+IF(AND(ISNUMBER($D318),ISNUMBER($F318)),IF($D318&gt;$F318,1,0),0)+IF(AND(ISNUMBER($E318),ISNUMBER($F318)),IF($E318&gt;$F318,1,0),0)</f>
        <v>0</v>
      </c>
      <c r="X318" s="13" t="s">
        <v>76</v>
      </c>
    </row>
    <row r="319" customFormat="false" ht="15" hidden="false" customHeight="false" outlineLevel="0" collapsed="false">
      <c r="A319" s="10" t="s">
        <v>1206</v>
      </c>
      <c r="B319" s="10" t="s">
        <v>1207</v>
      </c>
      <c r="C319" s="10" t="s">
        <v>1208</v>
      </c>
      <c r="D319" s="12" t="n">
        <v>0.8</v>
      </c>
      <c r="E319" s="12"/>
      <c r="F319" s="12"/>
      <c r="G319" s="10" t="s">
        <v>1099</v>
      </c>
      <c r="H319" s="10" t="s">
        <v>1100</v>
      </c>
      <c r="I319" s="11" t="s">
        <v>1101</v>
      </c>
      <c r="J319" s="10" t="s">
        <v>1102</v>
      </c>
      <c r="K319" s="10" t="s">
        <v>1103</v>
      </c>
      <c r="L319" s="10" t="s">
        <v>68</v>
      </c>
      <c r="M319" s="10" t="s">
        <v>69</v>
      </c>
      <c r="N319" s="10"/>
      <c r="O319" s="10"/>
      <c r="P319" s="10" t="s">
        <v>637</v>
      </c>
      <c r="Q319" s="11" t="s">
        <v>72</v>
      </c>
      <c r="R319" s="11" t="s">
        <v>73</v>
      </c>
      <c r="S319" s="11" t="s">
        <v>1104</v>
      </c>
      <c r="T319" s="11" t="s">
        <v>1205</v>
      </c>
      <c r="U319" s="10" t="n">
        <f aca="false">IF(AND($D319="",$E319="",$F319=""),1,0)</f>
        <v>0</v>
      </c>
      <c r="V319" s="10" t="n">
        <f aca="false">IF(OR($I319="",$I319="—"),1,0)</f>
        <v>0</v>
      </c>
      <c r="W319" s="10" t="n">
        <f aca="false">IF(AND(ISNUMBER($D319),ISNUMBER($E319)),IF($E319&gt;$D319,1,0),0)+IF(AND(ISNUMBER($D319),ISNUMBER($F319)),IF($D319&gt;$F319,1,0),0)+IF(AND(ISNUMBER($E319),ISNUMBER($F319)),IF($E319&gt;$F319,1,0),0)</f>
        <v>0</v>
      </c>
      <c r="X319" s="13" t="s">
        <v>76</v>
      </c>
    </row>
    <row r="320" customFormat="false" ht="15" hidden="false" customHeight="false" outlineLevel="0" collapsed="false">
      <c r="A320" s="10" t="s">
        <v>1209</v>
      </c>
      <c r="B320" s="10" t="s">
        <v>1210</v>
      </c>
      <c r="C320" s="10" t="s">
        <v>1211</v>
      </c>
      <c r="D320" s="12" t="n">
        <v>16</v>
      </c>
      <c r="E320" s="12"/>
      <c r="F320" s="12"/>
      <c r="G320" s="10" t="s">
        <v>1099</v>
      </c>
      <c r="H320" s="10" t="s">
        <v>1100</v>
      </c>
      <c r="I320" s="11" t="s">
        <v>1101</v>
      </c>
      <c r="J320" s="10" t="s">
        <v>1102</v>
      </c>
      <c r="K320" s="10" t="s">
        <v>1103</v>
      </c>
      <c r="L320" s="10" t="s">
        <v>68</v>
      </c>
      <c r="M320" s="10" t="s">
        <v>69</v>
      </c>
      <c r="N320" s="10"/>
      <c r="O320" s="10"/>
      <c r="P320" s="10" t="s">
        <v>637</v>
      </c>
      <c r="Q320" s="11" t="s">
        <v>72</v>
      </c>
      <c r="R320" s="11" t="s">
        <v>73</v>
      </c>
      <c r="S320" s="11" t="s">
        <v>1104</v>
      </c>
      <c r="T320" s="11" t="s">
        <v>1205</v>
      </c>
      <c r="U320" s="10" t="n">
        <f aca="false">IF(AND($D320="",$E320="",$F320=""),1,0)</f>
        <v>0</v>
      </c>
      <c r="V320" s="10" t="n">
        <f aca="false">IF(OR($I320="",$I320="—"),1,0)</f>
        <v>0</v>
      </c>
      <c r="W320" s="10" t="n">
        <f aca="false">IF(AND(ISNUMBER($D320),ISNUMBER($E320)),IF($E320&gt;$D320,1,0),0)+IF(AND(ISNUMBER($D320),ISNUMBER($F320)),IF($D320&gt;$F320,1,0),0)+IF(AND(ISNUMBER($E320),ISNUMBER($F320)),IF($E320&gt;$F320,1,0),0)</f>
        <v>0</v>
      </c>
      <c r="X320" s="13" t="s">
        <v>76</v>
      </c>
    </row>
    <row r="321" customFormat="false" ht="15" hidden="false" customHeight="false" outlineLevel="0" collapsed="false">
      <c r="A321" s="10" t="s">
        <v>1212</v>
      </c>
      <c r="B321" s="10" t="s">
        <v>1213</v>
      </c>
      <c r="C321" s="10" t="s">
        <v>1214</v>
      </c>
      <c r="D321" s="12" t="n">
        <v>0.8</v>
      </c>
      <c r="E321" s="12"/>
      <c r="F321" s="12"/>
      <c r="G321" s="10" t="s">
        <v>1099</v>
      </c>
      <c r="H321" s="10" t="s">
        <v>1100</v>
      </c>
      <c r="I321" s="11" t="s">
        <v>1101</v>
      </c>
      <c r="J321" s="10" t="s">
        <v>1102</v>
      </c>
      <c r="K321" s="10" t="s">
        <v>1103</v>
      </c>
      <c r="L321" s="10" t="s">
        <v>68</v>
      </c>
      <c r="M321" s="10" t="s">
        <v>69</v>
      </c>
      <c r="N321" s="10"/>
      <c r="O321" s="10"/>
      <c r="P321" s="10" t="s">
        <v>637</v>
      </c>
      <c r="Q321" s="11" t="s">
        <v>72</v>
      </c>
      <c r="R321" s="11" t="s">
        <v>73</v>
      </c>
      <c r="S321" s="11" t="s">
        <v>1104</v>
      </c>
      <c r="T321" s="11" t="s">
        <v>1215</v>
      </c>
      <c r="U321" s="10" t="n">
        <f aca="false">IF(AND($D321="",$E321="",$F321=""),1,0)</f>
        <v>0</v>
      </c>
      <c r="V321" s="10" t="n">
        <f aca="false">IF(OR($I321="",$I321="—"),1,0)</f>
        <v>0</v>
      </c>
      <c r="W321" s="10" t="n">
        <f aca="false">IF(AND(ISNUMBER($D321),ISNUMBER($E321)),IF($E321&gt;$D321,1,0),0)+IF(AND(ISNUMBER($D321),ISNUMBER($F321)),IF($D321&gt;$F321,1,0),0)+IF(AND(ISNUMBER($E321),ISNUMBER($F321)),IF($E321&gt;$F321,1,0),0)</f>
        <v>0</v>
      </c>
      <c r="X321" s="13" t="s">
        <v>76</v>
      </c>
    </row>
    <row r="322" customFormat="false" ht="15" hidden="false" customHeight="false" outlineLevel="0" collapsed="false">
      <c r="A322" s="10" t="s">
        <v>1216</v>
      </c>
      <c r="B322" s="10" t="s">
        <v>1217</v>
      </c>
      <c r="C322" s="10" t="s">
        <v>1218</v>
      </c>
      <c r="D322" s="12" t="n">
        <v>0.16</v>
      </c>
      <c r="E322" s="12"/>
      <c r="F322" s="12"/>
      <c r="G322" s="10" t="s">
        <v>1099</v>
      </c>
      <c r="H322" s="10" t="s">
        <v>1100</v>
      </c>
      <c r="I322" s="11" t="s">
        <v>1101</v>
      </c>
      <c r="J322" s="10" t="s">
        <v>1102</v>
      </c>
      <c r="K322" s="10" t="s">
        <v>1103</v>
      </c>
      <c r="L322" s="10" t="s">
        <v>68</v>
      </c>
      <c r="M322" s="10" t="s">
        <v>69</v>
      </c>
      <c r="N322" s="10"/>
      <c r="O322" s="10"/>
      <c r="P322" s="10" t="s">
        <v>637</v>
      </c>
      <c r="Q322" s="11" t="s">
        <v>72</v>
      </c>
      <c r="R322" s="11" t="s">
        <v>73</v>
      </c>
      <c r="S322" s="11" t="s">
        <v>1104</v>
      </c>
      <c r="T322" s="11" t="s">
        <v>1215</v>
      </c>
      <c r="U322" s="10" t="n">
        <f aca="false">IF(AND($D322="",$E322="",$F322=""),1,0)</f>
        <v>0</v>
      </c>
      <c r="V322" s="10" t="n">
        <f aca="false">IF(OR($I322="",$I322="—"),1,0)</f>
        <v>0</v>
      </c>
      <c r="W322" s="10" t="n">
        <f aca="false">IF(AND(ISNUMBER($D322),ISNUMBER($E322)),IF($E322&gt;$D322,1,0),0)+IF(AND(ISNUMBER($D322),ISNUMBER($F322)),IF($D322&gt;$F322,1,0),0)+IF(AND(ISNUMBER($E322),ISNUMBER($F322)),IF($E322&gt;$F322,1,0),0)</f>
        <v>0</v>
      </c>
      <c r="X322" s="13" t="s">
        <v>76</v>
      </c>
    </row>
    <row r="323" customFormat="false" ht="15" hidden="false" customHeight="false" outlineLevel="0" collapsed="false">
      <c r="A323" s="10" t="s">
        <v>1219</v>
      </c>
      <c r="B323" s="10" t="s">
        <v>1220</v>
      </c>
      <c r="C323" s="10" t="s">
        <v>1221</v>
      </c>
      <c r="D323" s="12" t="n">
        <v>2</v>
      </c>
      <c r="E323" s="12"/>
      <c r="F323" s="12"/>
      <c r="G323" s="10" t="s">
        <v>1099</v>
      </c>
      <c r="H323" s="10" t="s">
        <v>1100</v>
      </c>
      <c r="I323" s="11" t="s">
        <v>1101</v>
      </c>
      <c r="J323" s="10" t="s">
        <v>1102</v>
      </c>
      <c r="K323" s="10" t="s">
        <v>1103</v>
      </c>
      <c r="L323" s="10" t="s">
        <v>68</v>
      </c>
      <c r="M323" s="10" t="s">
        <v>69</v>
      </c>
      <c r="N323" s="10"/>
      <c r="O323" s="10"/>
      <c r="P323" s="10" t="s">
        <v>637</v>
      </c>
      <c r="Q323" s="11" t="s">
        <v>72</v>
      </c>
      <c r="R323" s="11" t="s">
        <v>73</v>
      </c>
      <c r="S323" s="11" t="s">
        <v>1104</v>
      </c>
      <c r="T323" s="11" t="s">
        <v>1215</v>
      </c>
      <c r="U323" s="10" t="n">
        <f aca="false">IF(AND($D323="",$E323="",$F323=""),1,0)</f>
        <v>0</v>
      </c>
      <c r="V323" s="10" t="n">
        <f aca="false">IF(OR($I323="",$I323="—"),1,0)</f>
        <v>0</v>
      </c>
      <c r="W323" s="10" t="n">
        <f aca="false">IF(AND(ISNUMBER($D323),ISNUMBER($E323)),IF($E323&gt;$D323,1,0),0)+IF(AND(ISNUMBER($D323),ISNUMBER($F323)),IF($D323&gt;$F323,1,0),0)+IF(AND(ISNUMBER($E323),ISNUMBER($F323)),IF($E323&gt;$F323,1,0),0)</f>
        <v>0</v>
      </c>
      <c r="X323" s="13" t="s">
        <v>76</v>
      </c>
    </row>
    <row r="324" customFormat="false" ht="15" hidden="false" customHeight="false" outlineLevel="0" collapsed="false">
      <c r="A324" s="10" t="s">
        <v>1222</v>
      </c>
      <c r="B324" s="10" t="s">
        <v>1223</v>
      </c>
      <c r="C324" s="10" t="s">
        <v>1224</v>
      </c>
      <c r="D324" s="12" t="n">
        <v>0.8</v>
      </c>
      <c r="E324" s="12"/>
      <c r="F324" s="12"/>
      <c r="G324" s="10" t="s">
        <v>1099</v>
      </c>
      <c r="H324" s="10" t="s">
        <v>1100</v>
      </c>
      <c r="I324" s="11" t="s">
        <v>1101</v>
      </c>
      <c r="J324" s="10" t="s">
        <v>1102</v>
      </c>
      <c r="K324" s="10" t="s">
        <v>1103</v>
      </c>
      <c r="L324" s="10" t="s">
        <v>68</v>
      </c>
      <c r="M324" s="10" t="s">
        <v>69</v>
      </c>
      <c r="N324" s="10"/>
      <c r="O324" s="10"/>
      <c r="P324" s="10" t="s">
        <v>637</v>
      </c>
      <c r="Q324" s="11" t="s">
        <v>72</v>
      </c>
      <c r="R324" s="11" t="s">
        <v>73</v>
      </c>
      <c r="S324" s="11" t="s">
        <v>1104</v>
      </c>
      <c r="T324" s="11" t="s">
        <v>1225</v>
      </c>
      <c r="U324" s="10" t="n">
        <f aca="false">IF(AND($D324="",$E324="",$F324=""),1,0)</f>
        <v>0</v>
      </c>
      <c r="V324" s="10" t="n">
        <f aca="false">IF(OR($I324="",$I324="—"),1,0)</f>
        <v>0</v>
      </c>
      <c r="W324" s="10" t="n">
        <f aca="false">IF(AND(ISNUMBER($D324),ISNUMBER($E324)),IF($E324&gt;$D324,1,0),0)+IF(AND(ISNUMBER($D324),ISNUMBER($F324)),IF($D324&gt;$F324,1,0),0)+IF(AND(ISNUMBER($E324),ISNUMBER($F324)),IF($E324&gt;$F324,1,0),0)</f>
        <v>0</v>
      </c>
      <c r="X324" s="13" t="s">
        <v>76</v>
      </c>
    </row>
    <row r="325" customFormat="false" ht="15" hidden="false" customHeight="false" outlineLevel="0" collapsed="false">
      <c r="A325" s="10" t="s">
        <v>1226</v>
      </c>
      <c r="B325" s="10" t="s">
        <v>1227</v>
      </c>
      <c r="C325" s="10" t="s">
        <v>1228</v>
      </c>
      <c r="D325" s="12" t="n">
        <v>0.16</v>
      </c>
      <c r="E325" s="12"/>
      <c r="F325" s="12"/>
      <c r="G325" s="10" t="s">
        <v>1099</v>
      </c>
      <c r="H325" s="10" t="s">
        <v>1100</v>
      </c>
      <c r="I325" s="11" t="s">
        <v>1101</v>
      </c>
      <c r="J325" s="10" t="s">
        <v>1102</v>
      </c>
      <c r="K325" s="10" t="s">
        <v>1103</v>
      </c>
      <c r="L325" s="10" t="s">
        <v>68</v>
      </c>
      <c r="M325" s="10" t="s">
        <v>69</v>
      </c>
      <c r="N325" s="10"/>
      <c r="O325" s="10"/>
      <c r="P325" s="10" t="s">
        <v>637</v>
      </c>
      <c r="Q325" s="11" t="s">
        <v>72</v>
      </c>
      <c r="R325" s="11" t="s">
        <v>73</v>
      </c>
      <c r="S325" s="11" t="s">
        <v>1104</v>
      </c>
      <c r="T325" s="11" t="s">
        <v>1225</v>
      </c>
      <c r="U325" s="10" t="n">
        <f aca="false">IF(AND($D325="",$E325="",$F325=""),1,0)</f>
        <v>0</v>
      </c>
      <c r="V325" s="10" t="n">
        <f aca="false">IF(OR($I325="",$I325="—"),1,0)</f>
        <v>0</v>
      </c>
      <c r="W325" s="10" t="n">
        <f aca="false">IF(AND(ISNUMBER($D325),ISNUMBER($E325)),IF($E325&gt;$D325,1,0),0)+IF(AND(ISNUMBER($D325),ISNUMBER($F325)),IF($D325&gt;$F325,1,0),0)+IF(AND(ISNUMBER($E325),ISNUMBER($F325)),IF($E325&gt;$F325,1,0),0)</f>
        <v>0</v>
      </c>
      <c r="X325" s="13" t="s">
        <v>76</v>
      </c>
    </row>
    <row r="326" customFormat="false" ht="15" hidden="false" customHeight="false" outlineLevel="0" collapsed="false">
      <c r="A326" s="10" t="s">
        <v>1229</v>
      </c>
      <c r="B326" s="10" t="s">
        <v>1230</v>
      </c>
      <c r="C326" s="10" t="s">
        <v>1231</v>
      </c>
      <c r="D326" s="12" t="n">
        <v>6</v>
      </c>
      <c r="E326" s="12"/>
      <c r="F326" s="12"/>
      <c r="G326" s="10" t="s">
        <v>1099</v>
      </c>
      <c r="H326" s="10" t="s">
        <v>1100</v>
      </c>
      <c r="I326" s="11" t="s">
        <v>1101</v>
      </c>
      <c r="J326" s="10" t="s">
        <v>1102</v>
      </c>
      <c r="K326" s="10" t="s">
        <v>1103</v>
      </c>
      <c r="L326" s="10" t="s">
        <v>68</v>
      </c>
      <c r="M326" s="10" t="s">
        <v>69</v>
      </c>
      <c r="N326" s="10"/>
      <c r="O326" s="10"/>
      <c r="P326" s="10" t="s">
        <v>637</v>
      </c>
      <c r="Q326" s="11" t="s">
        <v>72</v>
      </c>
      <c r="R326" s="11" t="s">
        <v>73</v>
      </c>
      <c r="S326" s="11" t="s">
        <v>1104</v>
      </c>
      <c r="T326" s="11" t="s">
        <v>1225</v>
      </c>
      <c r="U326" s="10" t="n">
        <f aca="false">IF(AND($D326="",$E326="",$F326=""),1,0)</f>
        <v>0</v>
      </c>
      <c r="V326" s="10" t="n">
        <f aca="false">IF(OR($I326="",$I326="—"),1,0)</f>
        <v>0</v>
      </c>
      <c r="W326" s="10" t="n">
        <f aca="false">IF(AND(ISNUMBER($D326),ISNUMBER($E326)),IF($E326&gt;$D326,1,0),0)+IF(AND(ISNUMBER($D326),ISNUMBER($F326)),IF($D326&gt;$F326,1,0),0)+IF(AND(ISNUMBER($E326),ISNUMBER($F326)),IF($E326&gt;$F326,1,0),0)</f>
        <v>0</v>
      </c>
      <c r="X326" s="13" t="s">
        <v>76</v>
      </c>
    </row>
    <row r="327" customFormat="false" ht="15" hidden="false" customHeight="false" outlineLevel="0" collapsed="false">
      <c r="A327" s="10" t="s">
        <v>1232</v>
      </c>
      <c r="B327" s="10" t="s">
        <v>1233</v>
      </c>
      <c r="C327" s="10" t="s">
        <v>1234</v>
      </c>
      <c r="D327" s="12" t="n">
        <v>1.2</v>
      </c>
      <c r="E327" s="12"/>
      <c r="F327" s="12"/>
      <c r="G327" s="10" t="s">
        <v>1099</v>
      </c>
      <c r="H327" s="10" t="s">
        <v>1100</v>
      </c>
      <c r="I327" s="11" t="s">
        <v>1101</v>
      </c>
      <c r="J327" s="10" t="s">
        <v>1102</v>
      </c>
      <c r="K327" s="10" t="s">
        <v>1103</v>
      </c>
      <c r="L327" s="10" t="s">
        <v>68</v>
      </c>
      <c r="M327" s="10" t="s">
        <v>69</v>
      </c>
      <c r="N327" s="10"/>
      <c r="O327" s="10"/>
      <c r="P327" s="10" t="s">
        <v>637</v>
      </c>
      <c r="Q327" s="11" t="s">
        <v>72</v>
      </c>
      <c r="R327" s="11" t="s">
        <v>73</v>
      </c>
      <c r="S327" s="11" t="s">
        <v>1104</v>
      </c>
      <c r="T327" s="11" t="s">
        <v>1235</v>
      </c>
      <c r="U327" s="10" t="n">
        <f aca="false">IF(AND($D327="",$E327="",$F327=""),1,0)</f>
        <v>0</v>
      </c>
      <c r="V327" s="10" t="n">
        <f aca="false">IF(OR($I327="",$I327="—"),1,0)</f>
        <v>0</v>
      </c>
      <c r="W327" s="10" t="n">
        <f aca="false">IF(AND(ISNUMBER($D327),ISNUMBER($E327)),IF($E327&gt;$D327,1,0),0)+IF(AND(ISNUMBER($D327),ISNUMBER($F327)),IF($D327&gt;$F327,1,0),0)+IF(AND(ISNUMBER($E327),ISNUMBER($F327)),IF($E327&gt;$F327,1,0),0)</f>
        <v>0</v>
      </c>
      <c r="X327" s="13" t="s">
        <v>76</v>
      </c>
    </row>
    <row r="328" customFormat="false" ht="15" hidden="false" customHeight="false" outlineLevel="0" collapsed="false">
      <c r="A328" s="10" t="s">
        <v>1236</v>
      </c>
      <c r="B328" s="10" t="s">
        <v>1237</v>
      </c>
      <c r="C328" s="10" t="s">
        <v>1238</v>
      </c>
      <c r="D328" s="12" t="n">
        <v>0.24</v>
      </c>
      <c r="E328" s="12"/>
      <c r="F328" s="12"/>
      <c r="G328" s="10" t="s">
        <v>1099</v>
      </c>
      <c r="H328" s="10" t="s">
        <v>1100</v>
      </c>
      <c r="I328" s="11" t="s">
        <v>1101</v>
      </c>
      <c r="J328" s="10" t="s">
        <v>1102</v>
      </c>
      <c r="K328" s="10" t="s">
        <v>1103</v>
      </c>
      <c r="L328" s="10" t="s">
        <v>68</v>
      </c>
      <c r="M328" s="10" t="s">
        <v>69</v>
      </c>
      <c r="N328" s="10"/>
      <c r="O328" s="10"/>
      <c r="P328" s="10" t="s">
        <v>637</v>
      </c>
      <c r="Q328" s="11" t="s">
        <v>72</v>
      </c>
      <c r="R328" s="11" t="s">
        <v>73</v>
      </c>
      <c r="S328" s="11" t="s">
        <v>1104</v>
      </c>
      <c r="T328" s="11" t="s">
        <v>1235</v>
      </c>
      <c r="U328" s="10" t="n">
        <f aca="false">IF(AND($D328="",$E328="",$F328=""),1,0)</f>
        <v>0</v>
      </c>
      <c r="V328" s="10" t="n">
        <f aca="false">IF(OR($I328="",$I328="—"),1,0)</f>
        <v>0</v>
      </c>
      <c r="W328" s="10" t="n">
        <f aca="false">IF(AND(ISNUMBER($D328),ISNUMBER($E328)),IF($E328&gt;$D328,1,0),0)+IF(AND(ISNUMBER($D328),ISNUMBER($F328)),IF($D328&gt;$F328,1,0),0)+IF(AND(ISNUMBER($E328),ISNUMBER($F328)),IF($E328&gt;$F328,1,0),0)</f>
        <v>0</v>
      </c>
      <c r="X328" s="13" t="s">
        <v>76</v>
      </c>
    </row>
    <row r="329" customFormat="false" ht="15" hidden="false" customHeight="false" outlineLevel="0" collapsed="false">
      <c r="A329" s="10" t="s">
        <v>1239</v>
      </c>
      <c r="B329" s="10" t="s">
        <v>1240</v>
      </c>
      <c r="C329" s="10" t="s">
        <v>1241</v>
      </c>
      <c r="D329" s="12" t="n">
        <v>8</v>
      </c>
      <c r="E329" s="12"/>
      <c r="F329" s="12"/>
      <c r="G329" s="10" t="s">
        <v>1099</v>
      </c>
      <c r="H329" s="10" t="s">
        <v>1100</v>
      </c>
      <c r="I329" s="11" t="s">
        <v>1101</v>
      </c>
      <c r="J329" s="10" t="s">
        <v>1102</v>
      </c>
      <c r="K329" s="10" t="s">
        <v>1103</v>
      </c>
      <c r="L329" s="10" t="s">
        <v>68</v>
      </c>
      <c r="M329" s="10" t="s">
        <v>69</v>
      </c>
      <c r="N329" s="10"/>
      <c r="O329" s="10"/>
      <c r="P329" s="10" t="s">
        <v>637</v>
      </c>
      <c r="Q329" s="11" t="s">
        <v>72</v>
      </c>
      <c r="R329" s="11" t="s">
        <v>73</v>
      </c>
      <c r="S329" s="11" t="s">
        <v>1104</v>
      </c>
      <c r="T329" s="11" t="s">
        <v>1235</v>
      </c>
      <c r="U329" s="10" t="n">
        <f aca="false">IF(AND($D329="",$E329="",$F329=""),1,0)</f>
        <v>0</v>
      </c>
      <c r="V329" s="10" t="n">
        <f aca="false">IF(OR($I329="",$I329="—"),1,0)</f>
        <v>0</v>
      </c>
      <c r="W329" s="10" t="n">
        <f aca="false">IF(AND(ISNUMBER($D329),ISNUMBER($E329)),IF($E329&gt;$D329,1,0),0)+IF(AND(ISNUMBER($D329),ISNUMBER($F329)),IF($D329&gt;$F329,1,0),0)+IF(AND(ISNUMBER($E329),ISNUMBER($F329)),IF($E329&gt;$F329,1,0),0)</f>
        <v>0</v>
      </c>
      <c r="X329" s="13" t="s">
        <v>76</v>
      </c>
    </row>
    <row r="330" customFormat="false" ht="15" hidden="false" customHeight="false" outlineLevel="0" collapsed="false">
      <c r="A330" s="10" t="s">
        <v>1242</v>
      </c>
      <c r="B330" s="10" t="s">
        <v>1243</v>
      </c>
      <c r="C330" s="10" t="s">
        <v>1244</v>
      </c>
      <c r="D330" s="12" t="n">
        <v>0.5</v>
      </c>
      <c r="E330" s="12"/>
      <c r="F330" s="12"/>
      <c r="G330" s="10" t="s">
        <v>1099</v>
      </c>
      <c r="H330" s="10" t="s">
        <v>1100</v>
      </c>
      <c r="I330" s="11" t="s">
        <v>1101</v>
      </c>
      <c r="J330" s="10" t="s">
        <v>1102</v>
      </c>
      <c r="K330" s="10" t="s">
        <v>1103</v>
      </c>
      <c r="L330" s="10" t="s">
        <v>68</v>
      </c>
      <c r="M330" s="10" t="s">
        <v>69</v>
      </c>
      <c r="N330" s="10"/>
      <c r="O330" s="10"/>
      <c r="P330" s="10" t="s">
        <v>637</v>
      </c>
      <c r="Q330" s="11" t="s">
        <v>72</v>
      </c>
      <c r="R330" s="11" t="s">
        <v>73</v>
      </c>
      <c r="S330" s="11" t="s">
        <v>1104</v>
      </c>
      <c r="T330" s="11" t="s">
        <v>1245</v>
      </c>
      <c r="U330" s="10" t="n">
        <f aca="false">IF(AND($D330="",$E330="",$F330=""),1,0)</f>
        <v>0</v>
      </c>
      <c r="V330" s="10" t="n">
        <f aca="false">IF(OR($I330="",$I330="—"),1,0)</f>
        <v>0</v>
      </c>
      <c r="W330" s="10" t="n">
        <f aca="false">IF(AND(ISNUMBER($D330),ISNUMBER($E330)),IF($E330&gt;$D330,1,0),0)+IF(AND(ISNUMBER($D330),ISNUMBER($F330)),IF($D330&gt;$F330,1,0),0)+IF(AND(ISNUMBER($E330),ISNUMBER($F330)),IF($E330&gt;$F330,1,0),0)</f>
        <v>0</v>
      </c>
      <c r="X330" s="13" t="s">
        <v>76</v>
      </c>
    </row>
    <row r="331" customFormat="false" ht="15" hidden="false" customHeight="false" outlineLevel="0" collapsed="false">
      <c r="A331" s="10" t="s">
        <v>1246</v>
      </c>
      <c r="B331" s="10" t="s">
        <v>1247</v>
      </c>
      <c r="C331" s="10" t="s">
        <v>1248</v>
      </c>
      <c r="D331" s="12" t="n">
        <v>0.1</v>
      </c>
      <c r="E331" s="12"/>
      <c r="F331" s="12"/>
      <c r="G331" s="10" t="s">
        <v>1099</v>
      </c>
      <c r="H331" s="10" t="s">
        <v>1100</v>
      </c>
      <c r="I331" s="11" t="s">
        <v>1101</v>
      </c>
      <c r="J331" s="10" t="s">
        <v>1102</v>
      </c>
      <c r="K331" s="10" t="s">
        <v>1103</v>
      </c>
      <c r="L331" s="10" t="s">
        <v>68</v>
      </c>
      <c r="M331" s="10" t="s">
        <v>69</v>
      </c>
      <c r="N331" s="10"/>
      <c r="O331" s="10"/>
      <c r="P331" s="10" t="s">
        <v>637</v>
      </c>
      <c r="Q331" s="11" t="s">
        <v>72</v>
      </c>
      <c r="R331" s="11" t="s">
        <v>73</v>
      </c>
      <c r="S331" s="11" t="s">
        <v>1104</v>
      </c>
      <c r="T331" s="11" t="s">
        <v>1245</v>
      </c>
      <c r="U331" s="10" t="n">
        <f aca="false">IF(AND($D331="",$E331="",$F331=""),1,0)</f>
        <v>0</v>
      </c>
      <c r="V331" s="10" t="n">
        <f aca="false">IF(OR($I331="",$I331="—"),1,0)</f>
        <v>0</v>
      </c>
      <c r="W331" s="10" t="n">
        <f aca="false">IF(AND(ISNUMBER($D331),ISNUMBER($E331)),IF($E331&gt;$D331,1,0),0)+IF(AND(ISNUMBER($D331),ISNUMBER($F331)),IF($D331&gt;$F331,1,0),0)+IF(AND(ISNUMBER($E331),ISNUMBER($F331)),IF($E331&gt;$F331,1,0),0)</f>
        <v>0</v>
      </c>
      <c r="X331" s="13" t="s">
        <v>76</v>
      </c>
    </row>
    <row r="332" customFormat="false" ht="15" hidden="false" customHeight="false" outlineLevel="0" collapsed="false">
      <c r="A332" s="10" t="s">
        <v>1249</v>
      </c>
      <c r="B332" s="10" t="s">
        <v>1250</v>
      </c>
      <c r="C332" s="10" t="s">
        <v>1251</v>
      </c>
      <c r="D332" s="12" t="n">
        <v>3</v>
      </c>
      <c r="E332" s="12"/>
      <c r="F332" s="12"/>
      <c r="G332" s="10" t="s">
        <v>1099</v>
      </c>
      <c r="H332" s="10" t="s">
        <v>1100</v>
      </c>
      <c r="I332" s="11" t="s">
        <v>1101</v>
      </c>
      <c r="J332" s="10" t="s">
        <v>1102</v>
      </c>
      <c r="K332" s="10" t="s">
        <v>1103</v>
      </c>
      <c r="L332" s="10" t="s">
        <v>68</v>
      </c>
      <c r="M332" s="10" t="s">
        <v>69</v>
      </c>
      <c r="N332" s="10"/>
      <c r="O332" s="10"/>
      <c r="P332" s="10" t="s">
        <v>637</v>
      </c>
      <c r="Q332" s="11" t="s">
        <v>72</v>
      </c>
      <c r="R332" s="11" t="s">
        <v>73</v>
      </c>
      <c r="S332" s="11" t="s">
        <v>1104</v>
      </c>
      <c r="T332" s="11" t="s">
        <v>1245</v>
      </c>
      <c r="U332" s="10" t="n">
        <f aca="false">IF(AND($D332="",$E332="",$F332=""),1,0)</f>
        <v>0</v>
      </c>
      <c r="V332" s="10" t="n">
        <f aca="false">IF(OR($I332="",$I332="—"),1,0)</f>
        <v>0</v>
      </c>
      <c r="W332" s="10" t="n">
        <f aca="false">IF(AND(ISNUMBER($D332),ISNUMBER($E332)),IF($E332&gt;$D332,1,0),0)+IF(AND(ISNUMBER($D332),ISNUMBER($F332)),IF($D332&gt;$F332,1,0),0)+IF(AND(ISNUMBER($E332),ISNUMBER($F332)),IF($E332&gt;$F332,1,0),0)</f>
        <v>0</v>
      </c>
      <c r="X332" s="13" t="s">
        <v>76</v>
      </c>
    </row>
    <row r="333" customFormat="false" ht="15" hidden="false" customHeight="false" outlineLevel="0" collapsed="false">
      <c r="A333" s="10" t="s">
        <v>1252</v>
      </c>
      <c r="B333" s="10" t="s">
        <v>1253</v>
      </c>
      <c r="C333" s="10" t="s">
        <v>1254</v>
      </c>
      <c r="D333" s="12" t="n">
        <v>0.8</v>
      </c>
      <c r="E333" s="12"/>
      <c r="F333" s="12"/>
      <c r="G333" s="10" t="s">
        <v>1099</v>
      </c>
      <c r="H333" s="10" t="s">
        <v>1100</v>
      </c>
      <c r="I333" s="11" t="s">
        <v>1101</v>
      </c>
      <c r="J333" s="10" t="s">
        <v>1102</v>
      </c>
      <c r="K333" s="10" t="s">
        <v>1103</v>
      </c>
      <c r="L333" s="10" t="s">
        <v>68</v>
      </c>
      <c r="M333" s="10" t="s">
        <v>69</v>
      </c>
      <c r="N333" s="10"/>
      <c r="O333" s="10"/>
      <c r="P333" s="10" t="s">
        <v>637</v>
      </c>
      <c r="Q333" s="11" t="s">
        <v>72</v>
      </c>
      <c r="R333" s="11" t="s">
        <v>73</v>
      </c>
      <c r="S333" s="11" t="s">
        <v>1104</v>
      </c>
      <c r="T333" s="11" t="s">
        <v>1255</v>
      </c>
      <c r="U333" s="10" t="n">
        <f aca="false">IF(AND($D333="",$E333="",$F333=""),1,0)</f>
        <v>0</v>
      </c>
      <c r="V333" s="10" t="n">
        <f aca="false">IF(OR($I333="",$I333="—"),1,0)</f>
        <v>0</v>
      </c>
      <c r="W333" s="10" t="n">
        <f aca="false">IF(AND(ISNUMBER($D333),ISNUMBER($E333)),IF($E333&gt;$D333,1,0),0)+IF(AND(ISNUMBER($D333),ISNUMBER($F333)),IF($D333&gt;$F333,1,0),0)+IF(AND(ISNUMBER($E333),ISNUMBER($F333)),IF($E333&gt;$F333,1,0),0)</f>
        <v>0</v>
      </c>
      <c r="X333" s="13" t="s">
        <v>76</v>
      </c>
    </row>
    <row r="334" customFormat="false" ht="15" hidden="false" customHeight="false" outlineLevel="0" collapsed="false">
      <c r="A334" s="10" t="s">
        <v>1256</v>
      </c>
      <c r="B334" s="10" t="s">
        <v>1257</v>
      </c>
      <c r="C334" s="10" t="s">
        <v>1258</v>
      </c>
      <c r="D334" s="12" t="n">
        <v>0.23</v>
      </c>
      <c r="E334" s="12"/>
      <c r="F334" s="12"/>
      <c r="G334" s="10" t="s">
        <v>1099</v>
      </c>
      <c r="H334" s="10" t="s">
        <v>1100</v>
      </c>
      <c r="I334" s="11" t="s">
        <v>1101</v>
      </c>
      <c r="J334" s="10" t="s">
        <v>1102</v>
      </c>
      <c r="K334" s="10" t="s">
        <v>1103</v>
      </c>
      <c r="L334" s="10" t="s">
        <v>68</v>
      </c>
      <c r="M334" s="10" t="s">
        <v>69</v>
      </c>
      <c r="N334" s="10"/>
      <c r="O334" s="10"/>
      <c r="P334" s="10" t="s">
        <v>637</v>
      </c>
      <c r="Q334" s="11" t="s">
        <v>72</v>
      </c>
      <c r="R334" s="11" t="s">
        <v>73</v>
      </c>
      <c r="S334" s="11" t="s">
        <v>1104</v>
      </c>
      <c r="T334" s="11" t="s">
        <v>1255</v>
      </c>
      <c r="U334" s="10" t="n">
        <f aca="false">IF(AND($D334="",$E334="",$F334=""),1,0)</f>
        <v>0</v>
      </c>
      <c r="V334" s="10" t="n">
        <f aca="false">IF(OR($I334="",$I334="—"),1,0)</f>
        <v>0</v>
      </c>
      <c r="W334" s="10" t="n">
        <f aca="false">IF(AND(ISNUMBER($D334),ISNUMBER($E334)),IF($E334&gt;$D334,1,0),0)+IF(AND(ISNUMBER($D334),ISNUMBER($F334)),IF($D334&gt;$F334,1,0),0)+IF(AND(ISNUMBER($E334),ISNUMBER($F334)),IF($E334&gt;$F334,1,0),0)</f>
        <v>0</v>
      </c>
      <c r="X334" s="13" t="s">
        <v>76</v>
      </c>
    </row>
    <row r="335" customFormat="false" ht="15" hidden="false" customHeight="false" outlineLevel="0" collapsed="false">
      <c r="A335" s="10" t="s">
        <v>1259</v>
      </c>
      <c r="B335" s="10" t="s">
        <v>1260</v>
      </c>
      <c r="C335" s="10" t="s">
        <v>1261</v>
      </c>
      <c r="D335" s="12" t="n">
        <v>2.8</v>
      </c>
      <c r="E335" s="12"/>
      <c r="F335" s="12"/>
      <c r="G335" s="10" t="s">
        <v>1099</v>
      </c>
      <c r="H335" s="10" t="s">
        <v>1100</v>
      </c>
      <c r="I335" s="11" t="s">
        <v>1101</v>
      </c>
      <c r="J335" s="10" t="s">
        <v>1102</v>
      </c>
      <c r="K335" s="10" t="s">
        <v>1103</v>
      </c>
      <c r="L335" s="10" t="s">
        <v>68</v>
      </c>
      <c r="M335" s="10" t="s">
        <v>69</v>
      </c>
      <c r="N335" s="10"/>
      <c r="O335" s="10"/>
      <c r="P335" s="10" t="s">
        <v>637</v>
      </c>
      <c r="Q335" s="11" t="s">
        <v>72</v>
      </c>
      <c r="R335" s="11" t="s">
        <v>73</v>
      </c>
      <c r="S335" s="11" t="s">
        <v>1104</v>
      </c>
      <c r="T335" s="11" t="s">
        <v>1255</v>
      </c>
      <c r="U335" s="10" t="n">
        <f aca="false">IF(AND($D335="",$E335="",$F335=""),1,0)</f>
        <v>0</v>
      </c>
      <c r="V335" s="10" t="n">
        <f aca="false">IF(OR($I335="",$I335="—"),1,0)</f>
        <v>0</v>
      </c>
      <c r="W335" s="10" t="n">
        <f aca="false">IF(AND(ISNUMBER($D335),ISNUMBER($E335)),IF($E335&gt;$D335,1,0),0)+IF(AND(ISNUMBER($D335),ISNUMBER($F335)),IF($D335&gt;$F335,1,0),0)+IF(AND(ISNUMBER($E335),ISNUMBER($F335)),IF($E335&gt;$F335,1,0),0)</f>
        <v>0</v>
      </c>
      <c r="X335" s="13" t="s">
        <v>76</v>
      </c>
    </row>
    <row r="336" customFormat="false" ht="15" hidden="false" customHeight="false" outlineLevel="0" collapsed="false">
      <c r="A336" s="10" t="s">
        <v>1262</v>
      </c>
      <c r="B336" s="10" t="s">
        <v>1263</v>
      </c>
      <c r="C336" s="11" t="s">
        <v>1264</v>
      </c>
      <c r="D336" s="12" t="n">
        <v>0.5</v>
      </c>
      <c r="E336" s="12"/>
      <c r="F336" s="12"/>
      <c r="G336" s="11" t="s">
        <v>1265</v>
      </c>
      <c r="H336" s="10" t="s">
        <v>1266</v>
      </c>
      <c r="I336" s="11" t="s">
        <v>1101</v>
      </c>
      <c r="J336" s="10" t="s">
        <v>1102</v>
      </c>
      <c r="K336" s="10" t="s">
        <v>1103</v>
      </c>
      <c r="L336" s="10" t="s">
        <v>68</v>
      </c>
      <c r="M336" s="10" t="s">
        <v>69</v>
      </c>
      <c r="N336" s="10"/>
      <c r="O336" s="10"/>
      <c r="P336" s="10" t="s">
        <v>637</v>
      </c>
      <c r="Q336" s="11" t="s">
        <v>72</v>
      </c>
      <c r="R336" s="11" t="s">
        <v>73</v>
      </c>
      <c r="S336" s="11" t="s">
        <v>1104</v>
      </c>
      <c r="T336" s="11" t="s">
        <v>1267</v>
      </c>
      <c r="U336" s="10" t="n">
        <f aca="false">IF(AND($D336="",$E336="",$F336=""),1,0)</f>
        <v>0</v>
      </c>
      <c r="V336" s="10" t="n">
        <f aca="false">IF(OR($I336="",$I336="—"),1,0)</f>
        <v>0</v>
      </c>
      <c r="W336" s="10" t="n">
        <f aca="false">IF(AND(ISNUMBER($D336),ISNUMBER($E336)),IF($E336&gt;$D336,1,0),0)+IF(AND(ISNUMBER($D336),ISNUMBER($F336)),IF($D336&gt;$F336,1,0),0)+IF(AND(ISNUMBER($E336),ISNUMBER($F336)),IF($E336&gt;$F336,1,0),0)</f>
        <v>0</v>
      </c>
      <c r="X336" s="13" t="s">
        <v>76</v>
      </c>
    </row>
    <row r="337" customFormat="false" ht="15" hidden="false" customHeight="false" outlineLevel="0" collapsed="false">
      <c r="A337" s="10" t="s">
        <v>1268</v>
      </c>
      <c r="B337" s="10" t="s">
        <v>1269</v>
      </c>
      <c r="C337" s="10" t="s">
        <v>1270</v>
      </c>
      <c r="D337" s="12" t="n">
        <v>0</v>
      </c>
      <c r="E337" s="12"/>
      <c r="F337" s="12"/>
      <c r="G337" s="10" t="s">
        <v>1099</v>
      </c>
      <c r="H337" s="10" t="s">
        <v>1266</v>
      </c>
      <c r="I337" s="11" t="s">
        <v>1101</v>
      </c>
      <c r="J337" s="10" t="s">
        <v>1102</v>
      </c>
      <c r="K337" s="10" t="s">
        <v>1103</v>
      </c>
      <c r="L337" s="10" t="s">
        <v>68</v>
      </c>
      <c r="M337" s="10" t="s">
        <v>69</v>
      </c>
      <c r="N337" s="10"/>
      <c r="O337" s="10"/>
      <c r="P337" s="10" t="s">
        <v>637</v>
      </c>
      <c r="Q337" s="11" t="s">
        <v>72</v>
      </c>
      <c r="R337" s="11" t="s">
        <v>73</v>
      </c>
      <c r="S337" s="11" t="s">
        <v>1104</v>
      </c>
      <c r="T337" s="11" t="s">
        <v>1271</v>
      </c>
      <c r="U337" s="10" t="n">
        <f aca="false">IF(AND($D337="",$E337="",$F337=""),1,0)</f>
        <v>0</v>
      </c>
      <c r="V337" s="10" t="n">
        <f aca="false">IF(OR($I337="",$I337="—"),1,0)</f>
        <v>0</v>
      </c>
      <c r="W337" s="10" t="n">
        <f aca="false">IF(AND(ISNUMBER($D337),ISNUMBER($E337)),IF($E337&gt;$D337,1,0),0)+IF(AND(ISNUMBER($D337),ISNUMBER($F337)),IF($D337&gt;$F337,1,0),0)+IF(AND(ISNUMBER($E337),ISNUMBER($F337)),IF($E337&gt;$F337,1,0),0)</f>
        <v>0</v>
      </c>
      <c r="X337" s="13" t="s">
        <v>76</v>
      </c>
    </row>
    <row r="338" customFormat="false" ht="15" hidden="false" customHeight="false" outlineLevel="0" collapsed="false">
      <c r="A338" s="10" t="s">
        <v>1272</v>
      </c>
      <c r="B338" s="10" t="s">
        <v>1273</v>
      </c>
      <c r="C338" s="10" t="s">
        <v>1274</v>
      </c>
      <c r="D338" s="12"/>
      <c r="E338" s="12" t="n">
        <v>5.6</v>
      </c>
      <c r="F338" s="12" t="n">
        <v>8</v>
      </c>
      <c r="G338" s="10" t="s">
        <v>1099</v>
      </c>
      <c r="H338" s="10" t="s">
        <v>943</v>
      </c>
      <c r="I338" s="11" t="s">
        <v>1275</v>
      </c>
      <c r="J338" s="10" t="s">
        <v>1276</v>
      </c>
      <c r="K338" s="10" t="s">
        <v>68</v>
      </c>
      <c r="L338" s="10" t="s">
        <v>68</v>
      </c>
      <c r="M338" s="10" t="s">
        <v>416</v>
      </c>
      <c r="N338" s="11" t="s">
        <v>1277</v>
      </c>
      <c r="O338" s="10"/>
      <c r="P338" s="10" t="s">
        <v>637</v>
      </c>
      <c r="Q338" s="11" t="s">
        <v>72</v>
      </c>
      <c r="R338" s="11" t="s">
        <v>1277</v>
      </c>
      <c r="S338" s="11" t="s">
        <v>1278</v>
      </c>
      <c r="T338" s="11" t="s">
        <v>1279</v>
      </c>
      <c r="U338" s="10" t="n">
        <f aca="false">IF(AND($D338="",$E338="",$F338=""),1,0)</f>
        <v>0</v>
      </c>
      <c r="V338" s="10" t="n">
        <f aca="false">IF(OR($I338="",$I338="—"),1,0)</f>
        <v>0</v>
      </c>
      <c r="W338" s="10" t="n">
        <f aca="false">IF(AND(ISNUMBER($D338),ISNUMBER($E338)),IF($E338&gt;$D338,1,0),0)+IF(AND(ISNUMBER($D338),ISNUMBER($F338)),IF($D338&gt;$F338,1,0),0)+IF(AND(ISNUMBER($E338),ISNUMBER($F338)),IF($E338&gt;$F338,1,0),0)</f>
        <v>0</v>
      </c>
      <c r="X338" s="13" t="s">
        <v>76</v>
      </c>
    </row>
    <row r="339" customFormat="false" ht="15" hidden="false" customHeight="false" outlineLevel="0" collapsed="false">
      <c r="A339" s="10" t="s">
        <v>1280</v>
      </c>
      <c r="B339" s="10" t="s">
        <v>1281</v>
      </c>
      <c r="C339" s="10" t="s">
        <v>1282</v>
      </c>
      <c r="D339" s="12"/>
      <c r="E339" s="12" t="n">
        <v>19.6</v>
      </c>
      <c r="F339" s="12" t="n">
        <v>28</v>
      </c>
      <c r="G339" s="10" t="s">
        <v>1099</v>
      </c>
      <c r="H339" s="10" t="s">
        <v>943</v>
      </c>
      <c r="I339" s="11" t="s">
        <v>1275</v>
      </c>
      <c r="J339" s="10" t="s">
        <v>1276</v>
      </c>
      <c r="K339" s="10" t="s">
        <v>68</v>
      </c>
      <c r="L339" s="10" t="s">
        <v>68</v>
      </c>
      <c r="M339" s="10" t="s">
        <v>416</v>
      </c>
      <c r="N339" s="11" t="s">
        <v>1277</v>
      </c>
      <c r="O339" s="10"/>
      <c r="P339" s="10" t="s">
        <v>637</v>
      </c>
      <c r="Q339" s="11" t="s">
        <v>72</v>
      </c>
      <c r="R339" s="11" t="s">
        <v>1277</v>
      </c>
      <c r="S339" s="11" t="s">
        <v>1278</v>
      </c>
      <c r="T339" s="11" t="s">
        <v>1283</v>
      </c>
      <c r="U339" s="10" t="n">
        <f aca="false">IF(AND($D339="",$E339="",$F339=""),1,0)</f>
        <v>0</v>
      </c>
      <c r="V339" s="10" t="n">
        <f aca="false">IF(OR($I339="",$I339="—"),1,0)</f>
        <v>0</v>
      </c>
      <c r="W339" s="10" t="n">
        <f aca="false">IF(AND(ISNUMBER($D339),ISNUMBER($E339)),IF($E339&gt;$D339,1,0),0)+IF(AND(ISNUMBER($D339),ISNUMBER($F339)),IF($D339&gt;$F339,1,0),0)+IF(AND(ISNUMBER($E339),ISNUMBER($F339)),IF($E339&gt;$F339,1,0),0)</f>
        <v>0</v>
      </c>
      <c r="X339" s="13" t="s">
        <v>76</v>
      </c>
    </row>
    <row r="340" customFormat="false" ht="15" hidden="false" customHeight="false" outlineLevel="0" collapsed="false">
      <c r="A340" s="10" t="s">
        <v>1284</v>
      </c>
      <c r="B340" s="10" t="s">
        <v>1285</v>
      </c>
      <c r="C340" s="10" t="s">
        <v>1286</v>
      </c>
      <c r="D340" s="12" t="n">
        <v>0.8</v>
      </c>
      <c r="E340" s="12"/>
      <c r="F340" s="12"/>
      <c r="G340" s="10" t="s">
        <v>1099</v>
      </c>
      <c r="H340" s="10" t="s">
        <v>1287</v>
      </c>
      <c r="I340" s="11" t="s">
        <v>1288</v>
      </c>
      <c r="J340" s="10" t="s">
        <v>1289</v>
      </c>
      <c r="K340" s="10" t="s">
        <v>1290</v>
      </c>
      <c r="L340" s="10" t="s">
        <v>68</v>
      </c>
      <c r="M340" s="10" t="s">
        <v>69</v>
      </c>
      <c r="N340" s="10"/>
      <c r="O340" s="10"/>
      <c r="P340" s="10" t="s">
        <v>637</v>
      </c>
      <c r="Q340" s="11" t="s">
        <v>72</v>
      </c>
      <c r="R340" s="11" t="s">
        <v>1090</v>
      </c>
      <c r="S340" s="11" t="s">
        <v>1278</v>
      </c>
      <c r="T340" s="11" t="s">
        <v>1291</v>
      </c>
      <c r="U340" s="10" t="n">
        <f aca="false">IF(AND($D340="",$E340="",$F340=""),1,0)</f>
        <v>0</v>
      </c>
      <c r="V340" s="10" t="n">
        <f aca="false">IF(OR($I340="",$I340="—"),1,0)</f>
        <v>0</v>
      </c>
      <c r="W340" s="10" t="n">
        <f aca="false">IF(AND(ISNUMBER($D340),ISNUMBER($E340)),IF($E340&gt;$D340,1,0),0)+IF(AND(ISNUMBER($D340),ISNUMBER($F340)),IF($D340&gt;$F340,1,0),0)+IF(AND(ISNUMBER($E340),ISNUMBER($F340)),IF($E340&gt;$F340,1,0),0)</f>
        <v>0</v>
      </c>
      <c r="X340" s="13" t="s">
        <v>76</v>
      </c>
    </row>
    <row r="341" customFormat="false" ht="15" hidden="false" customHeight="false" outlineLevel="0" collapsed="false">
      <c r="A341" s="10" t="s">
        <v>1292</v>
      </c>
      <c r="B341" s="10" t="s">
        <v>1293</v>
      </c>
      <c r="C341" s="10" t="s">
        <v>1294</v>
      </c>
      <c r="D341" s="12" t="n">
        <v>2</v>
      </c>
      <c r="E341" s="12"/>
      <c r="F341" s="12"/>
      <c r="G341" s="10" t="s">
        <v>1099</v>
      </c>
      <c r="H341" s="10" t="s">
        <v>1287</v>
      </c>
      <c r="I341" s="11" t="s">
        <v>1288</v>
      </c>
      <c r="J341" s="10" t="s">
        <v>1289</v>
      </c>
      <c r="K341" s="10" t="s">
        <v>1290</v>
      </c>
      <c r="L341" s="10" t="s">
        <v>68</v>
      </c>
      <c r="M341" s="10" t="s">
        <v>69</v>
      </c>
      <c r="N341" s="10"/>
      <c r="O341" s="10"/>
      <c r="P341" s="10" t="s">
        <v>637</v>
      </c>
      <c r="Q341" s="11" t="s">
        <v>72</v>
      </c>
      <c r="R341" s="11" t="s">
        <v>1090</v>
      </c>
      <c r="S341" s="11" t="s">
        <v>1278</v>
      </c>
      <c r="T341" s="11" t="s">
        <v>1095</v>
      </c>
      <c r="U341" s="10" t="n">
        <f aca="false">IF(AND($D341="",$E341="",$F341=""),1,0)</f>
        <v>0</v>
      </c>
      <c r="V341" s="10" t="n">
        <f aca="false">IF(OR($I341="",$I341="—"),1,0)</f>
        <v>0</v>
      </c>
      <c r="W341" s="10" t="n">
        <f aca="false">IF(AND(ISNUMBER($D341),ISNUMBER($E341)),IF($E341&gt;$D341,1,0),0)+IF(AND(ISNUMBER($D341),ISNUMBER($F341)),IF($D341&gt;$F341,1,0),0)+IF(AND(ISNUMBER($E341),ISNUMBER($F341)),IF($E341&gt;$F341,1,0),0)</f>
        <v>0</v>
      </c>
      <c r="X341" s="13" t="s">
        <v>76</v>
      </c>
    </row>
    <row r="342" customFormat="false" ht="15" hidden="false" customHeight="false" outlineLevel="0" collapsed="false">
      <c r="A342" s="10" t="s">
        <v>1295</v>
      </c>
      <c r="B342" s="10" t="s">
        <v>1296</v>
      </c>
      <c r="C342" s="10" t="s">
        <v>1297</v>
      </c>
      <c r="D342" s="12" t="n">
        <v>5</v>
      </c>
      <c r="E342" s="12"/>
      <c r="F342" s="12"/>
      <c r="G342" s="10" t="s">
        <v>1099</v>
      </c>
      <c r="H342" s="10" t="s">
        <v>1298</v>
      </c>
      <c r="I342" s="11" t="s">
        <v>1299</v>
      </c>
      <c r="J342" s="10" t="s">
        <v>1300</v>
      </c>
      <c r="K342" s="10" t="s">
        <v>1298</v>
      </c>
      <c r="L342" s="10" t="s">
        <v>68</v>
      </c>
      <c r="M342" s="10" t="s">
        <v>69</v>
      </c>
      <c r="N342" s="10"/>
      <c r="O342" s="10"/>
      <c r="P342" s="10" t="s">
        <v>637</v>
      </c>
      <c r="Q342" s="11" t="s">
        <v>72</v>
      </c>
      <c r="R342" s="11" t="s">
        <v>1090</v>
      </c>
      <c r="S342" s="11" t="s">
        <v>1278</v>
      </c>
      <c r="T342" s="10" t="s">
        <v>1301</v>
      </c>
      <c r="U342" s="10" t="n">
        <f aca="false">IF(AND($D342="",$E342="",$F342=""),1,0)</f>
        <v>0</v>
      </c>
      <c r="V342" s="10" t="n">
        <f aca="false">IF(OR($I342="",$I342="—"),1,0)</f>
        <v>0</v>
      </c>
      <c r="W342" s="10" t="n">
        <f aca="false">IF(AND(ISNUMBER($D342),ISNUMBER($E342)),IF($E342&gt;$D342,1,0),0)+IF(AND(ISNUMBER($D342),ISNUMBER($F342)),IF($D342&gt;$F342,1,0),0)+IF(AND(ISNUMBER($E342),ISNUMBER($F342)),IF($E342&gt;$F342,1,0),0)</f>
        <v>0</v>
      </c>
      <c r="X342" s="13" t="s">
        <v>76</v>
      </c>
    </row>
    <row r="343" customFormat="false" ht="15" hidden="false" customHeight="false" outlineLevel="0" collapsed="false">
      <c r="A343" s="10" t="s">
        <v>1302</v>
      </c>
      <c r="B343" s="10" t="s">
        <v>1303</v>
      </c>
      <c r="C343" s="10" t="s">
        <v>1304</v>
      </c>
      <c r="D343" s="12" t="n">
        <v>0.6</v>
      </c>
      <c r="E343" s="12" t="n">
        <v>0.6</v>
      </c>
      <c r="F343" s="12" t="n">
        <v>0.6</v>
      </c>
      <c r="G343" s="10" t="s">
        <v>942</v>
      </c>
      <c r="H343" s="10" t="s">
        <v>1305</v>
      </c>
      <c r="I343" s="10" t="s">
        <v>1306</v>
      </c>
      <c r="J343" s="10" t="s">
        <v>1307</v>
      </c>
      <c r="K343" s="10" t="s">
        <v>1305</v>
      </c>
      <c r="L343" s="10" t="s">
        <v>68</v>
      </c>
      <c r="M343" s="10" t="s">
        <v>1308</v>
      </c>
      <c r="N343" s="10"/>
      <c r="O343" s="10"/>
      <c r="P343" s="10" t="s">
        <v>637</v>
      </c>
      <c r="Q343" s="11" t="s">
        <v>1309</v>
      </c>
      <c r="R343" s="11" t="s">
        <v>1310</v>
      </c>
      <c r="S343" s="11" t="s">
        <v>1278</v>
      </c>
      <c r="T343" s="11" t="s">
        <v>1311</v>
      </c>
      <c r="U343" s="10" t="n">
        <f aca="false">IF(AND($D343="",$E343="",$F343=""),1,0)</f>
        <v>0</v>
      </c>
      <c r="V343" s="10" t="n">
        <f aca="false">IF(OR($I343="",$I343="—"),1,0)</f>
        <v>0</v>
      </c>
      <c r="W343" s="10" t="n">
        <f aca="false">IF(AND(ISNUMBER($D343),ISNUMBER($E343)),IF($E343&gt;$D343,1,0),0)+IF(AND(ISNUMBER($D343),ISNUMBER($F343)),IF($D343&gt;$F343,1,0),0)+IF(AND(ISNUMBER($E343),ISNUMBER($F343)),IF($E343&gt;$F343,1,0),0)</f>
        <v>0</v>
      </c>
      <c r="X343" s="13" t="s">
        <v>76</v>
      </c>
    </row>
    <row r="344" customFormat="false" ht="15" hidden="false" customHeight="false" outlineLevel="0" collapsed="false">
      <c r="A344" s="10" t="s">
        <v>1312</v>
      </c>
      <c r="B344" s="10" t="s">
        <v>1313</v>
      </c>
      <c r="C344" s="10" t="s">
        <v>1314</v>
      </c>
      <c r="D344" s="12" t="n">
        <v>1</v>
      </c>
      <c r="E344" s="12" t="n">
        <v>1</v>
      </c>
      <c r="F344" s="12" t="n">
        <v>1</v>
      </c>
      <c r="G344" s="10" t="s">
        <v>942</v>
      </c>
      <c r="H344" s="10" t="s">
        <v>1315</v>
      </c>
      <c r="I344" s="10" t="s">
        <v>1316</v>
      </c>
      <c r="J344" s="10" t="s">
        <v>1317</v>
      </c>
      <c r="K344" s="10" t="s">
        <v>1315</v>
      </c>
      <c r="L344" s="10" t="s">
        <v>68</v>
      </c>
      <c r="M344" s="10" t="s">
        <v>1308</v>
      </c>
      <c r="N344" s="10"/>
      <c r="O344" s="10"/>
      <c r="P344" s="10" t="s">
        <v>637</v>
      </c>
      <c r="Q344" s="11" t="s">
        <v>1309</v>
      </c>
      <c r="R344" s="11" t="s">
        <v>1310</v>
      </c>
      <c r="S344" s="11" t="s">
        <v>1278</v>
      </c>
      <c r="T344" s="11" t="s">
        <v>1318</v>
      </c>
      <c r="U344" s="10" t="n">
        <f aca="false">IF(AND($D344="",$E344="",$F344=""),1,0)</f>
        <v>0</v>
      </c>
      <c r="V344" s="10" t="n">
        <f aca="false">IF(OR($I344="",$I344="—"),1,0)</f>
        <v>0</v>
      </c>
      <c r="W344" s="10" t="n">
        <f aca="false">IF(AND(ISNUMBER($D344),ISNUMBER($E344)),IF($E344&gt;$D344,1,0),0)+IF(AND(ISNUMBER($D344),ISNUMBER($F344)),IF($D344&gt;$F344,1,0),0)+IF(AND(ISNUMBER($E344),ISNUMBER($F344)),IF($E344&gt;$F344,1,0),0)</f>
        <v>0</v>
      </c>
      <c r="X344" s="13" t="s">
        <v>76</v>
      </c>
    </row>
    <row r="345" customFormat="false" ht="15" hidden="false" customHeight="false" outlineLevel="0" collapsed="false">
      <c r="A345" s="10" t="s">
        <v>1319</v>
      </c>
      <c r="B345" s="10" t="s">
        <v>1320</v>
      </c>
      <c r="C345" s="10" t="s">
        <v>1321</v>
      </c>
      <c r="D345" s="12" t="n">
        <v>0.15</v>
      </c>
      <c r="E345" s="12"/>
      <c r="F345" s="12"/>
      <c r="G345" s="10" t="s">
        <v>942</v>
      </c>
      <c r="H345" s="10" t="s">
        <v>1322</v>
      </c>
      <c r="I345" s="10" t="s">
        <v>1323</v>
      </c>
      <c r="J345" s="10" t="s">
        <v>1324</v>
      </c>
      <c r="K345" s="10" t="s">
        <v>1322</v>
      </c>
      <c r="L345" s="10" t="s">
        <v>68</v>
      </c>
      <c r="M345" s="10" t="s">
        <v>69</v>
      </c>
      <c r="N345" s="10"/>
      <c r="O345" s="10"/>
      <c r="P345" s="10" t="s">
        <v>637</v>
      </c>
      <c r="Q345" s="11" t="s">
        <v>72</v>
      </c>
      <c r="R345" s="11" t="s">
        <v>1090</v>
      </c>
      <c r="S345" s="11" t="s">
        <v>1278</v>
      </c>
      <c r="T345" s="11" t="s">
        <v>1325</v>
      </c>
      <c r="U345" s="10" t="n">
        <f aca="false">IF(AND($D345="",$E345="",$F345=""),1,0)</f>
        <v>0</v>
      </c>
      <c r="V345" s="10" t="n">
        <f aca="false">IF(OR($I345="",$I345="—"),1,0)</f>
        <v>0</v>
      </c>
      <c r="W345" s="10" t="n">
        <f aca="false">IF(AND(ISNUMBER($D345),ISNUMBER($E345)),IF($E345&gt;$D345,1,0),0)+IF(AND(ISNUMBER($D345),ISNUMBER($F345)),IF($D345&gt;$F345,1,0),0)+IF(AND(ISNUMBER($E345),ISNUMBER($F345)),IF($E345&gt;$F345,1,0),0)</f>
        <v>0</v>
      </c>
      <c r="X345" s="13" t="s">
        <v>76</v>
      </c>
    </row>
    <row r="346" customFormat="false" ht="15" hidden="false" customHeight="false" outlineLevel="0" collapsed="false">
      <c r="A346" s="10" t="s">
        <v>1326</v>
      </c>
      <c r="B346" s="10" t="s">
        <v>1327</v>
      </c>
      <c r="C346" s="11" t="s">
        <v>1328</v>
      </c>
      <c r="D346" s="12"/>
      <c r="E346" s="12" t="n">
        <v>67</v>
      </c>
      <c r="F346" s="12" t="n">
        <v>100</v>
      </c>
      <c r="G346" s="10" t="s">
        <v>401</v>
      </c>
      <c r="H346" s="10" t="s">
        <v>1329</v>
      </c>
      <c r="I346" s="10" t="s">
        <v>1330</v>
      </c>
      <c r="J346" s="10" t="s">
        <v>1331</v>
      </c>
      <c r="K346" s="10" t="s">
        <v>1332</v>
      </c>
      <c r="L346" s="10" t="s">
        <v>68</v>
      </c>
      <c r="M346" s="10" t="s">
        <v>416</v>
      </c>
      <c r="N346" s="11" t="s">
        <v>1333</v>
      </c>
      <c r="O346" s="10"/>
      <c r="P346" s="10" t="s">
        <v>637</v>
      </c>
      <c r="Q346" s="11" t="s">
        <v>72</v>
      </c>
      <c r="R346" s="11" t="s">
        <v>1333</v>
      </c>
      <c r="S346" s="11" t="s">
        <v>710</v>
      </c>
      <c r="T346" s="11" t="s">
        <v>1334</v>
      </c>
      <c r="U346" s="10" t="n">
        <f aca="false">IF(AND($D346="",$E346="",$F346=""),1,0)</f>
        <v>0</v>
      </c>
      <c r="V346" s="10" t="n">
        <f aca="false">IF(OR($I346="",$I346="—"),1,0)</f>
        <v>0</v>
      </c>
      <c r="W346" s="10" t="n">
        <f aca="false">IF(AND(ISNUMBER($D346),ISNUMBER($E346)),IF($E346&gt;$D346,1,0),0)+IF(AND(ISNUMBER($D346),ISNUMBER($F346)),IF($D346&gt;$F346,1,0),0)+IF(AND(ISNUMBER($E346),ISNUMBER($F346)),IF($E346&gt;$F346,1,0),0)</f>
        <v>0</v>
      </c>
      <c r="X346" s="13" t="s">
        <v>76</v>
      </c>
    </row>
    <row r="347" customFormat="false" ht="15" hidden="false" customHeight="false" outlineLevel="0" collapsed="false">
      <c r="A347" s="10" t="s">
        <v>1335</v>
      </c>
      <c r="B347" s="10" t="s">
        <v>1336</v>
      </c>
      <c r="C347" s="10" t="s">
        <v>1337</v>
      </c>
      <c r="D347" s="12" t="n">
        <v>10</v>
      </c>
      <c r="E347" s="12"/>
      <c r="F347" s="12"/>
      <c r="G347" s="10" t="s">
        <v>401</v>
      </c>
      <c r="H347" s="10" t="s">
        <v>1338</v>
      </c>
      <c r="I347" s="11" t="s">
        <v>1339</v>
      </c>
      <c r="J347" s="10" t="s">
        <v>1340</v>
      </c>
      <c r="K347" s="10" t="s">
        <v>1341</v>
      </c>
      <c r="L347" s="10" t="s">
        <v>68</v>
      </c>
      <c r="M347" s="10" t="s">
        <v>416</v>
      </c>
      <c r="N347" s="11" t="s">
        <v>1342</v>
      </c>
      <c r="O347" s="10"/>
      <c r="P347" s="10" t="s">
        <v>637</v>
      </c>
      <c r="Q347" s="11" t="s">
        <v>72</v>
      </c>
      <c r="R347" s="11" t="s">
        <v>1342</v>
      </c>
      <c r="S347" s="11" t="s">
        <v>710</v>
      </c>
      <c r="T347" s="11" t="s">
        <v>1343</v>
      </c>
      <c r="U347" s="10" t="n">
        <f aca="false">IF(AND($D347="",$E347="",$F347=""),1,0)</f>
        <v>0</v>
      </c>
      <c r="V347" s="10" t="n">
        <f aca="false">IF(OR($I347="",$I347="—"),1,0)</f>
        <v>0</v>
      </c>
      <c r="W347" s="10" t="n">
        <f aca="false">IF(AND(ISNUMBER($D347),ISNUMBER($E347)),IF($E347&gt;$D347,1,0),0)+IF(AND(ISNUMBER($D347),ISNUMBER($F347)),IF($D347&gt;$F347,1,0),0)+IF(AND(ISNUMBER($E347),ISNUMBER($F347)),IF($E347&gt;$F347,1,0),0)</f>
        <v>0</v>
      </c>
      <c r="X347" s="13" t="s">
        <v>76</v>
      </c>
    </row>
    <row r="348" customFormat="false" ht="15" hidden="false" customHeight="false" outlineLevel="0" collapsed="false">
      <c r="A348" s="10" t="s">
        <v>1344</v>
      </c>
      <c r="B348" s="10" t="s">
        <v>1345</v>
      </c>
      <c r="C348" s="10" t="s">
        <v>1346</v>
      </c>
      <c r="D348" s="12"/>
      <c r="E348" s="12" t="n">
        <v>8</v>
      </c>
      <c r="F348" s="12" t="n">
        <v>17</v>
      </c>
      <c r="G348" s="10" t="s">
        <v>401</v>
      </c>
      <c r="H348" s="10" t="s">
        <v>1347</v>
      </c>
      <c r="I348" s="11" t="s">
        <v>1339</v>
      </c>
      <c r="J348" s="10" t="s">
        <v>1340</v>
      </c>
      <c r="K348" s="10" t="s">
        <v>1341</v>
      </c>
      <c r="L348" s="10" t="s">
        <v>68</v>
      </c>
      <c r="M348" s="10" t="s">
        <v>416</v>
      </c>
      <c r="N348" s="11" t="s">
        <v>709</v>
      </c>
      <c r="O348" s="10"/>
      <c r="P348" s="10" t="s">
        <v>637</v>
      </c>
      <c r="Q348" s="11" t="s">
        <v>72</v>
      </c>
      <c r="R348" s="11" t="s">
        <v>709</v>
      </c>
      <c r="S348" s="11" t="s">
        <v>710</v>
      </c>
      <c r="T348" s="11" t="s">
        <v>1348</v>
      </c>
      <c r="U348" s="10" t="n">
        <f aca="false">IF(AND($D348="",$E348="",$F348=""),1,0)</f>
        <v>0</v>
      </c>
      <c r="V348" s="10" t="n">
        <f aca="false">IF(OR($I348="",$I348="—"),1,0)</f>
        <v>0</v>
      </c>
      <c r="W348" s="10" t="n">
        <f aca="false">IF(AND(ISNUMBER($D348),ISNUMBER($E348)),IF($E348&gt;$D348,1,0),0)+IF(AND(ISNUMBER($D348),ISNUMBER($F348)),IF($D348&gt;$F348,1,0),0)+IF(AND(ISNUMBER($E348),ISNUMBER($F348)),IF($E348&gt;$F348,1,0),0)</f>
        <v>0</v>
      </c>
      <c r="X348" s="13" t="s">
        <v>76</v>
      </c>
    </row>
    <row r="349" customFormat="false" ht="15" hidden="false" customHeight="false" outlineLevel="0" collapsed="false">
      <c r="A349" s="10" t="s">
        <v>1349</v>
      </c>
      <c r="B349" s="10" t="s">
        <v>1350</v>
      </c>
      <c r="C349" s="10" t="s">
        <v>1351</v>
      </c>
      <c r="D349" s="12" t="n">
        <v>83</v>
      </c>
      <c r="E349" s="12"/>
      <c r="F349" s="12"/>
      <c r="G349" s="10" t="s">
        <v>401</v>
      </c>
      <c r="H349" s="10" t="s">
        <v>1352</v>
      </c>
      <c r="I349" s="11" t="s">
        <v>1353</v>
      </c>
      <c r="J349" s="10" t="s">
        <v>1354</v>
      </c>
      <c r="K349" s="10" t="s">
        <v>1355</v>
      </c>
      <c r="L349" s="10" t="s">
        <v>68</v>
      </c>
      <c r="M349" s="10" t="s">
        <v>416</v>
      </c>
      <c r="N349" s="11" t="s">
        <v>1356</v>
      </c>
      <c r="O349" s="10"/>
      <c r="P349" s="10" t="s">
        <v>637</v>
      </c>
      <c r="Q349" s="11" t="s">
        <v>72</v>
      </c>
      <c r="R349" s="11" t="s">
        <v>1356</v>
      </c>
      <c r="S349" s="11" t="s">
        <v>710</v>
      </c>
      <c r="T349" s="11" t="s">
        <v>1357</v>
      </c>
      <c r="U349" s="10" t="n">
        <f aca="false">IF(AND($D349="",$E349="",$F349=""),1,0)</f>
        <v>0</v>
      </c>
      <c r="V349" s="10" t="n">
        <f aca="false">IF(OR($I349="",$I349="—"),1,0)</f>
        <v>0</v>
      </c>
      <c r="W349" s="10" t="n">
        <f aca="false">IF(AND(ISNUMBER($D349),ISNUMBER($E349)),IF($E349&gt;$D349,1,0),0)+IF(AND(ISNUMBER($D349),ISNUMBER($F349)),IF($D349&gt;$F349,1,0),0)+IF(AND(ISNUMBER($E349),ISNUMBER($F349)),IF($E349&gt;$F349,1,0),0)</f>
        <v>0</v>
      </c>
      <c r="X349" s="13" t="s">
        <v>76</v>
      </c>
    </row>
    <row r="350" customFormat="false" ht="15" hidden="false" customHeight="false" outlineLevel="0" collapsed="false">
      <c r="A350" s="10" t="s">
        <v>1358</v>
      </c>
      <c r="B350" s="10" t="s">
        <v>1359</v>
      </c>
      <c r="C350" s="10" t="s">
        <v>1360</v>
      </c>
      <c r="D350" s="12" t="n">
        <v>83</v>
      </c>
      <c r="E350" s="12"/>
      <c r="F350" s="12"/>
      <c r="G350" s="10" t="s">
        <v>401</v>
      </c>
      <c r="H350" s="11" t="s">
        <v>1361</v>
      </c>
      <c r="I350" s="11" t="s">
        <v>1362</v>
      </c>
      <c r="J350" s="10" t="s">
        <v>448</v>
      </c>
      <c r="K350" s="10" t="s">
        <v>449</v>
      </c>
      <c r="L350" s="10" t="s">
        <v>68</v>
      </c>
      <c r="M350" s="10" t="s">
        <v>416</v>
      </c>
      <c r="N350" s="11" t="s">
        <v>1363</v>
      </c>
      <c r="O350" s="10"/>
      <c r="P350" s="10" t="s">
        <v>71</v>
      </c>
      <c r="Q350" s="11" t="s">
        <v>72</v>
      </c>
      <c r="R350" s="11" t="s">
        <v>1363</v>
      </c>
      <c r="S350" s="11" t="s">
        <v>74</v>
      </c>
      <c r="T350" s="11" t="s">
        <v>1364</v>
      </c>
      <c r="U350" s="10" t="n">
        <f aca="false">IF(AND($D350="",$E350="",$F350=""),1,0)</f>
        <v>0</v>
      </c>
      <c r="V350" s="10" t="n">
        <f aca="false">IF(OR($I350="",$I350="—"),1,0)</f>
        <v>0</v>
      </c>
      <c r="W350" s="10" t="n">
        <f aca="false">IF(AND(ISNUMBER($D350),ISNUMBER($E350)),IF($E350&gt;$D350,1,0),0)+IF(AND(ISNUMBER($D350),ISNUMBER($F350)),IF($D350&gt;$F350,1,0),0)+IF(AND(ISNUMBER($E350),ISNUMBER($F350)),IF($E350&gt;$F350,1,0),0)</f>
        <v>0</v>
      </c>
      <c r="X350" s="13" t="s">
        <v>76</v>
      </c>
    </row>
    <row r="351" customFormat="false" ht="15" hidden="false" customHeight="false" outlineLevel="0" collapsed="false">
      <c r="A351" s="10" t="s">
        <v>1365</v>
      </c>
      <c r="B351" s="10" t="s">
        <v>1366</v>
      </c>
      <c r="C351" s="10" t="s">
        <v>1367</v>
      </c>
      <c r="D351" s="12" t="n">
        <v>101</v>
      </c>
      <c r="E351" s="12"/>
      <c r="F351" s="12"/>
      <c r="G351" s="10" t="s">
        <v>401</v>
      </c>
      <c r="H351" s="10" t="s">
        <v>1368</v>
      </c>
      <c r="I351" s="11" t="s">
        <v>1369</v>
      </c>
      <c r="J351" s="10" t="s">
        <v>664</v>
      </c>
      <c r="K351" s="10" t="s">
        <v>665</v>
      </c>
      <c r="L351" s="10" t="s">
        <v>68</v>
      </c>
      <c r="M351" s="10" t="s">
        <v>416</v>
      </c>
      <c r="N351" s="11" t="s">
        <v>1363</v>
      </c>
      <c r="O351" s="10"/>
      <c r="P351" s="10" t="s">
        <v>71</v>
      </c>
      <c r="Q351" s="11" t="s">
        <v>72</v>
      </c>
      <c r="R351" s="11" t="s">
        <v>1363</v>
      </c>
      <c r="S351" s="11" t="s">
        <v>74</v>
      </c>
      <c r="T351" s="11" t="s">
        <v>1370</v>
      </c>
      <c r="U351" s="10" t="n">
        <f aca="false">IF(AND($D351="",$E351="",$F351=""),1,0)</f>
        <v>0</v>
      </c>
      <c r="V351" s="10" t="n">
        <f aca="false">IF(OR($I351="",$I351="—"),1,0)</f>
        <v>0</v>
      </c>
      <c r="W351" s="10" t="n">
        <f aca="false">IF(AND(ISNUMBER($D351),ISNUMBER($E351)),IF($E351&gt;$D351,1,0),0)+IF(AND(ISNUMBER($D351),ISNUMBER($F351)),IF($D351&gt;$F351,1,0),0)+IF(AND(ISNUMBER($E351),ISNUMBER($F351)),IF($E351&gt;$F351,1,0),0)</f>
        <v>0</v>
      </c>
      <c r="X351" s="13" t="s">
        <v>76</v>
      </c>
    </row>
    <row r="352" customFormat="false" ht="15" hidden="false" customHeight="false" outlineLevel="0" collapsed="false">
      <c r="A352" s="10" t="s">
        <v>1371</v>
      </c>
      <c r="B352" s="10" t="s">
        <v>1372</v>
      </c>
      <c r="C352" s="10" t="s">
        <v>1373</v>
      </c>
      <c r="D352" s="12" t="n">
        <v>101</v>
      </c>
      <c r="E352" s="12"/>
      <c r="F352" s="12"/>
      <c r="G352" s="10" t="s">
        <v>401</v>
      </c>
      <c r="H352" s="10" t="s">
        <v>662</v>
      </c>
      <c r="I352" s="11" t="s">
        <v>1374</v>
      </c>
      <c r="J352" s="10" t="s">
        <v>1375</v>
      </c>
      <c r="K352" s="10" t="s">
        <v>665</v>
      </c>
      <c r="L352" s="10" t="s">
        <v>68</v>
      </c>
      <c r="M352" s="10" t="s">
        <v>416</v>
      </c>
      <c r="N352" s="11" t="s">
        <v>1363</v>
      </c>
      <c r="O352" s="10"/>
      <c r="P352" s="10" t="s">
        <v>637</v>
      </c>
      <c r="Q352" s="11" t="s">
        <v>72</v>
      </c>
      <c r="R352" s="11" t="s">
        <v>1363</v>
      </c>
      <c r="S352" s="11" t="s">
        <v>710</v>
      </c>
      <c r="T352" s="11" t="s">
        <v>1376</v>
      </c>
      <c r="U352" s="10" t="n">
        <f aca="false">IF(AND($D352="",$E352="",$F352=""),1,0)</f>
        <v>0</v>
      </c>
      <c r="V352" s="10" t="n">
        <f aca="false">IF(OR($I352="",$I352="—"),1,0)</f>
        <v>0</v>
      </c>
      <c r="W352" s="10" t="n">
        <f aca="false">IF(AND(ISNUMBER($D352),ISNUMBER($E352)),IF($E352&gt;$D352,1,0),0)+IF(AND(ISNUMBER($D352),ISNUMBER($F352)),IF($D352&gt;$F352,1,0),0)+IF(AND(ISNUMBER($E352),ISNUMBER($F352)),IF($E352&gt;$F352,1,0),0)</f>
        <v>0</v>
      </c>
      <c r="X352" s="13" t="s">
        <v>76</v>
      </c>
    </row>
    <row r="353" customFormat="false" ht="15" hidden="false" customHeight="false" outlineLevel="0" collapsed="false">
      <c r="A353" s="10" t="s">
        <v>1377</v>
      </c>
      <c r="B353" s="10" t="s">
        <v>1378</v>
      </c>
      <c r="C353" s="10" t="s">
        <v>1379</v>
      </c>
      <c r="D353" s="12" t="n">
        <v>30</v>
      </c>
      <c r="E353" s="12" t="n">
        <v>30</v>
      </c>
      <c r="F353" s="12"/>
      <c r="G353" s="10" t="s">
        <v>917</v>
      </c>
      <c r="H353" s="10" t="s">
        <v>1329</v>
      </c>
      <c r="I353" s="11" t="s">
        <v>1380</v>
      </c>
      <c r="J353" s="10" t="s">
        <v>1381</v>
      </c>
      <c r="K353" s="10" t="s">
        <v>1329</v>
      </c>
      <c r="L353" s="10" t="s">
        <v>68</v>
      </c>
      <c r="M353" s="10" t="s">
        <v>416</v>
      </c>
      <c r="N353" s="11" t="s">
        <v>1363</v>
      </c>
      <c r="O353" s="10"/>
      <c r="P353" s="10" t="s">
        <v>637</v>
      </c>
      <c r="Q353" s="11" t="s">
        <v>72</v>
      </c>
      <c r="R353" s="11" t="s">
        <v>1363</v>
      </c>
      <c r="S353" s="11" t="s">
        <v>710</v>
      </c>
      <c r="T353" s="11" t="s">
        <v>1382</v>
      </c>
      <c r="U353" s="10" t="n">
        <f aca="false">IF(AND($D353="",$E353="",$F353=""),1,0)</f>
        <v>0</v>
      </c>
      <c r="V353" s="10" t="n">
        <f aca="false">IF(OR($I353="",$I353="—"),1,0)</f>
        <v>0</v>
      </c>
      <c r="W353" s="10" t="n">
        <f aca="false">IF(AND(ISNUMBER($D353),ISNUMBER($E353)),IF($E353&gt;$D353,1,0),0)+IF(AND(ISNUMBER($D353),ISNUMBER($F353)),IF($D353&gt;$F353,1,0),0)+IF(AND(ISNUMBER($E353),ISNUMBER($F353)),IF($E353&gt;$F353,1,0),0)</f>
        <v>0</v>
      </c>
      <c r="X353" s="13" t="s">
        <v>76</v>
      </c>
    </row>
    <row r="354" customFormat="false" ht="15" hidden="false" customHeight="false" outlineLevel="0" collapsed="false">
      <c r="A354" s="10" t="s">
        <v>1383</v>
      </c>
      <c r="B354" s="10" t="s">
        <v>1384</v>
      </c>
      <c r="C354" s="10" t="s">
        <v>1385</v>
      </c>
      <c r="D354" s="12" t="n">
        <v>30</v>
      </c>
      <c r="E354" s="12"/>
      <c r="F354" s="12"/>
      <c r="G354" s="10" t="s">
        <v>401</v>
      </c>
      <c r="H354" s="10" t="s">
        <v>1386</v>
      </c>
      <c r="I354" s="11" t="s">
        <v>1362</v>
      </c>
      <c r="J354" s="10" t="s">
        <v>448</v>
      </c>
      <c r="K354" s="10" t="s">
        <v>449</v>
      </c>
      <c r="L354" s="10" t="s">
        <v>68</v>
      </c>
      <c r="M354" s="10" t="s">
        <v>416</v>
      </c>
      <c r="N354" s="11" t="s">
        <v>1363</v>
      </c>
      <c r="O354" s="10"/>
      <c r="P354" s="10" t="s">
        <v>71</v>
      </c>
      <c r="Q354" s="11" t="s">
        <v>72</v>
      </c>
      <c r="R354" s="11" t="s">
        <v>1363</v>
      </c>
      <c r="S354" s="11" t="s">
        <v>74</v>
      </c>
      <c r="T354" s="11" t="s">
        <v>1387</v>
      </c>
      <c r="U354" s="10" t="n">
        <f aca="false">IF(AND($D354="",$E354="",$F354=""),1,0)</f>
        <v>0</v>
      </c>
      <c r="V354" s="10" t="n">
        <f aca="false">IF(OR($I354="",$I354="—"),1,0)</f>
        <v>0</v>
      </c>
      <c r="W354" s="10" t="n">
        <f aca="false">IF(AND(ISNUMBER($D354),ISNUMBER($E354)),IF($E354&gt;$D354,1,0),0)+IF(AND(ISNUMBER($D354),ISNUMBER($F354)),IF($D354&gt;$F354,1,0),0)+IF(AND(ISNUMBER($E354),ISNUMBER($F354)),IF($E354&gt;$F354,1,0),0)</f>
        <v>0</v>
      </c>
      <c r="X354" s="13" t="s">
        <v>76</v>
      </c>
    </row>
    <row r="355" customFormat="false" ht="15" hidden="false" customHeight="false" outlineLevel="0" collapsed="false">
      <c r="A355" s="10" t="s">
        <v>1388</v>
      </c>
      <c r="B355" s="10" t="s">
        <v>1389</v>
      </c>
      <c r="C355" s="11" t="s">
        <v>1390</v>
      </c>
      <c r="D355" s="12"/>
      <c r="E355" s="12" t="n">
        <v>30</v>
      </c>
      <c r="F355" s="12" t="n">
        <v>60</v>
      </c>
      <c r="G355" s="10" t="s">
        <v>401</v>
      </c>
      <c r="H355" s="10" t="s">
        <v>1329</v>
      </c>
      <c r="I355" s="10" t="s">
        <v>1391</v>
      </c>
      <c r="J355" s="10" t="s">
        <v>1331</v>
      </c>
      <c r="K355" s="10" t="s">
        <v>1332</v>
      </c>
      <c r="L355" s="10" t="s">
        <v>68</v>
      </c>
      <c r="M355" s="10" t="s">
        <v>416</v>
      </c>
      <c r="N355" s="11" t="s">
        <v>709</v>
      </c>
      <c r="O355" s="10"/>
      <c r="P355" s="10" t="s">
        <v>637</v>
      </c>
      <c r="Q355" s="11" t="s">
        <v>72</v>
      </c>
      <c r="R355" s="11" t="s">
        <v>709</v>
      </c>
      <c r="S355" s="11" t="s">
        <v>710</v>
      </c>
      <c r="T355" s="11" t="s">
        <v>1392</v>
      </c>
      <c r="U355" s="10" t="n">
        <f aca="false">IF(AND($D355="",$E355="",$F355=""),1,0)</f>
        <v>0</v>
      </c>
      <c r="V355" s="10" t="n">
        <f aca="false">IF(OR($I355="",$I355="—"),1,0)</f>
        <v>0</v>
      </c>
      <c r="W355" s="10" t="n">
        <f aca="false">IF(AND(ISNUMBER($D355),ISNUMBER($E355)),IF($E355&gt;$D355,1,0),0)+IF(AND(ISNUMBER($D355),ISNUMBER($F355)),IF($D355&gt;$F355,1,0),0)+IF(AND(ISNUMBER($E355),ISNUMBER($F355)),IF($E355&gt;$F355,1,0),0)</f>
        <v>0</v>
      </c>
      <c r="X355" s="13" t="s">
        <v>76</v>
      </c>
    </row>
    <row r="356" customFormat="false" ht="15" hidden="false" customHeight="false" outlineLevel="0" collapsed="false">
      <c r="A356" s="10" t="s">
        <v>1393</v>
      </c>
      <c r="B356" s="10" t="s">
        <v>1394</v>
      </c>
      <c r="C356" s="11" t="s">
        <v>1395</v>
      </c>
      <c r="D356" s="12"/>
      <c r="E356" s="12" t="n">
        <v>80</v>
      </c>
      <c r="F356" s="12" t="n">
        <v>150</v>
      </c>
      <c r="G356" s="10" t="s">
        <v>401</v>
      </c>
      <c r="H356" s="10" t="s">
        <v>1396</v>
      </c>
      <c r="I356" s="11" t="s">
        <v>1353</v>
      </c>
      <c r="J356" s="10" t="s">
        <v>1354</v>
      </c>
      <c r="K356" s="10" t="s">
        <v>1355</v>
      </c>
      <c r="L356" s="10" t="s">
        <v>68</v>
      </c>
      <c r="M356" s="10" t="s">
        <v>416</v>
      </c>
      <c r="N356" s="11" t="s">
        <v>709</v>
      </c>
      <c r="O356" s="10"/>
      <c r="P356" s="10" t="s">
        <v>637</v>
      </c>
      <c r="Q356" s="11" t="s">
        <v>72</v>
      </c>
      <c r="R356" s="11" t="s">
        <v>709</v>
      </c>
      <c r="S356" s="11" t="s">
        <v>710</v>
      </c>
      <c r="T356" s="11" t="s">
        <v>1397</v>
      </c>
      <c r="U356" s="10" t="n">
        <f aca="false">IF(AND($D356="",$E356="",$F356=""),1,0)</f>
        <v>0</v>
      </c>
      <c r="V356" s="10" t="n">
        <f aca="false">IF(OR($I356="",$I356="—"),1,0)</f>
        <v>0</v>
      </c>
      <c r="W356" s="10" t="n">
        <f aca="false">IF(AND(ISNUMBER($D356),ISNUMBER($E356)),IF($E356&gt;$D356,1,0),0)+IF(AND(ISNUMBER($D356),ISNUMBER($F356)),IF($D356&gt;$F356,1,0),0)+IF(AND(ISNUMBER($E356),ISNUMBER($F356)),IF($E356&gt;$F356,1,0),0)</f>
        <v>0</v>
      </c>
      <c r="X356" s="13" t="s">
        <v>76</v>
      </c>
    </row>
    <row r="357" customFormat="false" ht="15" hidden="false" customHeight="false" outlineLevel="0" collapsed="false">
      <c r="A357" s="10" t="s">
        <v>1398</v>
      </c>
      <c r="B357" s="10" t="s">
        <v>1399</v>
      </c>
      <c r="C357" s="10" t="s">
        <v>1400</v>
      </c>
      <c r="D357" s="12"/>
      <c r="E357" s="12"/>
      <c r="F357" s="12"/>
      <c r="G357" s="11" t="s">
        <v>1401</v>
      </c>
      <c r="H357" s="10" t="s">
        <v>1402</v>
      </c>
      <c r="I357" s="10" t="s">
        <v>1403</v>
      </c>
      <c r="J357" s="10" t="s">
        <v>1404</v>
      </c>
      <c r="K357" s="10" t="s">
        <v>1405</v>
      </c>
      <c r="L357" s="10" t="s">
        <v>68</v>
      </c>
      <c r="M357" s="10" t="s">
        <v>69</v>
      </c>
      <c r="N357" s="10"/>
      <c r="O357" s="10"/>
      <c r="P357" s="10" t="s">
        <v>637</v>
      </c>
      <c r="Q357" s="11" t="s">
        <v>72</v>
      </c>
      <c r="R357" s="11" t="s">
        <v>1090</v>
      </c>
      <c r="S357" s="11" t="s">
        <v>710</v>
      </c>
      <c r="T357" s="11" t="s">
        <v>1406</v>
      </c>
      <c r="U357" s="10" t="n">
        <f aca="false">IF(AND($D357="",$E357="",$F357=""),1,0)</f>
        <v>1</v>
      </c>
      <c r="V357" s="10" t="n">
        <f aca="false">IF(OR($I357="",$I357="—"),1,0)</f>
        <v>0</v>
      </c>
      <c r="W357" s="10" t="n">
        <f aca="false">IF(AND(ISNUMBER($D357),ISNUMBER($E357)),IF($E357&gt;$D357,1,0),0)+IF(AND(ISNUMBER($D357),ISNUMBER($F357)),IF($D357&gt;$F357,1,0),0)+IF(AND(ISNUMBER($E357),ISNUMBER($F357)),IF($E357&gt;$F357,1,0),0)</f>
        <v>0</v>
      </c>
      <c r="X357" s="13" t="s">
        <v>76</v>
      </c>
    </row>
    <row r="358" customFormat="false" ht="15" hidden="false" customHeight="false" outlineLevel="0" collapsed="false">
      <c r="A358" s="10" t="s">
        <v>1407</v>
      </c>
      <c r="B358" s="10" t="s">
        <v>1408</v>
      </c>
      <c r="C358" s="10" t="s">
        <v>1409</v>
      </c>
      <c r="D358" s="12"/>
      <c r="E358" s="12" t="n">
        <v>20</v>
      </c>
      <c r="F358" s="12" t="n">
        <v>100</v>
      </c>
      <c r="G358" s="10" t="s">
        <v>1410</v>
      </c>
      <c r="H358" s="10" t="s">
        <v>1411</v>
      </c>
      <c r="I358" s="11" t="s">
        <v>1412</v>
      </c>
      <c r="J358" s="10" t="s">
        <v>1413</v>
      </c>
      <c r="K358" s="10" t="s">
        <v>1414</v>
      </c>
      <c r="L358" s="10" t="s">
        <v>68</v>
      </c>
      <c r="M358" s="10" t="s">
        <v>69</v>
      </c>
      <c r="N358" s="10"/>
      <c r="O358" s="10"/>
      <c r="P358" s="10" t="s">
        <v>637</v>
      </c>
      <c r="Q358" s="11" t="s">
        <v>72</v>
      </c>
      <c r="R358" s="11" t="s">
        <v>1090</v>
      </c>
      <c r="S358" s="11" t="s">
        <v>710</v>
      </c>
      <c r="T358" s="11" t="s">
        <v>1415</v>
      </c>
      <c r="U358" s="10" t="n">
        <f aca="false">IF(AND($D358="",$E358="",$F358=""),1,0)</f>
        <v>0</v>
      </c>
      <c r="V358" s="10" t="n">
        <f aca="false">IF(OR($I358="",$I358="—"),1,0)</f>
        <v>0</v>
      </c>
      <c r="W358" s="10" t="n">
        <f aca="false">IF(AND(ISNUMBER($D358),ISNUMBER($E358)),IF($E358&gt;$D358,1,0),0)+IF(AND(ISNUMBER($D358),ISNUMBER($F358)),IF($D358&gt;$F358,1,0),0)+IF(AND(ISNUMBER($E358),ISNUMBER($F358)),IF($E358&gt;$F358,1,0),0)</f>
        <v>0</v>
      </c>
      <c r="X358" s="13" t="s">
        <v>76</v>
      </c>
    </row>
    <row r="359" customFormat="false" ht="15" hidden="false" customHeight="false" outlineLevel="0" collapsed="false">
      <c r="A359" s="10" t="s">
        <v>1416</v>
      </c>
      <c r="B359" s="10" t="s">
        <v>1417</v>
      </c>
      <c r="C359" s="11" t="s">
        <v>1418</v>
      </c>
      <c r="D359" s="12" t="n">
        <v>3</v>
      </c>
      <c r="E359" s="12" t="n">
        <v>3</v>
      </c>
      <c r="F359" s="12" t="n">
        <v>3</v>
      </c>
      <c r="G359" s="10" t="s">
        <v>1419</v>
      </c>
      <c r="H359" s="10" t="s">
        <v>1420</v>
      </c>
      <c r="I359" s="10" t="s">
        <v>1421</v>
      </c>
      <c r="J359" s="10" t="s">
        <v>1422</v>
      </c>
      <c r="K359" s="10" t="s">
        <v>1423</v>
      </c>
      <c r="L359" s="10" t="s">
        <v>68</v>
      </c>
      <c r="M359" s="10" t="s">
        <v>1308</v>
      </c>
      <c r="N359" s="10"/>
      <c r="O359" s="10"/>
      <c r="P359" s="10" t="s">
        <v>637</v>
      </c>
      <c r="Q359" s="11" t="s">
        <v>1309</v>
      </c>
      <c r="R359" s="11" t="s">
        <v>1310</v>
      </c>
      <c r="S359" s="11" t="s">
        <v>710</v>
      </c>
      <c r="T359" s="11" t="s">
        <v>1424</v>
      </c>
      <c r="U359" s="10" t="n">
        <f aca="false">IF(AND($D359="",$E359="",$F359=""),1,0)</f>
        <v>0</v>
      </c>
      <c r="V359" s="10" t="n">
        <f aca="false">IF(OR($I359="",$I359="—"),1,0)</f>
        <v>0</v>
      </c>
      <c r="W359" s="10" t="n">
        <f aca="false">IF(AND(ISNUMBER($D359),ISNUMBER($E359)),IF($E359&gt;$D359,1,0),0)+IF(AND(ISNUMBER($D359),ISNUMBER($F359)),IF($D359&gt;$F359,1,0),0)+IF(AND(ISNUMBER($E359),ISNUMBER($F359)),IF($E359&gt;$F359,1,0),0)</f>
        <v>0</v>
      </c>
      <c r="X359" s="13" t="s">
        <v>76</v>
      </c>
    </row>
    <row r="360" customFormat="false" ht="15" hidden="false" customHeight="false" outlineLevel="0" collapsed="false">
      <c r="A360" s="10" t="s">
        <v>1425</v>
      </c>
      <c r="B360" s="10" t="s">
        <v>1426</v>
      </c>
      <c r="C360" s="10" t="s">
        <v>1427</v>
      </c>
      <c r="D360" s="12" t="n">
        <v>49</v>
      </c>
      <c r="E360" s="12"/>
      <c r="F360" s="12"/>
      <c r="G360" s="10" t="s">
        <v>1410</v>
      </c>
      <c r="H360" s="10" t="s">
        <v>1428</v>
      </c>
      <c r="I360" s="10" t="s">
        <v>1429</v>
      </c>
      <c r="J360" s="10" t="s">
        <v>1430</v>
      </c>
      <c r="K360" s="10" t="s">
        <v>1431</v>
      </c>
      <c r="L360" s="10" t="s">
        <v>68</v>
      </c>
      <c r="M360" s="10" t="s">
        <v>69</v>
      </c>
      <c r="N360" s="10"/>
      <c r="O360" s="10"/>
      <c r="P360" s="10" t="s">
        <v>637</v>
      </c>
      <c r="Q360" s="11" t="s">
        <v>72</v>
      </c>
      <c r="R360" s="11" t="s">
        <v>1090</v>
      </c>
      <c r="S360" s="11" t="s">
        <v>710</v>
      </c>
      <c r="T360" s="11" t="s">
        <v>1432</v>
      </c>
      <c r="U360" s="10" t="n">
        <f aca="false">IF(AND($D360="",$E360="",$F360=""),1,0)</f>
        <v>0</v>
      </c>
      <c r="V360" s="10" t="n">
        <f aca="false">IF(OR($I360="",$I360="—"),1,0)</f>
        <v>0</v>
      </c>
      <c r="W360" s="10" t="n">
        <f aca="false">IF(AND(ISNUMBER($D360),ISNUMBER($E360)),IF($E360&gt;$D360,1,0),0)+IF(AND(ISNUMBER($D360),ISNUMBER($F360)),IF($D360&gt;$F360,1,0),0)+IF(AND(ISNUMBER($E360),ISNUMBER($F360)),IF($E360&gt;$F360,1,0),0)</f>
        <v>0</v>
      </c>
      <c r="X360" s="13" t="s">
        <v>76</v>
      </c>
    </row>
    <row r="361" customFormat="false" ht="15" hidden="false" customHeight="false" outlineLevel="0" collapsed="false">
      <c r="A361" s="10" t="s">
        <v>1433</v>
      </c>
      <c r="B361" s="10" t="s">
        <v>1434</v>
      </c>
      <c r="C361" s="10" t="s">
        <v>1435</v>
      </c>
      <c r="D361" s="12" t="n">
        <v>44</v>
      </c>
      <c r="E361" s="12"/>
      <c r="F361" s="12"/>
      <c r="G361" s="10" t="s">
        <v>1410</v>
      </c>
      <c r="H361" s="10" t="s">
        <v>1436</v>
      </c>
      <c r="I361" s="10" t="s">
        <v>1429</v>
      </c>
      <c r="J361" s="10" t="s">
        <v>1430</v>
      </c>
      <c r="K361" s="10" t="s">
        <v>1431</v>
      </c>
      <c r="L361" s="10" t="s">
        <v>68</v>
      </c>
      <c r="M361" s="10" t="s">
        <v>69</v>
      </c>
      <c r="N361" s="10"/>
      <c r="O361" s="10"/>
      <c r="P361" s="10" t="s">
        <v>637</v>
      </c>
      <c r="Q361" s="11" t="s">
        <v>72</v>
      </c>
      <c r="R361" s="11" t="s">
        <v>1090</v>
      </c>
      <c r="S361" s="11" t="s">
        <v>710</v>
      </c>
      <c r="T361" s="11" t="s">
        <v>1437</v>
      </c>
      <c r="U361" s="10" t="n">
        <f aca="false">IF(AND($D361="",$E361="",$F361=""),1,0)</f>
        <v>0</v>
      </c>
      <c r="V361" s="10" t="n">
        <f aca="false">IF(OR($I361="",$I361="—"),1,0)</f>
        <v>0</v>
      </c>
      <c r="W361" s="10" t="n">
        <f aca="false">IF(AND(ISNUMBER($D361),ISNUMBER($E361)),IF($E361&gt;$D361,1,0),0)+IF(AND(ISNUMBER($D361),ISNUMBER($F361)),IF($D361&gt;$F361,1,0),0)+IF(AND(ISNUMBER($E361),ISNUMBER($F361)),IF($E361&gt;$F361,1,0),0)</f>
        <v>0</v>
      </c>
      <c r="X361" s="13" t="s">
        <v>76</v>
      </c>
    </row>
    <row r="362" customFormat="false" ht="15" hidden="false" customHeight="false" outlineLevel="0" collapsed="false">
      <c r="A362" s="10" t="s">
        <v>1438</v>
      </c>
      <c r="B362" s="10" t="s">
        <v>1439</v>
      </c>
      <c r="C362" s="10" t="s">
        <v>1440</v>
      </c>
      <c r="D362" s="12" t="n">
        <v>34</v>
      </c>
      <c r="E362" s="12"/>
      <c r="F362" s="12"/>
      <c r="G362" s="10" t="s">
        <v>1410</v>
      </c>
      <c r="H362" s="10" t="s">
        <v>1436</v>
      </c>
      <c r="I362" s="10" t="s">
        <v>1429</v>
      </c>
      <c r="J362" s="10" t="s">
        <v>1430</v>
      </c>
      <c r="K362" s="10" t="s">
        <v>1431</v>
      </c>
      <c r="L362" s="10" t="s">
        <v>68</v>
      </c>
      <c r="M362" s="10" t="s">
        <v>69</v>
      </c>
      <c r="N362" s="10"/>
      <c r="O362" s="10"/>
      <c r="P362" s="10" t="s">
        <v>637</v>
      </c>
      <c r="Q362" s="11" t="s">
        <v>72</v>
      </c>
      <c r="R362" s="11" t="s">
        <v>1090</v>
      </c>
      <c r="S362" s="11" t="s">
        <v>710</v>
      </c>
      <c r="T362" s="11" t="s">
        <v>1441</v>
      </c>
      <c r="U362" s="10" t="n">
        <f aca="false">IF(AND($D362="",$E362="",$F362=""),1,0)</f>
        <v>0</v>
      </c>
      <c r="V362" s="10" t="n">
        <f aca="false">IF(OR($I362="",$I362="—"),1,0)</f>
        <v>0</v>
      </c>
      <c r="W362" s="10" t="n">
        <f aca="false">IF(AND(ISNUMBER($D362),ISNUMBER($E362)),IF($E362&gt;$D362,1,0),0)+IF(AND(ISNUMBER($D362),ISNUMBER($F362)),IF($D362&gt;$F362,1,0),0)+IF(AND(ISNUMBER($E362),ISNUMBER($F362)),IF($E362&gt;$F362,1,0),0)</f>
        <v>0</v>
      </c>
      <c r="X362" s="13" t="s">
        <v>76</v>
      </c>
    </row>
    <row r="363" customFormat="false" ht="15" hidden="false" customHeight="false" outlineLevel="0" collapsed="false">
      <c r="A363" s="10" t="s">
        <v>1442</v>
      </c>
      <c r="B363" s="10" t="s">
        <v>1443</v>
      </c>
      <c r="C363" s="10" t="s">
        <v>1444</v>
      </c>
      <c r="D363" s="12" t="n">
        <v>149</v>
      </c>
      <c r="E363" s="12"/>
      <c r="F363" s="12"/>
      <c r="G363" s="10" t="s">
        <v>1410</v>
      </c>
      <c r="H363" s="10" t="s">
        <v>1428</v>
      </c>
      <c r="I363" s="10" t="s">
        <v>1429</v>
      </c>
      <c r="J363" s="10" t="s">
        <v>1430</v>
      </c>
      <c r="K363" s="10" t="s">
        <v>1431</v>
      </c>
      <c r="L363" s="10" t="s">
        <v>68</v>
      </c>
      <c r="M363" s="10" t="s">
        <v>69</v>
      </c>
      <c r="N363" s="10"/>
      <c r="O363" s="10"/>
      <c r="P363" s="10" t="s">
        <v>637</v>
      </c>
      <c r="Q363" s="11" t="s">
        <v>72</v>
      </c>
      <c r="R363" s="11" t="s">
        <v>1090</v>
      </c>
      <c r="S363" s="11" t="s">
        <v>710</v>
      </c>
      <c r="T363" s="11" t="s">
        <v>1445</v>
      </c>
      <c r="U363" s="10" t="n">
        <f aca="false">IF(AND($D363="",$E363="",$F363=""),1,0)</f>
        <v>0</v>
      </c>
      <c r="V363" s="10" t="n">
        <f aca="false">IF(OR($I363="",$I363="—"),1,0)</f>
        <v>0</v>
      </c>
      <c r="W363" s="10" t="n">
        <f aca="false">IF(AND(ISNUMBER($D363),ISNUMBER($E363)),IF($E363&gt;$D363,1,0),0)+IF(AND(ISNUMBER($D363),ISNUMBER($F363)),IF($D363&gt;$F363,1,0),0)+IF(AND(ISNUMBER($E363),ISNUMBER($F363)),IF($E363&gt;$F363,1,0),0)</f>
        <v>0</v>
      </c>
      <c r="X363" s="13" t="s">
        <v>76</v>
      </c>
    </row>
    <row r="364" customFormat="false" ht="15" hidden="false" customHeight="false" outlineLevel="0" collapsed="false">
      <c r="A364" s="10" t="s">
        <v>1446</v>
      </c>
      <c r="B364" s="10" t="s">
        <v>1447</v>
      </c>
      <c r="C364" s="10" t="s">
        <v>1448</v>
      </c>
      <c r="D364" s="12" t="n">
        <v>134</v>
      </c>
      <c r="E364" s="12"/>
      <c r="F364" s="12"/>
      <c r="G364" s="10" t="s">
        <v>1410</v>
      </c>
      <c r="H364" s="10" t="s">
        <v>1436</v>
      </c>
      <c r="I364" s="10" t="s">
        <v>1429</v>
      </c>
      <c r="J364" s="10" t="s">
        <v>1430</v>
      </c>
      <c r="K364" s="10" t="s">
        <v>1431</v>
      </c>
      <c r="L364" s="10" t="s">
        <v>68</v>
      </c>
      <c r="M364" s="10" t="s">
        <v>69</v>
      </c>
      <c r="N364" s="10"/>
      <c r="O364" s="10"/>
      <c r="P364" s="10" t="s">
        <v>637</v>
      </c>
      <c r="Q364" s="11" t="s">
        <v>72</v>
      </c>
      <c r="R364" s="11" t="s">
        <v>1090</v>
      </c>
      <c r="S364" s="11" t="s">
        <v>710</v>
      </c>
      <c r="T364" s="11" t="s">
        <v>1437</v>
      </c>
      <c r="U364" s="10" t="n">
        <f aca="false">IF(AND($D364="",$E364="",$F364=""),1,0)</f>
        <v>0</v>
      </c>
      <c r="V364" s="10" t="n">
        <f aca="false">IF(OR($I364="",$I364="—"),1,0)</f>
        <v>0</v>
      </c>
      <c r="W364" s="10" t="n">
        <f aca="false">IF(AND(ISNUMBER($D364),ISNUMBER($E364)),IF($E364&gt;$D364,1,0),0)+IF(AND(ISNUMBER($D364),ISNUMBER($F364)),IF($D364&gt;$F364,1,0),0)+IF(AND(ISNUMBER($E364),ISNUMBER($F364)),IF($E364&gt;$F364,1,0),0)</f>
        <v>0</v>
      </c>
      <c r="X364" s="13" t="s">
        <v>76</v>
      </c>
    </row>
    <row r="365" customFormat="false" ht="15" hidden="false" customHeight="false" outlineLevel="0" collapsed="false">
      <c r="A365" s="10" t="s">
        <v>1449</v>
      </c>
      <c r="B365" s="10" t="s">
        <v>1450</v>
      </c>
      <c r="C365" s="10" t="s">
        <v>1451</v>
      </c>
      <c r="D365" s="12" t="n">
        <v>104</v>
      </c>
      <c r="E365" s="12"/>
      <c r="F365" s="12"/>
      <c r="G365" s="10" t="s">
        <v>1410</v>
      </c>
      <c r="H365" s="10" t="s">
        <v>1436</v>
      </c>
      <c r="I365" s="10" t="s">
        <v>1429</v>
      </c>
      <c r="J365" s="10" t="s">
        <v>1430</v>
      </c>
      <c r="K365" s="10" t="s">
        <v>1431</v>
      </c>
      <c r="L365" s="10" t="s">
        <v>68</v>
      </c>
      <c r="M365" s="10" t="s">
        <v>69</v>
      </c>
      <c r="N365" s="10"/>
      <c r="O365" s="10"/>
      <c r="P365" s="10" t="s">
        <v>637</v>
      </c>
      <c r="Q365" s="11" t="s">
        <v>72</v>
      </c>
      <c r="R365" s="11" t="s">
        <v>1090</v>
      </c>
      <c r="S365" s="11" t="s">
        <v>710</v>
      </c>
      <c r="T365" s="11" t="s">
        <v>1441</v>
      </c>
      <c r="U365" s="10" t="n">
        <f aca="false">IF(AND($D365="",$E365="",$F365=""),1,0)</f>
        <v>0</v>
      </c>
      <c r="V365" s="10" t="n">
        <f aca="false">IF(OR($I365="",$I365="—"),1,0)</f>
        <v>0</v>
      </c>
      <c r="W365" s="10" t="n">
        <f aca="false">IF(AND(ISNUMBER($D365),ISNUMBER($E365)),IF($E365&gt;$D365,1,0),0)+IF(AND(ISNUMBER($D365),ISNUMBER($F365)),IF($D365&gt;$F365,1,0),0)+IF(AND(ISNUMBER($E365),ISNUMBER($F365)),IF($E365&gt;$F365,1,0),0)</f>
        <v>0</v>
      </c>
      <c r="X365" s="13" t="s">
        <v>76</v>
      </c>
    </row>
    <row r="366" customFormat="false" ht="15" hidden="false" customHeight="false" outlineLevel="0" collapsed="false">
      <c r="A366" s="10" t="s">
        <v>1452</v>
      </c>
      <c r="B366" s="10" t="s">
        <v>1453</v>
      </c>
      <c r="C366" s="10" t="s">
        <v>1454</v>
      </c>
      <c r="D366" s="12" t="n">
        <v>469</v>
      </c>
      <c r="E366" s="12"/>
      <c r="F366" s="12"/>
      <c r="G366" s="10" t="s">
        <v>1410</v>
      </c>
      <c r="H366" s="10" t="s">
        <v>1428</v>
      </c>
      <c r="I366" s="10" t="s">
        <v>1429</v>
      </c>
      <c r="J366" s="10" t="s">
        <v>1430</v>
      </c>
      <c r="K366" s="10" t="s">
        <v>1431</v>
      </c>
      <c r="L366" s="10" t="s">
        <v>68</v>
      </c>
      <c r="M366" s="10" t="s">
        <v>69</v>
      </c>
      <c r="N366" s="10"/>
      <c r="O366" s="10"/>
      <c r="P366" s="10" t="s">
        <v>637</v>
      </c>
      <c r="Q366" s="11" t="s">
        <v>72</v>
      </c>
      <c r="R366" s="11" t="s">
        <v>1090</v>
      </c>
      <c r="S366" s="11" t="s">
        <v>710</v>
      </c>
      <c r="T366" s="11" t="s">
        <v>1455</v>
      </c>
      <c r="U366" s="10" t="n">
        <f aca="false">IF(AND($D366="",$E366="",$F366=""),1,0)</f>
        <v>0</v>
      </c>
      <c r="V366" s="10" t="n">
        <f aca="false">IF(OR($I366="",$I366="—"),1,0)</f>
        <v>0</v>
      </c>
      <c r="W366" s="10" t="n">
        <f aca="false">IF(AND(ISNUMBER($D366),ISNUMBER($E366)),IF($E366&gt;$D366,1,0),0)+IF(AND(ISNUMBER($D366),ISNUMBER($F366)),IF($D366&gt;$F366,1,0),0)+IF(AND(ISNUMBER($E366),ISNUMBER($F366)),IF($E366&gt;$F366,1,0),0)</f>
        <v>0</v>
      </c>
      <c r="X366" s="13" t="s">
        <v>76</v>
      </c>
    </row>
    <row r="367" customFormat="false" ht="15" hidden="false" customHeight="false" outlineLevel="0" collapsed="false">
      <c r="A367" s="10" t="s">
        <v>1456</v>
      </c>
      <c r="B367" s="10" t="s">
        <v>1457</v>
      </c>
      <c r="C367" s="10" t="s">
        <v>1458</v>
      </c>
      <c r="D367" s="12" t="n">
        <v>422</v>
      </c>
      <c r="E367" s="12"/>
      <c r="F367" s="12"/>
      <c r="G367" s="10" t="s">
        <v>1410</v>
      </c>
      <c r="H367" s="10" t="s">
        <v>1436</v>
      </c>
      <c r="I367" s="10" t="s">
        <v>1429</v>
      </c>
      <c r="J367" s="10" t="s">
        <v>1430</v>
      </c>
      <c r="K367" s="10" t="s">
        <v>1431</v>
      </c>
      <c r="L367" s="10" t="s">
        <v>68</v>
      </c>
      <c r="M367" s="10" t="s">
        <v>69</v>
      </c>
      <c r="N367" s="10"/>
      <c r="O367" s="10"/>
      <c r="P367" s="10" t="s">
        <v>637</v>
      </c>
      <c r="Q367" s="11" t="s">
        <v>72</v>
      </c>
      <c r="R367" s="11" t="s">
        <v>1090</v>
      </c>
      <c r="S367" s="11" t="s">
        <v>710</v>
      </c>
      <c r="T367" s="11" t="s">
        <v>1437</v>
      </c>
      <c r="U367" s="10" t="n">
        <f aca="false">IF(AND($D367="",$E367="",$F367=""),1,0)</f>
        <v>0</v>
      </c>
      <c r="V367" s="10" t="n">
        <f aca="false">IF(OR($I367="",$I367="—"),1,0)</f>
        <v>0</v>
      </c>
      <c r="W367" s="10" t="n">
        <f aca="false">IF(AND(ISNUMBER($D367),ISNUMBER($E367)),IF($E367&gt;$D367,1,0),0)+IF(AND(ISNUMBER($D367),ISNUMBER($F367)),IF($D367&gt;$F367,1,0),0)+IF(AND(ISNUMBER($E367),ISNUMBER($F367)),IF($E367&gt;$F367,1,0),0)</f>
        <v>0</v>
      </c>
      <c r="X367" s="13" t="s">
        <v>76</v>
      </c>
    </row>
    <row r="368" customFormat="false" ht="15" hidden="false" customHeight="false" outlineLevel="0" collapsed="false">
      <c r="A368" s="10" t="s">
        <v>1459</v>
      </c>
      <c r="B368" s="10" t="s">
        <v>1460</v>
      </c>
      <c r="C368" s="10" t="s">
        <v>1461</v>
      </c>
      <c r="D368" s="12" t="n">
        <v>328</v>
      </c>
      <c r="E368" s="12"/>
      <c r="F368" s="12"/>
      <c r="G368" s="10" t="s">
        <v>1410</v>
      </c>
      <c r="H368" s="10" t="s">
        <v>1436</v>
      </c>
      <c r="I368" s="10" t="s">
        <v>1429</v>
      </c>
      <c r="J368" s="10" t="s">
        <v>1430</v>
      </c>
      <c r="K368" s="10" t="s">
        <v>1431</v>
      </c>
      <c r="L368" s="10" t="s">
        <v>68</v>
      </c>
      <c r="M368" s="10" t="s">
        <v>69</v>
      </c>
      <c r="N368" s="10"/>
      <c r="O368" s="10"/>
      <c r="P368" s="10" t="s">
        <v>637</v>
      </c>
      <c r="Q368" s="11" t="s">
        <v>72</v>
      </c>
      <c r="R368" s="11" t="s">
        <v>1090</v>
      </c>
      <c r="S368" s="11" t="s">
        <v>710</v>
      </c>
      <c r="T368" s="11" t="s">
        <v>1441</v>
      </c>
      <c r="U368" s="10" t="n">
        <f aca="false">IF(AND($D368="",$E368="",$F368=""),1,0)</f>
        <v>0</v>
      </c>
      <c r="V368" s="10" t="n">
        <f aca="false">IF(OR($I368="",$I368="—"),1,0)</f>
        <v>0</v>
      </c>
      <c r="W368" s="10" t="n">
        <f aca="false">IF(AND(ISNUMBER($D368),ISNUMBER($E368)),IF($E368&gt;$D368,1,0),0)+IF(AND(ISNUMBER($D368),ISNUMBER($F368)),IF($D368&gt;$F368,1,0),0)+IF(AND(ISNUMBER($E368),ISNUMBER($F368)),IF($E368&gt;$F368,1,0),0)</f>
        <v>0</v>
      </c>
      <c r="X368" s="13" t="s">
        <v>76</v>
      </c>
    </row>
    <row r="369" customFormat="false" ht="15" hidden="false" customHeight="false" outlineLevel="0" collapsed="false">
      <c r="A369" s="10" t="s">
        <v>1462</v>
      </c>
      <c r="B369" s="10" t="s">
        <v>1463</v>
      </c>
      <c r="C369" s="10" t="s">
        <v>1464</v>
      </c>
      <c r="D369" s="12" t="n">
        <v>402</v>
      </c>
      <c r="E369" s="12"/>
      <c r="F369" s="12"/>
      <c r="G369" s="10" t="s">
        <v>1465</v>
      </c>
      <c r="H369" s="10" t="s">
        <v>1332</v>
      </c>
      <c r="I369" s="10" t="s">
        <v>1466</v>
      </c>
      <c r="J369" s="10" t="s">
        <v>1467</v>
      </c>
      <c r="K369" s="10" t="s">
        <v>1332</v>
      </c>
      <c r="L369" s="10" t="s">
        <v>68</v>
      </c>
      <c r="M369" s="10" t="s">
        <v>69</v>
      </c>
      <c r="N369" s="10"/>
      <c r="O369" s="10"/>
      <c r="P369" s="10" t="s">
        <v>637</v>
      </c>
      <c r="Q369" s="11" t="s">
        <v>72</v>
      </c>
      <c r="R369" s="11" t="s">
        <v>1090</v>
      </c>
      <c r="S369" s="11" t="s">
        <v>1278</v>
      </c>
      <c r="T369" s="11" t="s">
        <v>1468</v>
      </c>
      <c r="U369" s="10" t="n">
        <f aca="false">IF(AND($D369="",$E369="",$F369=""),1,0)</f>
        <v>0</v>
      </c>
      <c r="V369" s="10" t="n">
        <f aca="false">IF(OR($I369="",$I369="—"),1,0)</f>
        <v>0</v>
      </c>
      <c r="W369" s="10" t="n">
        <f aca="false">IF(AND(ISNUMBER($D369),ISNUMBER($E369)),IF($E369&gt;$D369,1,0),0)+IF(AND(ISNUMBER($D369),ISNUMBER($F369)),IF($D369&gt;$F369,1,0),0)+IF(AND(ISNUMBER($E369),ISNUMBER($F369)),IF($E369&gt;$F369,1,0),0)</f>
        <v>0</v>
      </c>
      <c r="X369" s="13" t="s">
        <v>76</v>
      </c>
    </row>
    <row r="370" customFormat="false" ht="15" hidden="false" customHeight="false" outlineLevel="0" collapsed="false">
      <c r="A370" s="10" t="s">
        <v>1469</v>
      </c>
      <c r="B370" s="10" t="s">
        <v>1470</v>
      </c>
      <c r="C370" s="10" t="s">
        <v>1471</v>
      </c>
      <c r="D370" s="12" t="n">
        <v>1251</v>
      </c>
      <c r="E370" s="12"/>
      <c r="F370" s="12"/>
      <c r="G370" s="10" t="s">
        <v>1472</v>
      </c>
      <c r="H370" s="10" t="s">
        <v>1332</v>
      </c>
      <c r="I370" s="10" t="s">
        <v>1466</v>
      </c>
      <c r="J370" s="10" t="s">
        <v>1467</v>
      </c>
      <c r="K370" s="10" t="s">
        <v>1332</v>
      </c>
      <c r="L370" s="10" t="s">
        <v>68</v>
      </c>
      <c r="M370" s="10" t="s">
        <v>69</v>
      </c>
      <c r="N370" s="10"/>
      <c r="O370" s="10"/>
      <c r="P370" s="10" t="s">
        <v>637</v>
      </c>
      <c r="Q370" s="11" t="s">
        <v>72</v>
      </c>
      <c r="R370" s="11" t="s">
        <v>1090</v>
      </c>
      <c r="S370" s="11" t="s">
        <v>1278</v>
      </c>
      <c r="T370" s="11" t="s">
        <v>1473</v>
      </c>
      <c r="U370" s="10" t="n">
        <f aca="false">IF(AND($D370="",$E370="",$F370=""),1,0)</f>
        <v>0</v>
      </c>
      <c r="V370" s="10" t="n">
        <f aca="false">IF(OR($I370="",$I370="—"),1,0)</f>
        <v>0</v>
      </c>
      <c r="W370" s="10" t="n">
        <f aca="false">IF(AND(ISNUMBER($D370),ISNUMBER($E370)),IF($E370&gt;$D370,1,0),0)+IF(AND(ISNUMBER($D370),ISNUMBER($F370)),IF($D370&gt;$F370,1,0),0)+IF(AND(ISNUMBER($E370),ISNUMBER($F370)),IF($E370&gt;$F370,1,0),0)</f>
        <v>0</v>
      </c>
      <c r="X370" s="13" t="s">
        <v>76</v>
      </c>
    </row>
    <row r="371" customFormat="false" ht="15" hidden="false" customHeight="false" outlineLevel="0" collapsed="false">
      <c r="A371" s="10" t="s">
        <v>1474</v>
      </c>
      <c r="B371" s="10" t="s">
        <v>1475</v>
      </c>
      <c r="C371" s="10" t="s">
        <v>1476</v>
      </c>
      <c r="D371" s="12" t="n">
        <v>18</v>
      </c>
      <c r="E371" s="12"/>
      <c r="F371" s="12"/>
      <c r="G371" s="10" t="s">
        <v>1419</v>
      </c>
      <c r="H371" s="10" t="s">
        <v>1477</v>
      </c>
      <c r="I371" s="10" t="s">
        <v>1478</v>
      </c>
      <c r="J371" s="10" t="s">
        <v>1479</v>
      </c>
      <c r="K371" s="10" t="s">
        <v>1480</v>
      </c>
      <c r="L371" s="10" t="s">
        <v>68</v>
      </c>
      <c r="M371" s="10" t="s">
        <v>69</v>
      </c>
      <c r="N371" s="10"/>
      <c r="O371" s="10"/>
      <c r="P371" s="10" t="s">
        <v>637</v>
      </c>
      <c r="Q371" s="11" t="s">
        <v>72</v>
      </c>
      <c r="R371" s="11" t="s">
        <v>1090</v>
      </c>
      <c r="S371" s="11" t="s">
        <v>710</v>
      </c>
      <c r="T371" s="11" t="s">
        <v>1481</v>
      </c>
      <c r="U371" s="10" t="n">
        <f aca="false">IF(AND($D371="",$E371="",$F371=""),1,0)</f>
        <v>0</v>
      </c>
      <c r="V371" s="10" t="n">
        <f aca="false">IF(OR($I371="",$I371="—"),1,0)</f>
        <v>0</v>
      </c>
      <c r="W371" s="10" t="n">
        <f aca="false">IF(AND(ISNUMBER($D371),ISNUMBER($E371)),IF($E371&gt;$D371,1,0),0)+IF(AND(ISNUMBER($D371),ISNUMBER($F371)),IF($D371&gt;$F371,1,0),0)+IF(AND(ISNUMBER($E371),ISNUMBER($F371)),IF($E371&gt;$F371,1,0),0)</f>
        <v>0</v>
      </c>
      <c r="X371" s="13" t="s">
        <v>76</v>
      </c>
    </row>
    <row r="372" customFormat="false" ht="15" hidden="false" customHeight="false" outlineLevel="0" collapsed="false">
      <c r="A372" s="10" t="s">
        <v>1482</v>
      </c>
      <c r="B372" s="10" t="s">
        <v>1483</v>
      </c>
      <c r="C372" s="10" t="s">
        <v>1484</v>
      </c>
      <c r="D372" s="12" t="n">
        <v>12.6</v>
      </c>
      <c r="E372" s="12"/>
      <c r="F372" s="12"/>
      <c r="G372" s="10" t="s">
        <v>1419</v>
      </c>
      <c r="H372" s="10" t="s">
        <v>1485</v>
      </c>
      <c r="I372" s="10" t="s">
        <v>1486</v>
      </c>
      <c r="J372" s="10" t="s">
        <v>1088</v>
      </c>
      <c r="K372" s="10" t="s">
        <v>1089</v>
      </c>
      <c r="L372" s="10" t="s">
        <v>68</v>
      </c>
      <c r="M372" s="10" t="s">
        <v>69</v>
      </c>
      <c r="N372" s="10"/>
      <c r="O372" s="10"/>
      <c r="P372" s="10" t="s">
        <v>637</v>
      </c>
      <c r="Q372" s="11" t="s">
        <v>72</v>
      </c>
      <c r="R372" s="11" t="s">
        <v>1090</v>
      </c>
      <c r="S372" s="11" t="s">
        <v>710</v>
      </c>
      <c r="T372" s="11" t="s">
        <v>1487</v>
      </c>
      <c r="U372" s="10" t="n">
        <f aca="false">IF(AND($D372="",$E372="",$F372=""),1,0)</f>
        <v>0</v>
      </c>
      <c r="V372" s="10" t="n">
        <f aca="false">IF(OR($I372="",$I372="—"),1,0)</f>
        <v>0</v>
      </c>
      <c r="W372" s="10" t="n">
        <f aca="false">IF(AND(ISNUMBER($D372),ISNUMBER($E372)),IF($E372&gt;$D372,1,0),0)+IF(AND(ISNUMBER($D372),ISNUMBER($F372)),IF($D372&gt;$F372,1,0),0)+IF(AND(ISNUMBER($E372),ISNUMBER($F372)),IF($E372&gt;$F372,1,0),0)</f>
        <v>0</v>
      </c>
      <c r="X372" s="13" t="s">
        <v>76</v>
      </c>
    </row>
    <row r="373" customFormat="false" ht="15" hidden="false" customHeight="false" outlineLevel="0" collapsed="false">
      <c r="A373" s="10" t="s">
        <v>1488</v>
      </c>
      <c r="B373" s="10" t="s">
        <v>1489</v>
      </c>
      <c r="C373" s="10" t="s">
        <v>1490</v>
      </c>
      <c r="D373" s="12" t="n">
        <v>72</v>
      </c>
      <c r="E373" s="12"/>
      <c r="F373" s="12"/>
      <c r="G373" s="10" t="s">
        <v>1419</v>
      </c>
      <c r="H373" s="10" t="s">
        <v>1477</v>
      </c>
      <c r="I373" s="10" t="s">
        <v>1478</v>
      </c>
      <c r="J373" s="10" t="s">
        <v>1479</v>
      </c>
      <c r="K373" s="10" t="s">
        <v>1480</v>
      </c>
      <c r="L373" s="10" t="s">
        <v>68</v>
      </c>
      <c r="M373" s="10" t="s">
        <v>69</v>
      </c>
      <c r="N373" s="10"/>
      <c r="O373" s="10"/>
      <c r="P373" s="10" t="s">
        <v>637</v>
      </c>
      <c r="Q373" s="11" t="s">
        <v>72</v>
      </c>
      <c r="R373" s="11" t="s">
        <v>1090</v>
      </c>
      <c r="S373" s="11" t="s">
        <v>710</v>
      </c>
      <c r="T373" s="11" t="s">
        <v>1491</v>
      </c>
      <c r="U373" s="10" t="n">
        <f aca="false">IF(AND($D373="",$E373="",$F373=""),1,0)</f>
        <v>0</v>
      </c>
      <c r="V373" s="10" t="n">
        <f aca="false">IF(OR($I373="",$I373="—"),1,0)</f>
        <v>0</v>
      </c>
      <c r="W373" s="10" t="n">
        <f aca="false">IF(AND(ISNUMBER($D373),ISNUMBER($E373)),IF($E373&gt;$D373,1,0),0)+IF(AND(ISNUMBER($D373),ISNUMBER($F373)),IF($D373&gt;$F373,1,0),0)+IF(AND(ISNUMBER($E373),ISNUMBER($F373)),IF($E373&gt;$F373,1,0),0)</f>
        <v>0</v>
      </c>
      <c r="X373" s="13" t="s">
        <v>76</v>
      </c>
    </row>
    <row r="374" customFormat="false" ht="15" hidden="false" customHeight="false" outlineLevel="0" collapsed="false">
      <c r="A374" s="10" t="s">
        <v>1492</v>
      </c>
      <c r="B374" s="10" t="s">
        <v>1493</v>
      </c>
      <c r="C374" s="10" t="s">
        <v>1494</v>
      </c>
      <c r="D374" s="12" t="n">
        <v>50.4</v>
      </c>
      <c r="E374" s="12"/>
      <c r="F374" s="12"/>
      <c r="G374" s="10" t="s">
        <v>1419</v>
      </c>
      <c r="H374" s="10" t="s">
        <v>1485</v>
      </c>
      <c r="I374" s="10" t="s">
        <v>1486</v>
      </c>
      <c r="J374" s="10" t="s">
        <v>1088</v>
      </c>
      <c r="K374" s="10" t="s">
        <v>1089</v>
      </c>
      <c r="L374" s="10" t="s">
        <v>68</v>
      </c>
      <c r="M374" s="10" t="s">
        <v>69</v>
      </c>
      <c r="N374" s="10"/>
      <c r="O374" s="10"/>
      <c r="P374" s="10" t="s">
        <v>637</v>
      </c>
      <c r="Q374" s="11" t="s">
        <v>72</v>
      </c>
      <c r="R374" s="11" t="s">
        <v>1090</v>
      </c>
      <c r="S374" s="11" t="s">
        <v>710</v>
      </c>
      <c r="T374" s="11" t="s">
        <v>1487</v>
      </c>
      <c r="U374" s="10" t="n">
        <f aca="false">IF(AND($D374="",$E374="",$F374=""),1,0)</f>
        <v>0</v>
      </c>
      <c r="V374" s="10" t="n">
        <f aca="false">IF(OR($I374="",$I374="—"),1,0)</f>
        <v>0</v>
      </c>
      <c r="W374" s="10" t="n">
        <f aca="false">IF(AND(ISNUMBER($D374),ISNUMBER($E374)),IF($E374&gt;$D374,1,0),0)+IF(AND(ISNUMBER($D374),ISNUMBER($F374)),IF($D374&gt;$F374,1,0),0)+IF(AND(ISNUMBER($E374),ISNUMBER($F374)),IF($E374&gt;$F374,1,0),0)</f>
        <v>0</v>
      </c>
      <c r="X374" s="13" t="s">
        <v>76</v>
      </c>
    </row>
    <row r="375" customFormat="false" ht="15" hidden="false" customHeight="false" outlineLevel="0" collapsed="false">
      <c r="A375" s="10" t="s">
        <v>1495</v>
      </c>
      <c r="B375" s="10" t="s">
        <v>1496</v>
      </c>
      <c r="C375" s="10" t="s">
        <v>1497</v>
      </c>
      <c r="D375" s="12" t="n">
        <v>160</v>
      </c>
      <c r="E375" s="12"/>
      <c r="F375" s="12"/>
      <c r="G375" s="10" t="s">
        <v>1419</v>
      </c>
      <c r="H375" s="10" t="s">
        <v>1477</v>
      </c>
      <c r="I375" s="10" t="s">
        <v>1478</v>
      </c>
      <c r="J375" s="10" t="s">
        <v>1479</v>
      </c>
      <c r="K375" s="10" t="s">
        <v>1480</v>
      </c>
      <c r="L375" s="10" t="s">
        <v>68</v>
      </c>
      <c r="M375" s="10" t="s">
        <v>69</v>
      </c>
      <c r="N375" s="10"/>
      <c r="O375" s="10"/>
      <c r="P375" s="10" t="s">
        <v>637</v>
      </c>
      <c r="Q375" s="11" t="s">
        <v>72</v>
      </c>
      <c r="R375" s="11" t="s">
        <v>1090</v>
      </c>
      <c r="S375" s="11" t="s">
        <v>710</v>
      </c>
      <c r="T375" s="11" t="s">
        <v>1498</v>
      </c>
      <c r="U375" s="10" t="n">
        <f aca="false">IF(AND($D375="",$E375="",$F375=""),1,0)</f>
        <v>0</v>
      </c>
      <c r="V375" s="10" t="n">
        <f aca="false">IF(OR($I375="",$I375="—"),1,0)</f>
        <v>0</v>
      </c>
      <c r="W375" s="10" t="n">
        <f aca="false">IF(AND(ISNUMBER($D375),ISNUMBER($E375)),IF($E375&gt;$D375,1,0),0)+IF(AND(ISNUMBER($D375),ISNUMBER($F375)),IF($D375&gt;$F375,1,0),0)+IF(AND(ISNUMBER($E375),ISNUMBER($F375)),IF($E375&gt;$F375,1,0),0)</f>
        <v>0</v>
      </c>
      <c r="X375" s="13" t="s">
        <v>76</v>
      </c>
    </row>
    <row r="376" customFormat="false" ht="15" hidden="false" customHeight="false" outlineLevel="0" collapsed="false">
      <c r="A376" s="10" t="s">
        <v>1499</v>
      </c>
      <c r="B376" s="10" t="s">
        <v>1500</v>
      </c>
      <c r="C376" s="10" t="s">
        <v>1501</v>
      </c>
      <c r="D376" s="12" t="n">
        <v>112</v>
      </c>
      <c r="E376" s="12"/>
      <c r="F376" s="12"/>
      <c r="G376" s="10" t="s">
        <v>1419</v>
      </c>
      <c r="H376" s="10" t="s">
        <v>1485</v>
      </c>
      <c r="I376" s="10" t="s">
        <v>1486</v>
      </c>
      <c r="J376" s="10" t="s">
        <v>1088</v>
      </c>
      <c r="K376" s="10" t="s">
        <v>1089</v>
      </c>
      <c r="L376" s="10" t="s">
        <v>68</v>
      </c>
      <c r="M376" s="10" t="s">
        <v>69</v>
      </c>
      <c r="N376" s="10"/>
      <c r="O376" s="10"/>
      <c r="P376" s="10" t="s">
        <v>637</v>
      </c>
      <c r="Q376" s="11" t="s">
        <v>72</v>
      </c>
      <c r="R376" s="11" t="s">
        <v>1090</v>
      </c>
      <c r="S376" s="11" t="s">
        <v>710</v>
      </c>
      <c r="T376" s="11" t="s">
        <v>1487</v>
      </c>
      <c r="U376" s="10" t="n">
        <f aca="false">IF(AND($D376="",$E376="",$F376=""),1,0)</f>
        <v>0</v>
      </c>
      <c r="V376" s="10" t="n">
        <f aca="false">IF(OR($I376="",$I376="—"),1,0)</f>
        <v>0</v>
      </c>
      <c r="W376" s="10" t="n">
        <f aca="false">IF(AND(ISNUMBER($D376),ISNUMBER($E376)),IF($E376&gt;$D376,1,0),0)+IF(AND(ISNUMBER($D376),ISNUMBER($F376)),IF($D376&gt;$F376,1,0),0)+IF(AND(ISNUMBER($E376),ISNUMBER($F376)),IF($E376&gt;$F376,1,0),0)</f>
        <v>0</v>
      </c>
      <c r="X376" s="13" t="s">
        <v>76</v>
      </c>
    </row>
    <row r="377" customFormat="false" ht="15" hidden="false" customHeight="false" outlineLevel="0" collapsed="false">
      <c r="A377" s="10" t="s">
        <v>1502</v>
      </c>
      <c r="B377" s="10" t="s">
        <v>1503</v>
      </c>
      <c r="C377" s="10" t="s">
        <v>1504</v>
      </c>
      <c r="D377" s="12" t="n">
        <v>30</v>
      </c>
      <c r="E377" s="12"/>
      <c r="F377" s="12"/>
      <c r="G377" s="10" t="s">
        <v>1505</v>
      </c>
      <c r="H377" s="10" t="s">
        <v>1506</v>
      </c>
      <c r="I377" s="10" t="s">
        <v>1507</v>
      </c>
      <c r="J377" s="10" t="s">
        <v>1088</v>
      </c>
      <c r="K377" s="10" t="s">
        <v>1089</v>
      </c>
      <c r="L377" s="10" t="s">
        <v>68</v>
      </c>
      <c r="M377" s="10" t="s">
        <v>69</v>
      </c>
      <c r="N377" s="10"/>
      <c r="O377" s="10"/>
      <c r="P377" s="10" t="s">
        <v>637</v>
      </c>
      <c r="Q377" s="11" t="s">
        <v>72</v>
      </c>
      <c r="R377" s="11" t="s">
        <v>1090</v>
      </c>
      <c r="S377" s="11" t="s">
        <v>710</v>
      </c>
      <c r="T377" s="10" t="s">
        <v>1508</v>
      </c>
      <c r="U377" s="10" t="n">
        <f aca="false">IF(AND($D377="",$E377="",$F377=""),1,0)</f>
        <v>0</v>
      </c>
      <c r="V377" s="10" t="n">
        <f aca="false">IF(OR($I377="",$I377="—"),1,0)</f>
        <v>0</v>
      </c>
      <c r="W377" s="10" t="n">
        <f aca="false">IF(AND(ISNUMBER($D377),ISNUMBER($E377)),IF($E377&gt;$D377,1,0),0)+IF(AND(ISNUMBER($D377),ISNUMBER($F377)),IF($D377&gt;$F377,1,0),0)+IF(AND(ISNUMBER($E377),ISNUMBER($F377)),IF($E377&gt;$F377,1,0),0)</f>
        <v>0</v>
      </c>
      <c r="X377" s="13" t="s">
        <v>76</v>
      </c>
    </row>
    <row r="378" customFormat="false" ht="15" hidden="false" customHeight="false" outlineLevel="0" collapsed="false">
      <c r="A378" s="10" t="s">
        <v>1509</v>
      </c>
      <c r="B378" s="10" t="s">
        <v>1510</v>
      </c>
      <c r="C378" s="10" t="s">
        <v>1511</v>
      </c>
      <c r="D378" s="12" t="n">
        <v>90</v>
      </c>
      <c r="E378" s="12"/>
      <c r="F378" s="12"/>
      <c r="G378" s="10" t="s">
        <v>1505</v>
      </c>
      <c r="H378" s="10" t="s">
        <v>1506</v>
      </c>
      <c r="I378" s="10" t="s">
        <v>1507</v>
      </c>
      <c r="J378" s="10" t="s">
        <v>1088</v>
      </c>
      <c r="K378" s="10" t="s">
        <v>1089</v>
      </c>
      <c r="L378" s="10" t="s">
        <v>68</v>
      </c>
      <c r="M378" s="10" t="s">
        <v>69</v>
      </c>
      <c r="N378" s="10"/>
      <c r="O378" s="10"/>
      <c r="P378" s="10" t="s">
        <v>637</v>
      </c>
      <c r="Q378" s="11" t="s">
        <v>72</v>
      </c>
      <c r="R378" s="11" t="s">
        <v>1090</v>
      </c>
      <c r="S378" s="11" t="s">
        <v>710</v>
      </c>
      <c r="T378" s="10" t="s">
        <v>1512</v>
      </c>
      <c r="U378" s="10" t="n">
        <f aca="false">IF(AND($D378="",$E378="",$F378=""),1,0)</f>
        <v>0</v>
      </c>
      <c r="V378" s="10" t="n">
        <f aca="false">IF(OR($I378="",$I378="—"),1,0)</f>
        <v>0</v>
      </c>
      <c r="W378" s="10" t="n">
        <f aca="false">IF(AND(ISNUMBER($D378),ISNUMBER($E378)),IF($E378&gt;$D378,1,0),0)+IF(AND(ISNUMBER($D378),ISNUMBER($F378)),IF($D378&gt;$F378,1,0),0)+IF(AND(ISNUMBER($E378),ISNUMBER($F378)),IF($E378&gt;$F378,1,0),0)</f>
        <v>0</v>
      </c>
      <c r="X378" s="13" t="s">
        <v>76</v>
      </c>
    </row>
    <row r="379" customFormat="false" ht="15" hidden="false" customHeight="false" outlineLevel="0" collapsed="false">
      <c r="A379" s="10" t="s">
        <v>1513</v>
      </c>
      <c r="B379" s="10" t="s">
        <v>1514</v>
      </c>
      <c r="C379" s="10" t="s">
        <v>1515</v>
      </c>
      <c r="D379" s="12" t="n">
        <v>240</v>
      </c>
      <c r="E379" s="12"/>
      <c r="F379" s="12"/>
      <c r="G379" s="10" t="s">
        <v>1505</v>
      </c>
      <c r="H379" s="10" t="s">
        <v>1506</v>
      </c>
      <c r="I379" s="10" t="s">
        <v>1507</v>
      </c>
      <c r="J379" s="10" t="s">
        <v>1088</v>
      </c>
      <c r="K379" s="10" t="s">
        <v>1089</v>
      </c>
      <c r="L379" s="10" t="s">
        <v>68</v>
      </c>
      <c r="M379" s="10" t="s">
        <v>69</v>
      </c>
      <c r="N379" s="10"/>
      <c r="O379" s="10"/>
      <c r="P379" s="10" t="s">
        <v>637</v>
      </c>
      <c r="Q379" s="11" t="s">
        <v>72</v>
      </c>
      <c r="R379" s="11" t="s">
        <v>1090</v>
      </c>
      <c r="S379" s="11" t="s">
        <v>710</v>
      </c>
      <c r="T379" s="10" t="s">
        <v>1516</v>
      </c>
      <c r="U379" s="10" t="n">
        <f aca="false">IF(AND($D379="",$E379="",$F379=""),1,0)</f>
        <v>0</v>
      </c>
      <c r="V379" s="10" t="n">
        <f aca="false">IF(OR($I379="",$I379="—"),1,0)</f>
        <v>0</v>
      </c>
      <c r="W379" s="10" t="n">
        <f aca="false">IF(AND(ISNUMBER($D379),ISNUMBER($E379)),IF($E379&gt;$D379,1,0),0)+IF(AND(ISNUMBER($D379),ISNUMBER($F379)),IF($D379&gt;$F379,1,0),0)+IF(AND(ISNUMBER($E379),ISNUMBER($F379)),IF($E379&gt;$F379,1,0),0)</f>
        <v>0</v>
      </c>
      <c r="X379" s="13" t="s">
        <v>76</v>
      </c>
    </row>
    <row r="380" customFormat="false" ht="15" hidden="false" customHeight="false" outlineLevel="0" collapsed="false">
      <c r="A380" s="10" t="s">
        <v>1517</v>
      </c>
      <c r="B380" s="10" t="s">
        <v>1518</v>
      </c>
      <c r="C380" s="10" t="s">
        <v>1519</v>
      </c>
      <c r="D380" s="12" t="n">
        <v>80</v>
      </c>
      <c r="E380" s="12"/>
      <c r="F380" s="12"/>
      <c r="G380" s="10" t="s">
        <v>1520</v>
      </c>
      <c r="H380" s="10" t="s">
        <v>1521</v>
      </c>
      <c r="I380" s="10" t="s">
        <v>1403</v>
      </c>
      <c r="J380" s="10" t="s">
        <v>1404</v>
      </c>
      <c r="K380" s="10" t="s">
        <v>1405</v>
      </c>
      <c r="L380" s="10" t="s">
        <v>68</v>
      </c>
      <c r="M380" s="10" t="s">
        <v>69</v>
      </c>
      <c r="N380" s="10"/>
      <c r="O380" s="10"/>
      <c r="P380" s="10" t="s">
        <v>637</v>
      </c>
      <c r="Q380" s="11" t="s">
        <v>72</v>
      </c>
      <c r="R380" s="11" t="s">
        <v>1090</v>
      </c>
      <c r="S380" s="11" t="s">
        <v>710</v>
      </c>
      <c r="T380" s="10" t="s">
        <v>1522</v>
      </c>
      <c r="U380" s="10" t="n">
        <f aca="false">IF(AND($D380="",$E380="",$F380=""),1,0)</f>
        <v>0</v>
      </c>
      <c r="V380" s="10" t="n">
        <f aca="false">IF(OR($I380="",$I380="—"),1,0)</f>
        <v>0</v>
      </c>
      <c r="W380" s="10" t="n">
        <f aca="false">IF(AND(ISNUMBER($D380),ISNUMBER($E380)),IF($E380&gt;$D380,1,0),0)+IF(AND(ISNUMBER($D380),ISNUMBER($F380)),IF($D380&gt;$F380,1,0),0)+IF(AND(ISNUMBER($E380),ISNUMBER($F380)),IF($E380&gt;$F380,1,0),0)</f>
        <v>0</v>
      </c>
      <c r="X380" s="13" t="s">
        <v>76</v>
      </c>
    </row>
    <row r="381" customFormat="false" ht="15" hidden="false" customHeight="false" outlineLevel="0" collapsed="false">
      <c r="A381" s="10" t="s">
        <v>1523</v>
      </c>
      <c r="B381" s="10" t="s">
        <v>1524</v>
      </c>
      <c r="C381" s="10" t="s">
        <v>1525</v>
      </c>
      <c r="D381" s="12" t="n">
        <v>400</v>
      </c>
      <c r="E381" s="12"/>
      <c r="F381" s="12"/>
      <c r="G381" s="10" t="s">
        <v>1520</v>
      </c>
      <c r="H381" s="10" t="s">
        <v>1521</v>
      </c>
      <c r="I381" s="10" t="s">
        <v>1403</v>
      </c>
      <c r="J381" s="10" t="s">
        <v>1404</v>
      </c>
      <c r="K381" s="10" t="s">
        <v>1405</v>
      </c>
      <c r="L381" s="10" t="s">
        <v>68</v>
      </c>
      <c r="M381" s="10" t="s">
        <v>69</v>
      </c>
      <c r="N381" s="10"/>
      <c r="O381" s="10"/>
      <c r="P381" s="10" t="s">
        <v>637</v>
      </c>
      <c r="Q381" s="11" t="s">
        <v>72</v>
      </c>
      <c r="R381" s="11" t="s">
        <v>1090</v>
      </c>
      <c r="S381" s="11" t="s">
        <v>710</v>
      </c>
      <c r="T381" s="10" t="s">
        <v>1526</v>
      </c>
      <c r="U381" s="10" t="n">
        <f aca="false">IF(AND($D381="",$E381="",$F381=""),1,0)</f>
        <v>0</v>
      </c>
      <c r="V381" s="10" t="n">
        <f aca="false">IF(OR($I381="",$I381="—"),1,0)</f>
        <v>0</v>
      </c>
      <c r="W381" s="10" t="n">
        <f aca="false">IF(AND(ISNUMBER($D381),ISNUMBER($E381)),IF($E381&gt;$D381,1,0),0)+IF(AND(ISNUMBER($D381),ISNUMBER($F381)),IF($D381&gt;$F381,1,0),0)+IF(AND(ISNUMBER($E381),ISNUMBER($F381)),IF($E381&gt;$F381,1,0),0)</f>
        <v>0</v>
      </c>
      <c r="X381" s="13" t="s">
        <v>76</v>
      </c>
    </row>
    <row r="382" customFormat="false" ht="15" hidden="false" customHeight="false" outlineLevel="0" collapsed="false">
      <c r="A382" s="10" t="s">
        <v>1527</v>
      </c>
      <c r="B382" s="10" t="s">
        <v>1528</v>
      </c>
      <c r="C382" s="10" t="s">
        <v>1529</v>
      </c>
      <c r="D382" s="12" t="n">
        <v>1600</v>
      </c>
      <c r="E382" s="12"/>
      <c r="F382" s="12"/>
      <c r="G382" s="10" t="s">
        <v>1520</v>
      </c>
      <c r="H382" s="10" t="s">
        <v>1521</v>
      </c>
      <c r="I382" s="10" t="s">
        <v>1403</v>
      </c>
      <c r="J382" s="10" t="s">
        <v>1404</v>
      </c>
      <c r="K382" s="10" t="s">
        <v>1405</v>
      </c>
      <c r="L382" s="10" t="s">
        <v>68</v>
      </c>
      <c r="M382" s="10" t="s">
        <v>69</v>
      </c>
      <c r="N382" s="10"/>
      <c r="O382" s="10"/>
      <c r="P382" s="10" t="s">
        <v>637</v>
      </c>
      <c r="Q382" s="11" t="s">
        <v>72</v>
      </c>
      <c r="R382" s="11" t="s">
        <v>1090</v>
      </c>
      <c r="S382" s="11" t="s">
        <v>710</v>
      </c>
      <c r="T382" s="10" t="s">
        <v>1530</v>
      </c>
      <c r="U382" s="10" t="n">
        <f aca="false">IF(AND($D382="",$E382="",$F382=""),1,0)</f>
        <v>0</v>
      </c>
      <c r="V382" s="10" t="n">
        <f aca="false">IF(OR($I382="",$I382="—"),1,0)</f>
        <v>0</v>
      </c>
      <c r="W382" s="10" t="n">
        <f aca="false">IF(AND(ISNUMBER($D382),ISNUMBER($E382)),IF($E382&gt;$D382,1,0),0)+IF(AND(ISNUMBER($D382),ISNUMBER($F382)),IF($D382&gt;$F382,1,0),0)+IF(AND(ISNUMBER($E382),ISNUMBER($F382)),IF($E382&gt;$F382,1,0),0)</f>
        <v>0</v>
      </c>
      <c r="X382" s="13" t="s">
        <v>76</v>
      </c>
    </row>
    <row r="383" customFormat="false" ht="15" hidden="false" customHeight="false" outlineLevel="0" collapsed="false">
      <c r="A383" s="10" t="s">
        <v>1531</v>
      </c>
      <c r="B383" s="10" t="s">
        <v>1532</v>
      </c>
      <c r="C383" s="11" t="s">
        <v>1533</v>
      </c>
      <c r="D383" s="12"/>
      <c r="E383" s="12" t="n">
        <v>15</v>
      </c>
      <c r="F383" s="12" t="n">
        <v>20</v>
      </c>
      <c r="G383" s="11" t="s">
        <v>1534</v>
      </c>
      <c r="H383" s="10" t="s">
        <v>1347</v>
      </c>
      <c r="I383" s="10" t="s">
        <v>1403</v>
      </c>
      <c r="J383" s="10" t="s">
        <v>1404</v>
      </c>
      <c r="K383" s="10" t="s">
        <v>1405</v>
      </c>
      <c r="L383" s="10" t="s">
        <v>68</v>
      </c>
      <c r="M383" s="10" t="s">
        <v>416</v>
      </c>
      <c r="N383" s="11" t="s">
        <v>1363</v>
      </c>
      <c r="O383" s="10"/>
      <c r="P383" s="10" t="s">
        <v>637</v>
      </c>
      <c r="Q383" s="11" t="s">
        <v>72</v>
      </c>
      <c r="R383" s="11" t="s">
        <v>1363</v>
      </c>
      <c r="S383" s="11" t="s">
        <v>710</v>
      </c>
      <c r="T383" s="11" t="s">
        <v>1535</v>
      </c>
      <c r="U383" s="10" t="n">
        <f aca="false">IF(AND($D383="",$E383="",$F383=""),1,0)</f>
        <v>0</v>
      </c>
      <c r="V383" s="10" t="n">
        <f aca="false">IF(OR($I383="",$I383="—"),1,0)</f>
        <v>0</v>
      </c>
      <c r="W383" s="10" t="n">
        <f aca="false">IF(AND(ISNUMBER($D383),ISNUMBER($E383)),IF($E383&gt;$D383,1,0),0)+IF(AND(ISNUMBER($D383),ISNUMBER($F383)),IF($D383&gt;$F383,1,0),0)+IF(AND(ISNUMBER($E383),ISNUMBER($F383)),IF($E383&gt;$F383,1,0),0)</f>
        <v>0</v>
      </c>
      <c r="X383" s="13" t="s">
        <v>76</v>
      </c>
    </row>
    <row r="384" customFormat="false" ht="15" hidden="false" customHeight="false" outlineLevel="0" collapsed="false">
      <c r="A384" s="10" t="s">
        <v>1536</v>
      </c>
      <c r="B384" s="10" t="s">
        <v>1537</v>
      </c>
      <c r="C384" s="11" t="s">
        <v>1538</v>
      </c>
      <c r="D384" s="12" t="n">
        <v>79</v>
      </c>
      <c r="E384" s="12"/>
      <c r="F384" s="12"/>
      <c r="G384" s="10" t="s">
        <v>1410</v>
      </c>
      <c r="H384" s="10" t="s">
        <v>1539</v>
      </c>
      <c r="I384" s="10" t="s">
        <v>1540</v>
      </c>
      <c r="J384" s="10" t="s">
        <v>1541</v>
      </c>
      <c r="K384" s="10" t="s">
        <v>68</v>
      </c>
      <c r="L384" s="10" t="s">
        <v>68</v>
      </c>
      <c r="M384" s="10" t="s">
        <v>69</v>
      </c>
      <c r="N384" s="10"/>
      <c r="O384" s="10"/>
      <c r="P384" s="10" t="s">
        <v>71</v>
      </c>
      <c r="Q384" s="11" t="s">
        <v>72</v>
      </c>
      <c r="R384" s="11" t="s">
        <v>946</v>
      </c>
      <c r="S384" s="11" t="s">
        <v>74</v>
      </c>
      <c r="T384" s="10" t="s">
        <v>1542</v>
      </c>
      <c r="U384" s="10" t="n">
        <f aca="false">IF(AND($D384="",$E384="",$F384=""),1,0)</f>
        <v>0</v>
      </c>
      <c r="V384" s="10" t="n">
        <f aca="false">IF(OR($I384="",$I384="—"),1,0)</f>
        <v>0</v>
      </c>
      <c r="W384" s="10" t="n">
        <f aca="false">IF(AND(ISNUMBER($D384),ISNUMBER($E384)),IF($E384&gt;$D384,1,0),0)+IF(AND(ISNUMBER($D384),ISNUMBER($F384)),IF($D384&gt;$F384,1,0),0)+IF(AND(ISNUMBER($E384),ISNUMBER($F384)),IF($E384&gt;$F384,1,0),0)</f>
        <v>0</v>
      </c>
      <c r="X384" s="13" t="s">
        <v>76</v>
      </c>
    </row>
    <row r="385" customFormat="false" ht="15" hidden="false" customHeight="false" outlineLevel="0" collapsed="false">
      <c r="A385" s="10" t="s">
        <v>1543</v>
      </c>
      <c r="B385" s="10" t="s">
        <v>1544</v>
      </c>
      <c r="C385" s="11" t="s">
        <v>1545</v>
      </c>
      <c r="D385" s="12" t="n">
        <v>219</v>
      </c>
      <c r="E385" s="12"/>
      <c r="F385" s="12"/>
      <c r="G385" s="10" t="s">
        <v>1465</v>
      </c>
      <c r="H385" s="10" t="s">
        <v>1539</v>
      </c>
      <c r="I385" s="10" t="s">
        <v>1540</v>
      </c>
      <c r="J385" s="10" t="s">
        <v>1541</v>
      </c>
      <c r="K385" s="10" t="s">
        <v>68</v>
      </c>
      <c r="L385" s="10" t="s">
        <v>68</v>
      </c>
      <c r="M385" s="10" t="s">
        <v>69</v>
      </c>
      <c r="N385" s="10"/>
      <c r="O385" s="10"/>
      <c r="P385" s="10" t="s">
        <v>71</v>
      </c>
      <c r="Q385" s="11" t="s">
        <v>72</v>
      </c>
      <c r="R385" s="11" t="s">
        <v>946</v>
      </c>
      <c r="S385" s="11" t="s">
        <v>74</v>
      </c>
      <c r="T385" s="11" t="s">
        <v>1546</v>
      </c>
      <c r="U385" s="10" t="n">
        <f aca="false">IF(AND($D385="",$E385="",$F385=""),1,0)</f>
        <v>0</v>
      </c>
      <c r="V385" s="10" t="n">
        <f aca="false">IF(OR($I385="",$I385="—"),1,0)</f>
        <v>0</v>
      </c>
      <c r="W385" s="10" t="n">
        <f aca="false">IF(AND(ISNUMBER($D385),ISNUMBER($E385)),IF($E385&gt;$D385,1,0),0)+IF(AND(ISNUMBER($D385),ISNUMBER($F385)),IF($D385&gt;$F385,1,0),0)+IF(AND(ISNUMBER($E385),ISNUMBER($F385)),IF($E385&gt;$F385,1,0),0)</f>
        <v>0</v>
      </c>
      <c r="X385" s="13" t="s">
        <v>76</v>
      </c>
    </row>
    <row r="386" customFormat="false" ht="15" hidden="false" customHeight="false" outlineLevel="0" collapsed="false">
      <c r="A386" s="10" t="s">
        <v>1547</v>
      </c>
      <c r="B386" s="10" t="s">
        <v>1548</v>
      </c>
      <c r="C386" s="11" t="s">
        <v>1549</v>
      </c>
      <c r="D386" s="12" t="n">
        <v>859</v>
      </c>
      <c r="E386" s="12"/>
      <c r="F386" s="12"/>
      <c r="G386" s="10" t="s">
        <v>1472</v>
      </c>
      <c r="H386" s="10" t="s">
        <v>1539</v>
      </c>
      <c r="I386" s="10" t="s">
        <v>1540</v>
      </c>
      <c r="J386" s="10" t="s">
        <v>1541</v>
      </c>
      <c r="K386" s="10" t="s">
        <v>68</v>
      </c>
      <c r="L386" s="10" t="s">
        <v>68</v>
      </c>
      <c r="M386" s="10" t="s">
        <v>69</v>
      </c>
      <c r="N386" s="10"/>
      <c r="O386" s="10"/>
      <c r="P386" s="10" t="s">
        <v>71</v>
      </c>
      <c r="Q386" s="11" t="s">
        <v>72</v>
      </c>
      <c r="R386" s="11" t="s">
        <v>946</v>
      </c>
      <c r="S386" s="11" t="s">
        <v>74</v>
      </c>
      <c r="T386" s="11" t="s">
        <v>1550</v>
      </c>
      <c r="U386" s="10" t="n">
        <f aca="false">IF(AND($D386="",$E386="",$F386=""),1,0)</f>
        <v>0</v>
      </c>
      <c r="V386" s="10" t="n">
        <f aca="false">IF(OR($I386="",$I386="—"),1,0)</f>
        <v>0</v>
      </c>
      <c r="W386" s="10" t="n">
        <f aca="false">IF(AND(ISNUMBER($D386),ISNUMBER($E386)),IF($E386&gt;$D386,1,0),0)+IF(AND(ISNUMBER($D386),ISNUMBER($F386)),IF($D386&gt;$F386,1,0),0)+IF(AND(ISNUMBER($E386),ISNUMBER($F386)),IF($E386&gt;$F386,1,0),0)</f>
        <v>0</v>
      </c>
      <c r="X386" s="13" t="s">
        <v>76</v>
      </c>
    </row>
    <row r="387" customFormat="false" ht="15" hidden="false" customHeight="false" outlineLevel="0" collapsed="false">
      <c r="A387" s="10" t="s">
        <v>1551</v>
      </c>
      <c r="B387" s="10" t="s">
        <v>1552</v>
      </c>
      <c r="C387" s="11" t="s">
        <v>1553</v>
      </c>
      <c r="D387" s="12" t="n">
        <v>119</v>
      </c>
      <c r="E387" s="12"/>
      <c r="F387" s="12"/>
      <c r="G387" s="10" t="s">
        <v>1410</v>
      </c>
      <c r="H387" s="10" t="s">
        <v>1539</v>
      </c>
      <c r="I387" s="10" t="s">
        <v>1540</v>
      </c>
      <c r="J387" s="10" t="s">
        <v>1541</v>
      </c>
      <c r="K387" s="10" t="s">
        <v>68</v>
      </c>
      <c r="L387" s="10" t="s">
        <v>68</v>
      </c>
      <c r="M387" s="10" t="s">
        <v>69</v>
      </c>
      <c r="N387" s="10"/>
      <c r="O387" s="10"/>
      <c r="P387" s="10" t="s">
        <v>71</v>
      </c>
      <c r="Q387" s="11" t="s">
        <v>72</v>
      </c>
      <c r="R387" s="11" t="s">
        <v>946</v>
      </c>
      <c r="S387" s="11" t="s">
        <v>74</v>
      </c>
      <c r="T387" s="11" t="s">
        <v>1554</v>
      </c>
      <c r="U387" s="10" t="n">
        <f aca="false">IF(AND($D387="",$E387="",$F387=""),1,0)</f>
        <v>0</v>
      </c>
      <c r="V387" s="10" t="n">
        <f aca="false">IF(OR($I387="",$I387="—"),1,0)</f>
        <v>0</v>
      </c>
      <c r="W387" s="10" t="n">
        <f aca="false">IF(AND(ISNUMBER($D387),ISNUMBER($E387)),IF($E387&gt;$D387,1,0),0)+IF(AND(ISNUMBER($D387),ISNUMBER($F387)),IF($D387&gt;$F387,1,0),0)+IF(AND(ISNUMBER($E387),ISNUMBER($F387)),IF($E387&gt;$F387,1,0),0)</f>
        <v>0</v>
      </c>
      <c r="X387" s="13" t="s">
        <v>76</v>
      </c>
    </row>
    <row r="388" customFormat="false" ht="15" hidden="false" customHeight="false" outlineLevel="0" collapsed="false">
      <c r="A388" s="10" t="s">
        <v>1555</v>
      </c>
      <c r="B388" s="10" t="s">
        <v>1556</v>
      </c>
      <c r="C388" s="11" t="s">
        <v>1557</v>
      </c>
      <c r="D388" s="12" t="n">
        <v>229</v>
      </c>
      <c r="E388" s="12"/>
      <c r="F388" s="12"/>
      <c r="G388" s="10" t="s">
        <v>1410</v>
      </c>
      <c r="H388" s="10" t="s">
        <v>1539</v>
      </c>
      <c r="I388" s="10" t="s">
        <v>1540</v>
      </c>
      <c r="J388" s="10" t="s">
        <v>1541</v>
      </c>
      <c r="K388" s="10" t="s">
        <v>68</v>
      </c>
      <c r="L388" s="10" t="s">
        <v>68</v>
      </c>
      <c r="M388" s="10" t="s">
        <v>69</v>
      </c>
      <c r="N388" s="10"/>
      <c r="O388" s="10"/>
      <c r="P388" s="10" t="s">
        <v>71</v>
      </c>
      <c r="Q388" s="11" t="s">
        <v>72</v>
      </c>
      <c r="R388" s="11" t="s">
        <v>946</v>
      </c>
      <c r="S388" s="11" t="s">
        <v>74</v>
      </c>
      <c r="T388" s="11" t="s">
        <v>1558</v>
      </c>
      <c r="U388" s="10" t="n">
        <f aca="false">IF(AND($D388="",$E388="",$F388=""),1,0)</f>
        <v>0</v>
      </c>
      <c r="V388" s="10" t="n">
        <f aca="false">IF(OR($I388="",$I388="—"),1,0)</f>
        <v>0</v>
      </c>
      <c r="W388" s="10" t="n">
        <f aca="false">IF(AND(ISNUMBER($D388),ISNUMBER($E388)),IF($E388&gt;$D388,1,0),0)+IF(AND(ISNUMBER($D388),ISNUMBER($F388)),IF($D388&gt;$F388,1,0),0)+IF(AND(ISNUMBER($E388),ISNUMBER($F388)),IF($E388&gt;$F388,1,0),0)</f>
        <v>0</v>
      </c>
      <c r="X388" s="13" t="s">
        <v>76</v>
      </c>
    </row>
    <row r="389" customFormat="false" ht="15" hidden="false" customHeight="false" outlineLevel="0" collapsed="false">
      <c r="A389" s="10" t="s">
        <v>1559</v>
      </c>
      <c r="B389" s="10" t="s">
        <v>1560</v>
      </c>
      <c r="C389" s="11" t="s">
        <v>1561</v>
      </c>
      <c r="D389" s="12" t="n">
        <v>19</v>
      </c>
      <c r="E389" s="12"/>
      <c r="F389" s="12"/>
      <c r="G389" s="10" t="s">
        <v>1410</v>
      </c>
      <c r="H389" s="11" t="s">
        <v>1562</v>
      </c>
      <c r="I389" s="10" t="s">
        <v>1540</v>
      </c>
      <c r="J389" s="10" t="s">
        <v>1541</v>
      </c>
      <c r="K389" s="10" t="s">
        <v>68</v>
      </c>
      <c r="L389" s="10" t="s">
        <v>68</v>
      </c>
      <c r="M389" s="10" t="s">
        <v>69</v>
      </c>
      <c r="N389" s="10"/>
      <c r="O389" s="10"/>
      <c r="P389" s="10" t="s">
        <v>71</v>
      </c>
      <c r="Q389" s="11" t="s">
        <v>72</v>
      </c>
      <c r="R389" s="11" t="s">
        <v>946</v>
      </c>
      <c r="S389" s="11" t="s">
        <v>74</v>
      </c>
      <c r="T389" s="11" t="s">
        <v>1563</v>
      </c>
      <c r="U389" s="10" t="n">
        <f aca="false">IF(AND($D389="",$E389="",$F389=""),1,0)</f>
        <v>0</v>
      </c>
      <c r="V389" s="10" t="n">
        <f aca="false">IF(OR($I389="",$I389="—"),1,0)</f>
        <v>0</v>
      </c>
      <c r="W389" s="10" t="n">
        <f aca="false">IF(AND(ISNUMBER($D389),ISNUMBER($E389)),IF($E389&gt;$D389,1,0),0)+IF(AND(ISNUMBER($D389),ISNUMBER($F389)),IF($D389&gt;$F389,1,0),0)+IF(AND(ISNUMBER($E389),ISNUMBER($F389)),IF($E389&gt;$F389,1,0),0)</f>
        <v>0</v>
      </c>
      <c r="X389" s="13" t="s">
        <v>76</v>
      </c>
    </row>
    <row r="390" customFormat="false" ht="15" hidden="false" customHeight="false" outlineLevel="0" collapsed="false">
      <c r="A390" s="10" t="s">
        <v>1564</v>
      </c>
      <c r="B390" s="10" t="s">
        <v>1565</v>
      </c>
      <c r="C390" s="10" t="s">
        <v>1566</v>
      </c>
      <c r="D390" s="12"/>
      <c r="E390" s="12"/>
      <c r="F390" s="12"/>
      <c r="G390" s="11" t="s">
        <v>1401</v>
      </c>
      <c r="H390" s="10" t="s">
        <v>1567</v>
      </c>
      <c r="I390" s="10" t="s">
        <v>1568</v>
      </c>
      <c r="J390" s="10" t="s">
        <v>1569</v>
      </c>
      <c r="K390" s="10" t="s">
        <v>68</v>
      </c>
      <c r="L390" s="10" t="s">
        <v>68</v>
      </c>
      <c r="M390" s="10" t="s">
        <v>69</v>
      </c>
      <c r="N390" s="10"/>
      <c r="O390" s="10"/>
      <c r="P390" s="10" t="s">
        <v>637</v>
      </c>
      <c r="Q390" s="11" t="s">
        <v>72</v>
      </c>
      <c r="R390" s="11" t="s">
        <v>1090</v>
      </c>
      <c r="S390" s="11" t="s">
        <v>710</v>
      </c>
      <c r="T390" s="11" t="s">
        <v>1570</v>
      </c>
      <c r="U390" s="10" t="n">
        <f aca="false">IF(AND($D390="",$E390="",$F390=""),1,0)</f>
        <v>1</v>
      </c>
      <c r="V390" s="10" t="n">
        <f aca="false">IF(OR($I390="",$I390="—"),1,0)</f>
        <v>0</v>
      </c>
      <c r="W390" s="10" t="n">
        <f aca="false">IF(AND(ISNUMBER($D390),ISNUMBER($E390)),IF($E390&gt;$D390,1,0),0)+IF(AND(ISNUMBER($D390),ISNUMBER($F390)),IF($D390&gt;$F390,1,0),0)+IF(AND(ISNUMBER($E390),ISNUMBER($F390)),IF($E390&gt;$F390,1,0),0)</f>
        <v>0</v>
      </c>
      <c r="X390" s="13" t="s">
        <v>76</v>
      </c>
    </row>
    <row r="391" customFormat="false" ht="15" hidden="false" customHeight="false" outlineLevel="0" collapsed="false">
      <c r="A391" s="10" t="s">
        <v>1571</v>
      </c>
      <c r="B391" s="10" t="s">
        <v>1572</v>
      </c>
      <c r="C391" s="10" t="s">
        <v>1573</v>
      </c>
      <c r="D391" s="12"/>
      <c r="E391" s="12"/>
      <c r="F391" s="12"/>
      <c r="G391" s="11" t="s">
        <v>1401</v>
      </c>
      <c r="H391" s="10" t="s">
        <v>1574</v>
      </c>
      <c r="I391" s="10" t="s">
        <v>1575</v>
      </c>
      <c r="J391" s="10" t="s">
        <v>1576</v>
      </c>
      <c r="K391" s="10" t="s">
        <v>68</v>
      </c>
      <c r="L391" s="10" t="s">
        <v>68</v>
      </c>
      <c r="M391" s="10" t="s">
        <v>69</v>
      </c>
      <c r="N391" s="10"/>
      <c r="O391" s="10"/>
      <c r="P391" s="10" t="s">
        <v>637</v>
      </c>
      <c r="Q391" s="11" t="s">
        <v>72</v>
      </c>
      <c r="R391" s="11" t="s">
        <v>1090</v>
      </c>
      <c r="S391" s="11" t="s">
        <v>1278</v>
      </c>
      <c r="T391" s="11" t="s">
        <v>1577</v>
      </c>
      <c r="U391" s="10" t="n">
        <f aca="false">IF(AND($D391="",$E391="",$F391=""),1,0)</f>
        <v>1</v>
      </c>
      <c r="V391" s="10" t="n">
        <f aca="false">IF(OR($I391="",$I391="—"),1,0)</f>
        <v>0</v>
      </c>
      <c r="W391" s="10" t="n">
        <f aca="false">IF(AND(ISNUMBER($D391),ISNUMBER($E391)),IF($E391&gt;$D391,1,0),0)+IF(AND(ISNUMBER($D391),ISNUMBER($F391)),IF($D391&gt;$F391,1,0),0)+IF(AND(ISNUMBER($E391),ISNUMBER($F391)),IF($E391&gt;$F391,1,0),0)</f>
        <v>0</v>
      </c>
      <c r="X391" s="13" t="s">
        <v>76</v>
      </c>
    </row>
    <row r="392" customFormat="false" ht="15" hidden="false" customHeight="false" outlineLevel="0" collapsed="false">
      <c r="A392" s="10" t="s">
        <v>1578</v>
      </c>
      <c r="B392" s="10" t="s">
        <v>1579</v>
      </c>
      <c r="C392" s="10" t="s">
        <v>1580</v>
      </c>
      <c r="D392" s="12"/>
      <c r="E392" s="12"/>
      <c r="F392" s="12"/>
      <c r="G392" s="11" t="s">
        <v>1401</v>
      </c>
      <c r="H392" s="10" t="s">
        <v>1305</v>
      </c>
      <c r="I392" s="10" t="s">
        <v>1568</v>
      </c>
      <c r="J392" s="10" t="s">
        <v>1569</v>
      </c>
      <c r="K392" s="10" t="s">
        <v>68</v>
      </c>
      <c r="L392" s="10" t="s">
        <v>68</v>
      </c>
      <c r="M392" s="10" t="s">
        <v>69</v>
      </c>
      <c r="N392" s="10"/>
      <c r="O392" s="10"/>
      <c r="P392" s="10" t="s">
        <v>637</v>
      </c>
      <c r="Q392" s="11" t="s">
        <v>72</v>
      </c>
      <c r="R392" s="11" t="s">
        <v>1090</v>
      </c>
      <c r="S392" s="11" t="s">
        <v>710</v>
      </c>
      <c r="T392" s="11" t="s">
        <v>1581</v>
      </c>
      <c r="U392" s="10" t="n">
        <f aca="false">IF(AND($D392="",$E392="",$F392=""),1,0)</f>
        <v>1</v>
      </c>
      <c r="V392" s="10" t="n">
        <f aca="false">IF(OR($I392="",$I392="—"),1,0)</f>
        <v>0</v>
      </c>
      <c r="W392" s="10" t="n">
        <f aca="false">IF(AND(ISNUMBER($D392),ISNUMBER($E392)),IF($E392&gt;$D392,1,0),0)+IF(AND(ISNUMBER($D392),ISNUMBER($F392)),IF($D392&gt;$F392,1,0),0)+IF(AND(ISNUMBER($E392),ISNUMBER($F392)),IF($E392&gt;$F392,1,0),0)</f>
        <v>0</v>
      </c>
      <c r="X392" s="13" t="s">
        <v>76</v>
      </c>
    </row>
    <row r="393" customFormat="false" ht="15" hidden="false" customHeight="false" outlineLevel="0" collapsed="false">
      <c r="A393" s="10" t="s">
        <v>1582</v>
      </c>
      <c r="B393" s="10" t="s">
        <v>1583</v>
      </c>
      <c r="C393" s="10" t="s">
        <v>1584</v>
      </c>
      <c r="D393" s="12"/>
      <c r="E393" s="12"/>
      <c r="F393" s="12"/>
      <c r="G393" s="11" t="s">
        <v>1401</v>
      </c>
      <c r="H393" s="10" t="s">
        <v>1585</v>
      </c>
      <c r="I393" s="10" t="s">
        <v>1575</v>
      </c>
      <c r="J393" s="10" t="s">
        <v>1576</v>
      </c>
      <c r="K393" s="10" t="s">
        <v>68</v>
      </c>
      <c r="L393" s="10" t="s">
        <v>68</v>
      </c>
      <c r="M393" s="10" t="s">
        <v>69</v>
      </c>
      <c r="N393" s="10"/>
      <c r="O393" s="10"/>
      <c r="P393" s="10" t="s">
        <v>637</v>
      </c>
      <c r="Q393" s="11" t="s">
        <v>72</v>
      </c>
      <c r="R393" s="11" t="s">
        <v>1090</v>
      </c>
      <c r="S393" s="11" t="s">
        <v>1278</v>
      </c>
      <c r="T393" s="11" t="s">
        <v>1586</v>
      </c>
      <c r="U393" s="10" t="n">
        <f aca="false">IF(AND($D393="",$E393="",$F393=""),1,0)</f>
        <v>1</v>
      </c>
      <c r="V393" s="10" t="n">
        <f aca="false">IF(OR($I393="",$I393="—"),1,0)</f>
        <v>0</v>
      </c>
      <c r="W393" s="10" t="n">
        <f aca="false">IF(AND(ISNUMBER($D393),ISNUMBER($E393)),IF($E393&gt;$D393,1,0),0)+IF(AND(ISNUMBER($D393),ISNUMBER($F393)),IF($D393&gt;$F393,1,0),0)+IF(AND(ISNUMBER($E393),ISNUMBER($F393)),IF($E393&gt;$F393,1,0),0)</f>
        <v>0</v>
      </c>
      <c r="X393" s="13" t="s">
        <v>76</v>
      </c>
    </row>
    <row r="394" customFormat="false" ht="15" hidden="false" customHeight="false" outlineLevel="0" collapsed="false">
      <c r="A394" s="10" t="s">
        <v>1587</v>
      </c>
      <c r="B394" s="10" t="s">
        <v>1588</v>
      </c>
      <c r="C394" s="10" t="s">
        <v>1589</v>
      </c>
      <c r="D394" s="12"/>
      <c r="E394" s="12"/>
      <c r="F394" s="12"/>
      <c r="G394" s="11" t="s">
        <v>1401</v>
      </c>
      <c r="H394" s="10" t="s">
        <v>1329</v>
      </c>
      <c r="I394" s="11" t="s">
        <v>1590</v>
      </c>
      <c r="J394" s="10" t="s">
        <v>1591</v>
      </c>
      <c r="K394" s="10" t="s">
        <v>1332</v>
      </c>
      <c r="L394" s="10" t="s">
        <v>68</v>
      </c>
      <c r="M394" s="10" t="s">
        <v>69</v>
      </c>
      <c r="N394" s="10"/>
      <c r="O394" s="10"/>
      <c r="P394" s="10" t="s">
        <v>637</v>
      </c>
      <c r="Q394" s="11" t="s">
        <v>72</v>
      </c>
      <c r="R394" s="11" t="s">
        <v>1090</v>
      </c>
      <c r="S394" s="11" t="s">
        <v>710</v>
      </c>
      <c r="T394" s="10" t="s">
        <v>1592</v>
      </c>
      <c r="U394" s="10" t="n">
        <f aca="false">IF(AND($D394="",$E394="",$F394=""),1,0)</f>
        <v>1</v>
      </c>
      <c r="V394" s="10" t="n">
        <f aca="false">IF(OR($I394="",$I394="—"),1,0)</f>
        <v>0</v>
      </c>
      <c r="W394" s="10" t="n">
        <f aca="false">IF(AND(ISNUMBER($D394),ISNUMBER($E394)),IF($E394&gt;$D394,1,0),0)+IF(AND(ISNUMBER($D394),ISNUMBER($F394)),IF($D394&gt;$F394,1,0),0)+IF(AND(ISNUMBER($E394),ISNUMBER($F394)),IF($E394&gt;$F394,1,0),0)</f>
        <v>0</v>
      </c>
      <c r="X394" s="13" t="s">
        <v>76</v>
      </c>
    </row>
    <row r="395" customFormat="false" ht="15" hidden="false" customHeight="false" outlineLevel="0" collapsed="false">
      <c r="A395" s="10" t="s">
        <v>1593</v>
      </c>
      <c r="B395" s="10" t="s">
        <v>1594</v>
      </c>
      <c r="C395" s="10" t="s">
        <v>1595</v>
      </c>
      <c r="D395" s="12"/>
      <c r="E395" s="12"/>
      <c r="F395" s="12"/>
      <c r="G395" s="11" t="s">
        <v>1401</v>
      </c>
      <c r="H395" s="10" t="s">
        <v>1315</v>
      </c>
      <c r="I395" s="10" t="s">
        <v>1575</v>
      </c>
      <c r="J395" s="10" t="s">
        <v>1576</v>
      </c>
      <c r="K395" s="10" t="s">
        <v>68</v>
      </c>
      <c r="L395" s="10" t="s">
        <v>68</v>
      </c>
      <c r="M395" s="10" t="s">
        <v>69</v>
      </c>
      <c r="N395" s="10"/>
      <c r="O395" s="10"/>
      <c r="P395" s="10" t="s">
        <v>637</v>
      </c>
      <c r="Q395" s="11" t="s">
        <v>72</v>
      </c>
      <c r="R395" s="11" t="s">
        <v>1090</v>
      </c>
      <c r="S395" s="11" t="s">
        <v>1278</v>
      </c>
      <c r="T395" s="11" t="s">
        <v>1596</v>
      </c>
      <c r="U395" s="10" t="n">
        <f aca="false">IF(AND($D395="",$E395="",$F395=""),1,0)</f>
        <v>1</v>
      </c>
      <c r="V395" s="10" t="n">
        <f aca="false">IF(OR($I395="",$I395="—"),1,0)</f>
        <v>0</v>
      </c>
      <c r="W395" s="10" t="n">
        <f aca="false">IF(AND(ISNUMBER($D395),ISNUMBER($E395)),IF($E395&gt;$D395,1,0),0)+IF(AND(ISNUMBER($D395),ISNUMBER($F395)),IF($D395&gt;$F395,1,0),0)+IF(AND(ISNUMBER($E395),ISNUMBER($F395)),IF($E395&gt;$F395,1,0),0)</f>
        <v>0</v>
      </c>
      <c r="X395" s="13" t="s">
        <v>76</v>
      </c>
    </row>
    <row r="396" customFormat="false" ht="15" hidden="false" customHeight="false" outlineLevel="0" collapsed="false">
      <c r="A396" s="10" t="s">
        <v>1597</v>
      </c>
      <c r="B396" s="10" t="s">
        <v>1598</v>
      </c>
      <c r="C396" s="10" t="s">
        <v>1599</v>
      </c>
      <c r="D396" s="12"/>
      <c r="E396" s="12"/>
      <c r="F396" s="12"/>
      <c r="G396" s="11" t="s">
        <v>1401</v>
      </c>
      <c r="H396" s="10" t="s">
        <v>1338</v>
      </c>
      <c r="I396" s="10" t="s">
        <v>1600</v>
      </c>
      <c r="J396" s="10" t="s">
        <v>1569</v>
      </c>
      <c r="K396" s="10" t="s">
        <v>68</v>
      </c>
      <c r="L396" s="10" t="s">
        <v>68</v>
      </c>
      <c r="M396" s="10" t="s">
        <v>69</v>
      </c>
      <c r="N396" s="10"/>
      <c r="O396" s="10"/>
      <c r="P396" s="10" t="s">
        <v>637</v>
      </c>
      <c r="Q396" s="11" t="s">
        <v>72</v>
      </c>
      <c r="R396" s="11" t="s">
        <v>1090</v>
      </c>
      <c r="S396" s="11" t="s">
        <v>710</v>
      </c>
      <c r="T396" s="11" t="s">
        <v>1601</v>
      </c>
      <c r="U396" s="10" t="n">
        <f aca="false">IF(AND($D396="",$E396="",$F396=""),1,0)</f>
        <v>1</v>
      </c>
      <c r="V396" s="10" t="n">
        <f aca="false">IF(OR($I396="",$I396="—"),1,0)</f>
        <v>0</v>
      </c>
      <c r="W396" s="10" t="n">
        <f aca="false">IF(AND(ISNUMBER($D396),ISNUMBER($E396)),IF($E396&gt;$D396,1,0),0)+IF(AND(ISNUMBER($D396),ISNUMBER($F396)),IF($D396&gt;$F396,1,0),0)+IF(AND(ISNUMBER($E396),ISNUMBER($F396)),IF($E396&gt;$F396,1,0),0)</f>
        <v>0</v>
      </c>
      <c r="X396" s="13" t="s">
        <v>76</v>
      </c>
    </row>
    <row r="397" customFormat="false" ht="15" hidden="false" customHeight="false" outlineLevel="0" collapsed="false">
      <c r="A397" s="10" t="s">
        <v>1602</v>
      </c>
      <c r="B397" s="10" t="s">
        <v>1603</v>
      </c>
      <c r="C397" s="10" t="s">
        <v>1604</v>
      </c>
      <c r="D397" s="12"/>
      <c r="E397" s="12"/>
      <c r="F397" s="12"/>
      <c r="G397" s="11" t="s">
        <v>1401</v>
      </c>
      <c r="H397" s="10" t="s">
        <v>1605</v>
      </c>
      <c r="I397" s="10" t="s">
        <v>1606</v>
      </c>
      <c r="J397" s="10" t="s">
        <v>1607</v>
      </c>
      <c r="K397" s="10" t="s">
        <v>1608</v>
      </c>
      <c r="L397" s="10" t="s">
        <v>68</v>
      </c>
      <c r="M397" s="10" t="s">
        <v>69</v>
      </c>
      <c r="N397" s="10"/>
      <c r="O397" s="10"/>
      <c r="P397" s="10" t="s">
        <v>637</v>
      </c>
      <c r="Q397" s="11" t="s">
        <v>72</v>
      </c>
      <c r="R397" s="11" t="s">
        <v>1090</v>
      </c>
      <c r="S397" s="11" t="s">
        <v>710</v>
      </c>
      <c r="T397" s="11" t="s">
        <v>1609</v>
      </c>
      <c r="U397" s="10" t="n">
        <f aca="false">IF(AND($D397="",$E397="",$F397=""),1,0)</f>
        <v>1</v>
      </c>
      <c r="V397" s="10" t="n">
        <f aca="false">IF(OR($I397="",$I397="—"),1,0)</f>
        <v>0</v>
      </c>
      <c r="W397" s="10" t="n">
        <f aca="false">IF(AND(ISNUMBER($D397),ISNUMBER($E397)),IF($E397&gt;$D397,1,0),0)+IF(AND(ISNUMBER($D397),ISNUMBER($F397)),IF($D397&gt;$F397,1,0),0)+IF(AND(ISNUMBER($E397),ISNUMBER($F397)),IF($E397&gt;$F397,1,0),0)</f>
        <v>0</v>
      </c>
      <c r="X397" s="13" t="s">
        <v>76</v>
      </c>
    </row>
    <row r="398" customFormat="false" ht="15" hidden="false" customHeight="false" outlineLevel="0" collapsed="false">
      <c r="A398" s="10" t="s">
        <v>1610</v>
      </c>
      <c r="B398" s="10" t="s">
        <v>1611</v>
      </c>
      <c r="C398" s="10" t="s">
        <v>1612</v>
      </c>
      <c r="D398" s="12"/>
      <c r="E398" s="12"/>
      <c r="F398" s="12"/>
      <c r="G398" s="11" t="s">
        <v>1401</v>
      </c>
      <c r="H398" s="10" t="s">
        <v>1613</v>
      </c>
      <c r="I398" s="11" t="s">
        <v>1614</v>
      </c>
      <c r="J398" s="10" t="s">
        <v>1276</v>
      </c>
      <c r="K398" s="10" t="s">
        <v>68</v>
      </c>
      <c r="L398" s="10" t="s">
        <v>68</v>
      </c>
      <c r="M398" s="10" t="s">
        <v>69</v>
      </c>
      <c r="N398" s="10"/>
      <c r="O398" s="10"/>
      <c r="P398" s="10" t="s">
        <v>637</v>
      </c>
      <c r="Q398" s="11" t="s">
        <v>72</v>
      </c>
      <c r="R398" s="11" t="s">
        <v>1090</v>
      </c>
      <c r="S398" s="11" t="s">
        <v>1278</v>
      </c>
      <c r="T398" s="11" t="s">
        <v>1615</v>
      </c>
      <c r="U398" s="10" t="n">
        <f aca="false">IF(AND($D398="",$E398="",$F398=""),1,0)</f>
        <v>1</v>
      </c>
      <c r="V398" s="10" t="n">
        <f aca="false">IF(OR($I398="",$I398="—"),1,0)</f>
        <v>0</v>
      </c>
      <c r="W398" s="10" t="n">
        <f aca="false">IF(AND(ISNUMBER($D398),ISNUMBER($E398)),IF($E398&gt;$D398,1,0),0)+IF(AND(ISNUMBER($D398),ISNUMBER($F398)),IF($D398&gt;$F398,1,0),0)+IF(AND(ISNUMBER($E398),ISNUMBER($F398)),IF($E398&gt;$F398,1,0),0)</f>
        <v>0</v>
      </c>
      <c r="X398" s="13" t="s">
        <v>76</v>
      </c>
    </row>
    <row r="399" customFormat="false" ht="15" hidden="false" customHeight="false" outlineLevel="0" collapsed="false">
      <c r="A399" s="10" t="s">
        <v>1616</v>
      </c>
      <c r="B399" s="10" t="s">
        <v>1617</v>
      </c>
      <c r="C399" s="10" t="s">
        <v>1618</v>
      </c>
      <c r="D399" s="12"/>
      <c r="E399" s="12"/>
      <c r="F399" s="12"/>
      <c r="G399" s="11" t="s">
        <v>1401</v>
      </c>
      <c r="H399" s="10" t="s">
        <v>1619</v>
      </c>
      <c r="I399" s="10" t="s">
        <v>1620</v>
      </c>
      <c r="J399" s="10" t="s">
        <v>1621</v>
      </c>
      <c r="K399" s="10" t="s">
        <v>1622</v>
      </c>
      <c r="L399" s="10" t="s">
        <v>68</v>
      </c>
      <c r="M399" s="10" t="s">
        <v>69</v>
      </c>
      <c r="N399" s="10"/>
      <c r="O399" s="10"/>
      <c r="P399" s="10" t="s">
        <v>637</v>
      </c>
      <c r="Q399" s="11" t="s">
        <v>72</v>
      </c>
      <c r="R399" s="11" t="s">
        <v>1090</v>
      </c>
      <c r="S399" s="11" t="s">
        <v>1278</v>
      </c>
      <c r="T399" s="11" t="s">
        <v>1623</v>
      </c>
      <c r="U399" s="10" t="n">
        <f aca="false">IF(AND($D399="",$E399="",$F399=""),1,0)</f>
        <v>1</v>
      </c>
      <c r="V399" s="10" t="n">
        <f aca="false">IF(OR($I399="",$I399="—"),1,0)</f>
        <v>0</v>
      </c>
      <c r="W399" s="10" t="n">
        <f aca="false">IF(AND(ISNUMBER($D399),ISNUMBER($E399)),IF($E399&gt;$D399,1,0),0)+IF(AND(ISNUMBER($D399),ISNUMBER($F399)),IF($D399&gt;$F399,1,0),0)+IF(AND(ISNUMBER($E399),ISNUMBER($F399)),IF($E399&gt;$F399,1,0),0)</f>
        <v>0</v>
      </c>
      <c r="X399" s="13" t="s">
        <v>76</v>
      </c>
    </row>
    <row r="400" customFormat="false" ht="15" hidden="false" customHeight="false" outlineLevel="0" collapsed="false">
      <c r="A400" s="10" t="s">
        <v>1624</v>
      </c>
      <c r="B400" s="10" t="s">
        <v>1625</v>
      </c>
      <c r="C400" s="10" t="s">
        <v>1626</v>
      </c>
      <c r="D400" s="12"/>
      <c r="E400" s="12"/>
      <c r="F400" s="12"/>
      <c r="G400" s="11" t="s">
        <v>1401</v>
      </c>
      <c r="H400" s="10" t="s">
        <v>1322</v>
      </c>
      <c r="I400" s="10" t="s">
        <v>1627</v>
      </c>
      <c r="J400" s="10" t="s">
        <v>1628</v>
      </c>
      <c r="K400" s="10" t="s">
        <v>1629</v>
      </c>
      <c r="L400" s="10" t="s">
        <v>68</v>
      </c>
      <c r="M400" s="10" t="s">
        <v>69</v>
      </c>
      <c r="N400" s="10"/>
      <c r="O400" s="10"/>
      <c r="P400" s="10" t="s">
        <v>637</v>
      </c>
      <c r="Q400" s="11" t="s">
        <v>72</v>
      </c>
      <c r="R400" s="11" t="s">
        <v>1090</v>
      </c>
      <c r="S400" s="11" t="s">
        <v>1278</v>
      </c>
      <c r="T400" s="11" t="s">
        <v>1630</v>
      </c>
      <c r="U400" s="10" t="n">
        <f aca="false">IF(AND($D400="",$E400="",$F400=""),1,0)</f>
        <v>1</v>
      </c>
      <c r="V400" s="10" t="n">
        <f aca="false">IF(OR($I400="",$I400="—"),1,0)</f>
        <v>0</v>
      </c>
      <c r="W400" s="10" t="n">
        <f aca="false">IF(AND(ISNUMBER($D400),ISNUMBER($E400)),IF($E400&gt;$D400,1,0),0)+IF(AND(ISNUMBER($D400),ISNUMBER($F400)),IF($D400&gt;$F400,1,0),0)+IF(AND(ISNUMBER($E400),ISNUMBER($F400)),IF($E400&gt;$F400,1,0),0)</f>
        <v>0</v>
      </c>
      <c r="X400" s="13" t="s">
        <v>76</v>
      </c>
    </row>
    <row r="401" customFormat="false" ht="15" hidden="false" customHeight="false" outlineLevel="0" collapsed="false">
      <c r="A401" s="10" t="s">
        <v>1631</v>
      </c>
      <c r="B401" s="10" t="s">
        <v>1632</v>
      </c>
      <c r="C401" s="10" t="s">
        <v>1633</v>
      </c>
      <c r="D401" s="12" t="n">
        <v>580</v>
      </c>
      <c r="E401" s="12"/>
      <c r="F401" s="12"/>
      <c r="G401" s="11" t="s">
        <v>1634</v>
      </c>
      <c r="H401" s="10" t="s">
        <v>824</v>
      </c>
      <c r="I401" s="11" t="s">
        <v>1635</v>
      </c>
      <c r="J401" s="10" t="s">
        <v>664</v>
      </c>
      <c r="K401" s="10" t="s">
        <v>665</v>
      </c>
      <c r="L401" s="10" t="s">
        <v>68</v>
      </c>
      <c r="M401" s="10" t="s">
        <v>416</v>
      </c>
      <c r="N401" s="11" t="s">
        <v>1363</v>
      </c>
      <c r="O401" s="11" t="s">
        <v>441</v>
      </c>
      <c r="P401" s="10" t="s">
        <v>71</v>
      </c>
      <c r="Q401" s="11" t="s">
        <v>72</v>
      </c>
      <c r="R401" s="11" t="s">
        <v>1363</v>
      </c>
      <c r="S401" s="11" t="s">
        <v>74</v>
      </c>
      <c r="T401" s="11" t="s">
        <v>1636</v>
      </c>
      <c r="U401" s="10" t="n">
        <f aca="false">IF(AND($D401="",$E401="",$F401=""),1,0)</f>
        <v>0</v>
      </c>
      <c r="V401" s="10" t="n">
        <f aca="false">IF(OR($I401="",$I401="—"),1,0)</f>
        <v>0</v>
      </c>
      <c r="W401" s="10" t="n">
        <f aca="false">IF(AND(ISNUMBER($D401),ISNUMBER($E401)),IF($E401&gt;$D401,1,0),0)+IF(AND(ISNUMBER($D401),ISNUMBER($F401)),IF($D401&gt;$F401,1,0),0)+IF(AND(ISNUMBER($E401),ISNUMBER($F401)),IF($E401&gt;$F401,1,0),0)</f>
        <v>0</v>
      </c>
      <c r="X401" s="13" t="s">
        <v>76</v>
      </c>
    </row>
    <row r="402" customFormat="false" ht="15" hidden="false" customHeight="false" outlineLevel="0" collapsed="false">
      <c r="A402" s="10" t="s">
        <v>1637</v>
      </c>
      <c r="B402" s="10" t="s">
        <v>1638</v>
      </c>
      <c r="C402" s="10" t="s">
        <v>1639</v>
      </c>
      <c r="D402" s="12" t="n">
        <v>740</v>
      </c>
      <c r="E402" s="12"/>
      <c r="F402" s="12"/>
      <c r="G402" s="11" t="s">
        <v>1634</v>
      </c>
      <c r="H402" s="10" t="s">
        <v>1640</v>
      </c>
      <c r="I402" s="11" t="s">
        <v>1635</v>
      </c>
      <c r="J402" s="10" t="s">
        <v>664</v>
      </c>
      <c r="K402" s="10" t="s">
        <v>665</v>
      </c>
      <c r="L402" s="10" t="s">
        <v>68</v>
      </c>
      <c r="M402" s="10" t="s">
        <v>416</v>
      </c>
      <c r="N402" s="11" t="s">
        <v>1363</v>
      </c>
      <c r="O402" s="11" t="s">
        <v>441</v>
      </c>
      <c r="P402" s="10" t="s">
        <v>71</v>
      </c>
      <c r="Q402" s="11" t="s">
        <v>72</v>
      </c>
      <c r="R402" s="11" t="s">
        <v>1363</v>
      </c>
      <c r="S402" s="11" t="s">
        <v>74</v>
      </c>
      <c r="T402" s="11" t="s">
        <v>1641</v>
      </c>
      <c r="U402" s="10" t="n">
        <f aca="false">IF(AND($D402="",$E402="",$F402=""),1,0)</f>
        <v>0</v>
      </c>
      <c r="V402" s="10" t="n">
        <f aca="false">IF(OR($I402="",$I402="—"),1,0)</f>
        <v>0</v>
      </c>
      <c r="W402" s="10" t="n">
        <f aca="false">IF(AND(ISNUMBER($D402),ISNUMBER($E402)),IF($E402&gt;$D402,1,0),0)+IF(AND(ISNUMBER($D402),ISNUMBER($F402)),IF($D402&gt;$F402,1,0),0)+IF(AND(ISNUMBER($E402),ISNUMBER($F402)),IF($E402&gt;$F402,1,0),0)</f>
        <v>0</v>
      </c>
      <c r="X402" s="13" t="s">
        <v>76</v>
      </c>
    </row>
    <row r="403" customFormat="false" ht="15" hidden="false" customHeight="false" outlineLevel="0" collapsed="false">
      <c r="A403" s="10" t="s">
        <v>1642</v>
      </c>
      <c r="B403" s="10" t="s">
        <v>1643</v>
      </c>
      <c r="C403" s="10" t="s">
        <v>1644</v>
      </c>
      <c r="D403" s="12" t="n">
        <v>144</v>
      </c>
      <c r="E403" s="12"/>
      <c r="F403" s="12"/>
      <c r="G403" s="10" t="s">
        <v>401</v>
      </c>
      <c r="H403" s="10" t="s">
        <v>1645</v>
      </c>
      <c r="I403" s="11" t="s">
        <v>1646</v>
      </c>
      <c r="J403" s="10" t="s">
        <v>664</v>
      </c>
      <c r="K403" s="10" t="s">
        <v>665</v>
      </c>
      <c r="L403" s="10" t="s">
        <v>68</v>
      </c>
      <c r="M403" s="10" t="s">
        <v>416</v>
      </c>
      <c r="N403" s="11" t="s">
        <v>1363</v>
      </c>
      <c r="O403" s="10"/>
      <c r="P403" s="10" t="s">
        <v>71</v>
      </c>
      <c r="Q403" s="11" t="s">
        <v>72</v>
      </c>
      <c r="R403" s="11" t="s">
        <v>1363</v>
      </c>
      <c r="S403" s="11" t="s">
        <v>74</v>
      </c>
      <c r="T403" s="11" t="s">
        <v>1647</v>
      </c>
      <c r="U403" s="10" t="n">
        <f aca="false">IF(AND($D403="",$E403="",$F403=""),1,0)</f>
        <v>0</v>
      </c>
      <c r="V403" s="10" t="n">
        <f aca="false">IF(OR($I403="",$I403="—"),1,0)</f>
        <v>0</v>
      </c>
      <c r="W403" s="10" t="n">
        <f aca="false">IF(AND(ISNUMBER($D403),ISNUMBER($E403)),IF($E403&gt;$D403,1,0),0)+IF(AND(ISNUMBER($D403),ISNUMBER($F403)),IF($D403&gt;$F403,1,0),0)+IF(AND(ISNUMBER($E403),ISNUMBER($F403)),IF($E403&gt;$F403,1,0),0)</f>
        <v>0</v>
      </c>
      <c r="X403" s="13" t="s">
        <v>76</v>
      </c>
    </row>
    <row r="404" customFormat="false" ht="15" hidden="false" customHeight="false" outlineLevel="0" collapsed="false">
      <c r="A404" s="10" t="s">
        <v>1648</v>
      </c>
      <c r="B404" s="10" t="s">
        <v>1649</v>
      </c>
      <c r="C404" s="11" t="s">
        <v>1650</v>
      </c>
      <c r="D404" s="12" t="n">
        <v>400</v>
      </c>
      <c r="E404" s="12"/>
      <c r="F404" s="12"/>
      <c r="G404" s="11" t="s">
        <v>1634</v>
      </c>
      <c r="H404" s="10" t="s">
        <v>1651</v>
      </c>
      <c r="I404" s="11" t="s">
        <v>1362</v>
      </c>
      <c r="J404" s="10" t="s">
        <v>448</v>
      </c>
      <c r="K404" s="10" t="s">
        <v>449</v>
      </c>
      <c r="L404" s="10" t="s">
        <v>68</v>
      </c>
      <c r="M404" s="10" t="s">
        <v>416</v>
      </c>
      <c r="N404" s="11" t="s">
        <v>1363</v>
      </c>
      <c r="O404" s="10"/>
      <c r="P404" s="10" t="s">
        <v>71</v>
      </c>
      <c r="Q404" s="11" t="s">
        <v>72</v>
      </c>
      <c r="R404" s="11" t="s">
        <v>1363</v>
      </c>
      <c r="S404" s="11" t="s">
        <v>74</v>
      </c>
      <c r="T404" s="11" t="s">
        <v>1652</v>
      </c>
      <c r="U404" s="10" t="n">
        <f aca="false">IF(AND($D404="",$E404="",$F404=""),1,0)</f>
        <v>0</v>
      </c>
      <c r="V404" s="10" t="n">
        <f aca="false">IF(OR($I404="",$I404="—"),1,0)</f>
        <v>0</v>
      </c>
      <c r="W404" s="10" t="n">
        <f aca="false">IF(AND(ISNUMBER($D404),ISNUMBER($E404)),IF($E404&gt;$D404,1,0),0)+IF(AND(ISNUMBER($D404),ISNUMBER($F404)),IF($D404&gt;$F404,1,0),0)+IF(AND(ISNUMBER($E404),ISNUMBER($F404)),IF($E404&gt;$F404,1,0),0)</f>
        <v>0</v>
      </c>
      <c r="X404" s="13" t="s">
        <v>76</v>
      </c>
    </row>
    <row r="405" customFormat="false" ht="15" hidden="false" customHeight="false" outlineLevel="0" collapsed="false">
      <c r="A405" s="10" t="s">
        <v>1653</v>
      </c>
      <c r="B405" s="10" t="s">
        <v>1654</v>
      </c>
      <c r="C405" s="11" t="s">
        <v>1655</v>
      </c>
      <c r="D405" s="12" t="n">
        <v>603</v>
      </c>
      <c r="E405" s="12"/>
      <c r="F405" s="12"/>
      <c r="G405" s="10" t="s">
        <v>401</v>
      </c>
      <c r="H405" s="10" t="s">
        <v>1656</v>
      </c>
      <c r="I405" s="11" t="s">
        <v>1646</v>
      </c>
      <c r="J405" s="10" t="s">
        <v>664</v>
      </c>
      <c r="K405" s="10" t="s">
        <v>665</v>
      </c>
      <c r="L405" s="10" t="s">
        <v>68</v>
      </c>
      <c r="M405" s="10" t="s">
        <v>416</v>
      </c>
      <c r="N405" s="11" t="s">
        <v>1363</v>
      </c>
      <c r="O405" s="10"/>
      <c r="P405" s="10" t="s">
        <v>71</v>
      </c>
      <c r="Q405" s="11" t="s">
        <v>72</v>
      </c>
      <c r="R405" s="11" t="s">
        <v>1363</v>
      </c>
      <c r="S405" s="11" t="s">
        <v>74</v>
      </c>
      <c r="T405" s="11" t="s">
        <v>1657</v>
      </c>
      <c r="U405" s="10" t="n">
        <f aca="false">IF(AND($D405="",$E405="",$F405=""),1,0)</f>
        <v>0</v>
      </c>
      <c r="V405" s="10" t="n">
        <f aca="false">IF(OR($I405="",$I405="—"),1,0)</f>
        <v>0</v>
      </c>
      <c r="W405" s="10" t="n">
        <f aca="false">IF(AND(ISNUMBER($D405),ISNUMBER($E405)),IF($E405&gt;$D405,1,0),0)+IF(AND(ISNUMBER($D405),ISNUMBER($F405)),IF($D405&gt;$F405,1,0),0)+IF(AND(ISNUMBER($E405),ISNUMBER($F405)),IF($E405&gt;$F405,1,0),0)</f>
        <v>0</v>
      </c>
      <c r="X405" s="13" t="s">
        <v>76</v>
      </c>
    </row>
    <row r="406" customFormat="false" ht="15" hidden="false" customHeight="false" outlineLevel="0" collapsed="false">
      <c r="A406" s="10" t="s">
        <v>1658</v>
      </c>
      <c r="B406" s="10" t="s">
        <v>1659</v>
      </c>
      <c r="C406" s="10" t="s">
        <v>1660</v>
      </c>
      <c r="D406" s="12" t="n">
        <v>24.2</v>
      </c>
      <c r="E406" s="12"/>
      <c r="F406" s="12"/>
      <c r="G406" s="11" t="s">
        <v>1634</v>
      </c>
      <c r="H406" s="11" t="s">
        <v>1361</v>
      </c>
      <c r="I406" s="11" t="s">
        <v>1362</v>
      </c>
      <c r="J406" s="10" t="s">
        <v>448</v>
      </c>
      <c r="K406" s="10" t="s">
        <v>449</v>
      </c>
      <c r="L406" s="10" t="s">
        <v>68</v>
      </c>
      <c r="M406" s="10" t="s">
        <v>416</v>
      </c>
      <c r="N406" s="11" t="s">
        <v>1363</v>
      </c>
      <c r="O406" s="10"/>
      <c r="P406" s="10" t="s">
        <v>71</v>
      </c>
      <c r="Q406" s="11" t="s">
        <v>72</v>
      </c>
      <c r="R406" s="11" t="s">
        <v>1363</v>
      </c>
      <c r="S406" s="11" t="s">
        <v>74</v>
      </c>
      <c r="T406" s="11" t="s">
        <v>1661</v>
      </c>
      <c r="U406" s="10" t="n">
        <f aca="false">IF(AND($D406="",$E406="",$F406=""),1,0)</f>
        <v>0</v>
      </c>
      <c r="V406" s="10" t="n">
        <f aca="false">IF(OR($I406="",$I406="—"),1,0)</f>
        <v>0</v>
      </c>
      <c r="W406" s="10" t="n">
        <f aca="false">IF(AND(ISNUMBER($D406),ISNUMBER($E406)),IF($E406&gt;$D406,1,0),0)+IF(AND(ISNUMBER($D406),ISNUMBER($F406)),IF($D406&gt;$F406,1,0),0)+IF(AND(ISNUMBER($E406),ISNUMBER($F406)),IF($E406&gt;$F406,1,0),0)</f>
        <v>0</v>
      </c>
      <c r="X406" s="13" t="s">
        <v>76</v>
      </c>
    </row>
    <row r="407" customFormat="false" ht="15" hidden="false" customHeight="false" outlineLevel="0" collapsed="false">
      <c r="A407" s="10" t="s">
        <v>1662</v>
      </c>
      <c r="B407" s="10" t="s">
        <v>1663</v>
      </c>
      <c r="C407" s="10" t="s">
        <v>1664</v>
      </c>
      <c r="D407" s="12" t="n">
        <v>40</v>
      </c>
      <c r="E407" s="12"/>
      <c r="F407" s="12"/>
      <c r="G407" s="11" t="s">
        <v>1634</v>
      </c>
      <c r="H407" s="10" t="s">
        <v>1651</v>
      </c>
      <c r="I407" s="11" t="s">
        <v>1362</v>
      </c>
      <c r="J407" s="10" t="s">
        <v>448</v>
      </c>
      <c r="K407" s="10" t="s">
        <v>449</v>
      </c>
      <c r="L407" s="10" t="s">
        <v>68</v>
      </c>
      <c r="M407" s="10" t="s">
        <v>416</v>
      </c>
      <c r="N407" s="11" t="s">
        <v>1363</v>
      </c>
      <c r="O407" s="10"/>
      <c r="P407" s="10" t="s">
        <v>71</v>
      </c>
      <c r="Q407" s="11" t="s">
        <v>72</v>
      </c>
      <c r="R407" s="11" t="s">
        <v>1363</v>
      </c>
      <c r="S407" s="11" t="s">
        <v>74</v>
      </c>
      <c r="T407" s="11" t="s">
        <v>1665</v>
      </c>
      <c r="U407" s="10" t="n">
        <f aca="false">IF(AND($D407="",$E407="",$F407=""),1,0)</f>
        <v>0</v>
      </c>
      <c r="V407" s="10" t="n">
        <f aca="false">IF(OR($I407="",$I407="—"),1,0)</f>
        <v>0</v>
      </c>
      <c r="W407" s="10" t="n">
        <f aca="false">IF(AND(ISNUMBER($D407),ISNUMBER($E407)),IF($E407&gt;$D407,1,0),0)+IF(AND(ISNUMBER($D407),ISNUMBER($F407)),IF($D407&gt;$F407,1,0),0)+IF(AND(ISNUMBER($E407),ISNUMBER($F407)),IF($E407&gt;$F407,1,0),0)</f>
        <v>0</v>
      </c>
      <c r="X407" s="13" t="s">
        <v>76</v>
      </c>
    </row>
    <row r="408" customFormat="false" ht="15" hidden="false" customHeight="false" outlineLevel="0" collapsed="false">
      <c r="A408" s="10" t="s">
        <v>1666</v>
      </c>
      <c r="B408" s="10" t="s">
        <v>1667</v>
      </c>
      <c r="C408" s="11" t="s">
        <v>1668</v>
      </c>
      <c r="D408" s="12" t="n">
        <v>8000</v>
      </c>
      <c r="E408" s="12"/>
      <c r="F408" s="12"/>
      <c r="G408" s="11" t="s">
        <v>1669</v>
      </c>
      <c r="H408" s="10" t="s">
        <v>440</v>
      </c>
      <c r="I408" s="11" t="s">
        <v>1670</v>
      </c>
      <c r="J408" s="10" t="s">
        <v>415</v>
      </c>
      <c r="K408" s="10" t="s">
        <v>67</v>
      </c>
      <c r="L408" s="10" t="s">
        <v>68</v>
      </c>
      <c r="M408" s="10" t="s">
        <v>416</v>
      </c>
      <c r="N408" s="11" t="s">
        <v>1363</v>
      </c>
      <c r="O408" s="10"/>
      <c r="P408" s="10" t="s">
        <v>71</v>
      </c>
      <c r="Q408" s="11" t="s">
        <v>72</v>
      </c>
      <c r="R408" s="11" t="s">
        <v>1363</v>
      </c>
      <c r="S408" s="11" t="s">
        <v>74</v>
      </c>
      <c r="T408" s="11" t="s">
        <v>1671</v>
      </c>
      <c r="U408" s="10" t="n">
        <f aca="false">IF(AND($D408="",$E408="",$F408=""),1,0)</f>
        <v>0</v>
      </c>
      <c r="V408" s="10" t="n">
        <f aca="false">IF(OR($I408="",$I408="—"),1,0)</f>
        <v>0</v>
      </c>
      <c r="W408" s="10" t="n">
        <f aca="false">IF(AND(ISNUMBER($D408),ISNUMBER($E408)),IF($E408&gt;$D408,1,0),0)+IF(AND(ISNUMBER($D408),ISNUMBER($F408)),IF($D408&gt;$F408,1,0),0)+IF(AND(ISNUMBER($E408),ISNUMBER($F408)),IF($E408&gt;$F408,1,0),0)</f>
        <v>0</v>
      </c>
      <c r="X408" s="13" t="s">
        <v>76</v>
      </c>
    </row>
    <row r="409" customFormat="false" ht="15" hidden="false" customHeight="false" outlineLevel="0" collapsed="false">
      <c r="A409" s="10" t="s">
        <v>1672</v>
      </c>
      <c r="B409" s="10" t="s">
        <v>1673</v>
      </c>
      <c r="C409" s="11" t="s">
        <v>1674</v>
      </c>
      <c r="D409" s="12" t="n">
        <v>12000</v>
      </c>
      <c r="E409" s="12"/>
      <c r="F409" s="12"/>
      <c r="G409" s="11" t="s">
        <v>1669</v>
      </c>
      <c r="H409" s="10" t="s">
        <v>1675</v>
      </c>
      <c r="I409" s="11" t="s">
        <v>1670</v>
      </c>
      <c r="J409" s="10" t="s">
        <v>415</v>
      </c>
      <c r="K409" s="10" t="s">
        <v>67</v>
      </c>
      <c r="L409" s="10" t="s">
        <v>68</v>
      </c>
      <c r="M409" s="10" t="s">
        <v>416</v>
      </c>
      <c r="N409" s="11" t="s">
        <v>1363</v>
      </c>
      <c r="O409" s="10"/>
      <c r="P409" s="10" t="s">
        <v>71</v>
      </c>
      <c r="Q409" s="11" t="s">
        <v>72</v>
      </c>
      <c r="R409" s="11" t="s">
        <v>1363</v>
      </c>
      <c r="S409" s="11" t="s">
        <v>74</v>
      </c>
      <c r="T409" s="11" t="s">
        <v>1676</v>
      </c>
      <c r="U409" s="10" t="n">
        <f aca="false">IF(AND($D409="",$E409="",$F409=""),1,0)</f>
        <v>0</v>
      </c>
      <c r="V409" s="10" t="n">
        <f aca="false">IF(OR($I409="",$I409="—"),1,0)</f>
        <v>0</v>
      </c>
      <c r="W409" s="10" t="n">
        <f aca="false">IF(AND(ISNUMBER($D409),ISNUMBER($E409)),IF($E409&gt;$D409,1,0),0)+IF(AND(ISNUMBER($D409),ISNUMBER($F409)),IF($D409&gt;$F409,1,0),0)+IF(AND(ISNUMBER($E409),ISNUMBER($F409)),IF($E409&gt;$F409,1,0),0)</f>
        <v>0</v>
      </c>
      <c r="X409" s="13" t="s">
        <v>76</v>
      </c>
    </row>
    <row r="410" customFormat="false" ht="15" hidden="false" customHeight="false" outlineLevel="0" collapsed="false">
      <c r="A410" s="10" t="s">
        <v>1677</v>
      </c>
      <c r="B410" s="10" t="s">
        <v>1678</v>
      </c>
      <c r="C410" s="11" t="s">
        <v>1679</v>
      </c>
      <c r="D410" s="12" t="n">
        <v>8000</v>
      </c>
      <c r="E410" s="12"/>
      <c r="F410" s="12"/>
      <c r="G410" s="11" t="s">
        <v>1680</v>
      </c>
      <c r="H410" s="11" t="s">
        <v>1681</v>
      </c>
      <c r="I410" s="11" t="s">
        <v>1670</v>
      </c>
      <c r="J410" s="10" t="s">
        <v>415</v>
      </c>
      <c r="K410" s="10" t="s">
        <v>67</v>
      </c>
      <c r="L410" s="10" t="s">
        <v>68</v>
      </c>
      <c r="M410" s="10" t="s">
        <v>416</v>
      </c>
      <c r="N410" s="11" t="s">
        <v>1363</v>
      </c>
      <c r="O410" s="10"/>
      <c r="P410" s="10" t="s">
        <v>71</v>
      </c>
      <c r="Q410" s="11" t="s">
        <v>72</v>
      </c>
      <c r="R410" s="11" t="s">
        <v>1363</v>
      </c>
      <c r="S410" s="11" t="s">
        <v>74</v>
      </c>
      <c r="T410" s="11" t="s">
        <v>1682</v>
      </c>
      <c r="U410" s="10" t="n">
        <f aca="false">IF(AND($D410="",$E410="",$F410=""),1,0)</f>
        <v>0</v>
      </c>
      <c r="V410" s="10" t="n">
        <f aca="false">IF(OR($I410="",$I410="—"),1,0)</f>
        <v>0</v>
      </c>
      <c r="W410" s="10" t="n">
        <f aca="false">IF(AND(ISNUMBER($D410),ISNUMBER($E410)),IF($E410&gt;$D410,1,0),0)+IF(AND(ISNUMBER($D410),ISNUMBER($F410)),IF($D410&gt;$F410,1,0),0)+IF(AND(ISNUMBER($E410),ISNUMBER($F410)),IF($E410&gt;$F410,1,0),0)</f>
        <v>0</v>
      </c>
      <c r="X410" s="13" t="s">
        <v>76</v>
      </c>
    </row>
    <row r="411" customFormat="false" ht="15" hidden="false" customHeight="false" outlineLevel="0" collapsed="false">
      <c r="A411" s="10" t="s">
        <v>1683</v>
      </c>
      <c r="B411" s="10" t="s">
        <v>1684</v>
      </c>
      <c r="C411" s="11" t="s">
        <v>1685</v>
      </c>
      <c r="D411" s="12" t="n">
        <v>9</v>
      </c>
      <c r="E411" s="12"/>
      <c r="F411" s="12"/>
      <c r="G411" s="11" t="s">
        <v>1669</v>
      </c>
      <c r="H411" s="10" t="s">
        <v>1651</v>
      </c>
      <c r="I411" s="11" t="s">
        <v>1686</v>
      </c>
      <c r="J411" s="10" t="s">
        <v>448</v>
      </c>
      <c r="K411" s="10" t="s">
        <v>449</v>
      </c>
      <c r="L411" s="10" t="s">
        <v>68</v>
      </c>
      <c r="M411" s="10" t="s">
        <v>416</v>
      </c>
      <c r="N411" s="11" t="s">
        <v>1363</v>
      </c>
      <c r="O411" s="10"/>
      <c r="P411" s="10" t="s">
        <v>71</v>
      </c>
      <c r="Q411" s="11" t="s">
        <v>72</v>
      </c>
      <c r="R411" s="11" t="s">
        <v>1363</v>
      </c>
      <c r="S411" s="11" t="s">
        <v>74</v>
      </c>
      <c r="T411" s="11" t="s">
        <v>1687</v>
      </c>
      <c r="U411" s="10" t="n">
        <f aca="false">IF(AND($D411="",$E411="",$F411=""),1,0)</f>
        <v>0</v>
      </c>
      <c r="V411" s="10" t="n">
        <f aca="false">IF(OR($I411="",$I411="—"),1,0)</f>
        <v>0</v>
      </c>
      <c r="W411" s="10" t="n">
        <f aca="false">IF(AND(ISNUMBER($D411),ISNUMBER($E411)),IF($E411&gt;$D411,1,0),0)+IF(AND(ISNUMBER($D411),ISNUMBER($F411)),IF($D411&gt;$F411,1,0),0)+IF(AND(ISNUMBER($E411),ISNUMBER($F411)),IF($E411&gt;$F411,1,0),0)</f>
        <v>0</v>
      </c>
      <c r="X411" s="13" t="s">
        <v>76</v>
      </c>
    </row>
    <row r="412" customFormat="false" ht="15" hidden="false" customHeight="false" outlineLevel="0" collapsed="false">
      <c r="A412" s="10" t="s">
        <v>1688</v>
      </c>
      <c r="B412" s="10" t="s">
        <v>1689</v>
      </c>
      <c r="C412" s="11" t="s">
        <v>1690</v>
      </c>
      <c r="D412" s="12" t="n">
        <v>218</v>
      </c>
      <c r="E412" s="12"/>
      <c r="F412" s="12"/>
      <c r="G412" s="11" t="s">
        <v>1691</v>
      </c>
      <c r="H412" s="10" t="s">
        <v>446</v>
      </c>
      <c r="I412" s="11" t="s">
        <v>1686</v>
      </c>
      <c r="J412" s="10" t="s">
        <v>448</v>
      </c>
      <c r="K412" s="10" t="s">
        <v>449</v>
      </c>
      <c r="L412" s="10" t="s">
        <v>68</v>
      </c>
      <c r="M412" s="10" t="s">
        <v>416</v>
      </c>
      <c r="N412" s="11" t="s">
        <v>1363</v>
      </c>
      <c r="O412" s="10"/>
      <c r="P412" s="10" t="s">
        <v>71</v>
      </c>
      <c r="Q412" s="11" t="s">
        <v>72</v>
      </c>
      <c r="R412" s="11" t="s">
        <v>1363</v>
      </c>
      <c r="S412" s="11" t="s">
        <v>74</v>
      </c>
      <c r="T412" s="11" t="s">
        <v>1692</v>
      </c>
      <c r="U412" s="10" t="n">
        <f aca="false">IF(AND($D412="",$E412="",$F412=""),1,0)</f>
        <v>0</v>
      </c>
      <c r="V412" s="10" t="n">
        <f aca="false">IF(OR($I412="",$I412="—"),1,0)</f>
        <v>0</v>
      </c>
      <c r="W412" s="10" t="n">
        <f aca="false">IF(AND(ISNUMBER($D412),ISNUMBER($E412)),IF($E412&gt;$D412,1,0),0)+IF(AND(ISNUMBER($D412),ISNUMBER($F412)),IF($D412&gt;$F412,1,0),0)+IF(AND(ISNUMBER($E412),ISNUMBER($F412)),IF($E412&gt;$F412,1,0),0)</f>
        <v>0</v>
      </c>
      <c r="X412" s="13" t="s">
        <v>76</v>
      </c>
    </row>
    <row r="413" customFormat="false" ht="15" hidden="false" customHeight="false" outlineLevel="0" collapsed="false">
      <c r="A413" s="10" t="s">
        <v>1693</v>
      </c>
      <c r="B413" s="10" t="s">
        <v>1694</v>
      </c>
      <c r="C413" s="11" t="s">
        <v>1695</v>
      </c>
      <c r="D413" s="12" t="n">
        <v>233</v>
      </c>
      <c r="E413" s="12"/>
      <c r="F413" s="12"/>
      <c r="G413" s="11" t="s">
        <v>1691</v>
      </c>
      <c r="H413" s="10" t="s">
        <v>662</v>
      </c>
      <c r="I413" s="11" t="s">
        <v>1374</v>
      </c>
      <c r="J413" s="10" t="s">
        <v>1375</v>
      </c>
      <c r="K413" s="10" t="s">
        <v>665</v>
      </c>
      <c r="L413" s="10" t="s">
        <v>68</v>
      </c>
      <c r="M413" s="10" t="s">
        <v>416</v>
      </c>
      <c r="N413" s="11" t="s">
        <v>1363</v>
      </c>
      <c r="O413" s="10"/>
      <c r="P413" s="10" t="s">
        <v>637</v>
      </c>
      <c r="Q413" s="11" t="s">
        <v>72</v>
      </c>
      <c r="R413" s="11" t="s">
        <v>1363</v>
      </c>
      <c r="S413" s="11" t="s">
        <v>710</v>
      </c>
      <c r="T413" s="11" t="s">
        <v>1696</v>
      </c>
      <c r="U413" s="10" t="n">
        <f aca="false">IF(AND($D413="",$E413="",$F413=""),1,0)</f>
        <v>0</v>
      </c>
      <c r="V413" s="10" t="n">
        <f aca="false">IF(OR($I413="",$I413="—"),1,0)</f>
        <v>0</v>
      </c>
      <c r="W413" s="10" t="n">
        <f aca="false">IF(AND(ISNUMBER($D413),ISNUMBER($E413)),IF($E413&gt;$D413,1,0),0)+IF(AND(ISNUMBER($D413),ISNUMBER($F413)),IF($D413&gt;$F413,1,0),0)+IF(AND(ISNUMBER($E413),ISNUMBER($F413)),IF($E413&gt;$F413,1,0),0)</f>
        <v>0</v>
      </c>
      <c r="X413" s="13" t="s">
        <v>76</v>
      </c>
    </row>
    <row r="414" customFormat="false" ht="15" hidden="false" customHeight="false" outlineLevel="0" collapsed="false">
      <c r="A414" s="10" t="s">
        <v>1697</v>
      </c>
      <c r="B414" s="10" t="s">
        <v>1698</v>
      </c>
      <c r="C414" s="10" t="s">
        <v>1699</v>
      </c>
      <c r="D414" s="12" t="n">
        <v>40</v>
      </c>
      <c r="E414" s="12"/>
      <c r="F414" s="12"/>
      <c r="G414" s="11" t="s">
        <v>1700</v>
      </c>
      <c r="H414" s="10" t="s">
        <v>1656</v>
      </c>
      <c r="I414" s="11" t="s">
        <v>1369</v>
      </c>
      <c r="J414" s="10" t="s">
        <v>664</v>
      </c>
      <c r="K414" s="10" t="s">
        <v>665</v>
      </c>
      <c r="L414" s="10" t="s">
        <v>68</v>
      </c>
      <c r="M414" s="10" t="s">
        <v>416</v>
      </c>
      <c r="N414" s="11" t="s">
        <v>1363</v>
      </c>
      <c r="O414" s="10"/>
      <c r="P414" s="10" t="s">
        <v>71</v>
      </c>
      <c r="Q414" s="11" t="s">
        <v>72</v>
      </c>
      <c r="R414" s="11" t="s">
        <v>1363</v>
      </c>
      <c r="S414" s="11" t="s">
        <v>74</v>
      </c>
      <c r="T414" s="11" t="s">
        <v>1701</v>
      </c>
      <c r="U414" s="10" t="n">
        <f aca="false">IF(AND($D414="",$E414="",$F414=""),1,0)</f>
        <v>0</v>
      </c>
      <c r="V414" s="10" t="n">
        <f aca="false">IF(OR($I414="",$I414="—"),1,0)</f>
        <v>0</v>
      </c>
      <c r="W414" s="10" t="n">
        <f aca="false">IF(AND(ISNUMBER($D414),ISNUMBER($E414)),IF($E414&gt;$D414,1,0),0)+IF(AND(ISNUMBER($D414),ISNUMBER($F414)),IF($D414&gt;$F414,1,0),0)+IF(AND(ISNUMBER($E414),ISNUMBER($F414)),IF($E414&gt;$F414,1,0),0)</f>
        <v>0</v>
      </c>
      <c r="X414" s="13" t="s">
        <v>76</v>
      </c>
    </row>
    <row r="415" customFormat="false" ht="15" hidden="false" customHeight="false" outlineLevel="0" collapsed="false">
      <c r="A415" s="10" t="s">
        <v>1702</v>
      </c>
      <c r="B415" s="10" t="s">
        <v>1703</v>
      </c>
      <c r="C415" s="10" t="s">
        <v>1704</v>
      </c>
      <c r="D415" s="12" t="n">
        <v>23</v>
      </c>
      <c r="E415" s="12"/>
      <c r="F415" s="12"/>
      <c r="G415" s="11" t="s">
        <v>1700</v>
      </c>
      <c r="H415" s="10" t="s">
        <v>1656</v>
      </c>
      <c r="I415" s="11" t="s">
        <v>1369</v>
      </c>
      <c r="J415" s="10" t="s">
        <v>664</v>
      </c>
      <c r="K415" s="10" t="s">
        <v>665</v>
      </c>
      <c r="L415" s="10" t="s">
        <v>68</v>
      </c>
      <c r="M415" s="10" t="s">
        <v>416</v>
      </c>
      <c r="N415" s="11" t="s">
        <v>1363</v>
      </c>
      <c r="O415" s="10"/>
      <c r="P415" s="10" t="s">
        <v>71</v>
      </c>
      <c r="Q415" s="11" t="s">
        <v>72</v>
      </c>
      <c r="R415" s="11" t="s">
        <v>1363</v>
      </c>
      <c r="S415" s="11" t="s">
        <v>74</v>
      </c>
      <c r="T415" s="11" t="s">
        <v>1705</v>
      </c>
      <c r="U415" s="10" t="n">
        <f aca="false">IF(AND($D415="",$E415="",$F415=""),1,0)</f>
        <v>0</v>
      </c>
      <c r="V415" s="10" t="n">
        <f aca="false">IF(OR($I415="",$I415="—"),1,0)</f>
        <v>0</v>
      </c>
      <c r="W415" s="10" t="n">
        <f aca="false">IF(AND(ISNUMBER($D415),ISNUMBER($E415)),IF($E415&gt;$D415,1,0),0)+IF(AND(ISNUMBER($D415),ISNUMBER($F415)),IF($D415&gt;$F415,1,0),0)+IF(AND(ISNUMBER($E415),ISNUMBER($F415)),IF($E415&gt;$F415,1,0),0)</f>
        <v>0</v>
      </c>
      <c r="X415" s="13" t="s">
        <v>76</v>
      </c>
    </row>
    <row r="416" customFormat="false" ht="15" hidden="false" customHeight="false" outlineLevel="0" collapsed="false">
      <c r="A416" s="10" t="s">
        <v>1706</v>
      </c>
      <c r="B416" s="10" t="s">
        <v>1707</v>
      </c>
      <c r="C416" s="11" t="s">
        <v>1708</v>
      </c>
      <c r="D416" s="12" t="n">
        <v>98</v>
      </c>
      <c r="E416" s="12"/>
      <c r="F416" s="12"/>
      <c r="G416" s="11" t="s">
        <v>1709</v>
      </c>
      <c r="H416" s="10" t="s">
        <v>1656</v>
      </c>
      <c r="I416" s="11" t="s">
        <v>1646</v>
      </c>
      <c r="J416" s="10" t="s">
        <v>664</v>
      </c>
      <c r="K416" s="10" t="s">
        <v>665</v>
      </c>
      <c r="L416" s="10" t="s">
        <v>68</v>
      </c>
      <c r="M416" s="10" t="s">
        <v>416</v>
      </c>
      <c r="N416" s="11" t="s">
        <v>1363</v>
      </c>
      <c r="O416" s="10"/>
      <c r="P416" s="10" t="s">
        <v>71</v>
      </c>
      <c r="Q416" s="11" t="s">
        <v>72</v>
      </c>
      <c r="R416" s="11" t="s">
        <v>1363</v>
      </c>
      <c r="S416" s="11" t="s">
        <v>74</v>
      </c>
      <c r="T416" s="11" t="s">
        <v>1710</v>
      </c>
      <c r="U416" s="10" t="n">
        <f aca="false">IF(AND($D416="",$E416="",$F416=""),1,0)</f>
        <v>0</v>
      </c>
      <c r="V416" s="10" t="n">
        <f aca="false">IF(OR($I416="",$I416="—"),1,0)</f>
        <v>0</v>
      </c>
      <c r="W416" s="10" t="n">
        <f aca="false">IF(AND(ISNUMBER($D416),ISNUMBER($E416)),IF($E416&gt;$D416,1,0),0)+IF(AND(ISNUMBER($D416),ISNUMBER($F416)),IF($D416&gt;$F416,1,0),0)+IF(AND(ISNUMBER($E416),ISNUMBER($F416)),IF($E416&gt;$F416,1,0),0)</f>
        <v>0</v>
      </c>
      <c r="X416" s="13" t="s">
        <v>76</v>
      </c>
    </row>
    <row r="417" customFormat="false" ht="15" hidden="false" customHeight="false" outlineLevel="0" collapsed="false">
      <c r="A417" s="10" t="s">
        <v>1711</v>
      </c>
      <c r="B417" s="10" t="s">
        <v>1712</v>
      </c>
      <c r="C417" s="11" t="s">
        <v>1713</v>
      </c>
      <c r="D417" s="12" t="n">
        <v>4.2</v>
      </c>
      <c r="E417" s="12"/>
      <c r="F417" s="12"/>
      <c r="G417" s="10" t="s">
        <v>1714</v>
      </c>
      <c r="H417" s="10" t="s">
        <v>1715</v>
      </c>
      <c r="I417" s="11" t="s">
        <v>1670</v>
      </c>
      <c r="J417" s="10" t="s">
        <v>415</v>
      </c>
      <c r="K417" s="10" t="s">
        <v>67</v>
      </c>
      <c r="L417" s="10" t="s">
        <v>68</v>
      </c>
      <c r="M417" s="10" t="s">
        <v>416</v>
      </c>
      <c r="N417" s="11" t="s">
        <v>1363</v>
      </c>
      <c r="O417" s="11" t="s">
        <v>441</v>
      </c>
      <c r="P417" s="10" t="s">
        <v>71</v>
      </c>
      <c r="Q417" s="11" t="s">
        <v>72</v>
      </c>
      <c r="R417" s="11" t="s">
        <v>1363</v>
      </c>
      <c r="S417" s="11" t="s">
        <v>74</v>
      </c>
      <c r="T417" s="11" t="s">
        <v>1716</v>
      </c>
      <c r="U417" s="10" t="n">
        <f aca="false">IF(AND($D417="",$E417="",$F417=""),1,0)</f>
        <v>0</v>
      </c>
      <c r="V417" s="10" t="n">
        <f aca="false">IF(OR($I417="",$I417="—"),1,0)</f>
        <v>0</v>
      </c>
      <c r="W417" s="10" t="n">
        <f aca="false">IF(AND(ISNUMBER($D417),ISNUMBER($E417)),IF($E417&gt;$D417,1,0),0)+IF(AND(ISNUMBER($D417),ISNUMBER($F417)),IF($D417&gt;$F417,1,0),0)+IF(AND(ISNUMBER($E417),ISNUMBER($F417)),IF($E417&gt;$F417,1,0),0)</f>
        <v>0</v>
      </c>
      <c r="X417" s="13" t="s">
        <v>76</v>
      </c>
    </row>
    <row r="418" customFormat="false" ht="15" hidden="false" customHeight="false" outlineLevel="0" collapsed="false">
      <c r="A418" s="10" t="s">
        <v>1717</v>
      </c>
      <c r="B418" s="10" t="s">
        <v>1718</v>
      </c>
      <c r="C418" s="11" t="s">
        <v>1719</v>
      </c>
      <c r="D418" s="12" t="n">
        <v>4.6</v>
      </c>
      <c r="E418" s="12"/>
      <c r="F418" s="12"/>
      <c r="G418" s="10" t="s">
        <v>1714</v>
      </c>
      <c r="H418" s="10" t="s">
        <v>92</v>
      </c>
      <c r="I418" s="11" t="s">
        <v>1720</v>
      </c>
      <c r="J418" s="10" t="s">
        <v>1721</v>
      </c>
      <c r="K418" s="10" t="s">
        <v>806</v>
      </c>
      <c r="L418" s="10" t="s">
        <v>68</v>
      </c>
      <c r="M418" s="10" t="s">
        <v>416</v>
      </c>
      <c r="N418" s="11" t="s">
        <v>1722</v>
      </c>
      <c r="O418" s="10"/>
      <c r="P418" s="10" t="s">
        <v>637</v>
      </c>
      <c r="Q418" s="11" t="s">
        <v>72</v>
      </c>
      <c r="R418" s="11" t="s">
        <v>1722</v>
      </c>
      <c r="S418" s="11" t="s">
        <v>710</v>
      </c>
      <c r="T418" s="11" t="s">
        <v>1723</v>
      </c>
      <c r="U418" s="10" t="n">
        <f aca="false">IF(AND($D418="",$E418="",$F418=""),1,0)</f>
        <v>0</v>
      </c>
      <c r="V418" s="10" t="n">
        <f aca="false">IF(OR($I418="",$I418="—"),1,0)</f>
        <v>0</v>
      </c>
      <c r="W418" s="10" t="n">
        <f aca="false">IF(AND(ISNUMBER($D418),ISNUMBER($E418)),IF($E418&gt;$D418,1,0),0)+IF(AND(ISNUMBER($D418),ISNUMBER($F418)),IF($D418&gt;$F418,1,0),0)+IF(AND(ISNUMBER($E418),ISNUMBER($F418)),IF($E418&gt;$F418,1,0),0)</f>
        <v>0</v>
      </c>
      <c r="X418" s="13" t="s">
        <v>76</v>
      </c>
    </row>
    <row r="419" customFormat="false" ht="15" hidden="false" customHeight="false" outlineLevel="0" collapsed="false">
      <c r="A419" s="10" t="s">
        <v>1724</v>
      </c>
      <c r="B419" s="10" t="s">
        <v>1725</v>
      </c>
      <c r="C419" s="11" t="s">
        <v>1726</v>
      </c>
      <c r="D419" s="12" t="n">
        <v>0.0005</v>
      </c>
      <c r="E419" s="12"/>
      <c r="F419" s="12"/>
      <c r="G419" s="10" t="s">
        <v>1714</v>
      </c>
      <c r="H419" s="10" t="s">
        <v>64</v>
      </c>
      <c r="I419" s="11" t="s">
        <v>1720</v>
      </c>
      <c r="J419" s="10" t="s">
        <v>1721</v>
      </c>
      <c r="K419" s="10" t="s">
        <v>806</v>
      </c>
      <c r="L419" s="10" t="s">
        <v>68</v>
      </c>
      <c r="M419" s="10" t="s">
        <v>416</v>
      </c>
      <c r="N419" s="11" t="s">
        <v>1727</v>
      </c>
      <c r="O419" s="10"/>
      <c r="P419" s="10" t="s">
        <v>637</v>
      </c>
      <c r="Q419" s="11" t="s">
        <v>72</v>
      </c>
      <c r="R419" s="11" t="s">
        <v>1727</v>
      </c>
      <c r="S419" s="11" t="s">
        <v>710</v>
      </c>
      <c r="T419" s="11" t="s">
        <v>1728</v>
      </c>
      <c r="U419" s="10" t="n">
        <f aca="false">IF(AND($D419="",$E419="",$F419=""),1,0)</f>
        <v>0</v>
      </c>
      <c r="V419" s="10" t="n">
        <f aca="false">IF(OR($I419="",$I419="—"),1,0)</f>
        <v>0</v>
      </c>
      <c r="W419" s="10" t="n">
        <f aca="false">IF(AND(ISNUMBER($D419),ISNUMBER($E419)),IF($E419&gt;$D419,1,0),0)+IF(AND(ISNUMBER($D419),ISNUMBER($F419)),IF($D419&gt;$F419,1,0),0)+IF(AND(ISNUMBER($E419),ISNUMBER($F419)),IF($E419&gt;$F419,1,0),0)</f>
        <v>0</v>
      </c>
      <c r="X419" s="13" t="s">
        <v>76</v>
      </c>
    </row>
    <row r="420" customFormat="false" ht="15" hidden="false" customHeight="false" outlineLevel="0" collapsed="false">
      <c r="A420" s="10" t="s">
        <v>1729</v>
      </c>
      <c r="B420" s="10" t="s">
        <v>1730</v>
      </c>
      <c r="C420" s="10" t="s">
        <v>1731</v>
      </c>
      <c r="D420" s="12" t="n">
        <v>62</v>
      </c>
      <c r="E420" s="12"/>
      <c r="F420" s="12"/>
      <c r="G420" s="10" t="s">
        <v>1732</v>
      </c>
      <c r="H420" s="10" t="s">
        <v>1733</v>
      </c>
      <c r="I420" s="11" t="s">
        <v>1734</v>
      </c>
      <c r="J420" s="10" t="s">
        <v>664</v>
      </c>
      <c r="K420" s="10" t="s">
        <v>665</v>
      </c>
      <c r="L420" s="10" t="s">
        <v>68</v>
      </c>
      <c r="M420" s="10" t="s">
        <v>416</v>
      </c>
      <c r="N420" s="11" t="s">
        <v>1363</v>
      </c>
      <c r="O420" s="10"/>
      <c r="P420" s="10" t="s">
        <v>71</v>
      </c>
      <c r="Q420" s="11" t="s">
        <v>72</v>
      </c>
      <c r="R420" s="11" t="s">
        <v>1363</v>
      </c>
      <c r="S420" s="11" t="s">
        <v>74</v>
      </c>
      <c r="T420" s="11" t="s">
        <v>1735</v>
      </c>
      <c r="U420" s="10" t="n">
        <f aca="false">IF(AND($D420="",$E420="",$F420=""),1,0)</f>
        <v>0</v>
      </c>
      <c r="V420" s="10" t="n">
        <f aca="false">IF(OR($I420="",$I420="—"),1,0)</f>
        <v>0</v>
      </c>
      <c r="W420" s="10" t="n">
        <f aca="false">IF(AND(ISNUMBER($D420),ISNUMBER($E420)),IF($E420&gt;$D420,1,0),0)+IF(AND(ISNUMBER($D420),ISNUMBER($F420)),IF($D420&gt;$F420,1,0),0)+IF(AND(ISNUMBER($E420),ISNUMBER($F420)),IF($E420&gt;$F420,1,0),0)</f>
        <v>0</v>
      </c>
      <c r="X420" s="13" t="s">
        <v>76</v>
      </c>
    </row>
    <row r="421" customFormat="false" ht="15" hidden="false" customHeight="false" outlineLevel="0" collapsed="false">
      <c r="A421" s="10" t="s">
        <v>1736</v>
      </c>
      <c r="B421" s="10" t="s">
        <v>1737</v>
      </c>
      <c r="C421" s="10" t="s">
        <v>1738</v>
      </c>
      <c r="D421" s="12" t="n">
        <v>16</v>
      </c>
      <c r="E421" s="12"/>
      <c r="F421" s="12"/>
      <c r="G421" s="10" t="s">
        <v>1739</v>
      </c>
      <c r="H421" s="10" t="s">
        <v>1740</v>
      </c>
      <c r="I421" s="11" t="s">
        <v>1741</v>
      </c>
      <c r="J421" s="10" t="s">
        <v>1742</v>
      </c>
      <c r="K421" s="10" t="s">
        <v>707</v>
      </c>
      <c r="L421" s="10" t="s">
        <v>68</v>
      </c>
      <c r="M421" s="10" t="s">
        <v>416</v>
      </c>
      <c r="N421" s="11" t="s">
        <v>1363</v>
      </c>
      <c r="O421" s="10"/>
      <c r="P421" s="10" t="s">
        <v>637</v>
      </c>
      <c r="Q421" s="11" t="s">
        <v>72</v>
      </c>
      <c r="R421" s="11" t="s">
        <v>1363</v>
      </c>
      <c r="S421" s="11" t="s">
        <v>710</v>
      </c>
      <c r="T421" s="11" t="s">
        <v>1743</v>
      </c>
      <c r="U421" s="10" t="n">
        <f aca="false">IF(AND($D421="",$E421="",$F421=""),1,0)</f>
        <v>0</v>
      </c>
      <c r="V421" s="10" t="n">
        <f aca="false">IF(OR($I421="",$I421="—"),1,0)</f>
        <v>0</v>
      </c>
      <c r="W421" s="10" t="n">
        <f aca="false">IF(AND(ISNUMBER($D421),ISNUMBER($E421)),IF($E421&gt;$D421,1,0),0)+IF(AND(ISNUMBER($D421),ISNUMBER($F421)),IF($D421&gt;$F421,1,0),0)+IF(AND(ISNUMBER($E421),ISNUMBER($F421)),IF($E421&gt;$F421,1,0),0)</f>
        <v>0</v>
      </c>
      <c r="X421" s="13" t="s">
        <v>76</v>
      </c>
    </row>
    <row r="422" customFormat="false" ht="15" hidden="false" customHeight="false" outlineLevel="0" collapsed="false">
      <c r="A422" s="10" t="s">
        <v>1744</v>
      </c>
      <c r="B422" s="10" t="s">
        <v>1745</v>
      </c>
      <c r="C422" s="10" t="s">
        <v>1746</v>
      </c>
      <c r="D422" s="12" t="n">
        <v>20</v>
      </c>
      <c r="E422" s="12"/>
      <c r="F422" s="12"/>
      <c r="G422" s="10" t="s">
        <v>1747</v>
      </c>
      <c r="H422" s="10" t="s">
        <v>1740</v>
      </c>
      <c r="I422" s="11" t="s">
        <v>1741</v>
      </c>
      <c r="J422" s="10" t="s">
        <v>1742</v>
      </c>
      <c r="K422" s="10" t="s">
        <v>707</v>
      </c>
      <c r="L422" s="10" t="s">
        <v>68</v>
      </c>
      <c r="M422" s="10" t="s">
        <v>416</v>
      </c>
      <c r="N422" s="11" t="s">
        <v>1363</v>
      </c>
      <c r="O422" s="10"/>
      <c r="P422" s="10" t="s">
        <v>637</v>
      </c>
      <c r="Q422" s="11" t="s">
        <v>72</v>
      </c>
      <c r="R422" s="11" t="s">
        <v>1363</v>
      </c>
      <c r="S422" s="11" t="s">
        <v>710</v>
      </c>
      <c r="T422" s="11" t="s">
        <v>1748</v>
      </c>
      <c r="U422" s="10" t="n">
        <f aca="false">IF(AND($D422="",$E422="",$F422=""),1,0)</f>
        <v>0</v>
      </c>
      <c r="V422" s="10" t="n">
        <f aca="false">IF(OR($I422="",$I422="—"),1,0)</f>
        <v>0</v>
      </c>
      <c r="W422" s="10" t="n">
        <f aca="false">IF(AND(ISNUMBER($D422),ISNUMBER($E422)),IF($E422&gt;$D422,1,0),0)+IF(AND(ISNUMBER($D422),ISNUMBER($F422)),IF($D422&gt;$F422,1,0),0)+IF(AND(ISNUMBER($E422),ISNUMBER($F422)),IF($E422&gt;$F422,1,0),0)</f>
        <v>0</v>
      </c>
      <c r="X422" s="13" t="s">
        <v>76</v>
      </c>
    </row>
    <row r="423" customFormat="false" ht="15" hidden="false" customHeight="false" outlineLevel="0" collapsed="false">
      <c r="A423" s="10" t="s">
        <v>1749</v>
      </c>
      <c r="B423" s="10" t="s">
        <v>1750</v>
      </c>
      <c r="C423" s="11" t="s">
        <v>1751</v>
      </c>
      <c r="D423" s="12" t="n">
        <v>18</v>
      </c>
      <c r="E423" s="12"/>
      <c r="F423" s="12"/>
      <c r="G423" s="10" t="s">
        <v>1739</v>
      </c>
      <c r="H423" s="10" t="s">
        <v>1752</v>
      </c>
      <c r="I423" s="11" t="s">
        <v>1753</v>
      </c>
      <c r="J423" s="10" t="s">
        <v>1754</v>
      </c>
      <c r="K423" s="10" t="s">
        <v>1752</v>
      </c>
      <c r="L423" s="10" t="s">
        <v>68</v>
      </c>
      <c r="M423" s="10" t="s">
        <v>416</v>
      </c>
      <c r="N423" s="11" t="s">
        <v>1363</v>
      </c>
      <c r="O423" s="10"/>
      <c r="P423" s="10" t="s">
        <v>637</v>
      </c>
      <c r="Q423" s="11" t="s">
        <v>72</v>
      </c>
      <c r="R423" s="11" t="s">
        <v>1363</v>
      </c>
      <c r="S423" s="11" t="s">
        <v>710</v>
      </c>
      <c r="T423" s="11" t="s">
        <v>1755</v>
      </c>
      <c r="U423" s="10" t="n">
        <f aca="false">IF(AND($D423="",$E423="",$F423=""),1,0)</f>
        <v>0</v>
      </c>
      <c r="V423" s="10" t="n">
        <f aca="false">IF(OR($I423="",$I423="—"),1,0)</f>
        <v>0</v>
      </c>
      <c r="W423" s="10" t="n">
        <f aca="false">IF(AND(ISNUMBER($D423),ISNUMBER($E423)),IF($E423&gt;$D423,1,0),0)+IF(AND(ISNUMBER($D423),ISNUMBER($F423)),IF($D423&gt;$F423,1,0),0)+IF(AND(ISNUMBER($E423),ISNUMBER($F423)),IF($E423&gt;$F423,1,0),0)</f>
        <v>0</v>
      </c>
      <c r="X423" s="13" t="s">
        <v>76</v>
      </c>
    </row>
    <row r="424" customFormat="false" ht="15" hidden="false" customHeight="false" outlineLevel="0" collapsed="false">
      <c r="A424" s="10" t="s">
        <v>1756</v>
      </c>
      <c r="B424" s="10" t="s">
        <v>1757</v>
      </c>
      <c r="C424" s="11" t="s">
        <v>1758</v>
      </c>
      <c r="D424" s="12" t="n">
        <v>30</v>
      </c>
      <c r="E424" s="12"/>
      <c r="F424" s="12"/>
      <c r="G424" s="10" t="s">
        <v>1739</v>
      </c>
      <c r="H424" s="10" t="s">
        <v>1759</v>
      </c>
      <c r="I424" s="11" t="s">
        <v>1753</v>
      </c>
      <c r="J424" s="10" t="s">
        <v>1754</v>
      </c>
      <c r="K424" s="10" t="s">
        <v>1752</v>
      </c>
      <c r="L424" s="10" t="s">
        <v>68</v>
      </c>
      <c r="M424" s="10" t="s">
        <v>416</v>
      </c>
      <c r="N424" s="11" t="s">
        <v>1363</v>
      </c>
      <c r="O424" s="10"/>
      <c r="P424" s="10" t="s">
        <v>637</v>
      </c>
      <c r="Q424" s="11" t="s">
        <v>72</v>
      </c>
      <c r="R424" s="11" t="s">
        <v>1363</v>
      </c>
      <c r="S424" s="11" t="s">
        <v>710</v>
      </c>
      <c r="T424" s="11" t="s">
        <v>1760</v>
      </c>
      <c r="U424" s="10" t="n">
        <f aca="false">IF(AND($D424="",$E424="",$F424=""),1,0)</f>
        <v>0</v>
      </c>
      <c r="V424" s="10" t="n">
        <f aca="false">IF(OR($I424="",$I424="—"),1,0)</f>
        <v>0</v>
      </c>
      <c r="W424" s="10" t="n">
        <f aca="false">IF(AND(ISNUMBER($D424),ISNUMBER($E424)),IF($E424&gt;$D424,1,0),0)+IF(AND(ISNUMBER($D424),ISNUMBER($F424)),IF($D424&gt;$F424,1,0),0)+IF(AND(ISNUMBER($E424),ISNUMBER($F424)),IF($E424&gt;$F424,1,0),0)</f>
        <v>0</v>
      </c>
      <c r="X424" s="13" t="s">
        <v>76</v>
      </c>
    </row>
    <row r="425" customFormat="false" ht="15" hidden="false" customHeight="false" outlineLevel="0" collapsed="false">
      <c r="A425" s="10" t="s">
        <v>1761</v>
      </c>
      <c r="B425" s="10" t="s">
        <v>1762</v>
      </c>
      <c r="C425" s="10" t="s">
        <v>1763</v>
      </c>
      <c r="D425" s="12" t="n">
        <v>10</v>
      </c>
      <c r="E425" s="12"/>
      <c r="F425" s="12"/>
      <c r="G425" s="11" t="s">
        <v>1709</v>
      </c>
      <c r="H425" s="10" t="s">
        <v>1764</v>
      </c>
      <c r="I425" s="11" t="s">
        <v>1753</v>
      </c>
      <c r="J425" s="10" t="s">
        <v>1754</v>
      </c>
      <c r="K425" s="10" t="s">
        <v>1752</v>
      </c>
      <c r="L425" s="10" t="s">
        <v>68</v>
      </c>
      <c r="M425" s="10" t="s">
        <v>416</v>
      </c>
      <c r="N425" s="11" t="s">
        <v>1363</v>
      </c>
      <c r="O425" s="10"/>
      <c r="P425" s="10" t="s">
        <v>637</v>
      </c>
      <c r="Q425" s="11" t="s">
        <v>72</v>
      </c>
      <c r="R425" s="11" t="s">
        <v>1363</v>
      </c>
      <c r="S425" s="11" t="s">
        <v>710</v>
      </c>
      <c r="T425" s="11" t="s">
        <v>1765</v>
      </c>
      <c r="U425" s="10" t="n">
        <f aca="false">IF(AND($D425="",$E425="",$F425=""),1,0)</f>
        <v>0</v>
      </c>
      <c r="V425" s="10" t="n">
        <f aca="false">IF(OR($I425="",$I425="—"),1,0)</f>
        <v>0</v>
      </c>
      <c r="W425" s="10" t="n">
        <f aca="false">IF(AND(ISNUMBER($D425),ISNUMBER($E425)),IF($E425&gt;$D425,1,0),0)+IF(AND(ISNUMBER($D425),ISNUMBER($F425)),IF($D425&gt;$F425,1,0),0)+IF(AND(ISNUMBER($E425),ISNUMBER($F425)),IF($E425&gt;$F425,1,0),0)</f>
        <v>0</v>
      </c>
      <c r="X425" s="13" t="s">
        <v>76</v>
      </c>
    </row>
    <row r="426" customFormat="false" ht="15" hidden="false" customHeight="false" outlineLevel="0" collapsed="false">
      <c r="A426" s="10" t="s">
        <v>1766</v>
      </c>
      <c r="B426" s="10" t="s">
        <v>1767</v>
      </c>
      <c r="C426" s="10" t="s">
        <v>1768</v>
      </c>
      <c r="D426" s="12"/>
      <c r="E426" s="12"/>
      <c r="F426" s="12"/>
      <c r="G426" s="11" t="s">
        <v>1769</v>
      </c>
      <c r="H426" s="10" t="s">
        <v>1770</v>
      </c>
      <c r="I426" s="10" t="s">
        <v>1771</v>
      </c>
      <c r="J426" s="10" t="s">
        <v>1569</v>
      </c>
      <c r="K426" s="10" t="s">
        <v>68</v>
      </c>
      <c r="L426" s="10" t="s">
        <v>68</v>
      </c>
      <c r="M426" s="10" t="s">
        <v>416</v>
      </c>
      <c r="N426" s="11" t="s">
        <v>1772</v>
      </c>
      <c r="O426" s="10"/>
      <c r="P426" s="10" t="s">
        <v>637</v>
      </c>
      <c r="Q426" s="11" t="s">
        <v>72</v>
      </c>
      <c r="R426" s="11" t="s">
        <v>1772</v>
      </c>
      <c r="S426" s="11" t="s">
        <v>710</v>
      </c>
      <c r="T426" s="11" t="s">
        <v>1773</v>
      </c>
      <c r="U426" s="10" t="n">
        <f aca="false">IF(AND($D426="",$E426="",$F426=""),1,0)</f>
        <v>1</v>
      </c>
      <c r="V426" s="10" t="n">
        <f aca="false">IF(OR($I426="",$I426="—"),1,0)</f>
        <v>0</v>
      </c>
      <c r="W426" s="10" t="n">
        <f aca="false">IF(AND(ISNUMBER($D426),ISNUMBER($E426)),IF($E426&gt;$D426,1,0),0)+IF(AND(ISNUMBER($D426),ISNUMBER($F426)),IF($D426&gt;$F426,1,0),0)+IF(AND(ISNUMBER($E426),ISNUMBER($F426)),IF($E426&gt;$F426,1,0),0)</f>
        <v>0</v>
      </c>
      <c r="X426" s="13" t="s">
        <v>76</v>
      </c>
    </row>
    <row r="427" customFormat="false" ht="15" hidden="false" customHeight="false" outlineLevel="0" collapsed="false">
      <c r="A427" s="10" t="s">
        <v>1774</v>
      </c>
      <c r="B427" s="10" t="s">
        <v>1775</v>
      </c>
      <c r="C427" s="11" t="s">
        <v>1776</v>
      </c>
      <c r="D427" s="12" t="n">
        <v>55.4</v>
      </c>
      <c r="E427" s="12"/>
      <c r="F427" s="12"/>
      <c r="G427" s="10" t="s">
        <v>401</v>
      </c>
      <c r="H427" s="10" t="s">
        <v>64</v>
      </c>
      <c r="I427" s="11" t="s">
        <v>1670</v>
      </c>
      <c r="J427" s="10" t="s">
        <v>415</v>
      </c>
      <c r="K427" s="10" t="s">
        <v>67</v>
      </c>
      <c r="L427" s="10" t="s">
        <v>68</v>
      </c>
      <c r="M427" s="10" t="s">
        <v>69</v>
      </c>
      <c r="N427" s="10"/>
      <c r="O427" s="11" t="s">
        <v>1777</v>
      </c>
      <c r="P427" s="10" t="s">
        <v>71</v>
      </c>
      <c r="Q427" s="11" t="s">
        <v>72</v>
      </c>
      <c r="R427" s="11" t="s">
        <v>73</v>
      </c>
      <c r="S427" s="11" t="s">
        <v>74</v>
      </c>
      <c r="T427" s="11" t="s">
        <v>1778</v>
      </c>
      <c r="U427" s="10" t="n">
        <f aca="false">IF(AND($D427="",$E427="",$F427=""),1,0)</f>
        <v>0</v>
      </c>
      <c r="V427" s="10" t="n">
        <f aca="false">IF(OR($I427="",$I427="—"),1,0)</f>
        <v>0</v>
      </c>
      <c r="W427" s="10" t="n">
        <f aca="false">IF(AND(ISNUMBER($D427),ISNUMBER($E427)),IF($E427&gt;$D427,1,0),0)+IF(AND(ISNUMBER($D427),ISNUMBER($F427)),IF($D427&gt;$F427,1,0),0)+IF(AND(ISNUMBER($E427),ISNUMBER($F427)),IF($E427&gt;$F427,1,0),0)</f>
        <v>0</v>
      </c>
      <c r="X427" s="13" t="s">
        <v>76</v>
      </c>
    </row>
    <row r="428" customFormat="false" ht="15" hidden="false" customHeight="false" outlineLevel="0" collapsed="false">
      <c r="A428" s="10" t="s">
        <v>1779</v>
      </c>
      <c r="B428" s="10" t="s">
        <v>1780</v>
      </c>
      <c r="C428" s="11" t="s">
        <v>1781</v>
      </c>
      <c r="D428" s="12" t="n">
        <v>15.4</v>
      </c>
      <c r="E428" s="12"/>
      <c r="F428" s="12"/>
      <c r="G428" s="10" t="s">
        <v>401</v>
      </c>
      <c r="H428" s="10" t="s">
        <v>64</v>
      </c>
      <c r="I428" s="11" t="s">
        <v>1670</v>
      </c>
      <c r="J428" s="10" t="s">
        <v>415</v>
      </c>
      <c r="K428" s="10" t="s">
        <v>67</v>
      </c>
      <c r="L428" s="10" t="s">
        <v>68</v>
      </c>
      <c r="M428" s="10" t="s">
        <v>69</v>
      </c>
      <c r="N428" s="10"/>
      <c r="O428" s="11" t="s">
        <v>1777</v>
      </c>
      <c r="P428" s="10" t="s">
        <v>71</v>
      </c>
      <c r="Q428" s="11" t="s">
        <v>72</v>
      </c>
      <c r="R428" s="11" t="s">
        <v>73</v>
      </c>
      <c r="S428" s="11" t="s">
        <v>74</v>
      </c>
      <c r="T428" s="11" t="s">
        <v>1095</v>
      </c>
      <c r="U428" s="10" t="n">
        <f aca="false">IF(AND($D428="",$E428="",$F428=""),1,0)</f>
        <v>0</v>
      </c>
      <c r="V428" s="10" t="n">
        <f aca="false">IF(OR($I428="",$I428="—"),1,0)</f>
        <v>0</v>
      </c>
      <c r="W428" s="10" t="n">
        <f aca="false">IF(AND(ISNUMBER($D428),ISNUMBER($E428)),IF($E428&gt;$D428,1,0),0)+IF(AND(ISNUMBER($D428),ISNUMBER($F428)),IF($D428&gt;$F428,1,0),0)+IF(AND(ISNUMBER($E428),ISNUMBER($F428)),IF($E428&gt;$F428,1,0),0)</f>
        <v>0</v>
      </c>
      <c r="X428" s="13" t="s">
        <v>76</v>
      </c>
    </row>
    <row r="429" customFormat="false" ht="15" hidden="false" customHeight="false" outlineLevel="0" collapsed="false">
      <c r="A429" s="10" t="s">
        <v>1782</v>
      </c>
      <c r="B429" s="10" t="s">
        <v>1783</v>
      </c>
      <c r="C429" s="11" t="s">
        <v>1776</v>
      </c>
      <c r="D429" s="12" t="n">
        <v>61.5</v>
      </c>
      <c r="E429" s="12"/>
      <c r="F429" s="12"/>
      <c r="G429" s="10" t="s">
        <v>401</v>
      </c>
      <c r="H429" s="10" t="s">
        <v>79</v>
      </c>
      <c r="I429" s="11" t="s">
        <v>1670</v>
      </c>
      <c r="J429" s="10" t="s">
        <v>415</v>
      </c>
      <c r="K429" s="10" t="s">
        <v>67</v>
      </c>
      <c r="L429" s="10" t="s">
        <v>68</v>
      </c>
      <c r="M429" s="10" t="s">
        <v>69</v>
      </c>
      <c r="N429" s="10"/>
      <c r="O429" s="11" t="s">
        <v>1777</v>
      </c>
      <c r="P429" s="10" t="s">
        <v>71</v>
      </c>
      <c r="Q429" s="11" t="s">
        <v>72</v>
      </c>
      <c r="R429" s="11" t="s">
        <v>73</v>
      </c>
      <c r="S429" s="11" t="s">
        <v>74</v>
      </c>
      <c r="T429" s="11" t="s">
        <v>1784</v>
      </c>
      <c r="U429" s="10" t="n">
        <f aca="false">IF(AND($D429="",$E429="",$F429=""),1,0)</f>
        <v>0</v>
      </c>
      <c r="V429" s="10" t="n">
        <f aca="false">IF(OR($I429="",$I429="—"),1,0)</f>
        <v>0</v>
      </c>
      <c r="W429" s="10" t="n">
        <f aca="false">IF(AND(ISNUMBER($D429),ISNUMBER($E429)),IF($E429&gt;$D429,1,0),0)+IF(AND(ISNUMBER($D429),ISNUMBER($F429)),IF($D429&gt;$F429,1,0),0)+IF(AND(ISNUMBER($E429),ISNUMBER($F429)),IF($E429&gt;$F429,1,0),0)</f>
        <v>0</v>
      </c>
      <c r="X429" s="13" t="s">
        <v>76</v>
      </c>
    </row>
    <row r="430" customFormat="false" ht="15" hidden="false" customHeight="false" outlineLevel="0" collapsed="false">
      <c r="A430" s="10" t="s">
        <v>1785</v>
      </c>
      <c r="B430" s="10" t="s">
        <v>1786</v>
      </c>
      <c r="C430" s="11" t="s">
        <v>1781</v>
      </c>
      <c r="D430" s="12" t="n">
        <v>14.7</v>
      </c>
      <c r="E430" s="12"/>
      <c r="F430" s="12"/>
      <c r="G430" s="10" t="s">
        <v>401</v>
      </c>
      <c r="H430" s="10" t="s">
        <v>79</v>
      </c>
      <c r="I430" s="11" t="s">
        <v>1670</v>
      </c>
      <c r="J430" s="10" t="s">
        <v>415</v>
      </c>
      <c r="K430" s="10" t="s">
        <v>67</v>
      </c>
      <c r="L430" s="10" t="s">
        <v>68</v>
      </c>
      <c r="M430" s="10" t="s">
        <v>69</v>
      </c>
      <c r="N430" s="10"/>
      <c r="O430" s="11" t="s">
        <v>1777</v>
      </c>
      <c r="P430" s="10" t="s">
        <v>71</v>
      </c>
      <c r="Q430" s="11" t="s">
        <v>72</v>
      </c>
      <c r="R430" s="11" t="s">
        <v>73</v>
      </c>
      <c r="S430" s="11" t="s">
        <v>74</v>
      </c>
      <c r="T430" s="11" t="s">
        <v>1095</v>
      </c>
      <c r="U430" s="10" t="n">
        <f aca="false">IF(AND($D430="",$E430="",$F430=""),1,0)</f>
        <v>0</v>
      </c>
      <c r="V430" s="10" t="n">
        <f aca="false">IF(OR($I430="",$I430="—"),1,0)</f>
        <v>0</v>
      </c>
      <c r="W430" s="10" t="n">
        <f aca="false">IF(AND(ISNUMBER($D430),ISNUMBER($E430)),IF($E430&gt;$D430,1,0),0)+IF(AND(ISNUMBER($D430),ISNUMBER($F430)),IF($D430&gt;$F430,1,0),0)+IF(AND(ISNUMBER($E430),ISNUMBER($F430)),IF($E430&gt;$F430,1,0),0)</f>
        <v>0</v>
      </c>
      <c r="X430" s="13" t="s">
        <v>76</v>
      </c>
    </row>
    <row r="431" customFormat="false" ht="15" hidden="false" customHeight="false" outlineLevel="0" collapsed="false">
      <c r="A431" s="10" t="s">
        <v>1787</v>
      </c>
      <c r="B431" s="10" t="s">
        <v>1788</v>
      </c>
      <c r="C431" s="11" t="s">
        <v>1776</v>
      </c>
      <c r="D431" s="12" t="n">
        <v>45.5</v>
      </c>
      <c r="E431" s="12"/>
      <c r="F431" s="12"/>
      <c r="G431" s="10" t="s">
        <v>401</v>
      </c>
      <c r="H431" s="10" t="s">
        <v>83</v>
      </c>
      <c r="I431" s="11" t="s">
        <v>1670</v>
      </c>
      <c r="J431" s="10" t="s">
        <v>415</v>
      </c>
      <c r="K431" s="10" t="s">
        <v>67</v>
      </c>
      <c r="L431" s="10" t="s">
        <v>68</v>
      </c>
      <c r="M431" s="10" t="s">
        <v>69</v>
      </c>
      <c r="N431" s="10"/>
      <c r="O431" s="11" t="s">
        <v>1777</v>
      </c>
      <c r="P431" s="10" t="s">
        <v>71</v>
      </c>
      <c r="Q431" s="11" t="s">
        <v>72</v>
      </c>
      <c r="R431" s="11" t="s">
        <v>73</v>
      </c>
      <c r="S431" s="11" t="s">
        <v>74</v>
      </c>
      <c r="T431" s="11" t="s">
        <v>1789</v>
      </c>
      <c r="U431" s="10" t="n">
        <f aca="false">IF(AND($D431="",$E431="",$F431=""),1,0)</f>
        <v>0</v>
      </c>
      <c r="V431" s="10" t="n">
        <f aca="false">IF(OR($I431="",$I431="—"),1,0)</f>
        <v>0</v>
      </c>
      <c r="W431" s="10" t="n">
        <f aca="false">IF(AND(ISNUMBER($D431),ISNUMBER($E431)),IF($E431&gt;$D431,1,0),0)+IF(AND(ISNUMBER($D431),ISNUMBER($F431)),IF($D431&gt;$F431,1,0),0)+IF(AND(ISNUMBER($E431),ISNUMBER($F431)),IF($E431&gt;$F431,1,0),0)</f>
        <v>0</v>
      </c>
      <c r="X431" s="13" t="s">
        <v>76</v>
      </c>
    </row>
    <row r="432" customFormat="false" ht="15" hidden="false" customHeight="false" outlineLevel="0" collapsed="false">
      <c r="A432" s="10" t="s">
        <v>1790</v>
      </c>
      <c r="B432" s="10" t="s">
        <v>1791</v>
      </c>
      <c r="C432" s="11" t="s">
        <v>1781</v>
      </c>
      <c r="D432" s="12" t="n">
        <v>19</v>
      </c>
      <c r="E432" s="12"/>
      <c r="F432" s="12"/>
      <c r="G432" s="10" t="s">
        <v>401</v>
      </c>
      <c r="H432" s="10" t="s">
        <v>83</v>
      </c>
      <c r="I432" s="11" t="s">
        <v>1670</v>
      </c>
      <c r="J432" s="10" t="s">
        <v>415</v>
      </c>
      <c r="K432" s="10" t="s">
        <v>67</v>
      </c>
      <c r="L432" s="10" t="s">
        <v>68</v>
      </c>
      <c r="M432" s="10" t="s">
        <v>69</v>
      </c>
      <c r="N432" s="10"/>
      <c r="O432" s="11" t="s">
        <v>1777</v>
      </c>
      <c r="P432" s="10" t="s">
        <v>71</v>
      </c>
      <c r="Q432" s="11" t="s">
        <v>72</v>
      </c>
      <c r="R432" s="11" t="s">
        <v>73</v>
      </c>
      <c r="S432" s="11" t="s">
        <v>74</v>
      </c>
      <c r="T432" s="11" t="s">
        <v>1095</v>
      </c>
      <c r="U432" s="10" t="n">
        <f aca="false">IF(AND($D432="",$E432="",$F432=""),1,0)</f>
        <v>0</v>
      </c>
      <c r="V432" s="10" t="n">
        <f aca="false">IF(OR($I432="",$I432="—"),1,0)</f>
        <v>0</v>
      </c>
      <c r="W432" s="10" t="n">
        <f aca="false">IF(AND(ISNUMBER($D432),ISNUMBER($E432)),IF($E432&gt;$D432,1,0),0)+IF(AND(ISNUMBER($D432),ISNUMBER($F432)),IF($D432&gt;$F432,1,0),0)+IF(AND(ISNUMBER($E432),ISNUMBER($F432)),IF($E432&gt;$F432,1,0),0)</f>
        <v>0</v>
      </c>
      <c r="X432" s="13" t="s">
        <v>76</v>
      </c>
    </row>
    <row r="433" customFormat="false" ht="15" hidden="false" customHeight="false" outlineLevel="0" collapsed="false">
      <c r="A433" s="10" t="s">
        <v>1792</v>
      </c>
      <c r="B433" s="10" t="s">
        <v>1793</v>
      </c>
      <c r="C433" s="11" t="s">
        <v>1776</v>
      </c>
      <c r="D433" s="12" t="n">
        <v>40</v>
      </c>
      <c r="E433" s="12"/>
      <c r="F433" s="12"/>
      <c r="G433" s="10" t="s">
        <v>401</v>
      </c>
      <c r="H433" s="10" t="s">
        <v>92</v>
      </c>
      <c r="I433" s="11" t="s">
        <v>1670</v>
      </c>
      <c r="J433" s="10" t="s">
        <v>415</v>
      </c>
      <c r="K433" s="10" t="s">
        <v>67</v>
      </c>
      <c r="L433" s="10" t="s">
        <v>68</v>
      </c>
      <c r="M433" s="10" t="s">
        <v>69</v>
      </c>
      <c r="N433" s="10"/>
      <c r="O433" s="11" t="s">
        <v>1777</v>
      </c>
      <c r="P433" s="10" t="s">
        <v>71</v>
      </c>
      <c r="Q433" s="11" t="s">
        <v>72</v>
      </c>
      <c r="R433" s="11" t="s">
        <v>73</v>
      </c>
      <c r="S433" s="11" t="s">
        <v>74</v>
      </c>
      <c r="T433" s="11" t="s">
        <v>1794</v>
      </c>
      <c r="U433" s="10" t="n">
        <f aca="false">IF(AND($D433="",$E433="",$F433=""),1,0)</f>
        <v>0</v>
      </c>
      <c r="V433" s="10" t="n">
        <f aca="false">IF(OR($I433="",$I433="—"),1,0)</f>
        <v>0</v>
      </c>
      <c r="W433" s="10" t="n">
        <f aca="false">IF(AND(ISNUMBER($D433),ISNUMBER($E433)),IF($E433&gt;$D433,1,0),0)+IF(AND(ISNUMBER($D433),ISNUMBER($F433)),IF($D433&gt;$F433,1,0),0)+IF(AND(ISNUMBER($E433),ISNUMBER($F433)),IF($E433&gt;$F433,1,0),0)</f>
        <v>0</v>
      </c>
      <c r="X433" s="13" t="s">
        <v>76</v>
      </c>
    </row>
    <row r="434" customFormat="false" ht="15" hidden="false" customHeight="false" outlineLevel="0" collapsed="false">
      <c r="A434" s="10" t="s">
        <v>1795</v>
      </c>
      <c r="B434" s="10" t="s">
        <v>1796</v>
      </c>
      <c r="C434" s="11" t="s">
        <v>1781</v>
      </c>
      <c r="D434" s="12" t="n">
        <v>11</v>
      </c>
      <c r="E434" s="12"/>
      <c r="F434" s="12"/>
      <c r="G434" s="10" t="s">
        <v>401</v>
      </c>
      <c r="H434" s="10" t="s">
        <v>92</v>
      </c>
      <c r="I434" s="11" t="s">
        <v>1670</v>
      </c>
      <c r="J434" s="10" t="s">
        <v>415</v>
      </c>
      <c r="K434" s="10" t="s">
        <v>67</v>
      </c>
      <c r="L434" s="10" t="s">
        <v>68</v>
      </c>
      <c r="M434" s="10" t="s">
        <v>69</v>
      </c>
      <c r="N434" s="10"/>
      <c r="O434" s="11" t="s">
        <v>1777</v>
      </c>
      <c r="P434" s="10" t="s">
        <v>71</v>
      </c>
      <c r="Q434" s="11" t="s">
        <v>72</v>
      </c>
      <c r="R434" s="11" t="s">
        <v>73</v>
      </c>
      <c r="S434" s="11" t="s">
        <v>74</v>
      </c>
      <c r="T434" s="11" t="s">
        <v>1095</v>
      </c>
      <c r="U434" s="10" t="n">
        <f aca="false">IF(AND($D434="",$E434="",$F434=""),1,0)</f>
        <v>0</v>
      </c>
      <c r="V434" s="10" t="n">
        <f aca="false">IF(OR($I434="",$I434="—"),1,0)</f>
        <v>0</v>
      </c>
      <c r="W434" s="10" t="n">
        <f aca="false">IF(AND(ISNUMBER($D434),ISNUMBER($E434)),IF($E434&gt;$D434,1,0),0)+IF(AND(ISNUMBER($D434),ISNUMBER($F434)),IF($D434&gt;$F434,1,0),0)+IF(AND(ISNUMBER($E434),ISNUMBER($F434)),IF($E434&gt;$F434,1,0),0)</f>
        <v>0</v>
      </c>
      <c r="X434" s="13" t="s">
        <v>76</v>
      </c>
    </row>
    <row r="435" customFormat="false" ht="15" hidden="false" customHeight="false" outlineLevel="0" collapsed="false">
      <c r="A435" s="10" t="s">
        <v>1797</v>
      </c>
      <c r="B435" s="10" t="s">
        <v>1798</v>
      </c>
      <c r="C435" s="11" t="s">
        <v>1799</v>
      </c>
      <c r="D435" s="12" t="n">
        <v>1.42</v>
      </c>
      <c r="E435" s="12"/>
      <c r="F435" s="12"/>
      <c r="G435" s="10" t="s">
        <v>63</v>
      </c>
      <c r="H435" s="10" t="s">
        <v>83</v>
      </c>
      <c r="I435" s="11" t="s">
        <v>1800</v>
      </c>
      <c r="J435" s="10" t="s">
        <v>905</v>
      </c>
      <c r="K435" s="10" t="s">
        <v>906</v>
      </c>
      <c r="L435" s="10" t="s">
        <v>68</v>
      </c>
      <c r="M435" s="10" t="s">
        <v>69</v>
      </c>
      <c r="N435" s="10"/>
      <c r="O435" s="10"/>
      <c r="P435" s="10" t="s">
        <v>637</v>
      </c>
      <c r="Q435" s="11" t="s">
        <v>72</v>
      </c>
      <c r="R435" s="11" t="s">
        <v>1090</v>
      </c>
      <c r="S435" s="11" t="s">
        <v>710</v>
      </c>
      <c r="T435" s="11" t="s">
        <v>1801</v>
      </c>
      <c r="U435" s="10" t="n">
        <f aca="false">IF(AND($D435="",$E435="",$F435=""),1,0)</f>
        <v>0</v>
      </c>
      <c r="V435" s="10" t="n">
        <f aca="false">IF(OR($I435="",$I435="—"),1,0)</f>
        <v>0</v>
      </c>
      <c r="W435" s="10" t="n">
        <f aca="false">IF(AND(ISNUMBER($D435),ISNUMBER($E435)),IF($E435&gt;$D435,1,0),0)+IF(AND(ISNUMBER($D435),ISNUMBER($F435)),IF($D435&gt;$F435,1,0),0)+IF(AND(ISNUMBER($E435),ISNUMBER($F435)),IF($E435&gt;$F435,1,0),0)</f>
        <v>0</v>
      </c>
      <c r="X435" s="13" t="s">
        <v>76</v>
      </c>
    </row>
    <row r="436" customFormat="false" ht="15" hidden="false" customHeight="false" outlineLevel="0" collapsed="false">
      <c r="A436" s="10" t="s">
        <v>1802</v>
      </c>
      <c r="B436" s="10" t="s">
        <v>1803</v>
      </c>
      <c r="C436" s="10" t="s">
        <v>1804</v>
      </c>
      <c r="D436" s="12" t="n">
        <v>0</v>
      </c>
      <c r="E436" s="12"/>
      <c r="F436" s="12"/>
      <c r="G436" s="11" t="s">
        <v>1669</v>
      </c>
      <c r="H436" s="10" t="s">
        <v>446</v>
      </c>
      <c r="I436" s="11" t="s">
        <v>1805</v>
      </c>
      <c r="J436" s="10" t="s">
        <v>448</v>
      </c>
      <c r="K436" s="10" t="s">
        <v>449</v>
      </c>
      <c r="L436" s="10" t="s">
        <v>68</v>
      </c>
      <c r="M436" s="10" t="s">
        <v>69</v>
      </c>
      <c r="N436" s="10"/>
      <c r="O436" s="11" t="s">
        <v>1806</v>
      </c>
      <c r="P436" s="10" t="s">
        <v>71</v>
      </c>
      <c r="Q436" s="11" t="s">
        <v>72</v>
      </c>
      <c r="R436" s="11" t="s">
        <v>73</v>
      </c>
      <c r="S436" s="11" t="s">
        <v>74</v>
      </c>
      <c r="T436" s="11" t="s">
        <v>1807</v>
      </c>
      <c r="U436" s="10" t="n">
        <f aca="false">IF(AND($D436="",$E436="",$F436=""),1,0)</f>
        <v>0</v>
      </c>
      <c r="V436" s="10" t="n">
        <f aca="false">IF(OR($I436="",$I436="—"),1,0)</f>
        <v>0</v>
      </c>
      <c r="W436" s="10" t="n">
        <f aca="false">IF(AND(ISNUMBER($D436),ISNUMBER($E436)),IF($E436&gt;$D436,1,0),0)+IF(AND(ISNUMBER($D436),ISNUMBER($F436)),IF($D436&gt;$F436,1,0),0)+IF(AND(ISNUMBER($E436),ISNUMBER($F436)),IF($E436&gt;$F436,1,0),0)</f>
        <v>0</v>
      </c>
      <c r="X436" s="13" t="s">
        <v>76</v>
      </c>
    </row>
    <row r="437" customFormat="false" ht="15" hidden="false" customHeight="false" outlineLevel="0" collapsed="false">
      <c r="A437" s="10" t="s">
        <v>1808</v>
      </c>
      <c r="B437" s="10" t="s">
        <v>1809</v>
      </c>
      <c r="C437" s="11" t="s">
        <v>1810</v>
      </c>
      <c r="D437" s="12" t="n">
        <v>2.42</v>
      </c>
      <c r="E437" s="12"/>
      <c r="F437" s="12"/>
      <c r="G437" s="10" t="s">
        <v>1811</v>
      </c>
      <c r="H437" s="10" t="s">
        <v>1812</v>
      </c>
      <c r="I437" s="11" t="s">
        <v>1720</v>
      </c>
      <c r="J437" s="10" t="s">
        <v>1721</v>
      </c>
      <c r="K437" s="10" t="s">
        <v>806</v>
      </c>
      <c r="L437" s="10" t="s">
        <v>68</v>
      </c>
      <c r="M437" s="10" t="s">
        <v>416</v>
      </c>
      <c r="N437" s="11" t="s">
        <v>709</v>
      </c>
      <c r="O437" s="10"/>
      <c r="P437" s="10" t="s">
        <v>637</v>
      </c>
      <c r="Q437" s="11" t="s">
        <v>72</v>
      </c>
      <c r="R437" s="11" t="s">
        <v>709</v>
      </c>
      <c r="S437" s="11" t="s">
        <v>710</v>
      </c>
      <c r="T437" s="11" t="s">
        <v>1813</v>
      </c>
      <c r="U437" s="10" t="n">
        <f aca="false">IF(AND($D437="",$E437="",$F437=""),1,0)</f>
        <v>0</v>
      </c>
      <c r="V437" s="10" t="n">
        <f aca="false">IF(OR($I437="",$I437="—"),1,0)</f>
        <v>0</v>
      </c>
      <c r="W437" s="10" t="n">
        <f aca="false">IF(AND(ISNUMBER($D437),ISNUMBER($E437)),IF($E437&gt;$D437,1,0),0)+IF(AND(ISNUMBER($D437),ISNUMBER($F437)),IF($D437&gt;$F437,1,0),0)+IF(AND(ISNUMBER($E437),ISNUMBER($F437)),IF($E437&gt;$F437,1,0),0)</f>
        <v>0</v>
      </c>
      <c r="X437" s="13" t="s">
        <v>76</v>
      </c>
    </row>
    <row r="438" customFormat="false" ht="15" hidden="false" customHeight="false" outlineLevel="0" collapsed="false">
      <c r="A438" s="10" t="s">
        <v>1814</v>
      </c>
      <c r="B438" s="10" t="s">
        <v>1815</v>
      </c>
      <c r="C438" s="11" t="s">
        <v>1816</v>
      </c>
      <c r="D438" s="12"/>
      <c r="E438" s="12"/>
      <c r="F438" s="12"/>
      <c r="G438" s="11" t="s">
        <v>1817</v>
      </c>
      <c r="H438" s="10" t="s">
        <v>1818</v>
      </c>
      <c r="I438" s="11" t="s">
        <v>1819</v>
      </c>
      <c r="J438" s="10" t="s">
        <v>1820</v>
      </c>
      <c r="K438" s="10" t="s">
        <v>1821</v>
      </c>
      <c r="L438" s="10" t="s">
        <v>68</v>
      </c>
      <c r="M438" s="10" t="s">
        <v>1308</v>
      </c>
      <c r="N438" s="10"/>
      <c r="O438" s="10"/>
      <c r="P438" s="10" t="s">
        <v>637</v>
      </c>
      <c r="Q438" s="11" t="s">
        <v>1309</v>
      </c>
      <c r="R438" s="11" t="s">
        <v>1310</v>
      </c>
      <c r="S438" s="11" t="s">
        <v>710</v>
      </c>
      <c r="T438" s="11" t="s">
        <v>1822</v>
      </c>
      <c r="U438" s="10" t="n">
        <f aca="false">IF(AND($D438="",$E438="",$F438=""),1,0)</f>
        <v>1</v>
      </c>
      <c r="V438" s="10" t="n">
        <f aca="false">IF(OR($I438="",$I438="—"),1,0)</f>
        <v>0</v>
      </c>
      <c r="W438" s="10" t="n">
        <f aca="false">IF(AND(ISNUMBER($D438),ISNUMBER($E438)),IF($E438&gt;$D438,1,0),0)+IF(AND(ISNUMBER($D438),ISNUMBER($F438)),IF($D438&gt;$F438,1,0),0)+IF(AND(ISNUMBER($E438),ISNUMBER($F438)),IF($E438&gt;$F438,1,0),0)</f>
        <v>0</v>
      </c>
      <c r="X438" s="13" t="s">
        <v>76</v>
      </c>
    </row>
    <row r="439" customFormat="false" ht="15" hidden="false" customHeight="false" outlineLevel="0" collapsed="false">
      <c r="A439" s="10" t="s">
        <v>1823</v>
      </c>
      <c r="B439" s="10" t="s">
        <v>1824</v>
      </c>
      <c r="C439" s="10" t="s">
        <v>1825</v>
      </c>
      <c r="D439" s="12" t="n">
        <v>2.58</v>
      </c>
      <c r="E439" s="12" t="n">
        <v>2.58</v>
      </c>
      <c r="F439" s="12" t="n">
        <v>2.58</v>
      </c>
      <c r="G439" s="10" t="s">
        <v>1826</v>
      </c>
      <c r="H439" s="10" t="s">
        <v>1827</v>
      </c>
      <c r="I439" s="10" t="s">
        <v>1828</v>
      </c>
      <c r="J439" s="10" t="s">
        <v>1829</v>
      </c>
      <c r="K439" s="10" t="s">
        <v>1830</v>
      </c>
      <c r="L439" s="10" t="s">
        <v>68</v>
      </c>
      <c r="M439" s="10" t="s">
        <v>1308</v>
      </c>
      <c r="N439" s="10"/>
      <c r="O439" s="10"/>
      <c r="P439" s="10" t="s">
        <v>637</v>
      </c>
      <c r="Q439" s="11" t="s">
        <v>1309</v>
      </c>
      <c r="R439" s="11" t="s">
        <v>1310</v>
      </c>
      <c r="S439" s="11" t="s">
        <v>710</v>
      </c>
      <c r="T439" s="11" t="s">
        <v>1831</v>
      </c>
      <c r="U439" s="10" t="n">
        <f aca="false">IF(AND($D439="",$E439="",$F439=""),1,0)</f>
        <v>0</v>
      </c>
      <c r="V439" s="10" t="n">
        <f aca="false">IF(OR($I439="",$I439="—"),1,0)</f>
        <v>0</v>
      </c>
      <c r="W439" s="10" t="n">
        <f aca="false">IF(AND(ISNUMBER($D439),ISNUMBER($E439)),IF($E439&gt;$D439,1,0),0)+IF(AND(ISNUMBER($D439),ISNUMBER($F439)),IF($D439&gt;$F439,1,0),0)+IF(AND(ISNUMBER($E439),ISNUMBER($F439)),IF($E439&gt;$F439,1,0),0)</f>
        <v>0</v>
      </c>
      <c r="X439" s="13" t="s">
        <v>76</v>
      </c>
    </row>
    <row r="440" customFormat="false" ht="15" hidden="false" customHeight="false" outlineLevel="0" collapsed="false">
      <c r="A440" s="10" t="s">
        <v>1832</v>
      </c>
      <c r="B440" s="10" t="s">
        <v>1833</v>
      </c>
      <c r="C440" s="10" t="s">
        <v>1834</v>
      </c>
      <c r="D440" s="12" t="n">
        <v>46.7</v>
      </c>
      <c r="E440" s="12" t="n">
        <v>46.7</v>
      </c>
      <c r="F440" s="12" t="n">
        <v>46.7</v>
      </c>
      <c r="G440" s="10" t="s">
        <v>1826</v>
      </c>
      <c r="H440" s="10" t="s">
        <v>1827</v>
      </c>
      <c r="I440" s="10" t="s">
        <v>1828</v>
      </c>
      <c r="J440" s="10" t="s">
        <v>1829</v>
      </c>
      <c r="K440" s="10" t="s">
        <v>1830</v>
      </c>
      <c r="L440" s="10" t="s">
        <v>68</v>
      </c>
      <c r="M440" s="10" t="s">
        <v>1308</v>
      </c>
      <c r="N440" s="10"/>
      <c r="O440" s="10"/>
      <c r="P440" s="10" t="s">
        <v>637</v>
      </c>
      <c r="Q440" s="11" t="s">
        <v>1309</v>
      </c>
      <c r="R440" s="11" t="s">
        <v>1310</v>
      </c>
      <c r="S440" s="11" t="s">
        <v>710</v>
      </c>
      <c r="T440" s="11" t="s">
        <v>1835</v>
      </c>
      <c r="U440" s="10" t="n">
        <f aca="false">IF(AND($D440="",$E440="",$F440=""),1,0)</f>
        <v>0</v>
      </c>
      <c r="V440" s="10" t="n">
        <f aca="false">IF(OR($I440="",$I440="—"),1,0)</f>
        <v>0</v>
      </c>
      <c r="W440" s="10" t="n">
        <f aca="false">IF(AND(ISNUMBER($D440),ISNUMBER($E440)),IF($E440&gt;$D440,1,0),0)+IF(AND(ISNUMBER($D440),ISNUMBER($F440)),IF($D440&gt;$F440,1,0),0)+IF(AND(ISNUMBER($E440),ISNUMBER($F440)),IF($E440&gt;$F440,1,0),0)</f>
        <v>0</v>
      </c>
      <c r="X440" s="13" t="s">
        <v>76</v>
      </c>
    </row>
    <row r="441" customFormat="false" ht="15" hidden="false" customHeight="false" outlineLevel="0" collapsed="false">
      <c r="A441" s="10" t="s">
        <v>1836</v>
      </c>
      <c r="B441" s="10" t="s">
        <v>1837</v>
      </c>
      <c r="C441" s="10" t="s">
        <v>1838</v>
      </c>
      <c r="D441" s="12" t="n">
        <v>5.5</v>
      </c>
      <c r="E441" s="12" t="n">
        <v>4</v>
      </c>
      <c r="F441" s="12" t="n">
        <v>7</v>
      </c>
      <c r="G441" s="10" t="s">
        <v>401</v>
      </c>
      <c r="H441" s="10" t="s">
        <v>1827</v>
      </c>
      <c r="I441" s="11" t="s">
        <v>1839</v>
      </c>
      <c r="J441" s="10" t="s">
        <v>1829</v>
      </c>
      <c r="K441" s="10" t="s">
        <v>1830</v>
      </c>
      <c r="L441" s="10" t="s">
        <v>68</v>
      </c>
      <c r="M441" s="10" t="s">
        <v>636</v>
      </c>
      <c r="N441" s="10"/>
      <c r="O441" s="10"/>
      <c r="P441" s="10" t="s">
        <v>637</v>
      </c>
      <c r="Q441" s="11" t="s">
        <v>638</v>
      </c>
      <c r="R441" s="11" t="s">
        <v>639</v>
      </c>
      <c r="S441" s="11" t="s">
        <v>638</v>
      </c>
      <c r="T441" s="10" t="s">
        <v>1840</v>
      </c>
      <c r="U441" s="10" t="n">
        <f aca="false">IF(AND($D441="",$E441="",$F441=""),1,0)</f>
        <v>0</v>
      </c>
      <c r="V441" s="10" t="n">
        <f aca="false">IF(OR($I441="",$I441="—"),1,0)</f>
        <v>0</v>
      </c>
      <c r="W441" s="10" t="n">
        <f aca="false">IF(AND(ISNUMBER($D441),ISNUMBER($E441)),IF($E441&gt;$D441,1,0),0)+IF(AND(ISNUMBER($D441),ISNUMBER($F441)),IF($D441&gt;$F441,1,0),0)+IF(AND(ISNUMBER($E441),ISNUMBER($F441)),IF($E441&gt;$F441,1,0),0)</f>
        <v>0</v>
      </c>
      <c r="X441" s="13" t="s">
        <v>76</v>
      </c>
    </row>
    <row r="442" customFormat="false" ht="15" hidden="false" customHeight="false" outlineLevel="0" collapsed="false">
      <c r="A442" s="10" t="s">
        <v>1841</v>
      </c>
      <c r="B442" s="10" t="s">
        <v>1842</v>
      </c>
      <c r="C442" s="10" t="s">
        <v>1843</v>
      </c>
      <c r="D442" s="12" t="n">
        <v>4</v>
      </c>
      <c r="E442" s="12" t="n">
        <v>4</v>
      </c>
      <c r="F442" s="12" t="n">
        <v>5</v>
      </c>
      <c r="G442" s="11" t="s">
        <v>1844</v>
      </c>
      <c r="H442" s="10" t="s">
        <v>1845</v>
      </c>
      <c r="I442" s="11" t="s">
        <v>1846</v>
      </c>
      <c r="J442" s="10" t="s">
        <v>1847</v>
      </c>
      <c r="K442" s="10" t="s">
        <v>1848</v>
      </c>
      <c r="L442" s="10" t="s">
        <v>68</v>
      </c>
      <c r="M442" s="10" t="s">
        <v>1308</v>
      </c>
      <c r="N442" s="10"/>
      <c r="O442" s="10"/>
      <c r="P442" s="10" t="s">
        <v>637</v>
      </c>
      <c r="Q442" s="11" t="s">
        <v>1309</v>
      </c>
      <c r="R442" s="11" t="s">
        <v>1310</v>
      </c>
      <c r="S442" s="11" t="s">
        <v>710</v>
      </c>
      <c r="T442" s="11" t="s">
        <v>1849</v>
      </c>
      <c r="U442" s="10" t="n">
        <f aca="false">IF(AND($D442="",$E442="",$F442=""),1,0)</f>
        <v>0</v>
      </c>
      <c r="V442" s="10" t="n">
        <f aca="false">IF(OR($I442="",$I442="—"),1,0)</f>
        <v>0</v>
      </c>
      <c r="W442" s="10" t="n">
        <f aca="false">IF(AND(ISNUMBER($D442),ISNUMBER($E442)),IF($E442&gt;$D442,1,0),0)+IF(AND(ISNUMBER($D442),ISNUMBER($F442)),IF($D442&gt;$F442,1,0),0)+IF(AND(ISNUMBER($E442),ISNUMBER($F442)),IF($E442&gt;$F442,1,0),0)</f>
        <v>0</v>
      </c>
      <c r="X442" s="13" t="s">
        <v>76</v>
      </c>
    </row>
    <row r="443" customFormat="false" ht="15" hidden="false" customHeight="false" outlineLevel="0" collapsed="false">
      <c r="A443" s="10" t="s">
        <v>1850</v>
      </c>
      <c r="B443" s="10" t="s">
        <v>1851</v>
      </c>
      <c r="C443" s="10" t="s">
        <v>1852</v>
      </c>
      <c r="D443" s="12" t="n">
        <v>75</v>
      </c>
      <c r="E443" s="12"/>
      <c r="F443" s="12"/>
      <c r="G443" s="10" t="s">
        <v>1853</v>
      </c>
      <c r="H443" s="10" t="s">
        <v>1854</v>
      </c>
      <c r="I443" s="10" t="s">
        <v>1855</v>
      </c>
      <c r="J443" s="10" t="s">
        <v>1856</v>
      </c>
      <c r="K443" s="10" t="s">
        <v>1857</v>
      </c>
      <c r="L443" s="10" t="s">
        <v>68</v>
      </c>
      <c r="M443" s="10" t="s">
        <v>1308</v>
      </c>
      <c r="N443" s="10"/>
      <c r="O443" s="10"/>
      <c r="P443" s="10" t="s">
        <v>637</v>
      </c>
      <c r="Q443" s="11" t="s">
        <v>1309</v>
      </c>
      <c r="R443" s="11" t="s">
        <v>1310</v>
      </c>
      <c r="S443" s="11" t="s">
        <v>710</v>
      </c>
      <c r="T443" s="11" t="s">
        <v>1858</v>
      </c>
      <c r="U443" s="10" t="n">
        <f aca="false">IF(AND($D443="",$E443="",$F443=""),1,0)</f>
        <v>0</v>
      </c>
      <c r="V443" s="10" t="n">
        <f aca="false">IF(OR($I443="",$I443="—"),1,0)</f>
        <v>0</v>
      </c>
      <c r="W443" s="10" t="n">
        <f aca="false">IF(AND(ISNUMBER($D443),ISNUMBER($E443)),IF($E443&gt;$D443,1,0),0)+IF(AND(ISNUMBER($D443),ISNUMBER($F443)),IF($D443&gt;$F443,1,0),0)+IF(AND(ISNUMBER($E443),ISNUMBER($F443)),IF($E443&gt;$F443,1,0),0)</f>
        <v>0</v>
      </c>
      <c r="X443" s="13" t="s">
        <v>76</v>
      </c>
    </row>
    <row r="444" customFormat="false" ht="15" hidden="false" customHeight="false" outlineLevel="0" collapsed="false">
      <c r="A444" s="10" t="s">
        <v>1859</v>
      </c>
      <c r="B444" s="10" t="s">
        <v>1860</v>
      </c>
      <c r="C444" s="11" t="s">
        <v>1861</v>
      </c>
      <c r="D444" s="12" t="n">
        <v>54.5</v>
      </c>
      <c r="E444" s="12"/>
      <c r="F444" s="12"/>
      <c r="G444" s="10" t="s">
        <v>401</v>
      </c>
      <c r="H444" s="10" t="s">
        <v>64</v>
      </c>
      <c r="I444" s="11" t="s">
        <v>1670</v>
      </c>
      <c r="J444" s="10" t="s">
        <v>415</v>
      </c>
      <c r="K444" s="10" t="s">
        <v>67</v>
      </c>
      <c r="L444" s="10" t="s">
        <v>68</v>
      </c>
      <c r="M444" s="10" t="s">
        <v>69</v>
      </c>
      <c r="N444" s="10"/>
      <c r="O444" s="11" t="s">
        <v>1777</v>
      </c>
      <c r="P444" s="10" t="s">
        <v>71</v>
      </c>
      <c r="Q444" s="11" t="s">
        <v>72</v>
      </c>
      <c r="R444" s="11" t="s">
        <v>73</v>
      </c>
      <c r="S444" s="11" t="s">
        <v>74</v>
      </c>
      <c r="T444" s="11" t="s">
        <v>1862</v>
      </c>
      <c r="U444" s="10" t="n">
        <f aca="false">IF(AND($D444="",$E444="",$F444=""),1,0)</f>
        <v>0</v>
      </c>
      <c r="V444" s="10" t="n">
        <f aca="false">IF(OR($I444="",$I444="—"),1,0)</f>
        <v>0</v>
      </c>
      <c r="W444" s="10" t="n">
        <f aca="false">IF(AND(ISNUMBER($D444),ISNUMBER($E444)),IF($E444&gt;$D444,1,0),0)+IF(AND(ISNUMBER($D444),ISNUMBER($F444)),IF($D444&gt;$F444,1,0),0)+IF(AND(ISNUMBER($E444),ISNUMBER($F444)),IF($E444&gt;$F444,1,0),0)</f>
        <v>0</v>
      </c>
      <c r="X444" s="13" t="s">
        <v>76</v>
      </c>
    </row>
    <row r="445" customFormat="false" ht="15" hidden="false" customHeight="false" outlineLevel="0" collapsed="false">
      <c r="A445" s="10" t="s">
        <v>1863</v>
      </c>
      <c r="B445" s="10" t="s">
        <v>1864</v>
      </c>
      <c r="C445" s="11" t="s">
        <v>1865</v>
      </c>
      <c r="D445" s="12" t="n">
        <v>33.1</v>
      </c>
      <c r="E445" s="12"/>
      <c r="F445" s="12"/>
      <c r="G445" s="10" t="s">
        <v>401</v>
      </c>
      <c r="H445" s="10" t="s">
        <v>64</v>
      </c>
      <c r="I445" s="11" t="s">
        <v>1670</v>
      </c>
      <c r="J445" s="10" t="s">
        <v>415</v>
      </c>
      <c r="K445" s="10" t="s">
        <v>67</v>
      </c>
      <c r="L445" s="10" t="s">
        <v>68</v>
      </c>
      <c r="M445" s="10" t="s">
        <v>69</v>
      </c>
      <c r="N445" s="10"/>
      <c r="O445" s="11" t="s">
        <v>1777</v>
      </c>
      <c r="P445" s="10" t="s">
        <v>71</v>
      </c>
      <c r="Q445" s="11" t="s">
        <v>72</v>
      </c>
      <c r="R445" s="11" t="s">
        <v>73</v>
      </c>
      <c r="S445" s="11" t="s">
        <v>74</v>
      </c>
      <c r="T445" s="11" t="s">
        <v>1095</v>
      </c>
      <c r="U445" s="10" t="n">
        <f aca="false">IF(AND($D445="",$E445="",$F445=""),1,0)</f>
        <v>0</v>
      </c>
      <c r="V445" s="10" t="n">
        <f aca="false">IF(OR($I445="",$I445="—"),1,0)</f>
        <v>0</v>
      </c>
      <c r="W445" s="10" t="n">
        <f aca="false">IF(AND(ISNUMBER($D445),ISNUMBER($E445)),IF($E445&gt;$D445,1,0),0)+IF(AND(ISNUMBER($D445),ISNUMBER($F445)),IF($D445&gt;$F445,1,0),0)+IF(AND(ISNUMBER($E445),ISNUMBER($F445)),IF($E445&gt;$F445,1,0),0)</f>
        <v>0</v>
      </c>
      <c r="X445" s="13" t="s">
        <v>76</v>
      </c>
    </row>
    <row r="446" customFormat="false" ht="15" hidden="false" customHeight="false" outlineLevel="0" collapsed="false">
      <c r="A446" s="10" t="s">
        <v>1866</v>
      </c>
      <c r="B446" s="10" t="s">
        <v>1867</v>
      </c>
      <c r="C446" s="11" t="s">
        <v>1861</v>
      </c>
      <c r="D446" s="12" t="n">
        <v>53.6</v>
      </c>
      <c r="E446" s="12"/>
      <c r="F446" s="12"/>
      <c r="G446" s="10" t="s">
        <v>401</v>
      </c>
      <c r="H446" s="10" t="s">
        <v>79</v>
      </c>
      <c r="I446" s="11" t="s">
        <v>1670</v>
      </c>
      <c r="J446" s="10" t="s">
        <v>415</v>
      </c>
      <c r="K446" s="10" t="s">
        <v>67</v>
      </c>
      <c r="L446" s="10" t="s">
        <v>68</v>
      </c>
      <c r="M446" s="10" t="s">
        <v>69</v>
      </c>
      <c r="N446" s="10"/>
      <c r="O446" s="11" t="s">
        <v>1777</v>
      </c>
      <c r="P446" s="10" t="s">
        <v>71</v>
      </c>
      <c r="Q446" s="11" t="s">
        <v>72</v>
      </c>
      <c r="R446" s="11" t="s">
        <v>73</v>
      </c>
      <c r="S446" s="11" t="s">
        <v>74</v>
      </c>
      <c r="T446" s="11" t="s">
        <v>1868</v>
      </c>
      <c r="U446" s="10" t="n">
        <f aca="false">IF(AND($D446="",$E446="",$F446=""),1,0)</f>
        <v>0</v>
      </c>
      <c r="V446" s="10" t="n">
        <f aca="false">IF(OR($I446="",$I446="—"),1,0)</f>
        <v>0</v>
      </c>
      <c r="W446" s="10" t="n">
        <f aca="false">IF(AND(ISNUMBER($D446),ISNUMBER($E446)),IF($E446&gt;$D446,1,0),0)+IF(AND(ISNUMBER($D446),ISNUMBER($F446)),IF($D446&gt;$F446,1,0),0)+IF(AND(ISNUMBER($E446),ISNUMBER($F446)),IF($E446&gt;$F446,1,0),0)</f>
        <v>0</v>
      </c>
      <c r="X446" s="13" t="s">
        <v>76</v>
      </c>
    </row>
    <row r="447" customFormat="false" ht="15" hidden="false" customHeight="false" outlineLevel="0" collapsed="false">
      <c r="A447" s="10" t="s">
        <v>1869</v>
      </c>
      <c r="B447" s="10" t="s">
        <v>1870</v>
      </c>
      <c r="C447" s="11" t="s">
        <v>1865</v>
      </c>
      <c r="D447" s="12" t="n">
        <v>16.4</v>
      </c>
      <c r="E447" s="12"/>
      <c r="F447" s="12"/>
      <c r="G447" s="10" t="s">
        <v>401</v>
      </c>
      <c r="H447" s="10" t="s">
        <v>79</v>
      </c>
      <c r="I447" s="11" t="s">
        <v>1670</v>
      </c>
      <c r="J447" s="10" t="s">
        <v>415</v>
      </c>
      <c r="K447" s="10" t="s">
        <v>67</v>
      </c>
      <c r="L447" s="10" t="s">
        <v>68</v>
      </c>
      <c r="M447" s="10" t="s">
        <v>69</v>
      </c>
      <c r="N447" s="10"/>
      <c r="O447" s="11" t="s">
        <v>1777</v>
      </c>
      <c r="P447" s="10" t="s">
        <v>71</v>
      </c>
      <c r="Q447" s="11" t="s">
        <v>72</v>
      </c>
      <c r="R447" s="11" t="s">
        <v>73</v>
      </c>
      <c r="S447" s="11" t="s">
        <v>74</v>
      </c>
      <c r="T447" s="11" t="s">
        <v>1095</v>
      </c>
      <c r="U447" s="10" t="n">
        <f aca="false">IF(AND($D447="",$E447="",$F447=""),1,0)</f>
        <v>0</v>
      </c>
      <c r="V447" s="10" t="n">
        <f aca="false">IF(OR($I447="",$I447="—"),1,0)</f>
        <v>0</v>
      </c>
      <c r="W447" s="10" t="n">
        <f aca="false">IF(AND(ISNUMBER($D447),ISNUMBER($E447)),IF($E447&gt;$D447,1,0),0)+IF(AND(ISNUMBER($D447),ISNUMBER($F447)),IF($D447&gt;$F447,1,0),0)+IF(AND(ISNUMBER($E447),ISNUMBER($F447)),IF($E447&gt;$F447,1,0),0)</f>
        <v>0</v>
      </c>
      <c r="X447" s="13" t="s">
        <v>76</v>
      </c>
    </row>
    <row r="448" customFormat="false" ht="15" hidden="false" customHeight="false" outlineLevel="0" collapsed="false">
      <c r="A448" s="10" t="s">
        <v>1871</v>
      </c>
      <c r="B448" s="10" t="s">
        <v>1872</v>
      </c>
      <c r="C448" s="11" t="s">
        <v>1861</v>
      </c>
      <c r="D448" s="12" t="n">
        <v>47.3</v>
      </c>
      <c r="E448" s="12"/>
      <c r="F448" s="12"/>
      <c r="G448" s="10" t="s">
        <v>401</v>
      </c>
      <c r="H448" s="10" t="s">
        <v>83</v>
      </c>
      <c r="I448" s="11" t="s">
        <v>1670</v>
      </c>
      <c r="J448" s="10" t="s">
        <v>415</v>
      </c>
      <c r="K448" s="10" t="s">
        <v>67</v>
      </c>
      <c r="L448" s="10" t="s">
        <v>68</v>
      </c>
      <c r="M448" s="10" t="s">
        <v>69</v>
      </c>
      <c r="N448" s="10"/>
      <c r="O448" s="11" t="s">
        <v>1777</v>
      </c>
      <c r="P448" s="10" t="s">
        <v>71</v>
      </c>
      <c r="Q448" s="11" t="s">
        <v>72</v>
      </c>
      <c r="R448" s="11" t="s">
        <v>73</v>
      </c>
      <c r="S448" s="11" t="s">
        <v>74</v>
      </c>
      <c r="T448" s="11" t="s">
        <v>1873</v>
      </c>
      <c r="U448" s="10" t="n">
        <f aca="false">IF(AND($D448="",$E448="",$F448=""),1,0)</f>
        <v>0</v>
      </c>
      <c r="V448" s="10" t="n">
        <f aca="false">IF(OR($I448="",$I448="—"),1,0)</f>
        <v>0</v>
      </c>
      <c r="W448" s="10" t="n">
        <f aca="false">IF(AND(ISNUMBER($D448),ISNUMBER($E448)),IF($E448&gt;$D448,1,0),0)+IF(AND(ISNUMBER($D448),ISNUMBER($F448)),IF($D448&gt;$F448,1,0),0)+IF(AND(ISNUMBER($E448),ISNUMBER($F448)),IF($E448&gt;$F448,1,0),0)</f>
        <v>0</v>
      </c>
      <c r="X448" s="13" t="s">
        <v>76</v>
      </c>
    </row>
    <row r="449" customFormat="false" ht="15" hidden="false" customHeight="false" outlineLevel="0" collapsed="false">
      <c r="A449" s="10" t="s">
        <v>1874</v>
      </c>
      <c r="B449" s="10" t="s">
        <v>1875</v>
      </c>
      <c r="C449" s="11" t="s">
        <v>1865</v>
      </c>
      <c r="D449" s="12" t="n">
        <v>15.6</v>
      </c>
      <c r="E449" s="12"/>
      <c r="F449" s="12"/>
      <c r="G449" s="10" t="s">
        <v>401</v>
      </c>
      <c r="H449" s="10" t="s">
        <v>83</v>
      </c>
      <c r="I449" s="11" t="s">
        <v>1670</v>
      </c>
      <c r="J449" s="10" t="s">
        <v>415</v>
      </c>
      <c r="K449" s="10" t="s">
        <v>67</v>
      </c>
      <c r="L449" s="10" t="s">
        <v>68</v>
      </c>
      <c r="M449" s="10" t="s">
        <v>69</v>
      </c>
      <c r="N449" s="10"/>
      <c r="O449" s="11" t="s">
        <v>1777</v>
      </c>
      <c r="P449" s="10" t="s">
        <v>71</v>
      </c>
      <c r="Q449" s="11" t="s">
        <v>72</v>
      </c>
      <c r="R449" s="11" t="s">
        <v>73</v>
      </c>
      <c r="S449" s="11" t="s">
        <v>74</v>
      </c>
      <c r="T449" s="11" t="s">
        <v>1095</v>
      </c>
      <c r="U449" s="10" t="n">
        <f aca="false">IF(AND($D449="",$E449="",$F449=""),1,0)</f>
        <v>0</v>
      </c>
      <c r="V449" s="10" t="n">
        <f aca="false">IF(OR($I449="",$I449="—"),1,0)</f>
        <v>0</v>
      </c>
      <c r="W449" s="10" t="n">
        <f aca="false">IF(AND(ISNUMBER($D449),ISNUMBER($E449)),IF($E449&gt;$D449,1,0),0)+IF(AND(ISNUMBER($D449),ISNUMBER($F449)),IF($D449&gt;$F449,1,0),0)+IF(AND(ISNUMBER($E449),ISNUMBER($F449)),IF($E449&gt;$F449,1,0),0)</f>
        <v>0</v>
      </c>
      <c r="X449" s="13" t="s">
        <v>76</v>
      </c>
    </row>
    <row r="450" customFormat="false" ht="15" hidden="false" customHeight="false" outlineLevel="0" collapsed="false">
      <c r="A450" s="10" t="s">
        <v>1876</v>
      </c>
      <c r="B450" s="10" t="s">
        <v>1877</v>
      </c>
      <c r="C450" s="11" t="s">
        <v>1861</v>
      </c>
      <c r="D450" s="12" t="n">
        <v>50.2</v>
      </c>
      <c r="E450" s="12"/>
      <c r="F450" s="12"/>
      <c r="G450" s="10" t="s">
        <v>401</v>
      </c>
      <c r="H450" s="10" t="s">
        <v>92</v>
      </c>
      <c r="I450" s="11" t="s">
        <v>1670</v>
      </c>
      <c r="J450" s="10" t="s">
        <v>415</v>
      </c>
      <c r="K450" s="10" t="s">
        <v>67</v>
      </c>
      <c r="L450" s="10" t="s">
        <v>68</v>
      </c>
      <c r="M450" s="10" t="s">
        <v>69</v>
      </c>
      <c r="N450" s="10"/>
      <c r="O450" s="11" t="s">
        <v>1777</v>
      </c>
      <c r="P450" s="10" t="s">
        <v>71</v>
      </c>
      <c r="Q450" s="11" t="s">
        <v>72</v>
      </c>
      <c r="R450" s="11" t="s">
        <v>73</v>
      </c>
      <c r="S450" s="11" t="s">
        <v>74</v>
      </c>
      <c r="T450" s="11" t="s">
        <v>1878</v>
      </c>
      <c r="U450" s="10" t="n">
        <f aca="false">IF(AND($D450="",$E450="",$F450=""),1,0)</f>
        <v>0</v>
      </c>
      <c r="V450" s="10" t="n">
        <f aca="false">IF(OR($I450="",$I450="—"),1,0)</f>
        <v>0</v>
      </c>
      <c r="W450" s="10" t="n">
        <f aca="false">IF(AND(ISNUMBER($D450),ISNUMBER($E450)),IF($E450&gt;$D450,1,0),0)+IF(AND(ISNUMBER($D450),ISNUMBER($F450)),IF($D450&gt;$F450,1,0),0)+IF(AND(ISNUMBER($E450),ISNUMBER($F450)),IF($E450&gt;$F450,1,0),0)</f>
        <v>0</v>
      </c>
      <c r="X450" s="13" t="s">
        <v>76</v>
      </c>
    </row>
    <row r="451" customFormat="false" ht="15" hidden="false" customHeight="false" outlineLevel="0" collapsed="false">
      <c r="A451" s="10" t="s">
        <v>1879</v>
      </c>
      <c r="B451" s="10" t="s">
        <v>1880</v>
      </c>
      <c r="C451" s="11" t="s">
        <v>1865</v>
      </c>
      <c r="D451" s="12" t="n">
        <v>13.4</v>
      </c>
      <c r="E451" s="12"/>
      <c r="F451" s="12"/>
      <c r="G451" s="10" t="s">
        <v>401</v>
      </c>
      <c r="H451" s="10" t="s">
        <v>92</v>
      </c>
      <c r="I451" s="11" t="s">
        <v>1670</v>
      </c>
      <c r="J451" s="10" t="s">
        <v>415</v>
      </c>
      <c r="K451" s="10" t="s">
        <v>67</v>
      </c>
      <c r="L451" s="10" t="s">
        <v>68</v>
      </c>
      <c r="M451" s="10" t="s">
        <v>69</v>
      </c>
      <c r="N451" s="10"/>
      <c r="O451" s="11" t="s">
        <v>1777</v>
      </c>
      <c r="P451" s="10" t="s">
        <v>71</v>
      </c>
      <c r="Q451" s="11" t="s">
        <v>72</v>
      </c>
      <c r="R451" s="11" t="s">
        <v>73</v>
      </c>
      <c r="S451" s="11" t="s">
        <v>74</v>
      </c>
      <c r="T451" s="11" t="s">
        <v>1095</v>
      </c>
      <c r="U451" s="10" t="n">
        <f aca="false">IF(AND($D451="",$E451="",$F451=""),1,0)</f>
        <v>0</v>
      </c>
      <c r="V451" s="10" t="n">
        <f aca="false">IF(OR($I451="",$I451="—"),1,0)</f>
        <v>0</v>
      </c>
      <c r="W451" s="10" t="n">
        <f aca="false">IF(AND(ISNUMBER($D451),ISNUMBER($E451)),IF($E451&gt;$D451,1,0),0)+IF(AND(ISNUMBER($D451),ISNUMBER($F451)),IF($D451&gt;$F451,1,0),0)+IF(AND(ISNUMBER($E451),ISNUMBER($F451)),IF($E451&gt;$F451,1,0),0)</f>
        <v>0</v>
      </c>
      <c r="X451" s="13" t="s">
        <v>76</v>
      </c>
    </row>
    <row r="452" customFormat="false" ht="15" hidden="false" customHeight="false" outlineLevel="0" collapsed="false">
      <c r="A452" s="10" t="s">
        <v>1881</v>
      </c>
      <c r="B452" s="10" t="s">
        <v>1882</v>
      </c>
      <c r="C452" s="11" t="s">
        <v>1883</v>
      </c>
      <c r="D452" s="12" t="n">
        <v>15.52</v>
      </c>
      <c r="E452" s="12"/>
      <c r="F452" s="12"/>
      <c r="G452" s="10" t="s">
        <v>63</v>
      </c>
      <c r="H452" s="10" t="s">
        <v>83</v>
      </c>
      <c r="I452" s="11" t="s">
        <v>1800</v>
      </c>
      <c r="J452" s="10" t="s">
        <v>905</v>
      </c>
      <c r="K452" s="10" t="s">
        <v>906</v>
      </c>
      <c r="L452" s="10" t="s">
        <v>68</v>
      </c>
      <c r="M452" s="10" t="s">
        <v>416</v>
      </c>
      <c r="N452" s="11" t="s">
        <v>709</v>
      </c>
      <c r="O452" s="10"/>
      <c r="P452" s="10" t="s">
        <v>637</v>
      </c>
      <c r="Q452" s="11" t="s">
        <v>72</v>
      </c>
      <c r="R452" s="11" t="s">
        <v>709</v>
      </c>
      <c r="S452" s="11" t="s">
        <v>710</v>
      </c>
      <c r="T452" s="11" t="s">
        <v>1884</v>
      </c>
      <c r="U452" s="10" t="n">
        <f aca="false">IF(AND($D452="",$E452="",$F452=""),1,0)</f>
        <v>0</v>
      </c>
      <c r="V452" s="10" t="n">
        <f aca="false">IF(OR($I452="",$I452="—"),1,0)</f>
        <v>0</v>
      </c>
      <c r="W452" s="10" t="n">
        <f aca="false">IF(AND(ISNUMBER($D452),ISNUMBER($E452)),IF($E452&gt;$D452,1,0),0)+IF(AND(ISNUMBER($D452),ISNUMBER($F452)),IF($D452&gt;$F452,1,0),0)+IF(AND(ISNUMBER($E452),ISNUMBER($F452)),IF($E452&gt;$F452,1,0),0)</f>
        <v>0</v>
      </c>
      <c r="X452" s="13" t="s">
        <v>76</v>
      </c>
    </row>
    <row r="453" customFormat="false" ht="15" hidden="false" customHeight="false" outlineLevel="0" collapsed="false">
      <c r="A453" s="10" t="s">
        <v>1885</v>
      </c>
      <c r="B453" s="10" t="s">
        <v>1886</v>
      </c>
      <c r="C453" s="11" t="s">
        <v>1887</v>
      </c>
      <c r="D453" s="12" t="n">
        <v>15.53</v>
      </c>
      <c r="E453" s="12"/>
      <c r="F453" s="12"/>
      <c r="G453" s="10" t="s">
        <v>63</v>
      </c>
      <c r="H453" s="10" t="s">
        <v>83</v>
      </c>
      <c r="I453" s="11" t="s">
        <v>1888</v>
      </c>
      <c r="J453" s="10" t="s">
        <v>911</v>
      </c>
      <c r="K453" s="10" t="s">
        <v>912</v>
      </c>
      <c r="L453" s="10" t="s">
        <v>68</v>
      </c>
      <c r="M453" s="10" t="s">
        <v>416</v>
      </c>
      <c r="N453" s="11" t="s">
        <v>709</v>
      </c>
      <c r="O453" s="10"/>
      <c r="P453" s="10" t="s">
        <v>637</v>
      </c>
      <c r="Q453" s="11" t="s">
        <v>72</v>
      </c>
      <c r="R453" s="11" t="s">
        <v>709</v>
      </c>
      <c r="S453" s="11" t="s">
        <v>710</v>
      </c>
      <c r="T453" s="11" t="s">
        <v>1889</v>
      </c>
      <c r="U453" s="10" t="n">
        <f aca="false">IF(AND($D453="",$E453="",$F453=""),1,0)</f>
        <v>0</v>
      </c>
      <c r="V453" s="10" t="n">
        <f aca="false">IF(OR($I453="",$I453="—"),1,0)</f>
        <v>0</v>
      </c>
      <c r="W453" s="10" t="n">
        <f aca="false">IF(AND(ISNUMBER($D453),ISNUMBER($E453)),IF($E453&gt;$D453,1,0),0)+IF(AND(ISNUMBER($D453),ISNUMBER($F453)),IF($D453&gt;$F453,1,0),0)+IF(AND(ISNUMBER($E453),ISNUMBER($F453)),IF($E453&gt;$F453,1,0),0)</f>
        <v>0</v>
      </c>
      <c r="X453" s="13" t="s">
        <v>76</v>
      </c>
    </row>
    <row r="454" customFormat="false" ht="15" hidden="false" customHeight="false" outlineLevel="0" collapsed="false">
      <c r="A454" s="10" t="s">
        <v>1890</v>
      </c>
      <c r="B454" s="10" t="s">
        <v>1891</v>
      </c>
      <c r="C454" s="11" t="s">
        <v>1892</v>
      </c>
      <c r="D454" s="12" t="n">
        <v>11.45</v>
      </c>
      <c r="E454" s="12"/>
      <c r="F454" s="12"/>
      <c r="G454" s="10" t="s">
        <v>63</v>
      </c>
      <c r="H454" s="10" t="s">
        <v>92</v>
      </c>
      <c r="I454" s="11" t="s">
        <v>1720</v>
      </c>
      <c r="J454" s="10" t="s">
        <v>1721</v>
      </c>
      <c r="K454" s="10" t="s">
        <v>806</v>
      </c>
      <c r="L454" s="10" t="s">
        <v>68</v>
      </c>
      <c r="M454" s="10" t="s">
        <v>416</v>
      </c>
      <c r="N454" s="11" t="s">
        <v>709</v>
      </c>
      <c r="O454" s="10"/>
      <c r="P454" s="10" t="s">
        <v>637</v>
      </c>
      <c r="Q454" s="11" t="s">
        <v>72</v>
      </c>
      <c r="R454" s="11" t="s">
        <v>709</v>
      </c>
      <c r="S454" s="11" t="s">
        <v>710</v>
      </c>
      <c r="T454" s="11" t="s">
        <v>1893</v>
      </c>
      <c r="U454" s="10" t="n">
        <f aca="false">IF(AND($D454="",$E454="",$F454=""),1,0)</f>
        <v>0</v>
      </c>
      <c r="V454" s="10" t="n">
        <f aca="false">IF(OR($I454="",$I454="—"),1,0)</f>
        <v>0</v>
      </c>
      <c r="W454" s="10" t="n">
        <f aca="false">IF(AND(ISNUMBER($D454),ISNUMBER($E454)),IF($E454&gt;$D454,1,0),0)+IF(AND(ISNUMBER($D454),ISNUMBER($F454)),IF($D454&gt;$F454,1,0),0)+IF(AND(ISNUMBER($E454),ISNUMBER($F454)),IF($E454&gt;$F454,1,0),0)</f>
        <v>0</v>
      </c>
      <c r="X454" s="13" t="s">
        <v>76</v>
      </c>
    </row>
    <row r="455" customFormat="false" ht="15" hidden="false" customHeight="false" outlineLevel="0" collapsed="false">
      <c r="A455" s="10" t="s">
        <v>1894</v>
      </c>
      <c r="B455" s="10" t="s">
        <v>1895</v>
      </c>
      <c r="C455" s="11" t="s">
        <v>1892</v>
      </c>
      <c r="D455" s="12" t="n">
        <v>0.15</v>
      </c>
      <c r="E455" s="12"/>
      <c r="F455" s="12"/>
      <c r="G455" s="10" t="s">
        <v>63</v>
      </c>
      <c r="H455" s="10" t="s">
        <v>64</v>
      </c>
      <c r="I455" s="11" t="s">
        <v>1720</v>
      </c>
      <c r="J455" s="10" t="s">
        <v>1721</v>
      </c>
      <c r="K455" s="10" t="s">
        <v>806</v>
      </c>
      <c r="L455" s="10" t="s">
        <v>68</v>
      </c>
      <c r="M455" s="10" t="s">
        <v>416</v>
      </c>
      <c r="N455" s="11" t="s">
        <v>709</v>
      </c>
      <c r="O455" s="10"/>
      <c r="P455" s="10" t="s">
        <v>637</v>
      </c>
      <c r="Q455" s="11" t="s">
        <v>72</v>
      </c>
      <c r="R455" s="11" t="s">
        <v>709</v>
      </c>
      <c r="S455" s="11" t="s">
        <v>710</v>
      </c>
      <c r="T455" s="11" t="s">
        <v>1896</v>
      </c>
      <c r="U455" s="10" t="n">
        <f aca="false">IF(AND($D455="",$E455="",$F455=""),1,0)</f>
        <v>0</v>
      </c>
      <c r="V455" s="10" t="n">
        <f aca="false">IF(OR($I455="",$I455="—"),1,0)</f>
        <v>0</v>
      </c>
      <c r="W455" s="10" t="n">
        <f aca="false">IF(AND(ISNUMBER($D455),ISNUMBER($E455)),IF($E455&gt;$D455,1,0),0)+IF(AND(ISNUMBER($D455),ISNUMBER($F455)),IF($D455&gt;$F455,1,0),0)+IF(AND(ISNUMBER($E455),ISNUMBER($F455)),IF($E455&gt;$F455,1,0),0)</f>
        <v>0</v>
      </c>
      <c r="X455" s="13" t="s">
        <v>76</v>
      </c>
    </row>
    <row r="456" customFormat="false" ht="15" hidden="false" customHeight="false" outlineLevel="0" collapsed="false">
      <c r="A456" s="10" t="s">
        <v>1897</v>
      </c>
      <c r="B456" s="10" t="s">
        <v>1898</v>
      </c>
      <c r="C456" s="11" t="s">
        <v>1899</v>
      </c>
      <c r="D456" s="12" t="n">
        <v>100000</v>
      </c>
      <c r="E456" s="12"/>
      <c r="F456" s="12"/>
      <c r="G456" s="11" t="s">
        <v>1900</v>
      </c>
      <c r="H456" s="11" t="s">
        <v>1901</v>
      </c>
      <c r="I456" s="11" t="s">
        <v>1902</v>
      </c>
      <c r="J456" s="10" t="s">
        <v>664</v>
      </c>
      <c r="K456" s="10" t="s">
        <v>665</v>
      </c>
      <c r="L456" s="10" t="s">
        <v>68</v>
      </c>
      <c r="M456" s="10" t="s">
        <v>416</v>
      </c>
      <c r="N456" s="11" t="s">
        <v>1363</v>
      </c>
      <c r="O456" s="11" t="s">
        <v>441</v>
      </c>
      <c r="P456" s="10" t="s">
        <v>71</v>
      </c>
      <c r="Q456" s="11" t="s">
        <v>72</v>
      </c>
      <c r="R456" s="11" t="s">
        <v>1363</v>
      </c>
      <c r="S456" s="11" t="s">
        <v>74</v>
      </c>
      <c r="T456" s="11" t="s">
        <v>1903</v>
      </c>
      <c r="U456" s="10" t="n">
        <f aca="false">IF(AND($D456="",$E456="",$F456=""),1,0)</f>
        <v>0</v>
      </c>
      <c r="V456" s="10" t="n">
        <f aca="false">IF(OR($I456="",$I456="—"),1,0)</f>
        <v>0</v>
      </c>
      <c r="W456" s="10" t="n">
        <f aca="false">IF(AND(ISNUMBER($D456),ISNUMBER($E456)),IF($E456&gt;$D456,1,0),0)+IF(AND(ISNUMBER($D456),ISNUMBER($F456)),IF($D456&gt;$F456,1,0),0)+IF(AND(ISNUMBER($E456),ISNUMBER($F456)),IF($E456&gt;$F456,1,0),0)</f>
        <v>0</v>
      </c>
      <c r="X456" s="13" t="s">
        <v>76</v>
      </c>
    </row>
    <row r="457" customFormat="false" ht="15" hidden="false" customHeight="false" outlineLevel="0" collapsed="false">
      <c r="A457" s="10" t="s">
        <v>1904</v>
      </c>
      <c r="B457" s="10" t="s">
        <v>1905</v>
      </c>
      <c r="C457" s="11" t="s">
        <v>1906</v>
      </c>
      <c r="D457" s="12" t="n">
        <v>100000</v>
      </c>
      <c r="E457" s="12"/>
      <c r="F457" s="12"/>
      <c r="G457" s="11" t="s">
        <v>1907</v>
      </c>
      <c r="H457" s="10" t="s">
        <v>1908</v>
      </c>
      <c r="I457" s="11" t="s">
        <v>1909</v>
      </c>
      <c r="J457" s="10" t="s">
        <v>1742</v>
      </c>
      <c r="K457" s="10" t="s">
        <v>707</v>
      </c>
      <c r="L457" s="10" t="s">
        <v>68</v>
      </c>
      <c r="M457" s="10" t="s">
        <v>416</v>
      </c>
      <c r="N457" s="11" t="s">
        <v>1363</v>
      </c>
      <c r="O457" s="10"/>
      <c r="P457" s="10" t="s">
        <v>637</v>
      </c>
      <c r="Q457" s="11" t="s">
        <v>72</v>
      </c>
      <c r="R457" s="11" t="s">
        <v>1363</v>
      </c>
      <c r="S457" s="11" t="s">
        <v>710</v>
      </c>
      <c r="T457" s="11" t="s">
        <v>1910</v>
      </c>
      <c r="U457" s="10" t="n">
        <f aca="false">IF(AND($D457="",$E457="",$F457=""),1,0)</f>
        <v>0</v>
      </c>
      <c r="V457" s="10" t="n">
        <f aca="false">IF(OR($I457="",$I457="—"),1,0)</f>
        <v>0</v>
      </c>
      <c r="W457" s="10" t="n">
        <f aca="false">IF(AND(ISNUMBER($D457),ISNUMBER($E457)),IF($E457&gt;$D457,1,0),0)+IF(AND(ISNUMBER($D457),ISNUMBER($F457)),IF($D457&gt;$F457,1,0),0)+IF(AND(ISNUMBER($E457),ISNUMBER($F457)),IF($E457&gt;$F457,1,0),0)</f>
        <v>0</v>
      </c>
      <c r="X457" s="13" t="s">
        <v>76</v>
      </c>
    </row>
    <row r="458" customFormat="false" ht="15" hidden="false" customHeight="false" outlineLevel="0" collapsed="false">
      <c r="A458" s="10" t="s">
        <v>1911</v>
      </c>
      <c r="B458" s="10" t="s">
        <v>1912</v>
      </c>
      <c r="C458" s="11" t="s">
        <v>1913</v>
      </c>
      <c r="D458" s="12" t="n">
        <v>80</v>
      </c>
      <c r="E458" s="12"/>
      <c r="F458" s="12"/>
      <c r="G458" s="10" t="s">
        <v>401</v>
      </c>
      <c r="H458" s="10" t="s">
        <v>1914</v>
      </c>
      <c r="I458" s="11" t="s">
        <v>1902</v>
      </c>
      <c r="J458" s="10" t="s">
        <v>664</v>
      </c>
      <c r="K458" s="10" t="s">
        <v>665</v>
      </c>
      <c r="L458" s="10" t="s">
        <v>68</v>
      </c>
      <c r="M458" s="10" t="s">
        <v>416</v>
      </c>
      <c r="N458" s="11" t="s">
        <v>1363</v>
      </c>
      <c r="O458" s="10"/>
      <c r="P458" s="10" t="s">
        <v>71</v>
      </c>
      <c r="Q458" s="11" t="s">
        <v>72</v>
      </c>
      <c r="R458" s="11" t="s">
        <v>1363</v>
      </c>
      <c r="S458" s="11" t="s">
        <v>74</v>
      </c>
      <c r="T458" s="11" t="s">
        <v>1915</v>
      </c>
      <c r="U458" s="10" t="n">
        <f aca="false">IF(AND($D458="",$E458="",$F458=""),1,0)</f>
        <v>0</v>
      </c>
      <c r="V458" s="10" t="n">
        <f aca="false">IF(OR($I458="",$I458="—"),1,0)</f>
        <v>0</v>
      </c>
      <c r="W458" s="10" t="n">
        <f aca="false">IF(AND(ISNUMBER($D458),ISNUMBER($E458)),IF($E458&gt;$D458,1,0),0)+IF(AND(ISNUMBER($D458),ISNUMBER($F458)),IF($D458&gt;$F458,1,0),0)+IF(AND(ISNUMBER($E458),ISNUMBER($F458)),IF($E458&gt;$F458,1,0),0)</f>
        <v>0</v>
      </c>
      <c r="X458" s="13" t="s">
        <v>76</v>
      </c>
    </row>
    <row r="459" customFormat="false" ht="15" hidden="false" customHeight="false" outlineLevel="0" collapsed="false">
      <c r="A459" s="10" t="s">
        <v>1916</v>
      </c>
      <c r="B459" s="10" t="s">
        <v>1917</v>
      </c>
      <c r="C459" s="11" t="s">
        <v>1918</v>
      </c>
      <c r="D459" s="12" t="n">
        <v>3</v>
      </c>
      <c r="E459" s="12"/>
      <c r="F459" s="12"/>
      <c r="G459" s="11" t="s">
        <v>1709</v>
      </c>
      <c r="H459" s="10" t="s">
        <v>1919</v>
      </c>
      <c r="I459" s="11" t="s">
        <v>1920</v>
      </c>
      <c r="J459" s="10" t="s">
        <v>664</v>
      </c>
      <c r="K459" s="10" t="s">
        <v>665</v>
      </c>
      <c r="L459" s="10" t="s">
        <v>68</v>
      </c>
      <c r="M459" s="10" t="s">
        <v>416</v>
      </c>
      <c r="N459" s="11" t="s">
        <v>1363</v>
      </c>
      <c r="O459" s="10"/>
      <c r="P459" s="10" t="s">
        <v>71</v>
      </c>
      <c r="Q459" s="11" t="s">
        <v>72</v>
      </c>
      <c r="R459" s="11" t="s">
        <v>1363</v>
      </c>
      <c r="S459" s="11" t="s">
        <v>74</v>
      </c>
      <c r="T459" s="11" t="s">
        <v>1921</v>
      </c>
      <c r="U459" s="10" t="n">
        <f aca="false">IF(AND($D459="",$E459="",$F459=""),1,0)</f>
        <v>0</v>
      </c>
      <c r="V459" s="10" t="n">
        <f aca="false">IF(OR($I459="",$I459="—"),1,0)</f>
        <v>0</v>
      </c>
      <c r="W459" s="10" t="n">
        <f aca="false">IF(AND(ISNUMBER($D459),ISNUMBER($E459)),IF($E459&gt;$D459,1,0),0)+IF(AND(ISNUMBER($D459),ISNUMBER($F459)),IF($D459&gt;$F459,1,0),0)+IF(AND(ISNUMBER($E459),ISNUMBER($F459)),IF($E459&gt;$F459,1,0),0)</f>
        <v>0</v>
      </c>
      <c r="X459" s="13" t="s">
        <v>76</v>
      </c>
    </row>
    <row r="460" customFormat="false" ht="15" hidden="false" customHeight="false" outlineLevel="0" collapsed="false">
      <c r="A460" s="10" t="s">
        <v>1922</v>
      </c>
      <c r="B460" s="10" t="s">
        <v>1923</v>
      </c>
      <c r="C460" s="11" t="s">
        <v>1924</v>
      </c>
      <c r="D460" s="12" t="n">
        <v>14</v>
      </c>
      <c r="E460" s="12"/>
      <c r="F460" s="12"/>
      <c r="G460" s="11" t="s">
        <v>1709</v>
      </c>
      <c r="H460" s="10" t="s">
        <v>1925</v>
      </c>
      <c r="I460" s="11" t="s">
        <v>1646</v>
      </c>
      <c r="J460" s="10" t="s">
        <v>664</v>
      </c>
      <c r="K460" s="10" t="s">
        <v>665</v>
      </c>
      <c r="L460" s="10" t="s">
        <v>68</v>
      </c>
      <c r="M460" s="10" t="s">
        <v>416</v>
      </c>
      <c r="N460" s="11" t="s">
        <v>1363</v>
      </c>
      <c r="O460" s="10"/>
      <c r="P460" s="10" t="s">
        <v>71</v>
      </c>
      <c r="Q460" s="11" t="s">
        <v>72</v>
      </c>
      <c r="R460" s="11" t="s">
        <v>1363</v>
      </c>
      <c r="S460" s="11" t="s">
        <v>74</v>
      </c>
      <c r="T460" s="11" t="s">
        <v>1926</v>
      </c>
      <c r="U460" s="10" t="n">
        <f aca="false">IF(AND($D460="",$E460="",$F460=""),1,0)</f>
        <v>0</v>
      </c>
      <c r="V460" s="10" t="n">
        <f aca="false">IF(OR($I460="",$I460="—"),1,0)</f>
        <v>0</v>
      </c>
      <c r="W460" s="10" t="n">
        <f aca="false">IF(AND(ISNUMBER($D460),ISNUMBER($E460)),IF($E460&gt;$D460,1,0),0)+IF(AND(ISNUMBER($D460),ISNUMBER($F460)),IF($D460&gt;$F460,1,0),0)+IF(AND(ISNUMBER($E460),ISNUMBER($F460)),IF($E460&gt;$F460,1,0),0)</f>
        <v>0</v>
      </c>
      <c r="X460" s="13" t="s">
        <v>76</v>
      </c>
    </row>
    <row r="461" customFormat="false" ht="15" hidden="false" customHeight="false" outlineLevel="0" collapsed="false">
      <c r="A461" s="10" t="s">
        <v>1927</v>
      </c>
      <c r="B461" s="10" t="s">
        <v>1928</v>
      </c>
      <c r="C461" s="11" t="s">
        <v>1929</v>
      </c>
      <c r="D461" s="12" t="n">
        <v>50</v>
      </c>
      <c r="E461" s="12"/>
      <c r="F461" s="12"/>
      <c r="G461" s="10" t="s">
        <v>401</v>
      </c>
      <c r="H461" s="10" t="s">
        <v>446</v>
      </c>
      <c r="I461" s="11" t="s">
        <v>1686</v>
      </c>
      <c r="J461" s="10" t="s">
        <v>448</v>
      </c>
      <c r="K461" s="10" t="s">
        <v>449</v>
      </c>
      <c r="L461" s="10" t="s">
        <v>68</v>
      </c>
      <c r="M461" s="10" t="s">
        <v>416</v>
      </c>
      <c r="N461" s="11" t="s">
        <v>1363</v>
      </c>
      <c r="O461" s="10"/>
      <c r="P461" s="10" t="s">
        <v>71</v>
      </c>
      <c r="Q461" s="11" t="s">
        <v>72</v>
      </c>
      <c r="R461" s="11" t="s">
        <v>1363</v>
      </c>
      <c r="S461" s="11" t="s">
        <v>74</v>
      </c>
      <c r="T461" s="11" t="s">
        <v>1930</v>
      </c>
      <c r="U461" s="10" t="n">
        <f aca="false">IF(AND($D461="",$E461="",$F461=""),1,0)</f>
        <v>0</v>
      </c>
      <c r="V461" s="10" t="n">
        <f aca="false">IF(OR($I461="",$I461="—"),1,0)</f>
        <v>0</v>
      </c>
      <c r="W461" s="10" t="n">
        <f aca="false">IF(AND(ISNUMBER($D461),ISNUMBER($E461)),IF($E461&gt;$D461,1,0),0)+IF(AND(ISNUMBER($D461),ISNUMBER($F461)),IF($D461&gt;$F461,1,0),0)+IF(AND(ISNUMBER($E461),ISNUMBER($F461)),IF($E461&gt;$F461,1,0),0)</f>
        <v>0</v>
      </c>
      <c r="X461" s="13" t="s">
        <v>76</v>
      </c>
    </row>
    <row r="462" customFormat="false" ht="15" hidden="false" customHeight="false" outlineLevel="0" collapsed="false">
      <c r="A462" s="10" t="s">
        <v>1931</v>
      </c>
      <c r="B462" s="10" t="s">
        <v>1932</v>
      </c>
      <c r="C462" s="11" t="s">
        <v>1933</v>
      </c>
      <c r="D462" s="12" t="n">
        <v>1</v>
      </c>
      <c r="E462" s="12"/>
      <c r="F462" s="12"/>
      <c r="G462" s="10" t="s">
        <v>1934</v>
      </c>
      <c r="H462" s="10" t="s">
        <v>1935</v>
      </c>
      <c r="I462" s="11" t="s">
        <v>1936</v>
      </c>
      <c r="J462" s="10" t="s">
        <v>1937</v>
      </c>
      <c r="K462" s="10" t="s">
        <v>1935</v>
      </c>
      <c r="L462" s="10" t="s">
        <v>68</v>
      </c>
      <c r="M462" s="10" t="s">
        <v>416</v>
      </c>
      <c r="N462" s="11" t="s">
        <v>1363</v>
      </c>
      <c r="O462" s="10" t="s">
        <v>1938</v>
      </c>
      <c r="P462" s="10" t="s">
        <v>637</v>
      </c>
      <c r="Q462" s="11" t="s">
        <v>72</v>
      </c>
      <c r="R462" s="11" t="s">
        <v>1363</v>
      </c>
      <c r="S462" s="11" t="s">
        <v>710</v>
      </c>
      <c r="T462" s="11" t="s">
        <v>1939</v>
      </c>
      <c r="U462" s="10" t="n">
        <f aca="false">IF(AND($D462="",$E462="",$F462=""),1,0)</f>
        <v>0</v>
      </c>
      <c r="V462" s="10" t="n">
        <f aca="false">IF(OR($I462="",$I462="—"),1,0)</f>
        <v>0</v>
      </c>
      <c r="W462" s="10" t="n">
        <f aca="false">IF(AND(ISNUMBER($D462),ISNUMBER($E462)),IF($E462&gt;$D462,1,0),0)+IF(AND(ISNUMBER($D462),ISNUMBER($F462)),IF($D462&gt;$F462,1,0),0)+IF(AND(ISNUMBER($E462),ISNUMBER($F462)),IF($E462&gt;$F462,1,0),0)</f>
        <v>0</v>
      </c>
      <c r="X462" s="13" t="s">
        <v>76</v>
      </c>
    </row>
    <row r="463" customFormat="false" ht="15" hidden="false" customHeight="false" outlineLevel="0" collapsed="false">
      <c r="A463" s="10" t="s">
        <v>1940</v>
      </c>
      <c r="B463" s="10" t="s">
        <v>1941</v>
      </c>
      <c r="C463" s="11" t="s">
        <v>1942</v>
      </c>
      <c r="D463" s="12"/>
      <c r="E463" s="12"/>
      <c r="F463" s="12"/>
      <c r="G463" s="11" t="s">
        <v>1401</v>
      </c>
      <c r="H463" s="10" t="s">
        <v>1943</v>
      </c>
      <c r="I463" s="11" t="s">
        <v>1670</v>
      </c>
      <c r="J463" s="10" t="s">
        <v>415</v>
      </c>
      <c r="K463" s="10" t="s">
        <v>67</v>
      </c>
      <c r="L463" s="10" t="s">
        <v>68</v>
      </c>
      <c r="M463" s="10" t="s">
        <v>69</v>
      </c>
      <c r="N463" s="10"/>
      <c r="O463" s="10"/>
      <c r="P463" s="10" t="s">
        <v>71</v>
      </c>
      <c r="Q463" s="11" t="s">
        <v>72</v>
      </c>
      <c r="R463" s="11" t="s">
        <v>73</v>
      </c>
      <c r="S463" s="11" t="s">
        <v>74</v>
      </c>
      <c r="T463" s="11" t="s">
        <v>1944</v>
      </c>
      <c r="U463" s="10" t="n">
        <f aca="false">IF(AND($D463="",$E463="",$F463=""),1,0)</f>
        <v>1</v>
      </c>
      <c r="V463" s="10" t="n">
        <f aca="false">IF(OR($I463="",$I463="—"),1,0)</f>
        <v>0</v>
      </c>
      <c r="W463" s="10" t="n">
        <f aca="false">IF(AND(ISNUMBER($D463),ISNUMBER($E463)),IF($E463&gt;$D463,1,0),0)+IF(AND(ISNUMBER($D463),ISNUMBER($F463)),IF($D463&gt;$F463,1,0),0)+IF(AND(ISNUMBER($E463),ISNUMBER($F463)),IF($E463&gt;$F463,1,0),0)</f>
        <v>0</v>
      </c>
      <c r="X463" s="13" t="s">
        <v>76</v>
      </c>
    </row>
    <row r="464" customFormat="false" ht="15" hidden="false" customHeight="false" outlineLevel="0" collapsed="false">
      <c r="A464" s="10" t="s">
        <v>1945</v>
      </c>
      <c r="B464" s="10" t="s">
        <v>1946</v>
      </c>
      <c r="C464" s="10" t="s">
        <v>1947</v>
      </c>
      <c r="D464" s="12" t="n">
        <v>5</v>
      </c>
      <c r="E464" s="12"/>
      <c r="F464" s="12"/>
      <c r="G464" s="11" t="s">
        <v>1948</v>
      </c>
      <c r="H464" s="10" t="s">
        <v>1949</v>
      </c>
      <c r="I464" s="11" t="s">
        <v>1950</v>
      </c>
      <c r="J464" s="10" t="s">
        <v>1951</v>
      </c>
      <c r="K464" s="10" t="s">
        <v>1857</v>
      </c>
      <c r="L464" s="10" t="s">
        <v>68</v>
      </c>
      <c r="M464" s="10" t="s">
        <v>416</v>
      </c>
      <c r="N464" s="11" t="s">
        <v>1952</v>
      </c>
      <c r="O464" s="10"/>
      <c r="P464" s="10" t="s">
        <v>637</v>
      </c>
      <c r="Q464" s="11" t="s">
        <v>72</v>
      </c>
      <c r="R464" s="11" t="s">
        <v>1952</v>
      </c>
      <c r="S464" s="11" t="s">
        <v>710</v>
      </c>
      <c r="T464" s="11" t="s">
        <v>1953</v>
      </c>
      <c r="U464" s="10" t="n">
        <f aca="false">IF(AND($D464="",$E464="",$F464=""),1,0)</f>
        <v>0</v>
      </c>
      <c r="V464" s="10" t="n">
        <f aca="false">IF(OR($I464="",$I464="—"),1,0)</f>
        <v>0</v>
      </c>
      <c r="W464" s="10" t="n">
        <f aca="false">IF(AND(ISNUMBER($D464),ISNUMBER($E464)),IF($E464&gt;$D464,1,0),0)+IF(AND(ISNUMBER($D464),ISNUMBER($F464)),IF($D464&gt;$F464,1,0),0)+IF(AND(ISNUMBER($E464),ISNUMBER($F464)),IF($E464&gt;$F464,1,0),0)</f>
        <v>0</v>
      </c>
      <c r="X464" s="13" t="s">
        <v>76</v>
      </c>
    </row>
    <row r="465" customFormat="false" ht="15" hidden="false" customHeight="false" outlineLevel="0" collapsed="false">
      <c r="A465" s="10" t="s">
        <v>1954</v>
      </c>
      <c r="B465" s="10" t="s">
        <v>1955</v>
      </c>
      <c r="C465" s="11" t="s">
        <v>1956</v>
      </c>
      <c r="D465" s="12" t="n">
        <v>50</v>
      </c>
      <c r="E465" s="12"/>
      <c r="F465" s="12"/>
      <c r="G465" s="10" t="s">
        <v>1739</v>
      </c>
      <c r="H465" s="10" t="s">
        <v>1957</v>
      </c>
      <c r="I465" s="11" t="s">
        <v>1753</v>
      </c>
      <c r="J465" s="10" t="s">
        <v>1754</v>
      </c>
      <c r="K465" s="10" t="s">
        <v>1752</v>
      </c>
      <c r="L465" s="10" t="s">
        <v>68</v>
      </c>
      <c r="M465" s="10" t="s">
        <v>416</v>
      </c>
      <c r="N465" s="11" t="s">
        <v>1363</v>
      </c>
      <c r="O465" s="10"/>
      <c r="P465" s="10" t="s">
        <v>637</v>
      </c>
      <c r="Q465" s="11" t="s">
        <v>72</v>
      </c>
      <c r="R465" s="11" t="s">
        <v>1363</v>
      </c>
      <c r="S465" s="11" t="s">
        <v>710</v>
      </c>
      <c r="T465" s="11" t="s">
        <v>1958</v>
      </c>
      <c r="U465" s="10" t="n">
        <f aca="false">IF(AND($D465="",$E465="",$F465=""),1,0)</f>
        <v>0</v>
      </c>
      <c r="V465" s="10" t="n">
        <f aca="false">IF(OR($I465="",$I465="—"),1,0)</f>
        <v>0</v>
      </c>
      <c r="W465" s="10" t="n">
        <f aca="false">IF(AND(ISNUMBER($D465),ISNUMBER($E465)),IF($E465&gt;$D465,1,0),0)+IF(AND(ISNUMBER($D465),ISNUMBER($F465)),IF($D465&gt;$F465,1,0),0)+IF(AND(ISNUMBER($E465),ISNUMBER($F465)),IF($E465&gt;$F465,1,0),0)</f>
        <v>0</v>
      </c>
      <c r="X465" s="13" t="s">
        <v>76</v>
      </c>
    </row>
    <row r="466" customFormat="false" ht="15" hidden="false" customHeight="false" outlineLevel="0" collapsed="false">
      <c r="A466" s="10" t="s">
        <v>1959</v>
      </c>
      <c r="B466" s="10" t="s">
        <v>1960</v>
      </c>
      <c r="C466" s="10" t="s">
        <v>1961</v>
      </c>
      <c r="D466" s="12" t="n">
        <v>7.47</v>
      </c>
      <c r="E466" s="12" t="n">
        <v>7.03</v>
      </c>
      <c r="F466" s="12" t="n">
        <v>8.16</v>
      </c>
      <c r="G466" s="10" t="s">
        <v>1962</v>
      </c>
      <c r="H466" s="10" t="s">
        <v>707</v>
      </c>
      <c r="I466" s="11" t="s">
        <v>1963</v>
      </c>
      <c r="J466" s="10" t="s">
        <v>1964</v>
      </c>
      <c r="K466" s="10" t="s">
        <v>707</v>
      </c>
      <c r="L466" s="10" t="s">
        <v>68</v>
      </c>
      <c r="M466" s="10" t="s">
        <v>1308</v>
      </c>
      <c r="N466" s="10"/>
      <c r="O466" s="10"/>
      <c r="P466" s="10" t="s">
        <v>637</v>
      </c>
      <c r="Q466" s="11" t="s">
        <v>1309</v>
      </c>
      <c r="R466" s="11" t="s">
        <v>1310</v>
      </c>
      <c r="S466" s="11" t="s">
        <v>710</v>
      </c>
      <c r="T466" s="11" t="s">
        <v>1965</v>
      </c>
      <c r="U466" s="10" t="n">
        <f aca="false">IF(AND($D466="",$E466="",$F466=""),1,0)</f>
        <v>0</v>
      </c>
      <c r="V466" s="10" t="n">
        <f aca="false">IF(OR($I466="",$I466="—"),1,0)</f>
        <v>0</v>
      </c>
      <c r="W466" s="10" t="n">
        <f aca="false">IF(AND(ISNUMBER($D466),ISNUMBER($E466)),IF($E466&gt;$D466,1,0),0)+IF(AND(ISNUMBER($D466),ISNUMBER($F466)),IF($D466&gt;$F466,1,0),0)+IF(AND(ISNUMBER($E466),ISNUMBER($F466)),IF($E466&gt;$F466,1,0),0)</f>
        <v>0</v>
      </c>
      <c r="X466" s="13" t="s">
        <v>76</v>
      </c>
    </row>
    <row r="467" customFormat="false" ht="15" hidden="false" customHeight="false" outlineLevel="0" collapsed="false">
      <c r="A467" s="10" t="s">
        <v>1966</v>
      </c>
      <c r="B467" s="10" t="s">
        <v>1967</v>
      </c>
      <c r="C467" s="10" t="s">
        <v>1968</v>
      </c>
      <c r="D467" s="12" t="n">
        <v>43000</v>
      </c>
      <c r="E467" s="12" t="n">
        <v>40500</v>
      </c>
      <c r="F467" s="12" t="n">
        <v>47000</v>
      </c>
      <c r="G467" s="10" t="s">
        <v>1969</v>
      </c>
      <c r="H467" s="10" t="s">
        <v>707</v>
      </c>
      <c r="I467" s="11" t="s">
        <v>1963</v>
      </c>
      <c r="J467" s="10" t="s">
        <v>1964</v>
      </c>
      <c r="K467" s="10" t="s">
        <v>707</v>
      </c>
      <c r="L467" s="10" t="s">
        <v>68</v>
      </c>
      <c r="M467" s="10" t="s">
        <v>1308</v>
      </c>
      <c r="N467" s="10"/>
      <c r="O467" s="10"/>
      <c r="P467" s="10" t="s">
        <v>637</v>
      </c>
      <c r="Q467" s="11" t="s">
        <v>1309</v>
      </c>
      <c r="R467" s="11" t="s">
        <v>1310</v>
      </c>
      <c r="S467" s="11" t="s">
        <v>710</v>
      </c>
      <c r="T467" s="11" t="s">
        <v>1970</v>
      </c>
      <c r="U467" s="10" t="n">
        <f aca="false">IF(AND($D467="",$E467="",$F467=""),1,0)</f>
        <v>0</v>
      </c>
      <c r="V467" s="10" t="n">
        <f aca="false">IF(OR($I467="",$I467="—"),1,0)</f>
        <v>0</v>
      </c>
      <c r="W467" s="10" t="n">
        <f aca="false">IF(AND(ISNUMBER($D467),ISNUMBER($E467)),IF($E467&gt;$D467,1,0),0)+IF(AND(ISNUMBER($D467),ISNUMBER($F467)),IF($D467&gt;$F467,1,0),0)+IF(AND(ISNUMBER($E467),ISNUMBER($F467)),IF($E467&gt;$F467,1,0),0)</f>
        <v>0</v>
      </c>
      <c r="X467" s="13" t="s">
        <v>76</v>
      </c>
    </row>
    <row r="468" customFormat="false" ht="15" hidden="false" customHeight="false" outlineLevel="0" collapsed="false">
      <c r="A468" s="10" t="s">
        <v>1971</v>
      </c>
      <c r="B468" s="10" t="s">
        <v>1972</v>
      </c>
      <c r="C468" s="10" t="s">
        <v>1973</v>
      </c>
      <c r="D468" s="12" t="n">
        <v>35000</v>
      </c>
      <c r="E468" s="12" t="n">
        <v>34000</v>
      </c>
      <c r="F468" s="12" t="n">
        <v>35000</v>
      </c>
      <c r="G468" s="10" t="s">
        <v>1969</v>
      </c>
      <c r="H468" s="10" t="s">
        <v>1974</v>
      </c>
      <c r="I468" s="11" t="s">
        <v>1963</v>
      </c>
      <c r="J468" s="10" t="s">
        <v>1975</v>
      </c>
      <c r="K468" s="10" t="s">
        <v>1974</v>
      </c>
      <c r="L468" s="10" t="s">
        <v>68</v>
      </c>
      <c r="M468" s="10" t="s">
        <v>1308</v>
      </c>
      <c r="N468" s="10"/>
      <c r="O468" s="10"/>
      <c r="P468" s="10" t="s">
        <v>637</v>
      </c>
      <c r="Q468" s="11" t="s">
        <v>1309</v>
      </c>
      <c r="R468" s="11" t="s">
        <v>1310</v>
      </c>
      <c r="S468" s="11" t="s">
        <v>710</v>
      </c>
      <c r="T468" s="11" t="s">
        <v>1976</v>
      </c>
      <c r="U468" s="10" t="n">
        <f aca="false">IF(AND($D468="",$E468="",$F468=""),1,0)</f>
        <v>0</v>
      </c>
      <c r="V468" s="10" t="n">
        <f aca="false">IF(OR($I468="",$I468="—"),1,0)</f>
        <v>0</v>
      </c>
      <c r="W468" s="10" t="n">
        <f aca="false">IF(AND(ISNUMBER($D468),ISNUMBER($E468)),IF($E468&gt;$D468,1,0),0)+IF(AND(ISNUMBER($D468),ISNUMBER($F468)),IF($D468&gt;$F468,1,0),0)+IF(AND(ISNUMBER($E468),ISNUMBER($F468)),IF($E468&gt;$F468,1,0),0)</f>
        <v>0</v>
      </c>
      <c r="X468" s="13" t="s">
        <v>76</v>
      </c>
    </row>
    <row r="469" customFormat="false" ht="15" hidden="false" customHeight="false" outlineLevel="0" collapsed="false">
      <c r="A469" s="10" t="s">
        <v>1977</v>
      </c>
      <c r="B469" s="10" t="s">
        <v>1978</v>
      </c>
      <c r="C469" s="10" t="s">
        <v>1979</v>
      </c>
      <c r="D469" s="12" t="n">
        <v>78000</v>
      </c>
      <c r="E469" s="12" t="n">
        <v>78000</v>
      </c>
      <c r="F469" s="12" t="n">
        <v>85000</v>
      </c>
      <c r="G469" s="10" t="s">
        <v>1969</v>
      </c>
      <c r="H469" s="10" t="s">
        <v>1980</v>
      </c>
      <c r="I469" s="11" t="s">
        <v>1963</v>
      </c>
      <c r="J469" s="10" t="s">
        <v>1981</v>
      </c>
      <c r="K469" s="10" t="s">
        <v>1980</v>
      </c>
      <c r="L469" s="10" t="s">
        <v>68</v>
      </c>
      <c r="M469" s="10" t="s">
        <v>1308</v>
      </c>
      <c r="N469" s="10"/>
      <c r="O469" s="10"/>
      <c r="P469" s="10" t="s">
        <v>637</v>
      </c>
      <c r="Q469" s="11" t="s">
        <v>1309</v>
      </c>
      <c r="R469" s="11" t="s">
        <v>1310</v>
      </c>
      <c r="S469" s="11" t="s">
        <v>710</v>
      </c>
      <c r="T469" s="11" t="s">
        <v>1982</v>
      </c>
      <c r="U469" s="10" t="n">
        <f aca="false">IF(AND($D469="",$E469="",$F469=""),1,0)</f>
        <v>0</v>
      </c>
      <c r="V469" s="10" t="n">
        <f aca="false">IF(OR($I469="",$I469="—"),1,0)</f>
        <v>0</v>
      </c>
      <c r="W469" s="10" t="n">
        <f aca="false">IF(AND(ISNUMBER($D469),ISNUMBER($E469)),IF($E469&gt;$D469,1,0),0)+IF(AND(ISNUMBER($D469),ISNUMBER($F469)),IF($D469&gt;$F469,1,0),0)+IF(AND(ISNUMBER($E469),ISNUMBER($F469)),IF($E469&gt;$F469,1,0),0)</f>
        <v>0</v>
      </c>
      <c r="X469" s="13" t="s">
        <v>76</v>
      </c>
    </row>
    <row r="470" customFormat="false" ht="15" hidden="false" customHeight="false" outlineLevel="0" collapsed="false">
      <c r="A470" s="10" t="s">
        <v>1983</v>
      </c>
      <c r="B470" s="10" t="s">
        <v>1984</v>
      </c>
      <c r="C470" s="10" t="s">
        <v>1985</v>
      </c>
      <c r="D470" s="12" t="n">
        <v>36000</v>
      </c>
      <c r="E470" s="12" t="n">
        <v>34000</v>
      </c>
      <c r="F470" s="12" t="n">
        <v>36000</v>
      </c>
      <c r="G470" s="10" t="s">
        <v>1969</v>
      </c>
      <c r="H470" s="10" t="s">
        <v>1974</v>
      </c>
      <c r="I470" s="11" t="s">
        <v>1963</v>
      </c>
      <c r="J470" s="10" t="s">
        <v>1975</v>
      </c>
      <c r="K470" s="10" t="s">
        <v>1974</v>
      </c>
      <c r="L470" s="10" t="s">
        <v>68</v>
      </c>
      <c r="M470" s="10" t="s">
        <v>1308</v>
      </c>
      <c r="N470" s="10"/>
      <c r="O470" s="10"/>
      <c r="P470" s="10" t="s">
        <v>637</v>
      </c>
      <c r="Q470" s="11" t="s">
        <v>1309</v>
      </c>
      <c r="R470" s="11" t="s">
        <v>1310</v>
      </c>
      <c r="S470" s="11" t="s">
        <v>710</v>
      </c>
      <c r="T470" s="11" t="s">
        <v>1986</v>
      </c>
      <c r="U470" s="10" t="n">
        <f aca="false">IF(AND($D470="",$E470="",$F470=""),1,0)</f>
        <v>0</v>
      </c>
      <c r="V470" s="10" t="n">
        <f aca="false">IF(OR($I470="",$I470="—"),1,0)</f>
        <v>0</v>
      </c>
      <c r="W470" s="10" t="n">
        <f aca="false">IF(AND(ISNUMBER($D470),ISNUMBER($E470)),IF($E470&gt;$D470,1,0),0)+IF(AND(ISNUMBER($D470),ISNUMBER($F470)),IF($D470&gt;$F470,1,0),0)+IF(AND(ISNUMBER($E470),ISNUMBER($F470)),IF($E470&gt;$F470,1,0),0)</f>
        <v>0</v>
      </c>
      <c r="X470" s="13" t="s">
        <v>76</v>
      </c>
    </row>
    <row r="471" customFormat="false" ht="15" hidden="false" customHeight="false" outlineLevel="0" collapsed="false">
      <c r="A471" s="10" t="s">
        <v>1987</v>
      </c>
      <c r="B471" s="10" t="s">
        <v>1988</v>
      </c>
      <c r="C471" s="10" t="s">
        <v>1989</v>
      </c>
      <c r="D471" s="12" t="n">
        <v>85000</v>
      </c>
      <c r="E471" s="12" t="n">
        <v>75000</v>
      </c>
      <c r="F471" s="12" t="n">
        <v>85000</v>
      </c>
      <c r="G471" s="10" t="s">
        <v>1969</v>
      </c>
      <c r="H471" s="10" t="s">
        <v>1974</v>
      </c>
      <c r="I471" s="11" t="s">
        <v>1963</v>
      </c>
      <c r="J471" s="10" t="s">
        <v>1975</v>
      </c>
      <c r="K471" s="10" t="s">
        <v>1974</v>
      </c>
      <c r="L471" s="10" t="s">
        <v>68</v>
      </c>
      <c r="M471" s="10" t="s">
        <v>1308</v>
      </c>
      <c r="N471" s="10"/>
      <c r="O471" s="10"/>
      <c r="P471" s="10" t="s">
        <v>637</v>
      </c>
      <c r="Q471" s="11" t="s">
        <v>1309</v>
      </c>
      <c r="R471" s="11" t="s">
        <v>1310</v>
      </c>
      <c r="S471" s="11" t="s">
        <v>710</v>
      </c>
      <c r="T471" s="11" t="s">
        <v>1990</v>
      </c>
      <c r="U471" s="10" t="n">
        <f aca="false">IF(AND($D471="",$E471="",$F471=""),1,0)</f>
        <v>0</v>
      </c>
      <c r="V471" s="10" t="n">
        <f aca="false">IF(OR($I471="",$I471="—"),1,0)</f>
        <v>0</v>
      </c>
      <c r="W471" s="10" t="n">
        <f aca="false">IF(AND(ISNUMBER($D471),ISNUMBER($E471)),IF($E471&gt;$D471,1,0),0)+IF(AND(ISNUMBER($D471),ISNUMBER($F471)),IF($D471&gt;$F471,1,0),0)+IF(AND(ISNUMBER($E471),ISNUMBER($F471)),IF($E471&gt;$F471,1,0),0)</f>
        <v>0</v>
      </c>
      <c r="X471" s="13" t="s">
        <v>76</v>
      </c>
    </row>
    <row r="472" customFormat="false" ht="15" hidden="false" customHeight="false" outlineLevel="0" collapsed="false">
      <c r="A472" s="10" t="s">
        <v>1991</v>
      </c>
      <c r="B472" s="10" t="s">
        <v>1992</v>
      </c>
      <c r="C472" s="11" t="s">
        <v>1993</v>
      </c>
      <c r="D472" s="12" t="n">
        <v>16000</v>
      </c>
      <c r="E472" s="12" t="n">
        <v>15000</v>
      </c>
      <c r="F472" s="12" t="n">
        <v>16000</v>
      </c>
      <c r="G472" s="10" t="s">
        <v>1994</v>
      </c>
      <c r="H472" s="10" t="s">
        <v>1629</v>
      </c>
      <c r="I472" s="11" t="s">
        <v>1963</v>
      </c>
      <c r="J472" s="10" t="s">
        <v>1995</v>
      </c>
      <c r="K472" s="10" t="s">
        <v>1629</v>
      </c>
      <c r="L472" s="10" t="s">
        <v>68</v>
      </c>
      <c r="M472" s="10" t="s">
        <v>1308</v>
      </c>
      <c r="N472" s="10"/>
      <c r="O472" s="10"/>
      <c r="P472" s="10" t="s">
        <v>637</v>
      </c>
      <c r="Q472" s="11" t="s">
        <v>1309</v>
      </c>
      <c r="R472" s="11" t="s">
        <v>1310</v>
      </c>
      <c r="S472" s="11" t="s">
        <v>710</v>
      </c>
      <c r="T472" s="11" t="s">
        <v>1996</v>
      </c>
      <c r="U472" s="10" t="n">
        <f aca="false">IF(AND($D472="",$E472="",$F472=""),1,0)</f>
        <v>0</v>
      </c>
      <c r="V472" s="10" t="n">
        <f aca="false">IF(OR($I472="",$I472="—"),1,0)</f>
        <v>0</v>
      </c>
      <c r="W472" s="10" t="n">
        <f aca="false">IF(AND(ISNUMBER($D472),ISNUMBER($E472)),IF($E472&gt;$D472,1,0),0)+IF(AND(ISNUMBER($D472),ISNUMBER($F472)),IF($D472&gt;$F472,1,0),0)+IF(AND(ISNUMBER($E472),ISNUMBER($F472)),IF($E472&gt;$F472,1,0),0)</f>
        <v>0</v>
      </c>
      <c r="X472" s="13" t="s">
        <v>76</v>
      </c>
    </row>
    <row r="473" customFormat="false" ht="15" hidden="false" customHeight="false" outlineLevel="0" collapsed="false">
      <c r="A473" s="10" t="s">
        <v>1997</v>
      </c>
      <c r="B473" s="10" t="s">
        <v>1998</v>
      </c>
      <c r="C473" s="11" t="s">
        <v>1999</v>
      </c>
      <c r="D473" s="12" t="n">
        <v>16000</v>
      </c>
      <c r="E473" s="12" t="n">
        <v>16000</v>
      </c>
      <c r="F473" s="12" t="n">
        <v>19000</v>
      </c>
      <c r="G473" s="10" t="s">
        <v>1994</v>
      </c>
      <c r="H473" s="10" t="s">
        <v>2000</v>
      </c>
      <c r="I473" s="11" t="s">
        <v>1963</v>
      </c>
      <c r="J473" s="10" t="s">
        <v>2001</v>
      </c>
      <c r="K473" s="10" t="s">
        <v>2000</v>
      </c>
      <c r="L473" s="10" t="s">
        <v>68</v>
      </c>
      <c r="M473" s="10" t="s">
        <v>1308</v>
      </c>
      <c r="N473" s="10"/>
      <c r="O473" s="10"/>
      <c r="P473" s="10" t="s">
        <v>637</v>
      </c>
      <c r="Q473" s="11" t="s">
        <v>1309</v>
      </c>
      <c r="R473" s="11" t="s">
        <v>1310</v>
      </c>
      <c r="S473" s="11" t="s">
        <v>710</v>
      </c>
      <c r="T473" s="11" t="s">
        <v>2002</v>
      </c>
      <c r="U473" s="10" t="n">
        <f aca="false">IF(AND($D473="",$E473="",$F473=""),1,0)</f>
        <v>0</v>
      </c>
      <c r="V473" s="10" t="n">
        <f aca="false">IF(OR($I473="",$I473="—"),1,0)</f>
        <v>0</v>
      </c>
      <c r="W473" s="10" t="n">
        <f aca="false">IF(AND(ISNUMBER($D473),ISNUMBER($E473)),IF($E473&gt;$D473,1,0),0)+IF(AND(ISNUMBER($D473),ISNUMBER($F473)),IF($D473&gt;$F473,1,0),0)+IF(AND(ISNUMBER($E473),ISNUMBER($F473)),IF($E473&gt;$F473,1,0),0)</f>
        <v>0</v>
      </c>
      <c r="X473" s="13" t="s">
        <v>76</v>
      </c>
    </row>
    <row r="474" customFormat="false" ht="15" hidden="false" customHeight="false" outlineLevel="0" collapsed="false">
      <c r="A474" s="10" t="s">
        <v>2003</v>
      </c>
      <c r="B474" s="10" t="s">
        <v>2004</v>
      </c>
      <c r="C474" s="11" t="s">
        <v>2005</v>
      </c>
      <c r="D474" s="12" t="n">
        <v>12000</v>
      </c>
      <c r="E474" s="12" t="n">
        <v>12000</v>
      </c>
      <c r="F474" s="12" t="n">
        <v>17000</v>
      </c>
      <c r="G474" s="10" t="s">
        <v>1994</v>
      </c>
      <c r="H474" s="10" t="s">
        <v>665</v>
      </c>
      <c r="I474" s="11" t="s">
        <v>1963</v>
      </c>
      <c r="J474" s="10" t="s">
        <v>2006</v>
      </c>
      <c r="K474" s="10" t="s">
        <v>665</v>
      </c>
      <c r="L474" s="10" t="s">
        <v>68</v>
      </c>
      <c r="M474" s="10" t="s">
        <v>1308</v>
      </c>
      <c r="N474" s="10"/>
      <c r="O474" s="10"/>
      <c r="P474" s="10" t="s">
        <v>637</v>
      </c>
      <c r="Q474" s="11" t="s">
        <v>1309</v>
      </c>
      <c r="R474" s="11" t="s">
        <v>1310</v>
      </c>
      <c r="S474" s="11" t="s">
        <v>710</v>
      </c>
      <c r="T474" s="11" t="s">
        <v>2007</v>
      </c>
      <c r="U474" s="10" t="n">
        <f aca="false">IF(AND($D474="",$E474="",$F474=""),1,0)</f>
        <v>0</v>
      </c>
      <c r="V474" s="10" t="n">
        <f aca="false">IF(OR($I474="",$I474="—"),1,0)</f>
        <v>0</v>
      </c>
      <c r="W474" s="10" t="n">
        <f aca="false">IF(AND(ISNUMBER($D474),ISNUMBER($E474)),IF($E474&gt;$D474,1,0),0)+IF(AND(ISNUMBER($D474),ISNUMBER($F474)),IF($D474&gt;$F474,1,0),0)+IF(AND(ISNUMBER($E474),ISNUMBER($F474)),IF($E474&gt;$F474,1,0),0)</f>
        <v>0</v>
      </c>
      <c r="X474" s="13" t="s">
        <v>76</v>
      </c>
    </row>
    <row r="475" customFormat="false" ht="15" hidden="false" customHeight="false" outlineLevel="0" collapsed="false">
      <c r="A475" s="10" t="s">
        <v>2008</v>
      </c>
      <c r="B475" s="10" t="s">
        <v>2009</v>
      </c>
      <c r="C475" s="11" t="s">
        <v>2010</v>
      </c>
      <c r="D475" s="12" t="n">
        <v>25000</v>
      </c>
      <c r="E475" s="12" t="n">
        <v>16000</v>
      </c>
      <c r="F475" s="12" t="n">
        <v>25000</v>
      </c>
      <c r="G475" s="10" t="s">
        <v>2011</v>
      </c>
      <c r="H475" s="10" t="s">
        <v>2012</v>
      </c>
      <c r="I475" s="10" t="s">
        <v>2013</v>
      </c>
      <c r="J475" s="10" t="s">
        <v>2014</v>
      </c>
      <c r="K475" s="10" t="s">
        <v>2012</v>
      </c>
      <c r="L475" s="10" t="s">
        <v>68</v>
      </c>
      <c r="M475" s="10" t="s">
        <v>1308</v>
      </c>
      <c r="N475" s="10"/>
      <c r="O475" s="10"/>
      <c r="P475" s="10" t="s">
        <v>637</v>
      </c>
      <c r="Q475" s="11" t="s">
        <v>1309</v>
      </c>
      <c r="R475" s="11" t="s">
        <v>1310</v>
      </c>
      <c r="S475" s="11" t="s">
        <v>710</v>
      </c>
      <c r="T475" s="11" t="s">
        <v>2015</v>
      </c>
      <c r="U475" s="10" t="n">
        <f aca="false">IF(AND($D475="",$E475="",$F475=""),1,0)</f>
        <v>0</v>
      </c>
      <c r="V475" s="10" t="n">
        <f aca="false">IF(OR($I475="",$I475="—"),1,0)</f>
        <v>0</v>
      </c>
      <c r="W475" s="10" t="n">
        <f aca="false">IF(AND(ISNUMBER($D475),ISNUMBER($E475)),IF($E475&gt;$D475,1,0),0)+IF(AND(ISNUMBER($D475),ISNUMBER($F475)),IF($D475&gt;$F475,1,0),0)+IF(AND(ISNUMBER($E475),ISNUMBER($F475)),IF($E475&gt;$F475,1,0),0)</f>
        <v>0</v>
      </c>
      <c r="X475" s="13" t="s">
        <v>76</v>
      </c>
    </row>
    <row r="476" customFormat="false" ht="15" hidden="false" customHeight="false" outlineLevel="0" collapsed="false">
      <c r="A476" s="10" t="s">
        <v>2016</v>
      </c>
      <c r="B476" s="10" t="s">
        <v>2017</v>
      </c>
      <c r="C476" s="10" t="s">
        <v>2018</v>
      </c>
      <c r="D476" s="12" t="n">
        <v>18.75</v>
      </c>
      <c r="E476" s="12" t="n">
        <v>11.83</v>
      </c>
      <c r="F476" s="12" t="n">
        <v>18.75</v>
      </c>
      <c r="G476" s="10" t="s">
        <v>1962</v>
      </c>
      <c r="H476" s="10" t="s">
        <v>2012</v>
      </c>
      <c r="I476" s="10" t="s">
        <v>2013</v>
      </c>
      <c r="J476" s="10" t="s">
        <v>2014</v>
      </c>
      <c r="K476" s="10" t="s">
        <v>2012</v>
      </c>
      <c r="L476" s="10" t="s">
        <v>68</v>
      </c>
      <c r="M476" s="10" t="s">
        <v>1308</v>
      </c>
      <c r="N476" s="10"/>
      <c r="O476" s="10"/>
      <c r="P476" s="10" t="s">
        <v>637</v>
      </c>
      <c r="Q476" s="11" t="s">
        <v>1309</v>
      </c>
      <c r="R476" s="11" t="s">
        <v>1310</v>
      </c>
      <c r="S476" s="11" t="s">
        <v>710</v>
      </c>
      <c r="T476" s="11" t="s">
        <v>2019</v>
      </c>
      <c r="U476" s="10" t="n">
        <f aca="false">IF(AND($D476="",$E476="",$F476=""),1,0)</f>
        <v>0</v>
      </c>
      <c r="V476" s="10" t="n">
        <f aca="false">IF(OR($I476="",$I476="—"),1,0)</f>
        <v>0</v>
      </c>
      <c r="W476" s="10" t="n">
        <f aca="false">IF(AND(ISNUMBER($D476),ISNUMBER($E476)),IF($E476&gt;$D476,1,0),0)+IF(AND(ISNUMBER($D476),ISNUMBER($F476)),IF($D476&gt;$F476,1,0),0)+IF(AND(ISNUMBER($E476),ISNUMBER($F476)),IF($E476&gt;$F476,1,0),0)</f>
        <v>0</v>
      </c>
      <c r="X476" s="13" t="s">
        <v>76</v>
      </c>
    </row>
    <row r="477" customFormat="false" ht="15" hidden="false" customHeight="false" outlineLevel="0" collapsed="false">
      <c r="A477" s="10" t="s">
        <v>2020</v>
      </c>
      <c r="B477" s="10" t="s">
        <v>2021</v>
      </c>
      <c r="C477" s="10" t="s">
        <v>2022</v>
      </c>
      <c r="D477" s="12" t="n">
        <v>11.83</v>
      </c>
      <c r="E477" s="12" t="n">
        <v>11.83</v>
      </c>
      <c r="F477" s="12" t="n">
        <v>18.75</v>
      </c>
      <c r="G477" s="10" t="s">
        <v>1962</v>
      </c>
      <c r="H477" s="10" t="s">
        <v>2012</v>
      </c>
      <c r="I477" s="10" t="s">
        <v>2013</v>
      </c>
      <c r="J477" s="10" t="s">
        <v>2014</v>
      </c>
      <c r="K477" s="10" t="s">
        <v>2012</v>
      </c>
      <c r="L477" s="10" t="s">
        <v>68</v>
      </c>
      <c r="M477" s="10" t="s">
        <v>1308</v>
      </c>
      <c r="N477" s="10"/>
      <c r="O477" s="10"/>
      <c r="P477" s="10" t="s">
        <v>637</v>
      </c>
      <c r="Q477" s="11" t="s">
        <v>1309</v>
      </c>
      <c r="R477" s="11" t="s">
        <v>1310</v>
      </c>
      <c r="S477" s="11" t="s">
        <v>710</v>
      </c>
      <c r="T477" s="11" t="s">
        <v>1095</v>
      </c>
      <c r="U477" s="10" t="n">
        <f aca="false">IF(AND($D477="",$E477="",$F477=""),1,0)</f>
        <v>0</v>
      </c>
      <c r="V477" s="10" t="n">
        <f aca="false">IF(OR($I477="",$I477="—"),1,0)</f>
        <v>0</v>
      </c>
      <c r="W477" s="10" t="n">
        <f aca="false">IF(AND(ISNUMBER($D477),ISNUMBER($E477)),IF($E477&gt;$D477,1,0),0)+IF(AND(ISNUMBER($D477),ISNUMBER($F477)),IF($D477&gt;$F477,1,0),0)+IF(AND(ISNUMBER($E477),ISNUMBER($F477)),IF($E477&gt;$F477,1,0),0)</f>
        <v>0</v>
      </c>
      <c r="X477" s="13" t="s">
        <v>76</v>
      </c>
    </row>
    <row r="478" customFormat="false" ht="15" hidden="false" customHeight="false" outlineLevel="0" collapsed="false">
      <c r="A478" s="10" t="s">
        <v>2023</v>
      </c>
      <c r="B478" s="10" t="s">
        <v>2024</v>
      </c>
      <c r="C478" s="10" t="s">
        <v>2025</v>
      </c>
      <c r="D478" s="12" t="n">
        <v>13.36</v>
      </c>
      <c r="E478" s="12"/>
      <c r="F478" s="12"/>
      <c r="G478" s="10" t="s">
        <v>1962</v>
      </c>
      <c r="H478" s="10" t="s">
        <v>2026</v>
      </c>
      <c r="I478" s="11" t="s">
        <v>2027</v>
      </c>
      <c r="J478" s="10" t="s">
        <v>2028</v>
      </c>
      <c r="K478" s="10" t="s">
        <v>68</v>
      </c>
      <c r="L478" s="10" t="s">
        <v>68</v>
      </c>
      <c r="M478" s="10" t="s">
        <v>636</v>
      </c>
      <c r="N478" s="10"/>
      <c r="O478" s="10"/>
      <c r="P478" s="10" t="s">
        <v>637</v>
      </c>
      <c r="Q478" s="11" t="s">
        <v>638</v>
      </c>
      <c r="R478" s="11" t="s">
        <v>639</v>
      </c>
      <c r="S478" s="11" t="s">
        <v>638</v>
      </c>
      <c r="T478" s="10" t="s">
        <v>2029</v>
      </c>
      <c r="U478" s="10" t="n">
        <f aca="false">IF(AND($D478="",$E478="",$F478=""),1,0)</f>
        <v>0</v>
      </c>
      <c r="V478" s="10" t="n">
        <f aca="false">IF(OR($I478="",$I478="—"),1,0)</f>
        <v>0</v>
      </c>
      <c r="W478" s="10" t="n">
        <f aca="false">IF(AND(ISNUMBER($D478),ISNUMBER($E478)),IF($E478&gt;$D478,1,0),0)+IF(AND(ISNUMBER($D478),ISNUMBER($F478)),IF($D478&gt;$F478,1,0),0)+IF(AND(ISNUMBER($E478),ISNUMBER($F478)),IF($E478&gt;$F478,1,0),0)</f>
        <v>0</v>
      </c>
      <c r="X478" s="13" t="s">
        <v>76</v>
      </c>
    </row>
    <row r="479" customFormat="false" ht="15" hidden="false" customHeight="false" outlineLevel="0" collapsed="false">
      <c r="A479" s="10" t="s">
        <v>2030</v>
      </c>
      <c r="B479" s="10" t="s">
        <v>2031</v>
      </c>
      <c r="C479" s="10" t="s">
        <v>2032</v>
      </c>
      <c r="D479" s="12" t="n">
        <v>6.16</v>
      </c>
      <c r="E479" s="12"/>
      <c r="F479" s="12"/>
      <c r="G479" s="10" t="s">
        <v>1962</v>
      </c>
      <c r="H479" s="10" t="s">
        <v>2026</v>
      </c>
      <c r="I479" s="11" t="s">
        <v>2033</v>
      </c>
      <c r="J479" s="10" t="s">
        <v>2028</v>
      </c>
      <c r="K479" s="10" t="s">
        <v>68</v>
      </c>
      <c r="L479" s="10" t="s">
        <v>68</v>
      </c>
      <c r="M479" s="10" t="s">
        <v>636</v>
      </c>
      <c r="N479" s="10"/>
      <c r="O479" s="10"/>
      <c r="P479" s="10" t="s">
        <v>637</v>
      </c>
      <c r="Q479" s="11" t="s">
        <v>638</v>
      </c>
      <c r="R479" s="11" t="s">
        <v>639</v>
      </c>
      <c r="S479" s="11" t="s">
        <v>638</v>
      </c>
      <c r="T479" s="10" t="s">
        <v>2034</v>
      </c>
      <c r="U479" s="10" t="n">
        <f aca="false">IF(AND($D479="",$E479="",$F479=""),1,0)</f>
        <v>0</v>
      </c>
      <c r="V479" s="10" t="n">
        <f aca="false">IF(OR($I479="",$I479="—"),1,0)</f>
        <v>0</v>
      </c>
      <c r="W479" s="10" t="n">
        <f aca="false">IF(AND(ISNUMBER($D479),ISNUMBER($E479)),IF($E479&gt;$D479,1,0),0)+IF(AND(ISNUMBER($D479),ISNUMBER($F479)),IF($D479&gt;$F479,1,0),0)+IF(AND(ISNUMBER($E479),ISNUMBER($F479)),IF($E479&gt;$F479,1,0),0)</f>
        <v>0</v>
      </c>
      <c r="X479" s="13" t="s">
        <v>76</v>
      </c>
    </row>
    <row r="480" customFormat="false" ht="15" hidden="false" customHeight="false" outlineLevel="0" collapsed="false">
      <c r="A480" s="10" t="s">
        <v>2035</v>
      </c>
      <c r="B480" s="10" t="s">
        <v>2036</v>
      </c>
      <c r="C480" s="10" t="s">
        <v>2037</v>
      </c>
      <c r="D480" s="12" t="n">
        <v>13.7</v>
      </c>
      <c r="E480" s="12"/>
      <c r="F480" s="12"/>
      <c r="G480" s="10" t="s">
        <v>1962</v>
      </c>
      <c r="H480" s="10" t="s">
        <v>2026</v>
      </c>
      <c r="I480" s="11" t="s">
        <v>2038</v>
      </c>
      <c r="J480" s="10" t="s">
        <v>2028</v>
      </c>
      <c r="K480" s="10" t="s">
        <v>68</v>
      </c>
      <c r="L480" s="10" t="s">
        <v>68</v>
      </c>
      <c r="M480" s="10" t="s">
        <v>636</v>
      </c>
      <c r="N480" s="10"/>
      <c r="O480" s="10"/>
      <c r="P480" s="10" t="s">
        <v>637</v>
      </c>
      <c r="Q480" s="11" t="s">
        <v>638</v>
      </c>
      <c r="R480" s="11" t="s">
        <v>639</v>
      </c>
      <c r="S480" s="11" t="s">
        <v>638</v>
      </c>
      <c r="T480" s="10" t="s">
        <v>2039</v>
      </c>
      <c r="U480" s="10" t="n">
        <f aca="false">IF(AND($D480="",$E480="",$F480=""),1,0)</f>
        <v>0</v>
      </c>
      <c r="V480" s="10" t="n">
        <f aca="false">IF(OR($I480="",$I480="—"),1,0)</f>
        <v>0</v>
      </c>
      <c r="W480" s="10" t="n">
        <f aca="false">IF(AND(ISNUMBER($D480),ISNUMBER($E480)),IF($E480&gt;$D480,1,0),0)+IF(AND(ISNUMBER($D480),ISNUMBER($F480)),IF($D480&gt;$F480,1,0),0)+IF(AND(ISNUMBER($E480),ISNUMBER($F480)),IF($E480&gt;$F480,1,0),0)</f>
        <v>0</v>
      </c>
      <c r="X480" s="13" t="s">
        <v>76</v>
      </c>
    </row>
    <row r="481" customFormat="false" ht="15" hidden="false" customHeight="false" outlineLevel="0" collapsed="false">
      <c r="A481" s="10" t="s">
        <v>2040</v>
      </c>
      <c r="B481" s="10" t="s">
        <v>2041</v>
      </c>
      <c r="C481" s="10" t="s">
        <v>2042</v>
      </c>
      <c r="D481" s="12" t="n">
        <v>7.36</v>
      </c>
      <c r="E481" s="12"/>
      <c r="F481" s="12"/>
      <c r="G481" s="10" t="s">
        <v>1962</v>
      </c>
      <c r="H481" s="10" t="s">
        <v>2026</v>
      </c>
      <c r="I481" s="11" t="s">
        <v>2043</v>
      </c>
      <c r="J481" s="10" t="s">
        <v>2028</v>
      </c>
      <c r="K481" s="10" t="s">
        <v>68</v>
      </c>
      <c r="L481" s="10" t="s">
        <v>68</v>
      </c>
      <c r="M481" s="10" t="s">
        <v>636</v>
      </c>
      <c r="N481" s="10"/>
      <c r="O481" s="10"/>
      <c r="P481" s="10" t="s">
        <v>637</v>
      </c>
      <c r="Q481" s="11" t="s">
        <v>638</v>
      </c>
      <c r="R481" s="11" t="s">
        <v>639</v>
      </c>
      <c r="S481" s="11" t="s">
        <v>638</v>
      </c>
      <c r="T481" s="10" t="s">
        <v>2044</v>
      </c>
      <c r="U481" s="10" t="n">
        <f aca="false">IF(AND($D481="",$E481="",$F481=""),1,0)</f>
        <v>0</v>
      </c>
      <c r="V481" s="10" t="n">
        <f aca="false">IF(OR($I481="",$I481="—"),1,0)</f>
        <v>0</v>
      </c>
      <c r="W481" s="10" t="n">
        <f aca="false">IF(AND(ISNUMBER($D481),ISNUMBER($E481)),IF($E481&gt;$D481,1,0),0)+IF(AND(ISNUMBER($D481),ISNUMBER($F481)),IF($D481&gt;$F481,1,0),0)+IF(AND(ISNUMBER($E481),ISNUMBER($F481)),IF($E481&gt;$F481,1,0),0)</f>
        <v>0</v>
      </c>
      <c r="X481" s="13" t="s">
        <v>76</v>
      </c>
    </row>
    <row r="482" customFormat="false" ht="15" hidden="false" customHeight="false" outlineLevel="0" collapsed="false">
      <c r="A482" s="10" t="s">
        <v>2045</v>
      </c>
      <c r="B482" s="10" t="s">
        <v>2046</v>
      </c>
      <c r="C482" s="11" t="s">
        <v>2047</v>
      </c>
      <c r="D482" s="12" t="n">
        <v>2.74</v>
      </c>
      <c r="E482" s="12" t="n">
        <v>2.74</v>
      </c>
      <c r="F482" s="12" t="n">
        <v>4.28</v>
      </c>
      <c r="G482" s="10" t="s">
        <v>1962</v>
      </c>
      <c r="H482" s="10" t="s">
        <v>2048</v>
      </c>
      <c r="I482" s="11" t="s">
        <v>2049</v>
      </c>
      <c r="J482" s="10" t="s">
        <v>2028</v>
      </c>
      <c r="K482" s="10" t="s">
        <v>68</v>
      </c>
      <c r="L482" s="10" t="s">
        <v>68</v>
      </c>
      <c r="M482" s="10" t="s">
        <v>636</v>
      </c>
      <c r="N482" s="10"/>
      <c r="O482" s="10"/>
      <c r="P482" s="10" t="s">
        <v>637</v>
      </c>
      <c r="Q482" s="11" t="s">
        <v>638</v>
      </c>
      <c r="R482" s="11" t="s">
        <v>639</v>
      </c>
      <c r="S482" s="11" t="s">
        <v>710</v>
      </c>
      <c r="T482" s="10" t="s">
        <v>2050</v>
      </c>
      <c r="U482" s="10" t="n">
        <f aca="false">IF(AND($D482="",$E482="",$F482=""),1,0)</f>
        <v>0</v>
      </c>
      <c r="V482" s="10" t="n">
        <f aca="false">IF(OR($I482="",$I482="—"),1,0)</f>
        <v>0</v>
      </c>
      <c r="W482" s="10" t="n">
        <f aca="false">IF(AND(ISNUMBER($D482),ISNUMBER($E482)),IF($E482&gt;$D482,1,0),0)+IF(AND(ISNUMBER($D482),ISNUMBER($F482)),IF($D482&gt;$F482,1,0),0)+IF(AND(ISNUMBER($E482),ISNUMBER($F482)),IF($E482&gt;$F482,1,0),0)</f>
        <v>0</v>
      </c>
      <c r="X482" s="13" t="s">
        <v>76</v>
      </c>
    </row>
    <row r="483" customFormat="false" ht="15" hidden="false" customHeight="false" outlineLevel="0" collapsed="false">
      <c r="A483" s="10" t="s">
        <v>2051</v>
      </c>
      <c r="B483" s="10" t="s">
        <v>2052</v>
      </c>
      <c r="C483" s="11" t="s">
        <v>2053</v>
      </c>
      <c r="D483" s="12" t="n">
        <v>4.28</v>
      </c>
      <c r="E483" s="12" t="n">
        <v>2.74</v>
      </c>
      <c r="F483" s="12" t="n">
        <v>4.28</v>
      </c>
      <c r="G483" s="10" t="s">
        <v>1962</v>
      </c>
      <c r="H483" s="10" t="s">
        <v>2048</v>
      </c>
      <c r="I483" s="11" t="s">
        <v>2049</v>
      </c>
      <c r="J483" s="10" t="s">
        <v>2028</v>
      </c>
      <c r="K483" s="10" t="s">
        <v>68</v>
      </c>
      <c r="L483" s="10" t="s">
        <v>68</v>
      </c>
      <c r="M483" s="10" t="s">
        <v>636</v>
      </c>
      <c r="N483" s="10"/>
      <c r="O483" s="10"/>
      <c r="P483" s="10" t="s">
        <v>637</v>
      </c>
      <c r="Q483" s="11" t="s">
        <v>638</v>
      </c>
      <c r="R483" s="11" t="s">
        <v>639</v>
      </c>
      <c r="S483" s="11" t="s">
        <v>710</v>
      </c>
      <c r="T483" s="10" t="s">
        <v>2054</v>
      </c>
      <c r="U483" s="10" t="n">
        <f aca="false">IF(AND($D483="",$E483="",$F483=""),1,0)</f>
        <v>0</v>
      </c>
      <c r="V483" s="10" t="n">
        <f aca="false">IF(OR($I483="",$I483="—"),1,0)</f>
        <v>0</v>
      </c>
      <c r="W483" s="10" t="n">
        <f aca="false">IF(AND(ISNUMBER($D483),ISNUMBER($E483)),IF($E483&gt;$D483,1,0),0)+IF(AND(ISNUMBER($D483),ISNUMBER($F483)),IF($D483&gt;$F483,1,0),0)+IF(AND(ISNUMBER($E483),ISNUMBER($F483)),IF($E483&gt;$F483,1,0),0)</f>
        <v>0</v>
      </c>
      <c r="X483" s="13" t="s">
        <v>76</v>
      </c>
    </row>
    <row r="484" customFormat="false" ht="15" hidden="false" customHeight="false" outlineLevel="0" collapsed="false">
      <c r="A484" s="10" t="s">
        <v>2055</v>
      </c>
      <c r="B484" s="10" t="s">
        <v>2056</v>
      </c>
      <c r="C484" s="11" t="s">
        <v>2057</v>
      </c>
      <c r="D484" s="12" t="n">
        <v>0.6</v>
      </c>
      <c r="E484" s="12" t="n">
        <v>0.6</v>
      </c>
      <c r="F484" s="12" t="n">
        <v>0.8</v>
      </c>
      <c r="G484" s="11" t="s">
        <v>1709</v>
      </c>
      <c r="H484" s="10" t="s">
        <v>2058</v>
      </c>
      <c r="I484" s="10" t="s">
        <v>2059</v>
      </c>
      <c r="J484" s="10" t="s">
        <v>2060</v>
      </c>
      <c r="K484" s="10" t="s">
        <v>2061</v>
      </c>
      <c r="L484" s="10" t="s">
        <v>68</v>
      </c>
      <c r="M484" s="10" t="s">
        <v>1308</v>
      </c>
      <c r="N484" s="10"/>
      <c r="O484" s="10"/>
      <c r="P484" s="10" t="s">
        <v>637</v>
      </c>
      <c r="Q484" s="11" t="s">
        <v>1309</v>
      </c>
      <c r="R484" s="11" t="s">
        <v>1310</v>
      </c>
      <c r="S484" s="11" t="s">
        <v>710</v>
      </c>
      <c r="T484" s="11" t="s">
        <v>2062</v>
      </c>
      <c r="U484" s="10" t="n">
        <f aca="false">IF(AND($D484="",$E484="",$F484=""),1,0)</f>
        <v>0</v>
      </c>
      <c r="V484" s="10" t="n">
        <f aca="false">IF(OR($I484="",$I484="—"),1,0)</f>
        <v>0</v>
      </c>
      <c r="W484" s="10" t="n">
        <f aca="false">IF(AND(ISNUMBER($D484),ISNUMBER($E484)),IF($E484&gt;$D484,1,0),0)+IF(AND(ISNUMBER($D484),ISNUMBER($F484)),IF($D484&gt;$F484,1,0),0)+IF(AND(ISNUMBER($E484),ISNUMBER($F484)),IF($E484&gt;$F484,1,0),0)</f>
        <v>0</v>
      </c>
      <c r="X484" s="13" t="s">
        <v>76</v>
      </c>
    </row>
    <row r="485" customFormat="false" ht="15" hidden="false" customHeight="false" outlineLevel="0" collapsed="false">
      <c r="A485" s="10" t="s">
        <v>2063</v>
      </c>
      <c r="B485" s="10" t="s">
        <v>2064</v>
      </c>
      <c r="C485" s="11" t="s">
        <v>2065</v>
      </c>
      <c r="D485" s="12" t="n">
        <v>310</v>
      </c>
      <c r="E485" s="12" t="n">
        <v>310</v>
      </c>
      <c r="F485" s="12" t="n">
        <v>350</v>
      </c>
      <c r="G485" s="10" t="s">
        <v>2066</v>
      </c>
      <c r="H485" s="10" t="s">
        <v>2067</v>
      </c>
      <c r="I485" s="10" t="s">
        <v>2068</v>
      </c>
      <c r="J485" s="10" t="s">
        <v>2069</v>
      </c>
      <c r="K485" s="10" t="s">
        <v>2070</v>
      </c>
      <c r="L485" s="10" t="s">
        <v>68</v>
      </c>
      <c r="M485" s="10" t="s">
        <v>1308</v>
      </c>
      <c r="N485" s="10"/>
      <c r="O485" s="10"/>
      <c r="P485" s="10" t="s">
        <v>637</v>
      </c>
      <c r="Q485" s="11" t="s">
        <v>1309</v>
      </c>
      <c r="R485" s="10" t="s">
        <v>2071</v>
      </c>
      <c r="S485" s="11" t="s">
        <v>710</v>
      </c>
      <c r="T485" s="11" t="s">
        <v>2072</v>
      </c>
      <c r="U485" s="10" t="n">
        <f aca="false">IF(AND($D485="",$E485="",$F485=""),1,0)</f>
        <v>0</v>
      </c>
      <c r="V485" s="10" t="n">
        <f aca="false">IF(OR($I485="",$I485="—"),1,0)</f>
        <v>0</v>
      </c>
      <c r="W485" s="10" t="n">
        <f aca="false">IF(AND(ISNUMBER($D485),ISNUMBER($E485)),IF($E485&gt;$D485,1,0),0)+IF(AND(ISNUMBER($D485),ISNUMBER($F485)),IF($D485&gt;$F485,1,0),0)+IF(AND(ISNUMBER($E485),ISNUMBER($F485)),IF($E485&gt;$F485,1,0),0)</f>
        <v>0</v>
      </c>
      <c r="X485" s="13" t="s">
        <v>76</v>
      </c>
    </row>
    <row r="486" customFormat="false" ht="15" hidden="false" customHeight="false" outlineLevel="0" collapsed="false">
      <c r="A486" s="10" t="s">
        <v>2073</v>
      </c>
      <c r="B486" s="10" t="s">
        <v>2074</v>
      </c>
      <c r="C486" s="11" t="s">
        <v>2075</v>
      </c>
      <c r="D486" s="12" t="n">
        <v>752</v>
      </c>
      <c r="E486" s="12" t="n">
        <v>752</v>
      </c>
      <c r="F486" s="12" t="n">
        <v>780</v>
      </c>
      <c r="G486" s="10" t="s">
        <v>2076</v>
      </c>
      <c r="H486" s="10" t="s">
        <v>1287</v>
      </c>
      <c r="I486" s="10" t="s">
        <v>2077</v>
      </c>
      <c r="J486" s="10" t="s">
        <v>2078</v>
      </c>
      <c r="K486" s="10" t="s">
        <v>1290</v>
      </c>
      <c r="L486" s="10" t="s">
        <v>68</v>
      </c>
      <c r="M486" s="10" t="s">
        <v>1308</v>
      </c>
      <c r="N486" s="10"/>
      <c r="O486" s="10"/>
      <c r="P486" s="10" t="s">
        <v>637</v>
      </c>
      <c r="Q486" s="11" t="s">
        <v>1309</v>
      </c>
      <c r="R486" s="10" t="s">
        <v>2071</v>
      </c>
      <c r="S486" s="11" t="s">
        <v>710</v>
      </c>
      <c r="T486" s="11" t="s">
        <v>2079</v>
      </c>
      <c r="U486" s="10" t="n">
        <f aca="false">IF(AND($D486="",$E486="",$F486=""),1,0)</f>
        <v>0</v>
      </c>
      <c r="V486" s="10" t="n">
        <f aca="false">IF(OR($I486="",$I486="—"),1,0)</f>
        <v>0</v>
      </c>
      <c r="W486" s="10" t="n">
        <f aca="false">IF(AND(ISNUMBER($D486),ISNUMBER($E486)),IF($E486&gt;$D486,1,0),0)+IF(AND(ISNUMBER($D486),ISNUMBER($F486)),IF($D486&gt;$F486,1,0),0)+IF(AND(ISNUMBER($E486),ISNUMBER($F486)),IF($E486&gt;$F486,1,0),0)</f>
        <v>0</v>
      </c>
      <c r="X486" s="13" t="s">
        <v>76</v>
      </c>
    </row>
    <row r="487" customFormat="false" ht="15" hidden="false" customHeight="false" outlineLevel="0" collapsed="false">
      <c r="A487" s="10" t="s">
        <v>2080</v>
      </c>
      <c r="B487" s="10" t="s">
        <v>2081</v>
      </c>
      <c r="C487" s="10" t="s">
        <v>2082</v>
      </c>
      <c r="D487" s="12" t="n">
        <v>559</v>
      </c>
      <c r="E487" s="12" t="n">
        <v>559</v>
      </c>
      <c r="F487" s="12" t="n">
        <v>600</v>
      </c>
      <c r="G487" s="10" t="s">
        <v>2083</v>
      </c>
      <c r="H487" s="10" t="s">
        <v>2084</v>
      </c>
      <c r="I487" s="10" t="s">
        <v>2085</v>
      </c>
      <c r="J487" s="10" t="s">
        <v>2086</v>
      </c>
      <c r="K487" s="10" t="s">
        <v>2087</v>
      </c>
      <c r="L487" s="10" t="s">
        <v>68</v>
      </c>
      <c r="M487" s="10" t="s">
        <v>1308</v>
      </c>
      <c r="N487" s="10"/>
      <c r="O487" s="10"/>
      <c r="P487" s="10" t="s">
        <v>637</v>
      </c>
      <c r="Q487" s="11" t="s">
        <v>1309</v>
      </c>
      <c r="R487" s="10" t="s">
        <v>2071</v>
      </c>
      <c r="S487" s="11" t="s">
        <v>710</v>
      </c>
      <c r="T487" s="11" t="s">
        <v>2088</v>
      </c>
      <c r="U487" s="10" t="n">
        <f aca="false">IF(AND($D487="",$E487="",$F487=""),1,0)</f>
        <v>0</v>
      </c>
      <c r="V487" s="10" t="n">
        <f aca="false">IF(OR($I487="",$I487="—"),1,0)</f>
        <v>0</v>
      </c>
      <c r="W487" s="10" t="n">
        <f aca="false">IF(AND(ISNUMBER($D487),ISNUMBER($E487)),IF($E487&gt;$D487,1,0),0)+IF(AND(ISNUMBER($D487),ISNUMBER($F487)),IF($D487&gt;$F487,1,0),0)+IF(AND(ISNUMBER($E487),ISNUMBER($F487)),IF($E487&gt;$F487,1,0),0)</f>
        <v>0</v>
      </c>
      <c r="X487" s="13" t="s">
        <v>76</v>
      </c>
    </row>
    <row r="488" customFormat="false" ht="15" hidden="false" customHeight="false" outlineLevel="0" collapsed="false">
      <c r="A488" s="10" t="s">
        <v>2089</v>
      </c>
      <c r="B488" s="10" t="s">
        <v>2090</v>
      </c>
      <c r="C488" s="10" t="s">
        <v>2091</v>
      </c>
      <c r="D488" s="12" t="n">
        <v>3.9</v>
      </c>
      <c r="E488" s="12" t="n">
        <v>3.9</v>
      </c>
      <c r="F488" s="12" t="n">
        <v>4.1</v>
      </c>
      <c r="G488" s="11" t="s">
        <v>1709</v>
      </c>
      <c r="H488" s="10" t="s">
        <v>2084</v>
      </c>
      <c r="I488" s="10" t="s">
        <v>2085</v>
      </c>
      <c r="J488" s="10" t="s">
        <v>2086</v>
      </c>
      <c r="K488" s="10" t="s">
        <v>2087</v>
      </c>
      <c r="L488" s="10" t="s">
        <v>68</v>
      </c>
      <c r="M488" s="10" t="s">
        <v>1308</v>
      </c>
      <c r="N488" s="10"/>
      <c r="O488" s="10"/>
      <c r="P488" s="10" t="s">
        <v>637</v>
      </c>
      <c r="Q488" s="11" t="s">
        <v>1309</v>
      </c>
      <c r="R488" s="10" t="s">
        <v>2071</v>
      </c>
      <c r="S488" s="11" t="s">
        <v>710</v>
      </c>
      <c r="T488" s="10" t="s">
        <v>2092</v>
      </c>
      <c r="U488" s="10" t="n">
        <f aca="false">IF(AND($D488="",$E488="",$F488=""),1,0)</f>
        <v>0</v>
      </c>
      <c r="V488" s="10" t="n">
        <f aca="false">IF(OR($I488="",$I488="—"),1,0)</f>
        <v>0</v>
      </c>
      <c r="W488" s="10" t="n">
        <f aca="false">IF(AND(ISNUMBER($D488),ISNUMBER($E488)),IF($E488&gt;$D488,1,0),0)+IF(AND(ISNUMBER($D488),ISNUMBER($F488)),IF($D488&gt;$F488,1,0),0)+IF(AND(ISNUMBER($E488),ISNUMBER($F488)),IF($E488&gt;$F488,1,0),0)</f>
        <v>0</v>
      </c>
      <c r="X488" s="13" t="s">
        <v>76</v>
      </c>
    </row>
    <row r="489" customFormat="false" ht="15" hidden="false" customHeight="false" outlineLevel="0" collapsed="false">
      <c r="A489" s="10" t="s">
        <v>2093</v>
      </c>
      <c r="B489" s="10" t="s">
        <v>2094</v>
      </c>
      <c r="C489" s="10" t="s">
        <v>2095</v>
      </c>
      <c r="D489" s="12" t="n">
        <v>1943</v>
      </c>
      <c r="E489" s="12"/>
      <c r="F489" s="12"/>
      <c r="G489" s="10" t="s">
        <v>2096</v>
      </c>
      <c r="H489" s="10" t="s">
        <v>2097</v>
      </c>
      <c r="I489" s="11" t="s">
        <v>2098</v>
      </c>
      <c r="J489" s="10" t="s">
        <v>2099</v>
      </c>
      <c r="K489" s="10" t="s">
        <v>2100</v>
      </c>
      <c r="L489" s="10" t="s">
        <v>68</v>
      </c>
      <c r="M489" s="10" t="s">
        <v>416</v>
      </c>
      <c r="N489" s="11" t="s">
        <v>2101</v>
      </c>
      <c r="O489" s="10"/>
      <c r="P489" s="10" t="s">
        <v>637</v>
      </c>
      <c r="Q489" s="11" t="s">
        <v>72</v>
      </c>
      <c r="R489" s="11" t="s">
        <v>2101</v>
      </c>
      <c r="S489" s="11" t="s">
        <v>1278</v>
      </c>
      <c r="T489" s="11" t="s">
        <v>2102</v>
      </c>
      <c r="U489" s="10" t="n">
        <f aca="false">IF(AND($D489="",$E489="",$F489=""),1,0)</f>
        <v>0</v>
      </c>
      <c r="V489" s="10" t="n">
        <f aca="false">IF(OR($I489="",$I489="—"),1,0)</f>
        <v>0</v>
      </c>
      <c r="W489" s="10" t="n">
        <f aca="false">IF(AND(ISNUMBER($D489),ISNUMBER($E489)),IF($E489&gt;$D489,1,0),0)+IF(AND(ISNUMBER($D489),ISNUMBER($F489)),IF($D489&gt;$F489,1,0),0)+IF(AND(ISNUMBER($E489),ISNUMBER($F489)),IF($E489&gt;$F489,1,0),0)</f>
        <v>0</v>
      </c>
      <c r="X489" s="13" t="s">
        <v>76</v>
      </c>
    </row>
    <row r="490" customFormat="false" ht="15" hidden="false" customHeight="false" outlineLevel="0" collapsed="false">
      <c r="A490" s="10" t="s">
        <v>2103</v>
      </c>
      <c r="B490" s="10" t="s">
        <v>2104</v>
      </c>
      <c r="C490" s="10" t="s">
        <v>2105</v>
      </c>
      <c r="D490" s="12" t="n">
        <v>4.45</v>
      </c>
      <c r="E490" s="12"/>
      <c r="F490" s="12"/>
      <c r="G490" s="10" t="s">
        <v>2106</v>
      </c>
      <c r="H490" s="10" t="s">
        <v>2097</v>
      </c>
      <c r="I490" s="10" t="s">
        <v>2107</v>
      </c>
      <c r="J490" s="10" t="s">
        <v>2078</v>
      </c>
      <c r="K490" s="10" t="s">
        <v>1290</v>
      </c>
      <c r="L490" s="10" t="s">
        <v>68</v>
      </c>
      <c r="M490" s="10" t="s">
        <v>416</v>
      </c>
      <c r="N490" s="11" t="s">
        <v>2108</v>
      </c>
      <c r="O490" s="10"/>
      <c r="P490" s="10" t="s">
        <v>637</v>
      </c>
      <c r="Q490" s="11" t="s">
        <v>72</v>
      </c>
      <c r="R490" s="11" t="s">
        <v>2108</v>
      </c>
      <c r="S490" s="11" t="s">
        <v>710</v>
      </c>
      <c r="T490" s="11" t="s">
        <v>2109</v>
      </c>
      <c r="U490" s="10" t="n">
        <f aca="false">IF(AND($D490="",$E490="",$F490=""),1,0)</f>
        <v>0</v>
      </c>
      <c r="V490" s="10" t="n">
        <f aca="false">IF(OR($I490="",$I490="—"),1,0)</f>
        <v>0</v>
      </c>
      <c r="W490" s="10" t="n">
        <f aca="false">IF(AND(ISNUMBER($D490),ISNUMBER($E490)),IF($E490&gt;$D490,1,0),0)+IF(AND(ISNUMBER($D490),ISNUMBER($F490)),IF($D490&gt;$F490,1,0),0)+IF(AND(ISNUMBER($E490),ISNUMBER($F490)),IF($E490&gt;$F490,1,0),0)</f>
        <v>0</v>
      </c>
      <c r="X490" s="13" t="s">
        <v>76</v>
      </c>
    </row>
    <row r="491" customFormat="false" ht="15" hidden="false" customHeight="false" outlineLevel="0" collapsed="false">
      <c r="A491" s="10" t="s">
        <v>2110</v>
      </c>
      <c r="B491" s="10" t="s">
        <v>2111</v>
      </c>
      <c r="C491" s="10" t="s">
        <v>2112</v>
      </c>
      <c r="D491" s="12" t="n">
        <v>148</v>
      </c>
      <c r="E491" s="12"/>
      <c r="F491" s="12"/>
      <c r="G491" s="10" t="s">
        <v>2076</v>
      </c>
      <c r="H491" s="10" t="s">
        <v>2113</v>
      </c>
      <c r="I491" s="10" t="s">
        <v>2114</v>
      </c>
      <c r="J491" s="10" t="s">
        <v>2115</v>
      </c>
      <c r="K491" s="10" t="s">
        <v>2116</v>
      </c>
      <c r="L491" s="10" t="s">
        <v>68</v>
      </c>
      <c r="M491" s="10" t="s">
        <v>69</v>
      </c>
      <c r="N491" s="10"/>
      <c r="O491" s="10"/>
      <c r="P491" s="10" t="s">
        <v>637</v>
      </c>
      <c r="Q491" s="11" t="s">
        <v>72</v>
      </c>
      <c r="R491" s="11" t="s">
        <v>1090</v>
      </c>
      <c r="S491" s="11" t="s">
        <v>710</v>
      </c>
      <c r="T491" s="10" t="s">
        <v>2117</v>
      </c>
      <c r="U491" s="10" t="n">
        <f aca="false">IF(AND($D491="",$E491="",$F491=""),1,0)</f>
        <v>0</v>
      </c>
      <c r="V491" s="10" t="n">
        <f aca="false">IF(OR($I491="",$I491="—"),1,0)</f>
        <v>0</v>
      </c>
      <c r="W491" s="10" t="n">
        <f aca="false">IF(AND(ISNUMBER($D491),ISNUMBER($E491)),IF($E491&gt;$D491,1,0),0)+IF(AND(ISNUMBER($D491),ISNUMBER($F491)),IF($D491&gt;$F491,1,0),0)+IF(AND(ISNUMBER($E491),ISNUMBER($F491)),IF($E491&gt;$F491,1,0),0)</f>
        <v>0</v>
      </c>
      <c r="X491" s="13" t="s">
        <v>76</v>
      </c>
    </row>
    <row r="492" customFormat="false" ht="15" hidden="false" customHeight="false" outlineLevel="0" collapsed="false">
      <c r="A492" s="10" t="s">
        <v>2118</v>
      </c>
      <c r="B492" s="10" t="s">
        <v>2119</v>
      </c>
      <c r="C492" s="10" t="s">
        <v>2120</v>
      </c>
      <c r="D492" s="12" t="n">
        <v>1979</v>
      </c>
      <c r="E492" s="12"/>
      <c r="F492" s="12"/>
      <c r="G492" s="10" t="s">
        <v>2076</v>
      </c>
      <c r="H492" s="10" t="s">
        <v>2121</v>
      </c>
      <c r="I492" s="10" t="s">
        <v>2122</v>
      </c>
      <c r="J492" s="10" t="s">
        <v>2123</v>
      </c>
      <c r="K492" s="10" t="s">
        <v>68</v>
      </c>
      <c r="L492" s="10" t="s">
        <v>68</v>
      </c>
      <c r="M492" s="10" t="s">
        <v>69</v>
      </c>
      <c r="N492" s="10"/>
      <c r="O492" s="10"/>
      <c r="P492" s="10" t="s">
        <v>637</v>
      </c>
      <c r="Q492" s="11" t="s">
        <v>72</v>
      </c>
      <c r="R492" s="11" t="s">
        <v>1090</v>
      </c>
      <c r="S492" s="11" t="s">
        <v>710</v>
      </c>
      <c r="T492" s="11" t="s">
        <v>2124</v>
      </c>
      <c r="U492" s="10" t="n">
        <f aca="false">IF(AND($D492="",$E492="",$F492=""),1,0)</f>
        <v>0</v>
      </c>
      <c r="V492" s="10" t="n">
        <f aca="false">IF(OR($I492="",$I492="—"),1,0)</f>
        <v>0</v>
      </c>
      <c r="W492" s="10" t="n">
        <f aca="false">IF(AND(ISNUMBER($D492),ISNUMBER($E492)),IF($E492&gt;$D492,1,0),0)+IF(AND(ISNUMBER($D492),ISNUMBER($F492)),IF($D492&gt;$F492,1,0),0)+IF(AND(ISNUMBER($E492),ISNUMBER($F492)),IF($E492&gt;$F492,1,0),0)</f>
        <v>0</v>
      </c>
      <c r="X492" s="13" t="s">
        <v>76</v>
      </c>
    </row>
    <row r="493" customFormat="false" ht="15" hidden="false" customHeight="false" outlineLevel="0" collapsed="false">
      <c r="A493" s="10" t="s">
        <v>2125</v>
      </c>
      <c r="B493" s="10" t="s">
        <v>2126</v>
      </c>
      <c r="C493" s="10" t="s">
        <v>2127</v>
      </c>
      <c r="D493" s="12" t="n">
        <v>0.15</v>
      </c>
      <c r="E493" s="12"/>
      <c r="F493" s="12"/>
      <c r="G493" s="11" t="s">
        <v>1709</v>
      </c>
      <c r="H493" s="10" t="s">
        <v>2121</v>
      </c>
      <c r="I493" s="11" t="s">
        <v>2128</v>
      </c>
      <c r="J493" s="10" t="s">
        <v>2123</v>
      </c>
      <c r="K493" s="10" t="s">
        <v>68</v>
      </c>
      <c r="L493" s="10" t="s">
        <v>68</v>
      </c>
      <c r="M493" s="10" t="s">
        <v>636</v>
      </c>
      <c r="N493" s="10"/>
      <c r="O493" s="10"/>
      <c r="P493" s="10" t="s">
        <v>637</v>
      </c>
      <c r="Q493" s="11" t="s">
        <v>638</v>
      </c>
      <c r="R493" s="11" t="s">
        <v>639</v>
      </c>
      <c r="S493" s="11" t="s">
        <v>638</v>
      </c>
      <c r="T493" s="10" t="s">
        <v>2129</v>
      </c>
      <c r="U493" s="10" t="n">
        <f aca="false">IF(AND($D493="",$E493="",$F493=""),1,0)</f>
        <v>0</v>
      </c>
      <c r="V493" s="10" t="n">
        <f aca="false">IF(OR($I493="",$I493="—"),1,0)</f>
        <v>0</v>
      </c>
      <c r="W493" s="10" t="n">
        <f aca="false">IF(AND(ISNUMBER($D493),ISNUMBER($E493)),IF($E493&gt;$D493,1,0),0)+IF(AND(ISNUMBER($D493),ISNUMBER($F493)),IF($D493&gt;$F493,1,0),0)+IF(AND(ISNUMBER($E493),ISNUMBER($F493)),IF($E493&gt;$F493,1,0),0)</f>
        <v>0</v>
      </c>
      <c r="X493" s="13" t="s">
        <v>76</v>
      </c>
    </row>
    <row r="494" customFormat="false" ht="15" hidden="false" customHeight="false" outlineLevel="0" collapsed="false">
      <c r="A494" s="10" t="s">
        <v>2130</v>
      </c>
      <c r="B494" s="10" t="s">
        <v>2131</v>
      </c>
      <c r="C494" s="10" t="s">
        <v>2132</v>
      </c>
      <c r="D494" s="12" t="n">
        <v>0.34</v>
      </c>
      <c r="E494" s="12" t="n">
        <v>0.26</v>
      </c>
      <c r="F494" s="12" t="n">
        <v>0.42</v>
      </c>
      <c r="G494" s="11" t="s">
        <v>1709</v>
      </c>
      <c r="H494" s="10" t="s">
        <v>1266</v>
      </c>
      <c r="I494" s="10" t="s">
        <v>2133</v>
      </c>
      <c r="J494" s="10" t="s">
        <v>2134</v>
      </c>
      <c r="K494" s="10" t="s">
        <v>2135</v>
      </c>
      <c r="L494" s="10" t="s">
        <v>68</v>
      </c>
      <c r="M494" s="10" t="s">
        <v>1308</v>
      </c>
      <c r="N494" s="10"/>
      <c r="O494" s="10"/>
      <c r="P494" s="10" t="s">
        <v>637</v>
      </c>
      <c r="Q494" s="11" t="s">
        <v>1309</v>
      </c>
      <c r="R494" s="11" t="s">
        <v>1310</v>
      </c>
      <c r="S494" s="11" t="s">
        <v>710</v>
      </c>
      <c r="T494" s="10" t="s">
        <v>2136</v>
      </c>
      <c r="U494" s="10" t="n">
        <f aca="false">IF(AND($D494="",$E494="",$F494=""),1,0)</f>
        <v>0</v>
      </c>
      <c r="V494" s="10" t="n">
        <f aca="false">IF(OR($I494="",$I494="—"),1,0)</f>
        <v>0</v>
      </c>
      <c r="W494" s="10" t="n">
        <f aca="false">IF(AND(ISNUMBER($D494),ISNUMBER($E494)),IF($E494&gt;$D494,1,0),0)+IF(AND(ISNUMBER($D494),ISNUMBER($F494)),IF($D494&gt;$F494,1,0),0)+IF(AND(ISNUMBER($E494),ISNUMBER($F494)),IF($E494&gt;$F494,1,0),0)</f>
        <v>0</v>
      </c>
      <c r="X494" s="13" t="s">
        <v>76</v>
      </c>
    </row>
    <row r="495" customFormat="false" ht="15" hidden="false" customHeight="false" outlineLevel="0" collapsed="false">
      <c r="A495" s="10" t="s">
        <v>2137</v>
      </c>
      <c r="B495" s="10" t="s">
        <v>2138</v>
      </c>
      <c r="C495" s="10" t="s">
        <v>2139</v>
      </c>
      <c r="D495" s="12" t="n">
        <v>1.2</v>
      </c>
      <c r="E495" s="12" t="n">
        <v>0.5</v>
      </c>
      <c r="F495" s="12" t="n">
        <v>1.2</v>
      </c>
      <c r="G495" s="11" t="s">
        <v>1700</v>
      </c>
      <c r="H495" s="10" t="s">
        <v>2140</v>
      </c>
      <c r="I495" s="10" t="s">
        <v>2141</v>
      </c>
      <c r="J495" s="10" t="s">
        <v>2142</v>
      </c>
      <c r="K495" s="10" t="s">
        <v>2143</v>
      </c>
      <c r="L495" s="10" t="s">
        <v>68</v>
      </c>
      <c r="M495" s="10" t="s">
        <v>1308</v>
      </c>
      <c r="N495" s="10"/>
      <c r="O495" s="10"/>
      <c r="P495" s="10" t="s">
        <v>637</v>
      </c>
      <c r="Q495" s="11" t="s">
        <v>1309</v>
      </c>
      <c r="R495" s="10" t="s">
        <v>2071</v>
      </c>
      <c r="S495" s="11" t="s">
        <v>1278</v>
      </c>
      <c r="T495" s="11" t="s">
        <v>2144</v>
      </c>
      <c r="U495" s="10" t="n">
        <f aca="false">IF(AND($D495="",$E495="",$F495=""),1,0)</f>
        <v>0</v>
      </c>
      <c r="V495" s="10" t="n">
        <f aca="false">IF(OR($I495="",$I495="—"),1,0)</f>
        <v>0</v>
      </c>
      <c r="W495" s="10" t="n">
        <f aca="false">IF(AND(ISNUMBER($D495),ISNUMBER($E495)),IF($E495&gt;$D495,1,0),0)+IF(AND(ISNUMBER($D495),ISNUMBER($F495)),IF($D495&gt;$F495,1,0),0)+IF(AND(ISNUMBER($E495),ISNUMBER($F495)),IF($E495&gt;$F495,1,0),0)</f>
        <v>0</v>
      </c>
      <c r="X495" s="13" t="s">
        <v>76</v>
      </c>
    </row>
    <row r="496" customFormat="false" ht="15" hidden="false" customHeight="false" outlineLevel="0" collapsed="false">
      <c r="A496" s="10" t="s">
        <v>2145</v>
      </c>
      <c r="B496" s="10" t="s">
        <v>2146</v>
      </c>
      <c r="C496" s="11" t="s">
        <v>2147</v>
      </c>
      <c r="D496" s="12" t="n">
        <v>243.77</v>
      </c>
      <c r="E496" s="12"/>
      <c r="F496" s="12"/>
      <c r="G496" s="10" t="s">
        <v>63</v>
      </c>
      <c r="H496" s="10" t="s">
        <v>2148</v>
      </c>
      <c r="I496" s="11" t="s">
        <v>2149</v>
      </c>
      <c r="J496" s="10" t="s">
        <v>2150</v>
      </c>
      <c r="K496" s="10" t="s">
        <v>2151</v>
      </c>
      <c r="L496" s="10" t="s">
        <v>68</v>
      </c>
      <c r="M496" s="10" t="s">
        <v>69</v>
      </c>
      <c r="N496" s="10"/>
      <c r="O496" s="11" t="s">
        <v>2152</v>
      </c>
      <c r="P496" s="10" t="s">
        <v>637</v>
      </c>
      <c r="Q496" s="11" t="s">
        <v>72</v>
      </c>
      <c r="R496" s="11" t="s">
        <v>73</v>
      </c>
      <c r="S496" s="11" t="s">
        <v>1104</v>
      </c>
      <c r="T496" s="11" t="s">
        <v>2153</v>
      </c>
      <c r="U496" s="10" t="n">
        <f aca="false">IF(AND($D496="",$E496="",$F496=""),1,0)</f>
        <v>0</v>
      </c>
      <c r="V496" s="10" t="n">
        <f aca="false">IF(OR($I496="",$I496="—"),1,0)</f>
        <v>0</v>
      </c>
      <c r="W496" s="10" t="n">
        <f aca="false">IF(AND(ISNUMBER($D496),ISNUMBER($E496)),IF($E496&gt;$D496,1,0),0)+IF(AND(ISNUMBER($D496),ISNUMBER($F496)),IF($D496&gt;$F496,1,0),0)+IF(AND(ISNUMBER($E496),ISNUMBER($F496)),IF($E496&gt;$F496,1,0),0)</f>
        <v>0</v>
      </c>
      <c r="X496" s="13" t="s">
        <v>76</v>
      </c>
    </row>
    <row r="497" customFormat="false" ht="15" hidden="false" customHeight="false" outlineLevel="0" collapsed="false">
      <c r="A497" s="10" t="s">
        <v>2154</v>
      </c>
      <c r="B497" s="10" t="s">
        <v>2155</v>
      </c>
      <c r="C497" s="11" t="s">
        <v>2156</v>
      </c>
      <c r="D497" s="12" t="n">
        <v>83</v>
      </c>
      <c r="E497" s="12" t="n">
        <v>83</v>
      </c>
      <c r="F497" s="12" t="n">
        <v>83.6</v>
      </c>
      <c r="G497" s="10" t="s">
        <v>63</v>
      </c>
      <c r="H497" s="10" t="s">
        <v>2157</v>
      </c>
      <c r="I497" s="11" t="s">
        <v>2158</v>
      </c>
      <c r="J497" s="10" t="s">
        <v>2159</v>
      </c>
      <c r="K497" s="10" t="s">
        <v>2151</v>
      </c>
      <c r="L497" s="10" t="s">
        <v>68</v>
      </c>
      <c r="M497" s="10" t="s">
        <v>69</v>
      </c>
      <c r="N497" s="10"/>
      <c r="O497" s="11" t="s">
        <v>2160</v>
      </c>
      <c r="P497" s="10" t="s">
        <v>637</v>
      </c>
      <c r="Q497" s="11" t="s">
        <v>72</v>
      </c>
      <c r="R497" s="11" t="s">
        <v>1090</v>
      </c>
      <c r="S497" s="11" t="s">
        <v>710</v>
      </c>
      <c r="T497" s="11" t="s">
        <v>2161</v>
      </c>
      <c r="U497" s="10" t="n">
        <f aca="false">IF(AND($D497="",$E497="",$F497=""),1,0)</f>
        <v>0</v>
      </c>
      <c r="V497" s="10" t="n">
        <f aca="false">IF(OR($I497="",$I497="—"),1,0)</f>
        <v>0</v>
      </c>
      <c r="W497" s="10" t="n">
        <f aca="false">IF(AND(ISNUMBER($D497),ISNUMBER($E497)),IF($E497&gt;$D497,1,0),0)+IF(AND(ISNUMBER($D497),ISNUMBER($F497)),IF($D497&gt;$F497,1,0),0)+IF(AND(ISNUMBER($E497),ISNUMBER($F497)),IF($E497&gt;$F497,1,0),0)</f>
        <v>0</v>
      </c>
      <c r="X497" s="13" t="s">
        <v>76</v>
      </c>
    </row>
    <row r="498" customFormat="false" ht="15" hidden="false" customHeight="false" outlineLevel="0" collapsed="false">
      <c r="A498" s="10" t="s">
        <v>2162</v>
      </c>
      <c r="B498" s="10" t="s">
        <v>2163</v>
      </c>
      <c r="C498" s="11" t="s">
        <v>2164</v>
      </c>
      <c r="D498" s="12" t="n">
        <v>83.6</v>
      </c>
      <c r="E498" s="12"/>
      <c r="F498" s="12"/>
      <c r="G498" s="10" t="s">
        <v>63</v>
      </c>
      <c r="H498" s="10" t="s">
        <v>2157</v>
      </c>
      <c r="I498" s="11" t="s">
        <v>2165</v>
      </c>
      <c r="J498" s="10" t="s">
        <v>2166</v>
      </c>
      <c r="K498" s="10" t="s">
        <v>2167</v>
      </c>
      <c r="L498" s="10" t="s">
        <v>68</v>
      </c>
      <c r="M498" s="10" t="s">
        <v>69</v>
      </c>
      <c r="N498" s="10"/>
      <c r="O498" s="11" t="s">
        <v>2160</v>
      </c>
      <c r="P498" s="10" t="s">
        <v>637</v>
      </c>
      <c r="Q498" s="11" t="s">
        <v>72</v>
      </c>
      <c r="R498" s="11" t="s">
        <v>1090</v>
      </c>
      <c r="S498" s="11" t="s">
        <v>710</v>
      </c>
      <c r="T498" s="11" t="s">
        <v>2168</v>
      </c>
      <c r="U498" s="10" t="n">
        <f aca="false">IF(AND($D498="",$E498="",$F498=""),1,0)</f>
        <v>0</v>
      </c>
      <c r="V498" s="10" t="n">
        <f aca="false">IF(OR($I498="",$I498="—"),1,0)</f>
        <v>0</v>
      </c>
      <c r="W498" s="10" t="n">
        <f aca="false">IF(AND(ISNUMBER($D498),ISNUMBER($E498)),IF($E498&gt;$D498,1,0),0)+IF(AND(ISNUMBER($D498),ISNUMBER($F498)),IF($D498&gt;$F498,1,0),0)+IF(AND(ISNUMBER($E498),ISNUMBER($F498)),IF($E498&gt;$F498,1,0),0)</f>
        <v>0</v>
      </c>
      <c r="X498" s="13" t="s">
        <v>76</v>
      </c>
    </row>
    <row r="499" customFormat="false" ht="15" hidden="false" customHeight="false" outlineLevel="0" collapsed="false">
      <c r="A499" s="10" t="s">
        <v>2169</v>
      </c>
      <c r="B499" s="10" t="s">
        <v>2170</v>
      </c>
      <c r="C499" s="11" t="s">
        <v>2171</v>
      </c>
      <c r="D499" s="12" t="n">
        <v>0.4</v>
      </c>
      <c r="E499" s="12"/>
      <c r="F499" s="12"/>
      <c r="G499" s="10" t="s">
        <v>63</v>
      </c>
      <c r="H499" s="10" t="n">
        <v>2019</v>
      </c>
      <c r="I499" s="11" t="s">
        <v>2165</v>
      </c>
      <c r="J499" s="10" t="s">
        <v>2166</v>
      </c>
      <c r="K499" s="10" t="s">
        <v>2167</v>
      </c>
      <c r="L499" s="10" t="s">
        <v>68</v>
      </c>
      <c r="M499" s="10" t="s">
        <v>69</v>
      </c>
      <c r="N499" s="10"/>
      <c r="O499" s="11" t="s">
        <v>2160</v>
      </c>
      <c r="P499" s="10" t="s">
        <v>637</v>
      </c>
      <c r="Q499" s="11" t="s">
        <v>72</v>
      </c>
      <c r="R499" s="11" t="s">
        <v>1090</v>
      </c>
      <c r="S499" s="11" t="s">
        <v>710</v>
      </c>
      <c r="T499" s="11" t="s">
        <v>2172</v>
      </c>
      <c r="U499" s="10" t="n">
        <f aca="false">IF(AND($D499="",$E499="",$F499=""),1,0)</f>
        <v>0</v>
      </c>
      <c r="V499" s="10" t="n">
        <f aca="false">IF(OR($I499="",$I499="—"),1,0)</f>
        <v>0</v>
      </c>
      <c r="W499" s="10" t="n">
        <f aca="false">IF(AND(ISNUMBER($D499),ISNUMBER($E499)),IF($E499&gt;$D499,1,0),0)+IF(AND(ISNUMBER($D499),ISNUMBER($F499)),IF($D499&gt;$F499,1,0),0)+IF(AND(ISNUMBER($E499),ISNUMBER($F499)),IF($E499&gt;$F499,1,0),0)</f>
        <v>0</v>
      </c>
      <c r="X499" s="13" t="s">
        <v>76</v>
      </c>
    </row>
    <row r="500" customFormat="false" ht="15" hidden="false" customHeight="false" outlineLevel="0" collapsed="false">
      <c r="A500" s="10" t="s">
        <v>2173</v>
      </c>
      <c r="B500" s="10" t="s">
        <v>2174</v>
      </c>
      <c r="C500" s="10" t="s">
        <v>2175</v>
      </c>
      <c r="D500" s="12" t="n">
        <v>3.75</v>
      </c>
      <c r="E500" s="12"/>
      <c r="F500" s="12"/>
      <c r="G500" s="10" t="s">
        <v>63</v>
      </c>
      <c r="H500" s="10" t="n">
        <v>2019</v>
      </c>
      <c r="I500" s="11" t="s">
        <v>2165</v>
      </c>
      <c r="J500" s="10" t="s">
        <v>2166</v>
      </c>
      <c r="K500" s="10" t="s">
        <v>2167</v>
      </c>
      <c r="L500" s="10" t="s">
        <v>68</v>
      </c>
      <c r="M500" s="10" t="s">
        <v>69</v>
      </c>
      <c r="N500" s="10"/>
      <c r="O500" s="11" t="s">
        <v>2160</v>
      </c>
      <c r="P500" s="10" t="s">
        <v>637</v>
      </c>
      <c r="Q500" s="11" t="s">
        <v>72</v>
      </c>
      <c r="R500" s="11" t="s">
        <v>1090</v>
      </c>
      <c r="S500" s="11" t="s">
        <v>710</v>
      </c>
      <c r="T500" s="11" t="s">
        <v>2176</v>
      </c>
      <c r="U500" s="10" t="n">
        <f aca="false">IF(AND($D500="",$E500="",$F500=""),1,0)</f>
        <v>0</v>
      </c>
      <c r="V500" s="10" t="n">
        <f aca="false">IF(OR($I500="",$I500="—"),1,0)</f>
        <v>0</v>
      </c>
      <c r="W500" s="10" t="n">
        <f aca="false">IF(AND(ISNUMBER($D500),ISNUMBER($E500)),IF($E500&gt;$D500,1,0),0)+IF(AND(ISNUMBER($D500),ISNUMBER($F500)),IF($D500&gt;$F500,1,0),0)+IF(AND(ISNUMBER($E500),ISNUMBER($F500)),IF($E500&gt;$F500,1,0),0)</f>
        <v>0</v>
      </c>
      <c r="X500" s="13" t="s">
        <v>76</v>
      </c>
    </row>
    <row r="501" customFormat="false" ht="15" hidden="false" customHeight="false" outlineLevel="0" collapsed="false">
      <c r="A501" s="10" t="s">
        <v>2177</v>
      </c>
      <c r="B501" s="10" t="s">
        <v>2178</v>
      </c>
      <c r="C501" s="10" t="s">
        <v>2179</v>
      </c>
      <c r="D501" s="12" t="n">
        <v>1.52</v>
      </c>
      <c r="E501" s="12"/>
      <c r="F501" s="12"/>
      <c r="G501" s="10" t="s">
        <v>63</v>
      </c>
      <c r="H501" s="10" t="s">
        <v>2180</v>
      </c>
      <c r="I501" s="11" t="s">
        <v>2165</v>
      </c>
      <c r="J501" s="10" t="s">
        <v>2166</v>
      </c>
      <c r="K501" s="10" t="s">
        <v>2167</v>
      </c>
      <c r="L501" s="10" t="s">
        <v>68</v>
      </c>
      <c r="M501" s="10" t="s">
        <v>69</v>
      </c>
      <c r="N501" s="10"/>
      <c r="O501" s="11" t="s">
        <v>2160</v>
      </c>
      <c r="P501" s="10" t="s">
        <v>637</v>
      </c>
      <c r="Q501" s="11" t="s">
        <v>72</v>
      </c>
      <c r="R501" s="11" t="s">
        <v>1090</v>
      </c>
      <c r="S501" s="11" t="s">
        <v>710</v>
      </c>
      <c r="T501" s="11" t="s">
        <v>2181</v>
      </c>
      <c r="U501" s="10" t="n">
        <f aca="false">IF(AND($D501="",$E501="",$F501=""),1,0)</f>
        <v>0</v>
      </c>
      <c r="V501" s="10" t="n">
        <f aca="false">IF(OR($I501="",$I501="—"),1,0)</f>
        <v>0</v>
      </c>
      <c r="W501" s="10" t="n">
        <f aca="false">IF(AND(ISNUMBER($D501),ISNUMBER($E501)),IF($E501&gt;$D501,1,0),0)+IF(AND(ISNUMBER($D501),ISNUMBER($F501)),IF($D501&gt;$F501,1,0),0)+IF(AND(ISNUMBER($E501),ISNUMBER($F501)),IF($E501&gt;$F501,1,0),0)</f>
        <v>0</v>
      </c>
      <c r="X501" s="13" t="s">
        <v>76</v>
      </c>
    </row>
    <row r="502" customFormat="false" ht="15" hidden="false" customHeight="false" outlineLevel="0" collapsed="false">
      <c r="A502" s="10" t="s">
        <v>2182</v>
      </c>
      <c r="B502" s="10" t="s">
        <v>2183</v>
      </c>
      <c r="C502" s="10" t="s">
        <v>2184</v>
      </c>
      <c r="D502" s="12" t="n">
        <v>8.5</v>
      </c>
      <c r="E502" s="12"/>
      <c r="F502" s="12"/>
      <c r="G502" s="10" t="s">
        <v>63</v>
      </c>
      <c r="H502" s="10" t="s">
        <v>2180</v>
      </c>
      <c r="I502" s="11" t="s">
        <v>2165</v>
      </c>
      <c r="J502" s="10" t="s">
        <v>2166</v>
      </c>
      <c r="K502" s="10" t="s">
        <v>2167</v>
      </c>
      <c r="L502" s="10" t="s">
        <v>68</v>
      </c>
      <c r="M502" s="10" t="s">
        <v>69</v>
      </c>
      <c r="N502" s="10"/>
      <c r="O502" s="11" t="s">
        <v>2160</v>
      </c>
      <c r="P502" s="10" t="s">
        <v>637</v>
      </c>
      <c r="Q502" s="11" t="s">
        <v>72</v>
      </c>
      <c r="R502" s="11" t="s">
        <v>1090</v>
      </c>
      <c r="S502" s="11" t="s">
        <v>710</v>
      </c>
      <c r="T502" s="10" t="s">
        <v>2185</v>
      </c>
      <c r="U502" s="10" t="n">
        <f aca="false">IF(AND($D502="",$E502="",$F502=""),1,0)</f>
        <v>0</v>
      </c>
      <c r="V502" s="10" t="n">
        <f aca="false">IF(OR($I502="",$I502="—"),1,0)</f>
        <v>0</v>
      </c>
      <c r="W502" s="10" t="n">
        <f aca="false">IF(AND(ISNUMBER($D502),ISNUMBER($E502)),IF($E502&gt;$D502,1,0),0)+IF(AND(ISNUMBER($D502),ISNUMBER($F502)),IF($D502&gt;$F502,1,0),0)+IF(AND(ISNUMBER($E502),ISNUMBER($F502)),IF($E502&gt;$F502,1,0),0)</f>
        <v>0</v>
      </c>
      <c r="X502" s="13" t="s">
        <v>76</v>
      </c>
    </row>
    <row r="503" customFormat="false" ht="15" hidden="false" customHeight="false" outlineLevel="0" collapsed="false">
      <c r="A503" s="10" t="s">
        <v>2186</v>
      </c>
      <c r="B503" s="10" t="s">
        <v>2187</v>
      </c>
      <c r="C503" s="10" t="s">
        <v>2188</v>
      </c>
      <c r="D503" s="12" t="n">
        <v>2.1</v>
      </c>
      <c r="E503" s="12"/>
      <c r="F503" s="12"/>
      <c r="G503" s="10" t="s">
        <v>63</v>
      </c>
      <c r="H503" s="10" t="s">
        <v>2189</v>
      </c>
      <c r="I503" s="11" t="s">
        <v>2165</v>
      </c>
      <c r="J503" s="10" t="s">
        <v>2166</v>
      </c>
      <c r="K503" s="10" t="s">
        <v>2167</v>
      </c>
      <c r="L503" s="10" t="s">
        <v>68</v>
      </c>
      <c r="M503" s="10" t="s">
        <v>69</v>
      </c>
      <c r="N503" s="10"/>
      <c r="O503" s="11" t="s">
        <v>2160</v>
      </c>
      <c r="P503" s="10" t="s">
        <v>637</v>
      </c>
      <c r="Q503" s="11" t="s">
        <v>72</v>
      </c>
      <c r="R503" s="11" t="s">
        <v>1090</v>
      </c>
      <c r="S503" s="11" t="s">
        <v>710</v>
      </c>
      <c r="T503" s="11" t="s">
        <v>2190</v>
      </c>
      <c r="U503" s="10" t="n">
        <f aca="false">IF(AND($D503="",$E503="",$F503=""),1,0)</f>
        <v>0</v>
      </c>
      <c r="V503" s="10" t="n">
        <f aca="false">IF(OR($I503="",$I503="—"),1,0)</f>
        <v>0</v>
      </c>
      <c r="W503" s="10" t="n">
        <f aca="false">IF(AND(ISNUMBER($D503),ISNUMBER($E503)),IF($E503&gt;$D503,1,0),0)+IF(AND(ISNUMBER($D503),ISNUMBER($F503)),IF($D503&gt;$F503,1,0),0)+IF(AND(ISNUMBER($E503),ISNUMBER($F503)),IF($E503&gt;$F503,1,0),0)</f>
        <v>0</v>
      </c>
      <c r="X503" s="13" t="s">
        <v>76</v>
      </c>
    </row>
    <row r="504" customFormat="false" ht="15" hidden="false" customHeight="false" outlineLevel="0" collapsed="false">
      <c r="A504" s="10" t="s">
        <v>2191</v>
      </c>
      <c r="B504" s="10" t="s">
        <v>2192</v>
      </c>
      <c r="C504" s="10" t="s">
        <v>2193</v>
      </c>
      <c r="D504" s="12" t="n">
        <v>21.1</v>
      </c>
      <c r="E504" s="12"/>
      <c r="F504" s="12"/>
      <c r="G504" s="10" t="s">
        <v>63</v>
      </c>
      <c r="H504" s="10" t="s">
        <v>2189</v>
      </c>
      <c r="I504" s="11" t="s">
        <v>2165</v>
      </c>
      <c r="J504" s="10" t="s">
        <v>2166</v>
      </c>
      <c r="K504" s="10" t="s">
        <v>2167</v>
      </c>
      <c r="L504" s="10" t="s">
        <v>68</v>
      </c>
      <c r="M504" s="10" t="s">
        <v>69</v>
      </c>
      <c r="N504" s="10"/>
      <c r="O504" s="11" t="s">
        <v>2160</v>
      </c>
      <c r="P504" s="10" t="s">
        <v>637</v>
      </c>
      <c r="Q504" s="11" t="s">
        <v>72</v>
      </c>
      <c r="R504" s="11" t="s">
        <v>1090</v>
      </c>
      <c r="S504" s="11" t="s">
        <v>710</v>
      </c>
      <c r="T504" s="10" t="s">
        <v>2194</v>
      </c>
      <c r="U504" s="10" t="n">
        <f aca="false">IF(AND($D504="",$E504="",$F504=""),1,0)</f>
        <v>0</v>
      </c>
      <c r="V504" s="10" t="n">
        <f aca="false">IF(OR($I504="",$I504="—"),1,0)</f>
        <v>0</v>
      </c>
      <c r="W504" s="10" t="n">
        <f aca="false">IF(AND(ISNUMBER($D504),ISNUMBER($E504)),IF($E504&gt;$D504,1,0),0)+IF(AND(ISNUMBER($D504),ISNUMBER($F504)),IF($D504&gt;$F504,1,0),0)+IF(AND(ISNUMBER($E504),ISNUMBER($F504)),IF($E504&gt;$F504,1,0),0)</f>
        <v>0</v>
      </c>
      <c r="X504" s="13" t="s">
        <v>76</v>
      </c>
    </row>
    <row r="505" customFormat="false" ht="15" hidden="false" customHeight="false" outlineLevel="0" collapsed="false">
      <c r="A505" s="10" t="s">
        <v>2195</v>
      </c>
      <c r="B505" s="10" t="s">
        <v>2196</v>
      </c>
      <c r="C505" s="10" t="s">
        <v>2197</v>
      </c>
      <c r="D505" s="12" t="n">
        <v>3</v>
      </c>
      <c r="E505" s="12"/>
      <c r="F505" s="12"/>
      <c r="G505" s="10" t="s">
        <v>63</v>
      </c>
      <c r="H505" s="10" t="s">
        <v>2198</v>
      </c>
      <c r="I505" s="11" t="s">
        <v>2165</v>
      </c>
      <c r="J505" s="10" t="s">
        <v>2166</v>
      </c>
      <c r="K505" s="10" t="s">
        <v>2167</v>
      </c>
      <c r="L505" s="10" t="s">
        <v>68</v>
      </c>
      <c r="M505" s="10" t="s">
        <v>69</v>
      </c>
      <c r="N505" s="10"/>
      <c r="O505" s="11" t="s">
        <v>2160</v>
      </c>
      <c r="P505" s="10" t="s">
        <v>637</v>
      </c>
      <c r="Q505" s="11" t="s">
        <v>72</v>
      </c>
      <c r="R505" s="11" t="s">
        <v>1090</v>
      </c>
      <c r="S505" s="11" t="s">
        <v>710</v>
      </c>
      <c r="T505" s="11" t="s">
        <v>2199</v>
      </c>
      <c r="U505" s="10" t="n">
        <f aca="false">IF(AND($D505="",$E505="",$F505=""),1,0)</f>
        <v>0</v>
      </c>
      <c r="V505" s="10" t="n">
        <f aca="false">IF(OR($I505="",$I505="—"),1,0)</f>
        <v>0</v>
      </c>
      <c r="W505" s="10" t="n">
        <f aca="false">IF(AND(ISNUMBER($D505),ISNUMBER($E505)),IF($E505&gt;$D505,1,0),0)+IF(AND(ISNUMBER($D505),ISNUMBER($F505)),IF($D505&gt;$F505,1,0),0)+IF(AND(ISNUMBER($E505),ISNUMBER($F505)),IF($E505&gt;$F505,1,0),0)</f>
        <v>0</v>
      </c>
      <c r="X505" s="13" t="s">
        <v>76</v>
      </c>
    </row>
    <row r="506" customFormat="false" ht="15" hidden="false" customHeight="false" outlineLevel="0" collapsed="false">
      <c r="A506" s="10" t="s">
        <v>2200</v>
      </c>
      <c r="B506" s="10" t="s">
        <v>2201</v>
      </c>
      <c r="C506" s="11" t="s">
        <v>2202</v>
      </c>
      <c r="D506" s="12" t="n">
        <v>6</v>
      </c>
      <c r="E506" s="12"/>
      <c r="F506" s="12"/>
      <c r="G506" s="10" t="s">
        <v>63</v>
      </c>
      <c r="H506" s="10" t="s">
        <v>2203</v>
      </c>
      <c r="I506" s="11" t="s">
        <v>2165</v>
      </c>
      <c r="J506" s="10" t="s">
        <v>2166</v>
      </c>
      <c r="K506" s="10" t="s">
        <v>2167</v>
      </c>
      <c r="L506" s="10" t="s">
        <v>68</v>
      </c>
      <c r="M506" s="10" t="s">
        <v>69</v>
      </c>
      <c r="N506" s="10"/>
      <c r="O506" s="11" t="s">
        <v>2160</v>
      </c>
      <c r="P506" s="10" t="s">
        <v>637</v>
      </c>
      <c r="Q506" s="11" t="s">
        <v>72</v>
      </c>
      <c r="R506" s="11" t="s">
        <v>1090</v>
      </c>
      <c r="S506" s="11" t="s">
        <v>710</v>
      </c>
      <c r="T506" s="11" t="s">
        <v>2204</v>
      </c>
      <c r="U506" s="10" t="n">
        <f aca="false">IF(AND($D506="",$E506="",$F506=""),1,0)</f>
        <v>0</v>
      </c>
      <c r="V506" s="10" t="n">
        <f aca="false">IF(OR($I506="",$I506="—"),1,0)</f>
        <v>0</v>
      </c>
      <c r="W506" s="10" t="n">
        <f aca="false">IF(AND(ISNUMBER($D506),ISNUMBER($E506)),IF($E506&gt;$D506,1,0),0)+IF(AND(ISNUMBER($D506),ISNUMBER($F506)),IF($D506&gt;$F506,1,0),0)+IF(AND(ISNUMBER($E506),ISNUMBER($F506)),IF($E506&gt;$F506,1,0),0)</f>
        <v>0</v>
      </c>
      <c r="X506" s="13" t="s">
        <v>76</v>
      </c>
    </row>
    <row r="507" customFormat="false" ht="15" hidden="false" customHeight="false" outlineLevel="0" collapsed="false">
      <c r="A507" s="10" t="s">
        <v>2205</v>
      </c>
      <c r="B507" s="10" t="s">
        <v>2206</v>
      </c>
      <c r="C507" s="10" t="s">
        <v>2207</v>
      </c>
      <c r="D507" s="12" t="n">
        <v>2</v>
      </c>
      <c r="E507" s="12"/>
      <c r="F507" s="12"/>
      <c r="G507" s="10" t="s">
        <v>63</v>
      </c>
      <c r="H507" s="10" t="s">
        <v>2208</v>
      </c>
      <c r="I507" s="11" t="s">
        <v>2165</v>
      </c>
      <c r="J507" s="10" t="s">
        <v>2166</v>
      </c>
      <c r="K507" s="10" t="s">
        <v>2167</v>
      </c>
      <c r="L507" s="10" t="s">
        <v>68</v>
      </c>
      <c r="M507" s="10" t="s">
        <v>69</v>
      </c>
      <c r="N507" s="10"/>
      <c r="O507" s="11" t="s">
        <v>2160</v>
      </c>
      <c r="P507" s="10" t="s">
        <v>637</v>
      </c>
      <c r="Q507" s="11" t="s">
        <v>72</v>
      </c>
      <c r="R507" s="11" t="s">
        <v>1090</v>
      </c>
      <c r="S507" s="11" t="s">
        <v>710</v>
      </c>
      <c r="T507" s="11" t="s">
        <v>2209</v>
      </c>
      <c r="U507" s="10" t="n">
        <f aca="false">IF(AND($D507="",$E507="",$F507=""),1,0)</f>
        <v>0</v>
      </c>
      <c r="V507" s="10" t="n">
        <f aca="false">IF(OR($I507="",$I507="—"),1,0)</f>
        <v>0</v>
      </c>
      <c r="W507" s="10" t="n">
        <f aca="false">IF(AND(ISNUMBER($D507),ISNUMBER($E507)),IF($E507&gt;$D507,1,0),0)+IF(AND(ISNUMBER($D507),ISNUMBER($F507)),IF($D507&gt;$F507,1,0),0)+IF(AND(ISNUMBER($E507),ISNUMBER($F507)),IF($E507&gt;$F507,1,0),0)</f>
        <v>0</v>
      </c>
      <c r="X507" s="13" t="s">
        <v>76</v>
      </c>
    </row>
    <row r="508" customFormat="false" ht="15" hidden="false" customHeight="false" outlineLevel="0" collapsed="false">
      <c r="A508" s="10" t="s">
        <v>2210</v>
      </c>
      <c r="B508" s="10" t="s">
        <v>2211</v>
      </c>
      <c r="C508" s="10" t="s">
        <v>2212</v>
      </c>
      <c r="D508" s="12" t="n">
        <v>1.5</v>
      </c>
      <c r="E508" s="12"/>
      <c r="F508" s="12"/>
      <c r="G508" s="10" t="s">
        <v>63</v>
      </c>
      <c r="H508" s="10" t="s">
        <v>2208</v>
      </c>
      <c r="I508" s="11" t="s">
        <v>2165</v>
      </c>
      <c r="J508" s="10" t="s">
        <v>2166</v>
      </c>
      <c r="K508" s="10" t="s">
        <v>2167</v>
      </c>
      <c r="L508" s="10" t="s">
        <v>68</v>
      </c>
      <c r="M508" s="10" t="s">
        <v>69</v>
      </c>
      <c r="N508" s="10"/>
      <c r="O508" s="11" t="s">
        <v>2160</v>
      </c>
      <c r="P508" s="10" t="s">
        <v>637</v>
      </c>
      <c r="Q508" s="11" t="s">
        <v>72</v>
      </c>
      <c r="R508" s="11" t="s">
        <v>1090</v>
      </c>
      <c r="S508" s="11" t="s">
        <v>710</v>
      </c>
      <c r="T508" s="11" t="s">
        <v>2213</v>
      </c>
      <c r="U508" s="10" t="n">
        <f aca="false">IF(AND($D508="",$E508="",$F508=""),1,0)</f>
        <v>0</v>
      </c>
      <c r="V508" s="10" t="n">
        <f aca="false">IF(OR($I508="",$I508="—"),1,0)</f>
        <v>0</v>
      </c>
      <c r="W508" s="10" t="n">
        <f aca="false">IF(AND(ISNUMBER($D508),ISNUMBER($E508)),IF($E508&gt;$D508,1,0),0)+IF(AND(ISNUMBER($D508),ISNUMBER($F508)),IF($D508&gt;$F508,1,0),0)+IF(AND(ISNUMBER($E508),ISNUMBER($F508)),IF($E508&gt;$F508,1,0),0)</f>
        <v>0</v>
      </c>
      <c r="X508" s="13" t="s">
        <v>76</v>
      </c>
    </row>
    <row r="509" customFormat="false" ht="15" hidden="false" customHeight="false" outlineLevel="0" collapsed="false">
      <c r="A509" s="10" t="s">
        <v>2214</v>
      </c>
      <c r="B509" s="10" t="s">
        <v>2215</v>
      </c>
      <c r="C509" s="10" t="s">
        <v>2216</v>
      </c>
      <c r="D509" s="12"/>
      <c r="E509" s="12" t="n">
        <v>25</v>
      </c>
      <c r="F509" s="12"/>
      <c r="G509" s="10" t="s">
        <v>63</v>
      </c>
      <c r="H509" s="10" t="s">
        <v>79</v>
      </c>
      <c r="I509" s="11" t="s">
        <v>2217</v>
      </c>
      <c r="J509" s="10" t="s">
        <v>2218</v>
      </c>
      <c r="K509" s="10" t="s">
        <v>2219</v>
      </c>
      <c r="L509" s="10" t="s">
        <v>68</v>
      </c>
      <c r="M509" s="10" t="s">
        <v>416</v>
      </c>
      <c r="N509" s="11" t="s">
        <v>2220</v>
      </c>
      <c r="O509" s="11" t="s">
        <v>2221</v>
      </c>
      <c r="P509" s="10" t="s">
        <v>637</v>
      </c>
      <c r="Q509" s="11" t="s">
        <v>72</v>
      </c>
      <c r="R509" s="11" t="s">
        <v>2220</v>
      </c>
      <c r="S509" s="11" t="s">
        <v>1278</v>
      </c>
      <c r="T509" s="11" t="s">
        <v>2222</v>
      </c>
      <c r="U509" s="10" t="n">
        <f aca="false">IF(AND($D509="",$E509="",$F509=""),1,0)</f>
        <v>0</v>
      </c>
      <c r="V509" s="10" t="n">
        <f aca="false">IF(OR($I509="",$I509="—"),1,0)</f>
        <v>0</v>
      </c>
      <c r="W509" s="10" t="n">
        <f aca="false">IF(AND(ISNUMBER($D509),ISNUMBER($E509)),IF($E509&gt;$D509,1,0),0)+IF(AND(ISNUMBER($D509),ISNUMBER($F509)),IF($D509&gt;$F509,1,0),0)+IF(AND(ISNUMBER($E509),ISNUMBER($F509)),IF($E509&gt;$F509,1,0),0)</f>
        <v>0</v>
      </c>
      <c r="X509" s="13" t="s">
        <v>76</v>
      </c>
    </row>
    <row r="510" customFormat="false" ht="15" hidden="false" customHeight="false" outlineLevel="0" collapsed="false">
      <c r="A510" s="10" t="s">
        <v>2223</v>
      </c>
      <c r="B510" s="10" t="s">
        <v>2224</v>
      </c>
      <c r="C510" s="10" t="s">
        <v>2225</v>
      </c>
      <c r="D510" s="12" t="n">
        <v>400</v>
      </c>
      <c r="E510" s="12"/>
      <c r="F510" s="12"/>
      <c r="G510" s="10" t="s">
        <v>2226</v>
      </c>
      <c r="H510" s="10" t="s">
        <v>2227</v>
      </c>
      <c r="I510" s="10" t="s">
        <v>2228</v>
      </c>
      <c r="J510" s="10" t="s">
        <v>2229</v>
      </c>
      <c r="K510" s="10" t="s">
        <v>2230</v>
      </c>
      <c r="L510" s="10" t="s">
        <v>68</v>
      </c>
      <c r="M510" s="10" t="s">
        <v>416</v>
      </c>
      <c r="N510" s="10" t="s">
        <v>2231</v>
      </c>
      <c r="O510" s="11" t="s">
        <v>2232</v>
      </c>
      <c r="P510" s="10" t="s">
        <v>637</v>
      </c>
      <c r="Q510" s="11" t="s">
        <v>72</v>
      </c>
      <c r="R510" s="10" t="s">
        <v>2231</v>
      </c>
      <c r="S510" s="11" t="s">
        <v>710</v>
      </c>
      <c r="T510" s="11" t="s">
        <v>2233</v>
      </c>
      <c r="U510" s="10" t="n">
        <f aca="false">IF(AND($D510="",$E510="",$F510=""),1,0)</f>
        <v>0</v>
      </c>
      <c r="V510" s="10" t="n">
        <f aca="false">IF(OR($I510="",$I510="—"),1,0)</f>
        <v>0</v>
      </c>
      <c r="W510" s="10" t="n">
        <f aca="false">IF(AND(ISNUMBER($D510),ISNUMBER($E510)),IF($E510&gt;$D510,1,0),0)+IF(AND(ISNUMBER($D510),ISNUMBER($F510)),IF($D510&gt;$F510,1,0),0)+IF(AND(ISNUMBER($E510),ISNUMBER($F510)),IF($E510&gt;$F510,1,0),0)</f>
        <v>0</v>
      </c>
      <c r="X510" s="13" t="s">
        <v>76</v>
      </c>
    </row>
    <row r="511" customFormat="false" ht="15" hidden="false" customHeight="false" outlineLevel="0" collapsed="false">
      <c r="A511" s="10" t="s">
        <v>2234</v>
      </c>
      <c r="B511" s="10" t="s">
        <v>2235</v>
      </c>
      <c r="C511" s="10" t="s">
        <v>2236</v>
      </c>
      <c r="D511" s="12" t="n">
        <v>3</v>
      </c>
      <c r="E511" s="12"/>
      <c r="F511" s="12"/>
      <c r="G511" s="10" t="s">
        <v>2237</v>
      </c>
      <c r="H511" s="10" t="s">
        <v>2227</v>
      </c>
      <c r="I511" s="10" t="s">
        <v>2228</v>
      </c>
      <c r="J511" s="10" t="s">
        <v>2229</v>
      </c>
      <c r="K511" s="10" t="s">
        <v>2230</v>
      </c>
      <c r="L511" s="10" t="s">
        <v>68</v>
      </c>
      <c r="M511" s="10" t="s">
        <v>416</v>
      </c>
      <c r="N511" s="10" t="s">
        <v>2238</v>
      </c>
      <c r="O511" s="11" t="s">
        <v>2232</v>
      </c>
      <c r="P511" s="10" t="s">
        <v>637</v>
      </c>
      <c r="Q511" s="11" t="s">
        <v>72</v>
      </c>
      <c r="R511" s="10" t="s">
        <v>2238</v>
      </c>
      <c r="S511" s="11" t="s">
        <v>710</v>
      </c>
      <c r="T511" s="11" t="s">
        <v>2239</v>
      </c>
      <c r="U511" s="10" t="n">
        <f aca="false">IF(AND($D511="",$E511="",$F511=""),1,0)</f>
        <v>0</v>
      </c>
      <c r="V511" s="10" t="n">
        <f aca="false">IF(OR($I511="",$I511="—"),1,0)</f>
        <v>0</v>
      </c>
      <c r="W511" s="10" t="n">
        <f aca="false">IF(AND(ISNUMBER($D511),ISNUMBER($E511)),IF($E511&gt;$D511,1,0),0)+IF(AND(ISNUMBER($D511),ISNUMBER($F511)),IF($D511&gt;$F511,1,0),0)+IF(AND(ISNUMBER($E511),ISNUMBER($F511)),IF($E511&gt;$F511,1,0),0)</f>
        <v>0</v>
      </c>
      <c r="X511" s="13" t="s">
        <v>76</v>
      </c>
    </row>
    <row r="512" customFormat="false" ht="15" hidden="false" customHeight="false" outlineLevel="0" collapsed="false">
      <c r="A512" s="10" t="s">
        <v>2240</v>
      </c>
      <c r="B512" s="10" t="s">
        <v>2241</v>
      </c>
      <c r="C512" s="10" t="s">
        <v>2242</v>
      </c>
      <c r="D512" s="12" t="n">
        <v>200</v>
      </c>
      <c r="E512" s="12"/>
      <c r="F512" s="12"/>
      <c r="G512" s="10" t="s">
        <v>63</v>
      </c>
      <c r="H512" s="10" t="s">
        <v>2243</v>
      </c>
      <c r="I512" s="11" t="s">
        <v>2244</v>
      </c>
      <c r="J512" s="10" t="s">
        <v>2245</v>
      </c>
      <c r="K512" s="10" t="s">
        <v>2246</v>
      </c>
      <c r="L512" s="10" t="s">
        <v>68</v>
      </c>
      <c r="M512" s="10" t="s">
        <v>416</v>
      </c>
      <c r="N512" s="11" t="s">
        <v>2247</v>
      </c>
      <c r="O512" s="11" t="s">
        <v>2248</v>
      </c>
      <c r="P512" s="10" t="s">
        <v>637</v>
      </c>
      <c r="Q512" s="11" t="s">
        <v>72</v>
      </c>
      <c r="R512" s="11" t="s">
        <v>2247</v>
      </c>
      <c r="S512" s="11" t="s">
        <v>710</v>
      </c>
      <c r="T512" s="11" t="s">
        <v>2249</v>
      </c>
      <c r="U512" s="10" t="n">
        <f aca="false">IF(AND($D512="",$E512="",$F512=""),1,0)</f>
        <v>0</v>
      </c>
      <c r="V512" s="10" t="n">
        <f aca="false">IF(OR($I512="",$I512="—"),1,0)</f>
        <v>0</v>
      </c>
      <c r="W512" s="10" t="n">
        <f aca="false">IF(AND(ISNUMBER($D512),ISNUMBER($E512)),IF($E512&gt;$D512,1,0),0)+IF(AND(ISNUMBER($D512),ISNUMBER($F512)),IF($D512&gt;$F512,1,0),0)+IF(AND(ISNUMBER($E512),ISNUMBER($F512)),IF($E512&gt;$F512,1,0),0)</f>
        <v>0</v>
      </c>
      <c r="X512" s="13" t="s">
        <v>76</v>
      </c>
    </row>
    <row r="513" customFormat="false" ht="15" hidden="false" customHeight="false" outlineLevel="0" collapsed="false">
      <c r="A513" s="10" t="s">
        <v>2250</v>
      </c>
      <c r="B513" s="10" t="s">
        <v>2251</v>
      </c>
      <c r="C513" s="10" t="s">
        <v>2252</v>
      </c>
      <c r="D513" s="12" t="n">
        <v>30</v>
      </c>
      <c r="E513" s="12"/>
      <c r="F513" s="12"/>
      <c r="G513" s="10" t="s">
        <v>63</v>
      </c>
      <c r="H513" s="10" t="s">
        <v>2253</v>
      </c>
      <c r="I513" s="11" t="s">
        <v>2244</v>
      </c>
      <c r="J513" s="10" t="s">
        <v>2245</v>
      </c>
      <c r="K513" s="10" t="s">
        <v>2246</v>
      </c>
      <c r="L513" s="10" t="s">
        <v>68</v>
      </c>
      <c r="M513" s="10" t="s">
        <v>416</v>
      </c>
      <c r="N513" s="11" t="s">
        <v>2254</v>
      </c>
      <c r="O513" s="11" t="s">
        <v>2248</v>
      </c>
      <c r="P513" s="10" t="s">
        <v>637</v>
      </c>
      <c r="Q513" s="11" t="s">
        <v>72</v>
      </c>
      <c r="R513" s="11" t="s">
        <v>2254</v>
      </c>
      <c r="S513" s="11" t="s">
        <v>710</v>
      </c>
      <c r="T513" s="11" t="s">
        <v>2255</v>
      </c>
      <c r="U513" s="10" t="n">
        <f aca="false">IF(AND($D513="",$E513="",$F513=""),1,0)</f>
        <v>0</v>
      </c>
      <c r="V513" s="10" t="n">
        <f aca="false">IF(OR($I513="",$I513="—"),1,0)</f>
        <v>0</v>
      </c>
      <c r="W513" s="10" t="n">
        <f aca="false">IF(AND(ISNUMBER($D513),ISNUMBER($E513)),IF($E513&gt;$D513,1,0),0)+IF(AND(ISNUMBER($D513),ISNUMBER($F513)),IF($D513&gt;$F513,1,0),0)+IF(AND(ISNUMBER($E513),ISNUMBER($F513)),IF($E513&gt;$F513,1,0),0)</f>
        <v>0</v>
      </c>
      <c r="X513" s="13" t="s">
        <v>76</v>
      </c>
    </row>
    <row r="514" customFormat="false" ht="15" hidden="false" customHeight="false" outlineLevel="0" collapsed="false">
      <c r="A514" s="10" t="s">
        <v>2256</v>
      </c>
      <c r="B514" s="10" t="s">
        <v>2257</v>
      </c>
      <c r="C514" s="10" t="s">
        <v>2258</v>
      </c>
      <c r="D514" s="12"/>
      <c r="E514" s="12" t="n">
        <v>10</v>
      </c>
      <c r="F514" s="12"/>
      <c r="G514" s="10" t="s">
        <v>63</v>
      </c>
      <c r="H514" s="10" t="s">
        <v>2259</v>
      </c>
      <c r="I514" s="11" t="s">
        <v>2260</v>
      </c>
      <c r="J514" s="10" t="s">
        <v>2261</v>
      </c>
      <c r="K514" s="10" t="s">
        <v>2259</v>
      </c>
      <c r="L514" s="10" t="s">
        <v>68</v>
      </c>
      <c r="M514" s="10" t="s">
        <v>416</v>
      </c>
      <c r="N514" s="11" t="s">
        <v>2262</v>
      </c>
      <c r="O514" s="11" t="s">
        <v>2248</v>
      </c>
      <c r="P514" s="10" t="s">
        <v>637</v>
      </c>
      <c r="Q514" s="11" t="s">
        <v>72</v>
      </c>
      <c r="R514" s="11" t="s">
        <v>2262</v>
      </c>
      <c r="S514" s="11" t="s">
        <v>1278</v>
      </c>
      <c r="T514" s="11" t="s">
        <v>2263</v>
      </c>
      <c r="U514" s="10" t="n">
        <f aca="false">IF(AND($D514="",$E514="",$F514=""),1,0)</f>
        <v>0</v>
      </c>
      <c r="V514" s="10" t="n">
        <f aca="false">IF(OR($I514="",$I514="—"),1,0)</f>
        <v>0</v>
      </c>
      <c r="W514" s="10" t="n">
        <f aca="false">IF(AND(ISNUMBER($D514),ISNUMBER($E514)),IF($E514&gt;$D514,1,0),0)+IF(AND(ISNUMBER($D514),ISNUMBER($F514)),IF($D514&gt;$F514,1,0),0)+IF(AND(ISNUMBER($E514),ISNUMBER($F514)),IF($E514&gt;$F514,1,0),0)</f>
        <v>0</v>
      </c>
      <c r="X514" s="13" t="s">
        <v>76</v>
      </c>
    </row>
    <row r="515" customFormat="false" ht="15" hidden="false" customHeight="false" outlineLevel="0" collapsed="false">
      <c r="A515" s="10" t="s">
        <v>2264</v>
      </c>
      <c r="B515" s="10" t="s">
        <v>2265</v>
      </c>
      <c r="C515" s="10" t="s">
        <v>2266</v>
      </c>
      <c r="D515" s="12" t="n">
        <v>5</v>
      </c>
      <c r="E515" s="12"/>
      <c r="F515" s="12"/>
      <c r="G515" s="10" t="s">
        <v>63</v>
      </c>
      <c r="H515" s="10" t="s">
        <v>2267</v>
      </c>
      <c r="I515" s="11" t="s">
        <v>2260</v>
      </c>
      <c r="J515" s="10" t="s">
        <v>2268</v>
      </c>
      <c r="K515" s="10" t="s">
        <v>2269</v>
      </c>
      <c r="L515" s="10" t="s">
        <v>68</v>
      </c>
      <c r="M515" s="10" t="s">
        <v>416</v>
      </c>
      <c r="N515" s="11" t="s">
        <v>2270</v>
      </c>
      <c r="O515" s="11" t="s">
        <v>2248</v>
      </c>
      <c r="P515" s="10" t="s">
        <v>637</v>
      </c>
      <c r="Q515" s="11" t="s">
        <v>72</v>
      </c>
      <c r="R515" s="11" t="s">
        <v>2270</v>
      </c>
      <c r="S515" s="11" t="s">
        <v>1278</v>
      </c>
      <c r="T515" s="11" t="s">
        <v>2271</v>
      </c>
      <c r="U515" s="10" t="n">
        <f aca="false">IF(AND($D515="",$E515="",$F515=""),1,0)</f>
        <v>0</v>
      </c>
      <c r="V515" s="10" t="n">
        <f aca="false">IF(OR($I515="",$I515="—"),1,0)</f>
        <v>0</v>
      </c>
      <c r="W515" s="10" t="n">
        <f aca="false">IF(AND(ISNUMBER($D515),ISNUMBER($E515)),IF($E515&gt;$D515,1,0),0)+IF(AND(ISNUMBER($D515),ISNUMBER($F515)),IF($D515&gt;$F515,1,0),0)+IF(AND(ISNUMBER($E515),ISNUMBER($F515)),IF($E515&gt;$F515,1,0),0)</f>
        <v>0</v>
      </c>
      <c r="X515" s="13" t="s">
        <v>76</v>
      </c>
    </row>
    <row r="516" customFormat="false" ht="15" hidden="false" customHeight="false" outlineLevel="0" collapsed="false">
      <c r="A516" s="10" t="s">
        <v>2272</v>
      </c>
      <c r="B516" s="10" t="s">
        <v>2273</v>
      </c>
      <c r="C516" s="10" t="s">
        <v>2274</v>
      </c>
      <c r="D516" s="12" t="n">
        <v>3</v>
      </c>
      <c r="E516" s="12"/>
      <c r="F516" s="12"/>
      <c r="G516" s="10" t="s">
        <v>63</v>
      </c>
      <c r="H516" s="10" t="s">
        <v>2275</v>
      </c>
      <c r="I516" s="10" t="s">
        <v>2276</v>
      </c>
      <c r="J516" s="10" t="s">
        <v>2277</v>
      </c>
      <c r="K516" s="10" t="s">
        <v>2275</v>
      </c>
      <c r="L516" s="10" t="s">
        <v>68</v>
      </c>
      <c r="M516" s="10" t="s">
        <v>416</v>
      </c>
      <c r="N516" s="11" t="s">
        <v>2278</v>
      </c>
      <c r="O516" s="11" t="s">
        <v>2248</v>
      </c>
      <c r="P516" s="10" t="s">
        <v>637</v>
      </c>
      <c r="Q516" s="11" t="s">
        <v>72</v>
      </c>
      <c r="R516" s="11" t="s">
        <v>2278</v>
      </c>
      <c r="S516" s="11" t="s">
        <v>710</v>
      </c>
      <c r="T516" s="11" t="s">
        <v>2279</v>
      </c>
      <c r="U516" s="10" t="n">
        <f aca="false">IF(AND($D516="",$E516="",$F516=""),1,0)</f>
        <v>0</v>
      </c>
      <c r="V516" s="10" t="n">
        <f aca="false">IF(OR($I516="",$I516="—"),1,0)</f>
        <v>0</v>
      </c>
      <c r="W516" s="10" t="n">
        <f aca="false">IF(AND(ISNUMBER($D516),ISNUMBER($E516)),IF($E516&gt;$D516,1,0),0)+IF(AND(ISNUMBER($D516),ISNUMBER($F516)),IF($D516&gt;$F516,1,0),0)+IF(AND(ISNUMBER($E516),ISNUMBER($F516)),IF($E516&gt;$F516,1,0),0)</f>
        <v>0</v>
      </c>
      <c r="X516" s="13" t="s">
        <v>76</v>
      </c>
    </row>
    <row r="517" customFormat="false" ht="15" hidden="false" customHeight="false" outlineLevel="0" collapsed="false">
      <c r="A517" s="10" t="s">
        <v>2280</v>
      </c>
      <c r="B517" s="10" t="s">
        <v>2281</v>
      </c>
      <c r="C517" s="10" t="s">
        <v>2282</v>
      </c>
      <c r="D517" s="12" t="n">
        <v>10</v>
      </c>
      <c r="E517" s="12"/>
      <c r="F517" s="12"/>
      <c r="G517" s="10" t="s">
        <v>63</v>
      </c>
      <c r="H517" s="10" t="s">
        <v>2283</v>
      </c>
      <c r="I517" s="10" t="s">
        <v>2284</v>
      </c>
      <c r="J517" s="10" t="s">
        <v>2285</v>
      </c>
      <c r="K517" s="10" t="s">
        <v>2286</v>
      </c>
      <c r="L517" s="10" t="s">
        <v>68</v>
      </c>
      <c r="M517" s="10" t="s">
        <v>416</v>
      </c>
      <c r="N517" s="11" t="s">
        <v>2287</v>
      </c>
      <c r="O517" s="11" t="s">
        <v>2248</v>
      </c>
      <c r="P517" s="10" t="s">
        <v>637</v>
      </c>
      <c r="Q517" s="11" t="s">
        <v>72</v>
      </c>
      <c r="R517" s="11" t="s">
        <v>2287</v>
      </c>
      <c r="S517" s="11" t="s">
        <v>1278</v>
      </c>
      <c r="T517" s="11" t="s">
        <v>2288</v>
      </c>
      <c r="U517" s="10" t="n">
        <f aca="false">IF(AND($D517="",$E517="",$F517=""),1,0)</f>
        <v>0</v>
      </c>
      <c r="V517" s="10" t="n">
        <f aca="false">IF(OR($I517="",$I517="—"),1,0)</f>
        <v>0</v>
      </c>
      <c r="W517" s="10" t="n">
        <f aca="false">IF(AND(ISNUMBER($D517),ISNUMBER($E517)),IF($E517&gt;$D517,1,0),0)+IF(AND(ISNUMBER($D517),ISNUMBER($F517)),IF($D517&gt;$F517,1,0),0)+IF(AND(ISNUMBER($E517),ISNUMBER($F517)),IF($E517&gt;$F517,1,0),0)</f>
        <v>0</v>
      </c>
      <c r="X517" s="13" t="s">
        <v>76</v>
      </c>
    </row>
    <row r="518" customFormat="false" ht="15" hidden="false" customHeight="false" outlineLevel="0" collapsed="false">
      <c r="A518" s="10" t="s">
        <v>2289</v>
      </c>
      <c r="B518" s="10" t="s">
        <v>2290</v>
      </c>
      <c r="C518" s="11" t="s">
        <v>2291</v>
      </c>
      <c r="D518" s="12"/>
      <c r="E518" s="12" t="n">
        <v>20</v>
      </c>
      <c r="F518" s="12"/>
      <c r="G518" s="10" t="s">
        <v>63</v>
      </c>
      <c r="H518" s="10" t="s">
        <v>2292</v>
      </c>
      <c r="I518" s="11" t="s">
        <v>2165</v>
      </c>
      <c r="J518" s="10" t="s">
        <v>2166</v>
      </c>
      <c r="K518" s="10" t="s">
        <v>2167</v>
      </c>
      <c r="L518" s="10" t="s">
        <v>68</v>
      </c>
      <c r="M518" s="10" t="s">
        <v>69</v>
      </c>
      <c r="N518" s="10"/>
      <c r="O518" s="11" t="s">
        <v>2160</v>
      </c>
      <c r="P518" s="10" t="s">
        <v>637</v>
      </c>
      <c r="Q518" s="11" t="s">
        <v>72</v>
      </c>
      <c r="R518" s="11" t="s">
        <v>1090</v>
      </c>
      <c r="S518" s="11" t="s">
        <v>710</v>
      </c>
      <c r="T518" s="11" t="s">
        <v>2293</v>
      </c>
      <c r="U518" s="10" t="n">
        <f aca="false">IF(AND($D518="",$E518="",$F518=""),1,0)</f>
        <v>0</v>
      </c>
      <c r="V518" s="10" t="n">
        <f aca="false">IF(OR($I518="",$I518="—"),1,0)</f>
        <v>0</v>
      </c>
      <c r="W518" s="10" t="n">
        <f aca="false">IF(AND(ISNUMBER($D518),ISNUMBER($E518)),IF($E518&gt;$D518,1,0),0)+IF(AND(ISNUMBER($D518),ISNUMBER($F518)),IF($D518&gt;$F518,1,0),0)+IF(AND(ISNUMBER($E518),ISNUMBER($F518)),IF($E518&gt;$F518,1,0),0)</f>
        <v>0</v>
      </c>
      <c r="X518" s="13" t="s">
        <v>76</v>
      </c>
    </row>
    <row r="519" customFormat="false" ht="15" hidden="false" customHeight="false" outlineLevel="0" collapsed="false">
      <c r="A519" s="10" t="s">
        <v>2294</v>
      </c>
      <c r="B519" s="10" t="s">
        <v>2295</v>
      </c>
      <c r="C519" s="10" t="s">
        <v>2296</v>
      </c>
      <c r="D519" s="12" t="n">
        <v>116.2</v>
      </c>
      <c r="E519" s="12"/>
      <c r="F519" s="12"/>
      <c r="G519" s="10" t="s">
        <v>2297</v>
      </c>
      <c r="H519" s="10" t="s">
        <v>2167</v>
      </c>
      <c r="I519" s="11" t="s">
        <v>2298</v>
      </c>
      <c r="J519" s="10" t="s">
        <v>2299</v>
      </c>
      <c r="K519" s="10" t="s">
        <v>2300</v>
      </c>
      <c r="L519" s="10" t="s">
        <v>68</v>
      </c>
      <c r="M519" s="10" t="s">
        <v>69</v>
      </c>
      <c r="N519" s="10"/>
      <c r="O519" s="11" t="s">
        <v>2301</v>
      </c>
      <c r="P519" s="10" t="s">
        <v>71</v>
      </c>
      <c r="Q519" s="11" t="s">
        <v>72</v>
      </c>
      <c r="R519" s="11" t="s">
        <v>73</v>
      </c>
      <c r="S519" s="11" t="s">
        <v>74</v>
      </c>
      <c r="T519" s="11" t="s">
        <v>2302</v>
      </c>
      <c r="U519" s="10" t="n">
        <f aca="false">IF(AND($D519="",$E519="",$F519=""),1,0)</f>
        <v>0</v>
      </c>
      <c r="V519" s="10" t="n">
        <f aca="false">IF(OR($I519="",$I519="—"),1,0)</f>
        <v>0</v>
      </c>
      <c r="W519" s="10" t="n">
        <f aca="false">IF(AND(ISNUMBER($D519),ISNUMBER($E519)),IF($E519&gt;$D519,1,0),0)+IF(AND(ISNUMBER($D519),ISNUMBER($F519)),IF($D519&gt;$F519,1,0),0)+IF(AND(ISNUMBER($E519),ISNUMBER($F519)),IF($E519&gt;$F519,1,0),0)</f>
        <v>0</v>
      </c>
      <c r="X519" s="13" t="s">
        <v>76</v>
      </c>
    </row>
    <row r="520" customFormat="false" ht="15" hidden="false" customHeight="false" outlineLevel="0" collapsed="false">
      <c r="A520" s="10" t="s">
        <v>2303</v>
      </c>
      <c r="B520" s="10" t="s">
        <v>2304</v>
      </c>
      <c r="C520" s="10" t="s">
        <v>2305</v>
      </c>
      <c r="D520" s="12" t="n">
        <v>37419500</v>
      </c>
      <c r="E520" s="12"/>
      <c r="F520" s="12"/>
      <c r="G520" s="11" t="s">
        <v>2306</v>
      </c>
      <c r="H520" s="10" t="s">
        <v>2167</v>
      </c>
      <c r="I520" s="11" t="s">
        <v>2307</v>
      </c>
      <c r="J520" s="10" t="s">
        <v>2299</v>
      </c>
      <c r="K520" s="10" t="s">
        <v>2300</v>
      </c>
      <c r="L520" s="10" t="s">
        <v>68</v>
      </c>
      <c r="M520" s="10" t="s">
        <v>69</v>
      </c>
      <c r="N520" s="10"/>
      <c r="O520" s="11" t="s">
        <v>2301</v>
      </c>
      <c r="P520" s="10" t="s">
        <v>71</v>
      </c>
      <c r="Q520" s="11" t="s">
        <v>72</v>
      </c>
      <c r="R520" s="11" t="s">
        <v>73</v>
      </c>
      <c r="S520" s="11" t="s">
        <v>74</v>
      </c>
      <c r="T520" s="11" t="s">
        <v>2308</v>
      </c>
      <c r="U520" s="10" t="n">
        <f aca="false">IF(AND($D520="",$E520="",$F520=""),1,0)</f>
        <v>0</v>
      </c>
      <c r="V520" s="10" t="n">
        <f aca="false">IF(OR($I520="",$I520="—"),1,0)</f>
        <v>0</v>
      </c>
      <c r="W520" s="10" t="n">
        <f aca="false">IF(AND(ISNUMBER($D520),ISNUMBER($E520)),IF($E520&gt;$D520,1,0),0)+IF(AND(ISNUMBER($D520),ISNUMBER($F520)),IF($D520&gt;$F520,1,0),0)+IF(AND(ISNUMBER($E520),ISNUMBER($F520)),IF($E520&gt;$F520,1,0),0)</f>
        <v>0</v>
      </c>
      <c r="X520" s="13" t="s">
        <v>76</v>
      </c>
    </row>
    <row r="521" customFormat="false" ht="15" hidden="false" customHeight="false" outlineLevel="0" collapsed="false">
      <c r="A521" s="10" t="s">
        <v>2309</v>
      </c>
      <c r="B521" s="10" t="s">
        <v>2310</v>
      </c>
      <c r="C521" s="10" t="s">
        <v>2311</v>
      </c>
      <c r="D521" s="12" t="n">
        <v>4348.1</v>
      </c>
      <c r="E521" s="12"/>
      <c r="F521" s="12"/>
      <c r="G521" s="10" t="s">
        <v>2312</v>
      </c>
      <c r="H521" s="10" t="s">
        <v>2167</v>
      </c>
      <c r="I521" s="11" t="s">
        <v>2313</v>
      </c>
      <c r="J521" s="10" t="s">
        <v>2314</v>
      </c>
      <c r="K521" s="10" t="s">
        <v>2167</v>
      </c>
      <c r="L521" s="10" t="s">
        <v>68</v>
      </c>
      <c r="M521" s="10" t="s">
        <v>69</v>
      </c>
      <c r="N521" s="10"/>
      <c r="O521" s="11" t="s">
        <v>2315</v>
      </c>
      <c r="P521" s="10" t="s">
        <v>637</v>
      </c>
      <c r="Q521" s="11" t="s">
        <v>72</v>
      </c>
      <c r="R521" s="11" t="s">
        <v>73</v>
      </c>
      <c r="S521" s="11" t="s">
        <v>1104</v>
      </c>
      <c r="T521" s="11" t="s">
        <v>2316</v>
      </c>
      <c r="U521" s="10" t="n">
        <f aca="false">IF(AND($D521="",$E521="",$F521=""),1,0)</f>
        <v>0</v>
      </c>
      <c r="V521" s="10" t="n">
        <f aca="false">IF(OR($I521="",$I521="—"),1,0)</f>
        <v>0</v>
      </c>
      <c r="W521" s="10" t="n">
        <f aca="false">IF(AND(ISNUMBER($D521),ISNUMBER($E521)),IF($E521&gt;$D521,1,0),0)+IF(AND(ISNUMBER($D521),ISNUMBER($F521)),IF($D521&gt;$F521,1,0),0)+IF(AND(ISNUMBER($E521),ISNUMBER($F521)),IF($E521&gt;$F521,1,0),0)</f>
        <v>0</v>
      </c>
      <c r="X521" s="13" t="s">
        <v>76</v>
      </c>
    </row>
    <row r="522" customFormat="false" ht="15" hidden="false" customHeight="false" outlineLevel="0" collapsed="false">
      <c r="A522" s="10" t="s">
        <v>2317</v>
      </c>
      <c r="B522" s="10" t="s">
        <v>2318</v>
      </c>
      <c r="C522" s="10" t="s">
        <v>2319</v>
      </c>
      <c r="D522" s="12" t="n">
        <v>174.7</v>
      </c>
      <c r="E522" s="12"/>
      <c r="F522" s="12"/>
      <c r="G522" s="10" t="s">
        <v>2312</v>
      </c>
      <c r="H522" s="10" t="s">
        <v>2167</v>
      </c>
      <c r="I522" s="11" t="s">
        <v>2313</v>
      </c>
      <c r="J522" s="10" t="s">
        <v>2314</v>
      </c>
      <c r="K522" s="10" t="s">
        <v>2167</v>
      </c>
      <c r="L522" s="10" t="s">
        <v>68</v>
      </c>
      <c r="M522" s="10" t="s">
        <v>69</v>
      </c>
      <c r="N522" s="10"/>
      <c r="O522" s="11" t="s">
        <v>2315</v>
      </c>
      <c r="P522" s="10" t="s">
        <v>637</v>
      </c>
      <c r="Q522" s="11" t="s">
        <v>72</v>
      </c>
      <c r="R522" s="11" t="s">
        <v>73</v>
      </c>
      <c r="S522" s="11" t="s">
        <v>1104</v>
      </c>
      <c r="T522" s="11" t="s">
        <v>2320</v>
      </c>
      <c r="U522" s="10" t="n">
        <f aca="false">IF(AND($D522="",$E522="",$F522=""),1,0)</f>
        <v>0</v>
      </c>
      <c r="V522" s="10" t="n">
        <f aca="false">IF(OR($I522="",$I522="—"),1,0)</f>
        <v>0</v>
      </c>
      <c r="W522" s="10" t="n">
        <f aca="false">IF(AND(ISNUMBER($D522),ISNUMBER($E522)),IF($E522&gt;$D522,1,0),0)+IF(AND(ISNUMBER($D522),ISNUMBER($F522)),IF($D522&gt;$F522,1,0),0)+IF(AND(ISNUMBER($E522),ISNUMBER($F522)),IF($E522&gt;$F522,1,0),0)</f>
        <v>0</v>
      </c>
      <c r="X522" s="13" t="s">
        <v>76</v>
      </c>
    </row>
    <row r="523" customFormat="false" ht="15" hidden="false" customHeight="false" outlineLevel="0" collapsed="false">
      <c r="A523" s="10" t="s">
        <v>2321</v>
      </c>
      <c r="B523" s="10" t="s">
        <v>2322</v>
      </c>
      <c r="C523" s="10" t="s">
        <v>2323</v>
      </c>
      <c r="D523" s="12" t="n">
        <v>4173.4</v>
      </c>
      <c r="E523" s="12"/>
      <c r="F523" s="12"/>
      <c r="G523" s="10" t="s">
        <v>2312</v>
      </c>
      <c r="H523" s="10" t="s">
        <v>2167</v>
      </c>
      <c r="I523" s="11" t="s">
        <v>2324</v>
      </c>
      <c r="J523" s="10" t="s">
        <v>2314</v>
      </c>
      <c r="K523" s="10" t="s">
        <v>2167</v>
      </c>
      <c r="L523" s="10" t="s">
        <v>68</v>
      </c>
      <c r="M523" s="10" t="s">
        <v>69</v>
      </c>
      <c r="N523" s="10"/>
      <c r="O523" s="11" t="s">
        <v>2315</v>
      </c>
      <c r="P523" s="10" t="s">
        <v>637</v>
      </c>
      <c r="Q523" s="11" t="s">
        <v>72</v>
      </c>
      <c r="R523" s="11" t="s">
        <v>73</v>
      </c>
      <c r="S523" s="11" t="s">
        <v>1104</v>
      </c>
      <c r="T523" s="11" t="s">
        <v>2325</v>
      </c>
      <c r="U523" s="10" t="n">
        <f aca="false">IF(AND($D523="",$E523="",$F523=""),1,0)</f>
        <v>0</v>
      </c>
      <c r="V523" s="10" t="n">
        <f aca="false">IF(OR($I523="",$I523="—"),1,0)</f>
        <v>0</v>
      </c>
      <c r="W523" s="10" t="n">
        <f aca="false">IF(AND(ISNUMBER($D523),ISNUMBER($E523)),IF($E523&gt;$D523,1,0),0)+IF(AND(ISNUMBER($D523),ISNUMBER($F523)),IF($D523&gt;$F523,1,0),0)+IF(AND(ISNUMBER($E523),ISNUMBER($F523)),IF($E523&gt;$F523,1,0),0)</f>
        <v>0</v>
      </c>
      <c r="X523" s="13" t="s">
        <v>76</v>
      </c>
    </row>
    <row r="524" customFormat="false" ht="15" hidden="false" customHeight="false" outlineLevel="0" collapsed="false">
      <c r="A524" s="10" t="s">
        <v>2326</v>
      </c>
      <c r="B524" s="10" t="s">
        <v>2327</v>
      </c>
      <c r="C524" s="11" t="s">
        <v>2328</v>
      </c>
      <c r="D524" s="12" t="n">
        <v>5612900</v>
      </c>
      <c r="E524" s="12"/>
      <c r="F524" s="12"/>
      <c r="G524" s="11" t="s">
        <v>2306</v>
      </c>
      <c r="H524" s="10" t="s">
        <v>2329</v>
      </c>
      <c r="I524" s="11" t="s">
        <v>2330</v>
      </c>
      <c r="J524" s="10" t="s">
        <v>2314</v>
      </c>
      <c r="K524" s="10" t="s">
        <v>2167</v>
      </c>
      <c r="L524" s="10" t="s">
        <v>68</v>
      </c>
      <c r="M524" s="10" t="s">
        <v>69</v>
      </c>
      <c r="N524" s="10"/>
      <c r="O524" s="11" t="s">
        <v>2331</v>
      </c>
      <c r="P524" s="10" t="s">
        <v>637</v>
      </c>
      <c r="Q524" s="11" t="s">
        <v>72</v>
      </c>
      <c r="R524" s="11" t="s">
        <v>1090</v>
      </c>
      <c r="S524" s="11" t="s">
        <v>710</v>
      </c>
      <c r="T524" s="10" t="s">
        <v>2332</v>
      </c>
      <c r="U524" s="10" t="n">
        <f aca="false">IF(AND($D524="",$E524="",$F524=""),1,0)</f>
        <v>0</v>
      </c>
      <c r="V524" s="10" t="n">
        <f aca="false">IF(OR($I524="",$I524="—"),1,0)</f>
        <v>0</v>
      </c>
      <c r="W524" s="10" t="n">
        <f aca="false">IF(AND(ISNUMBER($D524),ISNUMBER($E524)),IF($E524&gt;$D524,1,0),0)+IF(AND(ISNUMBER($D524),ISNUMBER($F524)),IF($D524&gt;$F524,1,0),0)+IF(AND(ISNUMBER($E524),ISNUMBER($F524)),IF($E524&gt;$F524,1,0),0)</f>
        <v>0</v>
      </c>
      <c r="X524" s="13" t="s">
        <v>76</v>
      </c>
    </row>
    <row r="525" customFormat="false" ht="15" hidden="false" customHeight="false" outlineLevel="0" collapsed="false">
      <c r="A525" s="10" t="s">
        <v>2333</v>
      </c>
      <c r="B525" s="10" t="s">
        <v>2334</v>
      </c>
      <c r="C525" s="11" t="s">
        <v>2335</v>
      </c>
      <c r="D525" s="12" t="n">
        <v>5623900</v>
      </c>
      <c r="E525" s="12"/>
      <c r="F525" s="12"/>
      <c r="G525" s="11" t="s">
        <v>2306</v>
      </c>
      <c r="H525" s="10" t="s">
        <v>2329</v>
      </c>
      <c r="I525" s="11" t="s">
        <v>2307</v>
      </c>
      <c r="J525" s="10" t="s">
        <v>2299</v>
      </c>
      <c r="K525" s="10" t="s">
        <v>2300</v>
      </c>
      <c r="L525" s="10" t="s">
        <v>68</v>
      </c>
      <c r="M525" s="10" t="s">
        <v>69</v>
      </c>
      <c r="N525" s="10"/>
      <c r="O525" s="11" t="s">
        <v>2336</v>
      </c>
      <c r="P525" s="10" t="s">
        <v>71</v>
      </c>
      <c r="Q525" s="11" t="s">
        <v>72</v>
      </c>
      <c r="R525" s="11" t="s">
        <v>73</v>
      </c>
      <c r="S525" s="11" t="s">
        <v>74</v>
      </c>
      <c r="T525" s="11" t="s">
        <v>2337</v>
      </c>
      <c r="U525" s="10" t="n">
        <f aca="false">IF(AND($D525="",$E525="",$F525=""),1,0)</f>
        <v>0</v>
      </c>
      <c r="V525" s="10" t="n">
        <f aca="false">IF(OR($I525="",$I525="—"),1,0)</f>
        <v>0</v>
      </c>
      <c r="W525" s="10" t="n">
        <f aca="false">IF(AND(ISNUMBER($D525),ISNUMBER($E525)),IF($E525&gt;$D525,1,0),0)+IF(AND(ISNUMBER($D525),ISNUMBER($F525)),IF($D525&gt;$F525,1,0),0)+IF(AND(ISNUMBER($E525),ISNUMBER($F525)),IF($E525&gt;$F525,1,0),0)</f>
        <v>0</v>
      </c>
      <c r="X525" s="13" t="s">
        <v>76</v>
      </c>
    </row>
    <row r="526" customFormat="false" ht="15" hidden="false" customHeight="false" outlineLevel="0" collapsed="false">
      <c r="A526" s="10" t="s">
        <v>2338</v>
      </c>
      <c r="B526" s="10" t="s">
        <v>2339</v>
      </c>
      <c r="C526" s="10" t="s">
        <v>2340</v>
      </c>
      <c r="D526" s="12" t="n">
        <v>4896.2</v>
      </c>
      <c r="E526" s="12"/>
      <c r="F526" s="12"/>
      <c r="G526" s="10" t="s">
        <v>2312</v>
      </c>
      <c r="H526" s="10" t="s">
        <v>2341</v>
      </c>
      <c r="I526" s="11" t="s">
        <v>2307</v>
      </c>
      <c r="J526" s="10" t="s">
        <v>2299</v>
      </c>
      <c r="K526" s="10" t="s">
        <v>2300</v>
      </c>
      <c r="L526" s="10" t="s">
        <v>68</v>
      </c>
      <c r="M526" s="10" t="s">
        <v>69</v>
      </c>
      <c r="N526" s="10"/>
      <c r="O526" s="11" t="s">
        <v>2301</v>
      </c>
      <c r="P526" s="10" t="s">
        <v>71</v>
      </c>
      <c r="Q526" s="11" t="s">
        <v>72</v>
      </c>
      <c r="R526" s="11" t="s">
        <v>73</v>
      </c>
      <c r="S526" s="11" t="s">
        <v>74</v>
      </c>
      <c r="T526" s="11" t="s">
        <v>2342</v>
      </c>
      <c r="U526" s="10" t="n">
        <f aca="false">IF(AND($D526="",$E526="",$F526=""),1,0)</f>
        <v>0</v>
      </c>
      <c r="V526" s="10" t="n">
        <f aca="false">IF(OR($I526="",$I526="—"),1,0)</f>
        <v>0</v>
      </c>
      <c r="W526" s="10" t="n">
        <f aca="false">IF(AND(ISNUMBER($D526),ISNUMBER($E526)),IF($E526&gt;$D526,1,0),0)+IF(AND(ISNUMBER($D526),ISNUMBER($F526)),IF($D526&gt;$F526,1,0),0)+IF(AND(ISNUMBER($E526),ISNUMBER($F526)),IF($E526&gt;$F526,1,0),0)</f>
        <v>0</v>
      </c>
      <c r="X526" s="13" t="s">
        <v>76</v>
      </c>
    </row>
    <row r="527" customFormat="false" ht="15" hidden="false" customHeight="false" outlineLevel="0" collapsed="false">
      <c r="A527" s="10" t="s">
        <v>2343</v>
      </c>
      <c r="B527" s="10" t="s">
        <v>2344</v>
      </c>
      <c r="C527" s="11" t="s">
        <v>2345</v>
      </c>
      <c r="D527" s="12" t="n">
        <v>29.8</v>
      </c>
      <c r="E527" s="12"/>
      <c r="F527" s="12"/>
      <c r="G527" s="10" t="s">
        <v>2346</v>
      </c>
      <c r="H527" s="10" t="s">
        <v>2347</v>
      </c>
      <c r="I527" s="11" t="s">
        <v>2348</v>
      </c>
      <c r="J527" s="10" t="s">
        <v>2349</v>
      </c>
      <c r="K527" s="10" t="s">
        <v>67</v>
      </c>
      <c r="L527" s="10" t="s">
        <v>68</v>
      </c>
      <c r="M527" s="10" t="s">
        <v>69</v>
      </c>
      <c r="N527" s="10"/>
      <c r="O527" s="11" t="s">
        <v>2160</v>
      </c>
      <c r="P527" s="10" t="s">
        <v>637</v>
      </c>
      <c r="Q527" s="11" t="s">
        <v>72</v>
      </c>
      <c r="R527" s="11" t="s">
        <v>1090</v>
      </c>
      <c r="S527" s="11" t="s">
        <v>710</v>
      </c>
      <c r="T527" s="11" t="s">
        <v>2350</v>
      </c>
      <c r="U527" s="10" t="n">
        <f aca="false">IF(AND($D527="",$E527="",$F527=""),1,0)</f>
        <v>0</v>
      </c>
      <c r="V527" s="10" t="n">
        <f aca="false">IF(OR($I527="",$I527="—"),1,0)</f>
        <v>0</v>
      </c>
      <c r="W527" s="10" t="n">
        <f aca="false">IF(AND(ISNUMBER($D527),ISNUMBER($E527)),IF($E527&gt;$D527,1,0),0)+IF(AND(ISNUMBER($D527),ISNUMBER($F527)),IF($D527&gt;$F527,1,0),0)+IF(AND(ISNUMBER($E527),ISNUMBER($F527)),IF($E527&gt;$F527,1,0),0)</f>
        <v>0</v>
      </c>
      <c r="X527" s="13" t="s">
        <v>76</v>
      </c>
    </row>
    <row r="528" customFormat="false" ht="15" hidden="false" customHeight="false" outlineLevel="0" collapsed="false">
      <c r="A528" s="10" t="s">
        <v>2351</v>
      </c>
      <c r="B528" s="10" t="s">
        <v>2352</v>
      </c>
      <c r="C528" s="11" t="s">
        <v>2353</v>
      </c>
      <c r="D528" s="12" t="n">
        <v>1159.46</v>
      </c>
      <c r="E528" s="12"/>
      <c r="F528" s="12"/>
      <c r="G528" s="11" t="s">
        <v>1709</v>
      </c>
      <c r="H528" s="10" t="s">
        <v>2347</v>
      </c>
      <c r="I528" s="11" t="s">
        <v>2354</v>
      </c>
      <c r="J528" s="10" t="s">
        <v>2355</v>
      </c>
      <c r="K528" s="10" t="s">
        <v>2167</v>
      </c>
      <c r="L528" s="10" t="s">
        <v>68</v>
      </c>
      <c r="M528" s="10" t="s">
        <v>69</v>
      </c>
      <c r="N528" s="10"/>
      <c r="O528" s="11" t="s">
        <v>2315</v>
      </c>
      <c r="P528" s="10" t="s">
        <v>637</v>
      </c>
      <c r="Q528" s="11" t="s">
        <v>72</v>
      </c>
      <c r="R528" s="11" t="s">
        <v>1090</v>
      </c>
      <c r="S528" s="11" t="s">
        <v>1278</v>
      </c>
      <c r="T528" s="11" t="s">
        <v>2356</v>
      </c>
      <c r="U528" s="10" t="n">
        <f aca="false">IF(AND($D528="",$E528="",$F528=""),1,0)</f>
        <v>0</v>
      </c>
      <c r="V528" s="10" t="n">
        <f aca="false">IF(OR($I528="",$I528="—"),1,0)</f>
        <v>0</v>
      </c>
      <c r="W528" s="10" t="n">
        <f aca="false">IF(AND(ISNUMBER($D528),ISNUMBER($E528)),IF($E528&gt;$D528,1,0),0)+IF(AND(ISNUMBER($D528),ISNUMBER($F528)),IF($D528&gt;$F528,1,0),0)+IF(AND(ISNUMBER($E528),ISNUMBER($F528)),IF($E528&gt;$F528,1,0),0)</f>
        <v>0</v>
      </c>
      <c r="X528" s="13" t="s">
        <v>76</v>
      </c>
    </row>
    <row r="529" customFormat="false" ht="15" hidden="false" customHeight="false" outlineLevel="0" collapsed="false">
      <c r="A529" s="10" t="s">
        <v>2357</v>
      </c>
      <c r="B529" s="10" t="s">
        <v>2358</v>
      </c>
      <c r="C529" s="10" t="s">
        <v>2359</v>
      </c>
      <c r="D529" s="12" t="n">
        <v>70</v>
      </c>
      <c r="E529" s="12"/>
      <c r="F529" s="12"/>
      <c r="G529" s="10" t="s">
        <v>401</v>
      </c>
      <c r="H529" s="10" t="s">
        <v>2347</v>
      </c>
      <c r="I529" s="11" t="s">
        <v>2360</v>
      </c>
      <c r="J529" s="10" t="s">
        <v>2361</v>
      </c>
      <c r="K529" s="10" t="s">
        <v>67</v>
      </c>
      <c r="L529" s="10" t="s">
        <v>68</v>
      </c>
      <c r="M529" s="10" t="s">
        <v>69</v>
      </c>
      <c r="N529" s="10"/>
      <c r="O529" s="11" t="s">
        <v>2160</v>
      </c>
      <c r="P529" s="10" t="s">
        <v>637</v>
      </c>
      <c r="Q529" s="11" t="s">
        <v>72</v>
      </c>
      <c r="R529" s="11" t="s">
        <v>1090</v>
      </c>
      <c r="S529" s="11" t="s">
        <v>710</v>
      </c>
      <c r="T529" s="11" t="s">
        <v>2362</v>
      </c>
      <c r="U529" s="10" t="n">
        <f aca="false">IF(AND($D529="",$E529="",$F529=""),1,0)</f>
        <v>0</v>
      </c>
      <c r="V529" s="10" t="n">
        <f aca="false">IF(OR($I529="",$I529="—"),1,0)</f>
        <v>0</v>
      </c>
      <c r="W529" s="10" t="n">
        <f aca="false">IF(AND(ISNUMBER($D529),ISNUMBER($E529)),IF($E529&gt;$D529,1,0),0)+IF(AND(ISNUMBER($D529),ISNUMBER($F529)),IF($D529&gt;$F529,1,0),0)+IF(AND(ISNUMBER($E529),ISNUMBER($F529)),IF($E529&gt;$F529,1,0),0)</f>
        <v>0</v>
      </c>
      <c r="X529" s="13" t="s">
        <v>76</v>
      </c>
    </row>
    <row r="530" customFormat="false" ht="15" hidden="false" customHeight="false" outlineLevel="0" collapsed="false">
      <c r="A530" s="10" t="s">
        <v>2363</v>
      </c>
      <c r="B530" s="10" t="s">
        <v>2364</v>
      </c>
      <c r="C530" s="11" t="s">
        <v>2365</v>
      </c>
      <c r="D530" s="12" t="n">
        <v>440230190</v>
      </c>
      <c r="E530" s="12"/>
      <c r="F530" s="12"/>
      <c r="G530" s="11" t="s">
        <v>2306</v>
      </c>
      <c r="H530" s="10" t="s">
        <v>2167</v>
      </c>
      <c r="I530" s="11" t="s">
        <v>2313</v>
      </c>
      <c r="J530" s="10" t="s">
        <v>2314</v>
      </c>
      <c r="K530" s="10" t="s">
        <v>2167</v>
      </c>
      <c r="L530" s="10" t="s">
        <v>68</v>
      </c>
      <c r="M530" s="10" t="s">
        <v>69</v>
      </c>
      <c r="N530" s="10"/>
      <c r="O530" s="11" t="s">
        <v>2315</v>
      </c>
      <c r="P530" s="10" t="s">
        <v>637</v>
      </c>
      <c r="Q530" s="11" t="s">
        <v>72</v>
      </c>
      <c r="R530" s="11" t="s">
        <v>73</v>
      </c>
      <c r="S530" s="11" t="s">
        <v>1104</v>
      </c>
      <c r="T530" s="11" t="s">
        <v>2366</v>
      </c>
      <c r="U530" s="10" t="n">
        <f aca="false">IF(AND($D530="",$E530="",$F530=""),1,0)</f>
        <v>0</v>
      </c>
      <c r="V530" s="10" t="n">
        <f aca="false">IF(OR($I530="",$I530="—"),1,0)</f>
        <v>0</v>
      </c>
      <c r="W530" s="10" t="n">
        <f aca="false">IF(AND(ISNUMBER($D530),ISNUMBER($E530)),IF($E530&gt;$D530,1,0),0)+IF(AND(ISNUMBER($D530),ISNUMBER($F530)),IF($D530&gt;$F530,1,0),0)+IF(AND(ISNUMBER($E530),ISNUMBER($F530)),IF($E530&gt;$F530,1,0),0)</f>
        <v>0</v>
      </c>
      <c r="X530" s="13" t="s">
        <v>76</v>
      </c>
    </row>
    <row r="531" customFormat="false" ht="15" hidden="false" customHeight="false" outlineLevel="0" collapsed="false">
      <c r="A531" s="10" t="s">
        <v>2367</v>
      </c>
      <c r="B531" s="10" t="s">
        <v>2368</v>
      </c>
      <c r="C531" s="11" t="s">
        <v>2369</v>
      </c>
      <c r="D531" s="12" t="n">
        <v>511.5</v>
      </c>
      <c r="E531" s="12"/>
      <c r="F531" s="12"/>
      <c r="G531" s="10" t="s">
        <v>2346</v>
      </c>
      <c r="H531" s="10" t="s">
        <v>2167</v>
      </c>
      <c r="I531" s="11" t="s">
        <v>2370</v>
      </c>
      <c r="J531" s="10" t="s">
        <v>2349</v>
      </c>
      <c r="K531" s="10" t="s">
        <v>67</v>
      </c>
      <c r="L531" s="10" t="s">
        <v>68</v>
      </c>
      <c r="M531" s="10" t="s">
        <v>636</v>
      </c>
      <c r="N531" s="10"/>
      <c r="O531" s="11" t="s">
        <v>2371</v>
      </c>
      <c r="P531" s="10" t="s">
        <v>637</v>
      </c>
      <c r="Q531" s="11" t="s">
        <v>638</v>
      </c>
      <c r="R531" s="11" t="s">
        <v>639</v>
      </c>
      <c r="S531" s="11" t="s">
        <v>710</v>
      </c>
      <c r="T531" s="11" t="s">
        <v>2372</v>
      </c>
      <c r="U531" s="10" t="n">
        <f aca="false">IF(AND($D531="",$E531="",$F531=""),1,0)</f>
        <v>0</v>
      </c>
      <c r="V531" s="10" t="n">
        <f aca="false">IF(OR($I531="",$I531="—"),1,0)</f>
        <v>0</v>
      </c>
      <c r="W531" s="10" t="n">
        <f aca="false">IF(AND(ISNUMBER($D531),ISNUMBER($E531)),IF($E531&gt;$D531,1,0),0)+IF(AND(ISNUMBER($D531),ISNUMBER($F531)),IF($D531&gt;$F531,1,0),0)+IF(AND(ISNUMBER($E531),ISNUMBER($F531)),IF($E531&gt;$F531,1,0),0)</f>
        <v>0</v>
      </c>
      <c r="X531" s="13" t="s">
        <v>76</v>
      </c>
    </row>
    <row r="532" customFormat="false" ht="15" hidden="false" customHeight="false" outlineLevel="0" collapsed="false">
      <c r="A532" s="10" t="s">
        <v>2373</v>
      </c>
      <c r="B532" s="10" t="s">
        <v>2374</v>
      </c>
      <c r="C532" s="11" t="s">
        <v>2375</v>
      </c>
      <c r="D532" s="12" t="n">
        <v>528.3</v>
      </c>
      <c r="E532" s="12"/>
      <c r="F532" s="12"/>
      <c r="G532" s="10" t="s">
        <v>2346</v>
      </c>
      <c r="H532" s="10" t="s">
        <v>2167</v>
      </c>
      <c r="I532" s="10" t="s">
        <v>2376</v>
      </c>
      <c r="J532" s="10" t="s">
        <v>2377</v>
      </c>
      <c r="K532" s="10" t="s">
        <v>2167</v>
      </c>
      <c r="L532" s="10" t="s">
        <v>68</v>
      </c>
      <c r="M532" s="10" t="s">
        <v>636</v>
      </c>
      <c r="N532" s="10"/>
      <c r="O532" s="11" t="s">
        <v>2371</v>
      </c>
      <c r="P532" s="10" t="s">
        <v>637</v>
      </c>
      <c r="Q532" s="11" t="s">
        <v>638</v>
      </c>
      <c r="R532" s="11" t="s">
        <v>639</v>
      </c>
      <c r="S532" s="11" t="s">
        <v>710</v>
      </c>
      <c r="T532" s="11" t="s">
        <v>2378</v>
      </c>
      <c r="U532" s="10" t="n">
        <f aca="false">IF(AND($D532="",$E532="",$F532=""),1,0)</f>
        <v>0</v>
      </c>
      <c r="V532" s="10" t="n">
        <f aca="false">IF(OR($I532="",$I532="—"),1,0)</f>
        <v>0</v>
      </c>
      <c r="W532" s="10" t="n">
        <f aca="false">IF(AND(ISNUMBER($D532),ISNUMBER($E532)),IF($E532&gt;$D532,1,0),0)+IF(AND(ISNUMBER($D532),ISNUMBER($F532)),IF($D532&gt;$F532,1,0),0)+IF(AND(ISNUMBER($E532),ISNUMBER($F532)),IF($E532&gt;$F532,1,0),0)</f>
        <v>0</v>
      </c>
      <c r="X532" s="13" t="s">
        <v>76</v>
      </c>
    </row>
    <row r="533" customFormat="false" ht="15" hidden="false" customHeight="false" outlineLevel="0" collapsed="false">
      <c r="A533" s="10" t="s">
        <v>2379</v>
      </c>
      <c r="B533" s="10" t="s">
        <v>2380</v>
      </c>
      <c r="C533" s="11" t="s">
        <v>2381</v>
      </c>
      <c r="D533" s="12" t="n">
        <v>131.5</v>
      </c>
      <c r="E533" s="12"/>
      <c r="F533" s="12"/>
      <c r="G533" s="10" t="s">
        <v>2297</v>
      </c>
      <c r="H533" s="10" t="s">
        <v>2167</v>
      </c>
      <c r="I533" s="11" t="s">
        <v>2382</v>
      </c>
      <c r="J533" s="10" t="s">
        <v>2377</v>
      </c>
      <c r="K533" s="10" t="s">
        <v>2167</v>
      </c>
      <c r="L533" s="10" t="s">
        <v>68</v>
      </c>
      <c r="M533" s="10" t="s">
        <v>69</v>
      </c>
      <c r="N533" s="10"/>
      <c r="O533" s="11" t="s">
        <v>2383</v>
      </c>
      <c r="P533" s="10" t="s">
        <v>637</v>
      </c>
      <c r="Q533" s="11" t="s">
        <v>72</v>
      </c>
      <c r="R533" s="11" t="s">
        <v>1090</v>
      </c>
      <c r="S533" s="11" t="s">
        <v>710</v>
      </c>
      <c r="T533" s="11" t="s">
        <v>2384</v>
      </c>
      <c r="U533" s="10" t="n">
        <f aca="false">IF(AND($D533="",$E533="",$F533=""),1,0)</f>
        <v>0</v>
      </c>
      <c r="V533" s="10" t="n">
        <f aca="false">IF(OR($I533="",$I533="—"),1,0)</f>
        <v>0</v>
      </c>
      <c r="W533" s="10" t="n">
        <f aca="false">IF(AND(ISNUMBER($D533),ISNUMBER($E533)),IF($E533&gt;$D533,1,0),0)+IF(AND(ISNUMBER($D533),ISNUMBER($F533)),IF($D533&gt;$F533,1,0),0)+IF(AND(ISNUMBER($E533),ISNUMBER($F533)),IF($E533&gt;$F533,1,0),0)</f>
        <v>0</v>
      </c>
      <c r="X533" s="13" t="s">
        <v>76</v>
      </c>
    </row>
    <row r="534" customFormat="false" ht="15" hidden="false" customHeight="false" outlineLevel="0" collapsed="false">
      <c r="A534" s="10" t="s">
        <v>2385</v>
      </c>
      <c r="B534" s="10" t="s">
        <v>2386</v>
      </c>
      <c r="C534" s="11" t="s">
        <v>2387</v>
      </c>
      <c r="D534" s="12" t="n">
        <v>578.9</v>
      </c>
      <c r="E534" s="12"/>
      <c r="F534" s="12"/>
      <c r="G534" s="10" t="s">
        <v>2346</v>
      </c>
      <c r="H534" s="10" t="s">
        <v>2167</v>
      </c>
      <c r="I534" s="11" t="s">
        <v>2382</v>
      </c>
      <c r="J534" s="10" t="s">
        <v>2377</v>
      </c>
      <c r="K534" s="10" t="s">
        <v>2167</v>
      </c>
      <c r="L534" s="10" t="s">
        <v>68</v>
      </c>
      <c r="M534" s="10" t="s">
        <v>69</v>
      </c>
      <c r="N534" s="10"/>
      <c r="O534" s="11" t="s">
        <v>2383</v>
      </c>
      <c r="P534" s="10" t="s">
        <v>637</v>
      </c>
      <c r="Q534" s="11" t="s">
        <v>72</v>
      </c>
      <c r="R534" s="11" t="s">
        <v>1090</v>
      </c>
      <c r="S534" s="11" t="s">
        <v>710</v>
      </c>
      <c r="T534" s="11" t="s">
        <v>2388</v>
      </c>
      <c r="U534" s="10" t="n">
        <f aca="false">IF(AND($D534="",$E534="",$F534=""),1,0)</f>
        <v>0</v>
      </c>
      <c r="V534" s="10" t="n">
        <f aca="false">IF(OR($I534="",$I534="—"),1,0)</f>
        <v>0</v>
      </c>
      <c r="W534" s="10" t="n">
        <f aca="false">IF(AND(ISNUMBER($D534),ISNUMBER($E534)),IF($E534&gt;$D534,1,0),0)+IF(AND(ISNUMBER($D534),ISNUMBER($F534)),IF($D534&gt;$F534,1,0),0)+IF(AND(ISNUMBER($E534),ISNUMBER($F534)),IF($E534&gt;$F534,1,0),0)</f>
        <v>0</v>
      </c>
      <c r="X534" s="13" t="s">
        <v>76</v>
      </c>
    </row>
    <row r="535" customFormat="false" ht="15" hidden="false" customHeight="false" outlineLevel="0" collapsed="false">
      <c r="A535" s="10" t="s">
        <v>2389</v>
      </c>
      <c r="B535" s="10" t="s">
        <v>2390</v>
      </c>
      <c r="C535" s="11" t="s">
        <v>2391</v>
      </c>
      <c r="D535" s="12" t="n">
        <v>586</v>
      </c>
      <c r="E535" s="12"/>
      <c r="F535" s="12"/>
      <c r="G535" s="10" t="s">
        <v>2346</v>
      </c>
      <c r="H535" s="10" t="s">
        <v>2167</v>
      </c>
      <c r="I535" s="11" t="s">
        <v>910</v>
      </c>
      <c r="J535" s="10" t="s">
        <v>2392</v>
      </c>
      <c r="K535" s="10" t="s">
        <v>2393</v>
      </c>
      <c r="L535" s="10" t="s">
        <v>68</v>
      </c>
      <c r="M535" s="10" t="s">
        <v>69</v>
      </c>
      <c r="N535" s="10"/>
      <c r="O535" s="11" t="s">
        <v>2394</v>
      </c>
      <c r="P535" s="10" t="s">
        <v>637</v>
      </c>
      <c r="Q535" s="11" t="s">
        <v>72</v>
      </c>
      <c r="R535" s="11" t="s">
        <v>1090</v>
      </c>
      <c r="S535" s="11" t="s">
        <v>710</v>
      </c>
      <c r="T535" s="11" t="s">
        <v>2395</v>
      </c>
      <c r="U535" s="10" t="n">
        <f aca="false">IF(AND($D535="",$E535="",$F535=""),1,0)</f>
        <v>0</v>
      </c>
      <c r="V535" s="10" t="n">
        <f aca="false">IF(OR($I535="",$I535="—"),1,0)</f>
        <v>0</v>
      </c>
      <c r="W535" s="10" t="n">
        <f aca="false">IF(AND(ISNUMBER($D535),ISNUMBER($E535)),IF($E535&gt;$D535,1,0),0)+IF(AND(ISNUMBER($D535),ISNUMBER($F535)),IF($D535&gt;$F535,1,0),0)+IF(AND(ISNUMBER($E535),ISNUMBER($F535)),IF($E535&gt;$F535,1,0),0)</f>
        <v>0</v>
      </c>
      <c r="X535" s="13" t="s">
        <v>76</v>
      </c>
    </row>
    <row r="536" customFormat="false" ht="15" hidden="false" customHeight="false" outlineLevel="0" collapsed="false">
      <c r="A536" s="10" t="s">
        <v>2396</v>
      </c>
      <c r="B536" s="10" t="s">
        <v>2397</v>
      </c>
      <c r="C536" s="10" t="s">
        <v>2398</v>
      </c>
      <c r="D536" s="12" t="n">
        <v>1588</v>
      </c>
      <c r="E536" s="12"/>
      <c r="F536" s="12"/>
      <c r="G536" s="10" t="s">
        <v>2297</v>
      </c>
      <c r="H536" s="10" t="s">
        <v>2399</v>
      </c>
      <c r="I536" s="11" t="s">
        <v>2400</v>
      </c>
      <c r="J536" s="10" t="s">
        <v>2299</v>
      </c>
      <c r="K536" s="10" t="s">
        <v>2300</v>
      </c>
      <c r="L536" s="10" t="s">
        <v>68</v>
      </c>
      <c r="M536" s="10" t="s">
        <v>69</v>
      </c>
      <c r="N536" s="10"/>
      <c r="O536" s="11" t="s">
        <v>2301</v>
      </c>
      <c r="P536" s="10" t="s">
        <v>71</v>
      </c>
      <c r="Q536" s="11" t="s">
        <v>72</v>
      </c>
      <c r="R536" s="11" t="s">
        <v>73</v>
      </c>
      <c r="S536" s="11" t="s">
        <v>74</v>
      </c>
      <c r="T536" s="11" t="s">
        <v>2401</v>
      </c>
      <c r="U536" s="10" t="n">
        <f aca="false">IF(AND($D536="",$E536="",$F536=""),1,0)</f>
        <v>0</v>
      </c>
      <c r="V536" s="10" t="n">
        <f aca="false">IF(OR($I536="",$I536="—"),1,0)</f>
        <v>0</v>
      </c>
      <c r="W536" s="10" t="n">
        <f aca="false">IF(AND(ISNUMBER($D536),ISNUMBER($E536)),IF($E536&gt;$D536,1,0),0)+IF(AND(ISNUMBER($D536),ISNUMBER($F536)),IF($D536&gt;$F536,1,0),0)+IF(AND(ISNUMBER($E536),ISNUMBER($F536)),IF($E536&gt;$F536,1,0),0)</f>
        <v>0</v>
      </c>
      <c r="X536" s="13" t="s">
        <v>76</v>
      </c>
    </row>
    <row r="537" customFormat="false" ht="15" hidden="false" customHeight="false" outlineLevel="0" collapsed="false">
      <c r="A537" s="10" t="s">
        <v>2402</v>
      </c>
      <c r="B537" s="10" t="s">
        <v>2403</v>
      </c>
      <c r="C537" s="10" t="s">
        <v>2404</v>
      </c>
      <c r="D537" s="12" t="n">
        <v>19780000</v>
      </c>
      <c r="E537" s="12"/>
      <c r="F537" s="12"/>
      <c r="G537" s="11" t="s">
        <v>2306</v>
      </c>
      <c r="H537" s="10" t="s">
        <v>2405</v>
      </c>
      <c r="I537" s="11" t="s">
        <v>2406</v>
      </c>
      <c r="J537" s="10" t="s">
        <v>2407</v>
      </c>
      <c r="K537" s="10" t="s">
        <v>2408</v>
      </c>
      <c r="L537" s="10" t="s">
        <v>68</v>
      </c>
      <c r="M537" s="10" t="s">
        <v>69</v>
      </c>
      <c r="N537" s="10"/>
      <c r="O537" s="11" t="s">
        <v>2409</v>
      </c>
      <c r="P537" s="10" t="s">
        <v>637</v>
      </c>
      <c r="Q537" s="11" t="s">
        <v>72</v>
      </c>
      <c r="R537" s="11" t="s">
        <v>1090</v>
      </c>
      <c r="S537" s="11" t="s">
        <v>1278</v>
      </c>
      <c r="T537" s="11" t="s">
        <v>2410</v>
      </c>
      <c r="U537" s="10" t="n">
        <f aca="false">IF(AND($D537="",$E537="",$F537=""),1,0)</f>
        <v>0</v>
      </c>
      <c r="V537" s="10" t="n">
        <f aca="false">IF(OR($I537="",$I537="—"),1,0)</f>
        <v>0</v>
      </c>
      <c r="W537" s="10" t="n">
        <f aca="false">IF(AND(ISNUMBER($D537),ISNUMBER($E537)),IF($E537&gt;$D537,1,0),0)+IF(AND(ISNUMBER($D537),ISNUMBER($F537)),IF($D537&gt;$F537,1,0),0)+IF(AND(ISNUMBER($E537),ISNUMBER($F537)),IF($E537&gt;$F537,1,0),0)</f>
        <v>0</v>
      </c>
      <c r="X537" s="13" t="s">
        <v>76</v>
      </c>
    </row>
    <row r="538" customFormat="false" ht="15" hidden="false" customHeight="false" outlineLevel="0" collapsed="false">
      <c r="A538" s="10" t="s">
        <v>2411</v>
      </c>
      <c r="B538" s="10" t="s">
        <v>2412</v>
      </c>
      <c r="C538" s="10" t="s">
        <v>2413</v>
      </c>
      <c r="D538" s="12" t="n">
        <v>12.99</v>
      </c>
      <c r="E538" s="12"/>
      <c r="F538" s="12"/>
      <c r="G538" s="10" t="s">
        <v>401</v>
      </c>
      <c r="H538" s="10" t="s">
        <v>2414</v>
      </c>
      <c r="I538" s="11" t="s">
        <v>2415</v>
      </c>
      <c r="J538" s="10" t="s">
        <v>2416</v>
      </c>
      <c r="K538" s="10" t="s">
        <v>2399</v>
      </c>
      <c r="L538" s="10" t="s">
        <v>68</v>
      </c>
      <c r="M538" s="10" t="s">
        <v>69</v>
      </c>
      <c r="N538" s="10"/>
      <c r="O538" s="11" t="s">
        <v>2417</v>
      </c>
      <c r="P538" s="10" t="s">
        <v>637</v>
      </c>
      <c r="Q538" s="11" t="s">
        <v>72</v>
      </c>
      <c r="R538" s="11" t="s">
        <v>1090</v>
      </c>
      <c r="S538" s="11" t="s">
        <v>1278</v>
      </c>
      <c r="T538" s="11" t="s">
        <v>2418</v>
      </c>
      <c r="U538" s="10" t="n">
        <f aca="false">IF(AND($D538="",$E538="",$F538=""),1,0)</f>
        <v>0</v>
      </c>
      <c r="V538" s="10" t="n">
        <f aca="false">IF(OR($I538="",$I538="—"),1,0)</f>
        <v>0</v>
      </c>
      <c r="W538" s="10" t="n">
        <f aca="false">IF(AND(ISNUMBER($D538),ISNUMBER($E538)),IF($E538&gt;$D538,1,0),0)+IF(AND(ISNUMBER($D538),ISNUMBER($F538)),IF($D538&gt;$F538,1,0),0)+IF(AND(ISNUMBER($E538),ISNUMBER($F538)),IF($E538&gt;$F538,1,0),0)</f>
        <v>0</v>
      </c>
      <c r="X538" s="13" t="s">
        <v>76</v>
      </c>
    </row>
    <row r="539" customFormat="false" ht="15" hidden="false" customHeight="false" outlineLevel="0" collapsed="false">
      <c r="A539" s="10" t="s">
        <v>2419</v>
      </c>
      <c r="B539" s="10" t="s">
        <v>2420</v>
      </c>
      <c r="C539" s="10" t="s">
        <v>2421</v>
      </c>
      <c r="D539" s="12" t="n">
        <v>31411</v>
      </c>
      <c r="E539" s="12"/>
      <c r="F539" s="12"/>
      <c r="G539" s="10" t="s">
        <v>2312</v>
      </c>
      <c r="H539" s="10" t="s">
        <v>2405</v>
      </c>
      <c r="I539" s="11" t="s">
        <v>2422</v>
      </c>
      <c r="J539" s="10" t="s">
        <v>2423</v>
      </c>
      <c r="K539" s="10" t="s">
        <v>2405</v>
      </c>
      <c r="L539" s="10" t="s">
        <v>68</v>
      </c>
      <c r="M539" s="10" t="s">
        <v>69</v>
      </c>
      <c r="N539" s="10"/>
      <c r="O539" s="11" t="s">
        <v>2417</v>
      </c>
      <c r="P539" s="10" t="s">
        <v>637</v>
      </c>
      <c r="Q539" s="11" t="s">
        <v>72</v>
      </c>
      <c r="R539" s="11" t="s">
        <v>73</v>
      </c>
      <c r="S539" s="11" t="s">
        <v>1104</v>
      </c>
      <c r="T539" s="11" t="s">
        <v>2424</v>
      </c>
      <c r="U539" s="10" t="n">
        <f aca="false">IF(AND($D539="",$E539="",$F539=""),1,0)</f>
        <v>0</v>
      </c>
      <c r="V539" s="10" t="n">
        <f aca="false">IF(OR($I539="",$I539="—"),1,0)</f>
        <v>0</v>
      </c>
      <c r="W539" s="10" t="n">
        <f aca="false">IF(AND(ISNUMBER($D539),ISNUMBER($E539)),IF($E539&gt;$D539,1,0),0)+IF(AND(ISNUMBER($D539),ISNUMBER($F539)),IF($D539&gt;$F539,1,0),0)+IF(AND(ISNUMBER($E539),ISNUMBER($F539)),IF($E539&gt;$F539,1,0),0)</f>
        <v>0</v>
      </c>
      <c r="X539" s="13" t="s">
        <v>76</v>
      </c>
    </row>
    <row r="540" customFormat="false" ht="15" hidden="false" customHeight="false" outlineLevel="0" collapsed="false">
      <c r="A540" s="10" t="s">
        <v>2425</v>
      </c>
      <c r="B540" s="10" t="s">
        <v>2426</v>
      </c>
      <c r="C540" s="10" t="s">
        <v>2427</v>
      </c>
      <c r="D540" s="12" t="n">
        <v>31374.95</v>
      </c>
      <c r="E540" s="12"/>
      <c r="F540" s="12"/>
      <c r="G540" s="10" t="s">
        <v>2312</v>
      </c>
      <c r="H540" s="10" t="s">
        <v>2405</v>
      </c>
      <c r="I540" s="11" t="s">
        <v>2307</v>
      </c>
      <c r="J540" s="10" t="s">
        <v>2299</v>
      </c>
      <c r="K540" s="10" t="s">
        <v>2300</v>
      </c>
      <c r="L540" s="10" t="s">
        <v>68</v>
      </c>
      <c r="M540" s="10" t="s">
        <v>69</v>
      </c>
      <c r="N540" s="10"/>
      <c r="O540" s="11" t="s">
        <v>2301</v>
      </c>
      <c r="P540" s="10" t="s">
        <v>71</v>
      </c>
      <c r="Q540" s="11" t="s">
        <v>72</v>
      </c>
      <c r="R540" s="11" t="s">
        <v>73</v>
      </c>
      <c r="S540" s="11" t="s">
        <v>74</v>
      </c>
      <c r="T540" s="11" t="s">
        <v>2428</v>
      </c>
      <c r="U540" s="10" t="n">
        <f aca="false">IF(AND($D540="",$E540="",$F540=""),1,0)</f>
        <v>0</v>
      </c>
      <c r="V540" s="10" t="n">
        <f aca="false">IF(OR($I540="",$I540="—"),1,0)</f>
        <v>0</v>
      </c>
      <c r="W540" s="10" t="n">
        <f aca="false">IF(AND(ISNUMBER($D540),ISNUMBER($E540)),IF($E540&gt;$D540,1,0),0)+IF(AND(ISNUMBER($D540),ISNUMBER($F540)),IF($D540&gt;$F540,1,0),0)+IF(AND(ISNUMBER($E540),ISNUMBER($F540)),IF($E540&gt;$F540,1,0),0)</f>
        <v>0</v>
      </c>
      <c r="X540" s="13" t="s">
        <v>76</v>
      </c>
    </row>
    <row r="541" customFormat="false" ht="15" hidden="false" customHeight="false" outlineLevel="0" collapsed="false">
      <c r="A541" s="10" t="s">
        <v>2429</v>
      </c>
      <c r="B541" s="10" t="s">
        <v>2430</v>
      </c>
      <c r="C541" s="10" t="s">
        <v>2431</v>
      </c>
      <c r="D541" s="12"/>
      <c r="E541" s="12"/>
      <c r="F541" s="12"/>
      <c r="G541" s="10" t="s">
        <v>63</v>
      </c>
      <c r="H541" s="10" t="s">
        <v>2432</v>
      </c>
      <c r="I541" s="11" t="s">
        <v>2433</v>
      </c>
      <c r="J541" s="10" t="s">
        <v>2299</v>
      </c>
      <c r="K541" s="10" t="s">
        <v>2300</v>
      </c>
      <c r="L541" s="10" t="s">
        <v>68</v>
      </c>
      <c r="M541" s="10" t="s">
        <v>69</v>
      </c>
      <c r="N541" s="10"/>
      <c r="O541" s="11" t="s">
        <v>2434</v>
      </c>
      <c r="P541" s="10" t="s">
        <v>71</v>
      </c>
      <c r="Q541" s="11" t="s">
        <v>72</v>
      </c>
      <c r="R541" s="11" t="s">
        <v>73</v>
      </c>
      <c r="S541" s="11" t="s">
        <v>74</v>
      </c>
      <c r="T541" s="11" t="s">
        <v>2435</v>
      </c>
      <c r="U541" s="10" t="n">
        <f aca="false">IF(AND($D541="",$E541="",$F541=""),1,0)</f>
        <v>1</v>
      </c>
      <c r="V541" s="10" t="n">
        <f aca="false">IF(OR($I541="",$I541="—"),1,0)</f>
        <v>0</v>
      </c>
      <c r="W541" s="10" t="n">
        <f aca="false">IF(AND(ISNUMBER($D541),ISNUMBER($E541)),IF($E541&gt;$D541,1,0),0)+IF(AND(ISNUMBER($D541),ISNUMBER($F541)),IF($D541&gt;$F541,1,0),0)+IF(AND(ISNUMBER($E541),ISNUMBER($F541)),IF($E541&gt;$F541,1,0),0)</f>
        <v>0</v>
      </c>
      <c r="X541" s="13" t="s">
        <v>76</v>
      </c>
    </row>
    <row r="542" customFormat="false" ht="15" hidden="false" customHeight="false" outlineLevel="0" collapsed="false">
      <c r="A542" s="10" t="s">
        <v>2436</v>
      </c>
      <c r="B542" s="10" t="s">
        <v>2437</v>
      </c>
      <c r="C542" s="10" t="s">
        <v>2438</v>
      </c>
      <c r="D542" s="12" t="n">
        <v>4</v>
      </c>
      <c r="E542" s="12"/>
      <c r="F542" s="12"/>
      <c r="G542" s="10" t="s">
        <v>2237</v>
      </c>
      <c r="H542" s="10" t="s">
        <v>2414</v>
      </c>
      <c r="I542" s="10" t="s">
        <v>2439</v>
      </c>
      <c r="J542" s="10" t="s">
        <v>2440</v>
      </c>
      <c r="K542" s="10" t="s">
        <v>2414</v>
      </c>
      <c r="L542" s="10" t="s">
        <v>68</v>
      </c>
      <c r="M542" s="10" t="s">
        <v>416</v>
      </c>
      <c r="N542" s="11" t="s">
        <v>2441</v>
      </c>
      <c r="O542" s="11" t="s">
        <v>2442</v>
      </c>
      <c r="P542" s="10" t="s">
        <v>637</v>
      </c>
      <c r="Q542" s="11" t="s">
        <v>72</v>
      </c>
      <c r="R542" s="11" t="s">
        <v>2441</v>
      </c>
      <c r="S542" s="11" t="s">
        <v>1278</v>
      </c>
      <c r="T542" s="11" t="s">
        <v>2443</v>
      </c>
      <c r="U542" s="10" t="n">
        <f aca="false">IF(AND($D542="",$E542="",$F542=""),1,0)</f>
        <v>0</v>
      </c>
      <c r="V542" s="10" t="n">
        <f aca="false">IF(OR($I542="",$I542="—"),1,0)</f>
        <v>0</v>
      </c>
      <c r="W542" s="10" t="n">
        <f aca="false">IF(AND(ISNUMBER($D542),ISNUMBER($E542)),IF($E542&gt;$D542,1,0),0)+IF(AND(ISNUMBER($D542),ISNUMBER($F542)),IF($D542&gt;$F542,1,0),0)+IF(AND(ISNUMBER($E542),ISNUMBER($F542)),IF($E542&gt;$F542,1,0),0)</f>
        <v>0</v>
      </c>
      <c r="X542" s="13" t="s">
        <v>76</v>
      </c>
    </row>
    <row r="543" customFormat="false" ht="15" hidden="false" customHeight="false" outlineLevel="0" collapsed="false">
      <c r="A543" s="10" t="s">
        <v>2444</v>
      </c>
      <c r="B543" s="10" t="s">
        <v>2445</v>
      </c>
      <c r="C543" s="10" t="s">
        <v>2446</v>
      </c>
      <c r="D543" s="12" t="n">
        <v>55</v>
      </c>
      <c r="E543" s="12"/>
      <c r="F543" s="12"/>
      <c r="G543" s="10" t="s">
        <v>401</v>
      </c>
      <c r="H543" s="10" t="s">
        <v>2432</v>
      </c>
      <c r="I543" s="11" t="s">
        <v>2422</v>
      </c>
      <c r="J543" s="10" t="s">
        <v>2423</v>
      </c>
      <c r="K543" s="10" t="s">
        <v>2405</v>
      </c>
      <c r="L543" s="10" t="s">
        <v>68</v>
      </c>
      <c r="M543" s="10" t="s">
        <v>69</v>
      </c>
      <c r="N543" s="10"/>
      <c r="O543" s="11" t="s">
        <v>2417</v>
      </c>
      <c r="P543" s="10" t="s">
        <v>637</v>
      </c>
      <c r="Q543" s="11" t="s">
        <v>72</v>
      </c>
      <c r="R543" s="11" t="s">
        <v>73</v>
      </c>
      <c r="S543" s="11" t="s">
        <v>1104</v>
      </c>
      <c r="T543" s="11" t="s">
        <v>2447</v>
      </c>
      <c r="U543" s="10" t="n">
        <f aca="false">IF(AND($D543="",$E543="",$F543=""),1,0)</f>
        <v>0</v>
      </c>
      <c r="V543" s="10" t="n">
        <f aca="false">IF(OR($I543="",$I543="—"),1,0)</f>
        <v>0</v>
      </c>
      <c r="W543" s="10" t="n">
        <f aca="false">IF(AND(ISNUMBER($D543),ISNUMBER($E543)),IF($E543&gt;$D543,1,0),0)+IF(AND(ISNUMBER($D543),ISNUMBER($F543)),IF($D543&gt;$F543,1,0),0)+IF(AND(ISNUMBER($E543),ISNUMBER($F543)),IF($E543&gt;$F543,1,0),0)</f>
        <v>0</v>
      </c>
      <c r="X543" s="13" t="s">
        <v>76</v>
      </c>
    </row>
    <row r="544" customFormat="false" ht="15" hidden="false" customHeight="false" outlineLevel="0" collapsed="false">
      <c r="A544" s="10" t="s">
        <v>2448</v>
      </c>
      <c r="B544" s="10" t="s">
        <v>2449</v>
      </c>
      <c r="C544" s="10" t="s">
        <v>2450</v>
      </c>
      <c r="D544" s="12" t="n">
        <v>10954.8</v>
      </c>
      <c r="E544" s="12"/>
      <c r="F544" s="12"/>
      <c r="G544" s="10" t="s">
        <v>2312</v>
      </c>
      <c r="H544" s="10" t="s">
        <v>665</v>
      </c>
      <c r="I544" s="11" t="s">
        <v>2307</v>
      </c>
      <c r="J544" s="10" t="s">
        <v>2299</v>
      </c>
      <c r="K544" s="10" t="s">
        <v>2300</v>
      </c>
      <c r="L544" s="10" t="s">
        <v>68</v>
      </c>
      <c r="M544" s="10" t="s">
        <v>69</v>
      </c>
      <c r="N544" s="10"/>
      <c r="O544" s="11" t="s">
        <v>2301</v>
      </c>
      <c r="P544" s="10" t="s">
        <v>71</v>
      </c>
      <c r="Q544" s="11" t="s">
        <v>72</v>
      </c>
      <c r="R544" s="11" t="s">
        <v>73</v>
      </c>
      <c r="S544" s="11" t="s">
        <v>74</v>
      </c>
      <c r="T544" s="11" t="s">
        <v>2451</v>
      </c>
      <c r="U544" s="10" t="n">
        <f aca="false">IF(AND($D544="",$E544="",$F544=""),1,0)</f>
        <v>0</v>
      </c>
      <c r="V544" s="10" t="n">
        <f aca="false">IF(OR($I544="",$I544="—"),1,0)</f>
        <v>0</v>
      </c>
      <c r="W544" s="10" t="n">
        <f aca="false">IF(AND(ISNUMBER($D544),ISNUMBER($E544)),IF($E544&gt;$D544,1,0),0)+IF(AND(ISNUMBER($D544),ISNUMBER($F544)),IF($D544&gt;$F544,1,0),0)+IF(AND(ISNUMBER($E544),ISNUMBER($F544)),IF($E544&gt;$F544,1,0),0)</f>
        <v>0</v>
      </c>
      <c r="X544" s="13" t="s">
        <v>76</v>
      </c>
    </row>
    <row r="545" customFormat="false" ht="15" hidden="false" customHeight="false" outlineLevel="0" collapsed="false">
      <c r="A545" s="10" t="s">
        <v>2452</v>
      </c>
      <c r="B545" s="10" t="s">
        <v>2453</v>
      </c>
      <c r="C545" s="10" t="s">
        <v>2454</v>
      </c>
      <c r="D545" s="12" t="n">
        <v>714</v>
      </c>
      <c r="E545" s="12"/>
      <c r="F545" s="12"/>
      <c r="G545" s="10" t="s">
        <v>2297</v>
      </c>
      <c r="H545" s="10" t="s">
        <v>2455</v>
      </c>
      <c r="I545" s="11" t="s">
        <v>2307</v>
      </c>
      <c r="J545" s="10" t="s">
        <v>2299</v>
      </c>
      <c r="K545" s="10" t="s">
        <v>2300</v>
      </c>
      <c r="L545" s="10" t="s">
        <v>68</v>
      </c>
      <c r="M545" s="10" t="s">
        <v>69</v>
      </c>
      <c r="N545" s="10"/>
      <c r="O545" s="11" t="s">
        <v>2301</v>
      </c>
      <c r="P545" s="10" t="s">
        <v>71</v>
      </c>
      <c r="Q545" s="11" t="s">
        <v>72</v>
      </c>
      <c r="R545" s="11" t="s">
        <v>73</v>
      </c>
      <c r="S545" s="11" t="s">
        <v>74</v>
      </c>
      <c r="T545" s="11" t="s">
        <v>2456</v>
      </c>
      <c r="U545" s="10" t="n">
        <f aca="false">IF(AND($D545="",$E545="",$F545=""),1,0)</f>
        <v>0</v>
      </c>
      <c r="V545" s="10" t="n">
        <f aca="false">IF(OR($I545="",$I545="—"),1,0)</f>
        <v>0</v>
      </c>
      <c r="W545" s="10" t="n">
        <f aca="false">IF(AND(ISNUMBER($D545),ISNUMBER($E545)),IF($E545&gt;$D545,1,0),0)+IF(AND(ISNUMBER($D545),ISNUMBER($F545)),IF($D545&gt;$F545,1,0),0)+IF(AND(ISNUMBER($E545),ISNUMBER($F545)),IF($E545&gt;$F545,1,0),0)</f>
        <v>0</v>
      </c>
      <c r="X545" s="13" t="s">
        <v>76</v>
      </c>
    </row>
    <row r="546" customFormat="false" ht="15" hidden="false" customHeight="false" outlineLevel="0" collapsed="false">
      <c r="A546" s="10" t="s">
        <v>2457</v>
      </c>
      <c r="B546" s="10" t="s">
        <v>2458</v>
      </c>
      <c r="C546" s="10" t="s">
        <v>2459</v>
      </c>
      <c r="D546" s="12" t="n">
        <v>21965000</v>
      </c>
      <c r="E546" s="12"/>
      <c r="F546" s="12"/>
      <c r="G546" s="11" t="s">
        <v>2306</v>
      </c>
      <c r="H546" s="10" t="s">
        <v>1752</v>
      </c>
      <c r="I546" s="11" t="s">
        <v>2460</v>
      </c>
      <c r="J546" s="10" t="s">
        <v>2461</v>
      </c>
      <c r="K546" s="10" t="s">
        <v>2462</v>
      </c>
      <c r="L546" s="10" t="s">
        <v>68</v>
      </c>
      <c r="M546" s="10" t="s">
        <v>69</v>
      </c>
      <c r="N546" s="10"/>
      <c r="O546" s="11" t="s">
        <v>2463</v>
      </c>
      <c r="P546" s="10" t="s">
        <v>637</v>
      </c>
      <c r="Q546" s="11" t="s">
        <v>72</v>
      </c>
      <c r="R546" s="11" t="s">
        <v>73</v>
      </c>
      <c r="S546" s="11" t="s">
        <v>1104</v>
      </c>
      <c r="T546" s="11" t="s">
        <v>2464</v>
      </c>
      <c r="U546" s="10" t="n">
        <f aca="false">IF(AND($D546="",$E546="",$F546=""),1,0)</f>
        <v>0</v>
      </c>
      <c r="V546" s="10" t="n">
        <f aca="false">IF(OR($I546="",$I546="—"),1,0)</f>
        <v>0</v>
      </c>
      <c r="W546" s="10" t="n">
        <f aca="false">IF(AND(ISNUMBER($D546),ISNUMBER($E546)),IF($E546&gt;$D546,1,0),0)+IF(AND(ISNUMBER($D546),ISNUMBER($F546)),IF($D546&gt;$F546,1,0),0)+IF(AND(ISNUMBER($E546),ISNUMBER($F546)),IF($E546&gt;$F546,1,0),0)</f>
        <v>0</v>
      </c>
      <c r="X546" s="13" t="s">
        <v>76</v>
      </c>
    </row>
    <row r="547" customFormat="false" ht="15" hidden="false" customHeight="false" outlineLevel="0" collapsed="false">
      <c r="A547" s="10" t="s">
        <v>2465</v>
      </c>
      <c r="B547" s="10" t="s">
        <v>2466</v>
      </c>
      <c r="C547" s="10" t="s">
        <v>2467</v>
      </c>
      <c r="D547" s="12" t="n">
        <v>15683.01</v>
      </c>
      <c r="E547" s="12"/>
      <c r="F547" s="12"/>
      <c r="G547" s="10" t="s">
        <v>2312</v>
      </c>
      <c r="H547" s="10" t="s">
        <v>1752</v>
      </c>
      <c r="I547" s="11" t="s">
        <v>2307</v>
      </c>
      <c r="J547" s="10" t="s">
        <v>2299</v>
      </c>
      <c r="K547" s="10" t="s">
        <v>2300</v>
      </c>
      <c r="L547" s="10" t="s">
        <v>68</v>
      </c>
      <c r="M547" s="10" t="s">
        <v>69</v>
      </c>
      <c r="N547" s="10"/>
      <c r="O547" s="11" t="s">
        <v>2301</v>
      </c>
      <c r="P547" s="10" t="s">
        <v>71</v>
      </c>
      <c r="Q547" s="11" t="s">
        <v>72</v>
      </c>
      <c r="R547" s="11" t="s">
        <v>73</v>
      </c>
      <c r="S547" s="11" t="s">
        <v>74</v>
      </c>
      <c r="T547" s="11" t="s">
        <v>2468</v>
      </c>
      <c r="U547" s="10" t="n">
        <f aca="false">IF(AND($D547="",$E547="",$F547=""),1,0)</f>
        <v>0</v>
      </c>
      <c r="V547" s="10" t="n">
        <f aca="false">IF(OR($I547="",$I547="—"),1,0)</f>
        <v>0</v>
      </c>
      <c r="W547" s="10" t="n">
        <f aca="false">IF(AND(ISNUMBER($D547),ISNUMBER($E547)),IF($E547&gt;$D547,1,0),0)+IF(AND(ISNUMBER($D547),ISNUMBER($F547)),IF($D547&gt;$F547,1,0),0)+IF(AND(ISNUMBER($E547),ISNUMBER($F547)),IF($E547&gt;$F547,1,0),0)</f>
        <v>0</v>
      </c>
      <c r="X547" s="13" t="s">
        <v>76</v>
      </c>
    </row>
    <row r="548" customFormat="false" ht="15" hidden="false" customHeight="false" outlineLevel="0" collapsed="false">
      <c r="A548" s="10" t="s">
        <v>2469</v>
      </c>
      <c r="B548" s="10" t="s">
        <v>2470</v>
      </c>
      <c r="C548" s="10" t="s">
        <v>2471</v>
      </c>
      <c r="D548" s="12" t="n">
        <v>15664.13</v>
      </c>
      <c r="E548" s="12"/>
      <c r="F548" s="12"/>
      <c r="G548" s="10" t="s">
        <v>2312</v>
      </c>
      <c r="H548" s="10" t="s">
        <v>1752</v>
      </c>
      <c r="I548" s="11" t="s">
        <v>2307</v>
      </c>
      <c r="J548" s="10" t="s">
        <v>2299</v>
      </c>
      <c r="K548" s="10" t="s">
        <v>2300</v>
      </c>
      <c r="L548" s="10" t="s">
        <v>68</v>
      </c>
      <c r="M548" s="10" t="s">
        <v>69</v>
      </c>
      <c r="N548" s="10"/>
      <c r="O548" s="11" t="s">
        <v>2301</v>
      </c>
      <c r="P548" s="10" t="s">
        <v>71</v>
      </c>
      <c r="Q548" s="11" t="s">
        <v>72</v>
      </c>
      <c r="R548" s="11" t="s">
        <v>73</v>
      </c>
      <c r="S548" s="11" t="s">
        <v>74</v>
      </c>
      <c r="T548" s="11" t="s">
        <v>2472</v>
      </c>
      <c r="U548" s="10" t="n">
        <f aca="false">IF(AND($D548="",$E548="",$F548=""),1,0)</f>
        <v>0</v>
      </c>
      <c r="V548" s="10" t="n">
        <f aca="false">IF(OR($I548="",$I548="—"),1,0)</f>
        <v>0</v>
      </c>
      <c r="W548" s="10" t="n">
        <f aca="false">IF(AND(ISNUMBER($D548),ISNUMBER($E548)),IF($E548&gt;$D548,1,0),0)+IF(AND(ISNUMBER($D548),ISNUMBER($F548)),IF($D548&gt;$F548,1,0),0)+IF(AND(ISNUMBER($E548),ISNUMBER($F548)),IF($E548&gt;$F548,1,0),0)</f>
        <v>0</v>
      </c>
      <c r="X548" s="13" t="s">
        <v>76</v>
      </c>
    </row>
    <row r="549" customFormat="false" ht="15" hidden="false" customHeight="false" outlineLevel="0" collapsed="false">
      <c r="A549" s="10" t="s">
        <v>2473</v>
      </c>
      <c r="B549" s="10" t="s">
        <v>2474</v>
      </c>
      <c r="C549" s="10" t="s">
        <v>2475</v>
      </c>
      <c r="D549" s="12" t="n">
        <v>201.4</v>
      </c>
      <c r="E549" s="12"/>
      <c r="F549" s="12"/>
      <c r="G549" s="10" t="s">
        <v>63</v>
      </c>
      <c r="H549" s="10" t="s">
        <v>2476</v>
      </c>
      <c r="I549" s="11" t="s">
        <v>2307</v>
      </c>
      <c r="J549" s="10" t="s">
        <v>2299</v>
      </c>
      <c r="K549" s="10" t="s">
        <v>2300</v>
      </c>
      <c r="L549" s="10" t="s">
        <v>68</v>
      </c>
      <c r="M549" s="10" t="s">
        <v>69</v>
      </c>
      <c r="N549" s="10"/>
      <c r="O549" s="11" t="s">
        <v>2301</v>
      </c>
      <c r="P549" s="10" t="s">
        <v>71</v>
      </c>
      <c r="Q549" s="11" t="s">
        <v>72</v>
      </c>
      <c r="R549" s="11" t="s">
        <v>73</v>
      </c>
      <c r="S549" s="11" t="s">
        <v>74</v>
      </c>
      <c r="T549" s="11" t="s">
        <v>2477</v>
      </c>
      <c r="U549" s="10" t="n">
        <f aca="false">IF(AND($D549="",$E549="",$F549=""),1,0)</f>
        <v>0</v>
      </c>
      <c r="V549" s="10" t="n">
        <f aca="false">IF(OR($I549="",$I549="—"),1,0)</f>
        <v>0</v>
      </c>
      <c r="W549" s="10" t="n">
        <f aca="false">IF(AND(ISNUMBER($D549),ISNUMBER($E549)),IF($E549&gt;$D549,1,0),0)+IF(AND(ISNUMBER($D549),ISNUMBER($F549)),IF($D549&gt;$F549,1,0),0)+IF(AND(ISNUMBER($E549),ISNUMBER($F549)),IF($E549&gt;$F549,1,0),0)</f>
        <v>0</v>
      </c>
      <c r="X549" s="13" t="s">
        <v>76</v>
      </c>
    </row>
    <row r="550" customFormat="false" ht="15" hidden="false" customHeight="false" outlineLevel="0" collapsed="false">
      <c r="A550" s="10" t="s">
        <v>2478</v>
      </c>
      <c r="B550" s="10" t="s">
        <v>2479</v>
      </c>
      <c r="C550" s="11" t="s">
        <v>2480</v>
      </c>
      <c r="D550" s="12" t="n">
        <v>3015.64</v>
      </c>
      <c r="E550" s="12"/>
      <c r="F550" s="12"/>
      <c r="G550" s="10" t="s">
        <v>2226</v>
      </c>
      <c r="H550" s="10" t="s">
        <v>2462</v>
      </c>
      <c r="I550" s="11" t="s">
        <v>2307</v>
      </c>
      <c r="J550" s="10" t="s">
        <v>2299</v>
      </c>
      <c r="K550" s="10" t="s">
        <v>2300</v>
      </c>
      <c r="L550" s="10" t="s">
        <v>68</v>
      </c>
      <c r="M550" s="10" t="s">
        <v>69</v>
      </c>
      <c r="N550" s="10"/>
      <c r="O550" s="11" t="s">
        <v>2301</v>
      </c>
      <c r="P550" s="10" t="s">
        <v>71</v>
      </c>
      <c r="Q550" s="11" t="s">
        <v>72</v>
      </c>
      <c r="R550" s="11" t="s">
        <v>73</v>
      </c>
      <c r="S550" s="11" t="s">
        <v>74</v>
      </c>
      <c r="T550" s="11" t="s">
        <v>2481</v>
      </c>
      <c r="U550" s="10" t="n">
        <f aca="false">IF(AND($D550="",$E550="",$F550=""),1,0)</f>
        <v>0</v>
      </c>
      <c r="V550" s="10" t="n">
        <f aca="false">IF(OR($I550="",$I550="—"),1,0)</f>
        <v>0</v>
      </c>
      <c r="W550" s="10" t="n">
        <f aca="false">IF(AND(ISNUMBER($D550),ISNUMBER($E550)),IF($E550&gt;$D550,1,0),0)+IF(AND(ISNUMBER($D550),ISNUMBER($F550)),IF($D550&gt;$F550,1,0),0)+IF(AND(ISNUMBER($E550),ISNUMBER($F550)),IF($E550&gt;$F550,1,0),0)</f>
        <v>0</v>
      </c>
      <c r="X550" s="13" t="s">
        <v>76</v>
      </c>
    </row>
    <row r="551" customFormat="false" ht="15" hidden="false" customHeight="false" outlineLevel="0" collapsed="false">
      <c r="A551" s="10" t="s">
        <v>2482</v>
      </c>
      <c r="B551" s="10" t="s">
        <v>2483</v>
      </c>
      <c r="C551" s="11" t="s">
        <v>2484</v>
      </c>
      <c r="D551" s="12" t="n">
        <v>3010.77</v>
      </c>
      <c r="E551" s="12"/>
      <c r="F551" s="12"/>
      <c r="G551" s="10" t="s">
        <v>2226</v>
      </c>
      <c r="H551" s="10" t="s">
        <v>2462</v>
      </c>
      <c r="I551" s="11" t="s">
        <v>2307</v>
      </c>
      <c r="J551" s="10" t="s">
        <v>2299</v>
      </c>
      <c r="K551" s="10" t="s">
        <v>2300</v>
      </c>
      <c r="L551" s="10" t="s">
        <v>68</v>
      </c>
      <c r="M551" s="10" t="s">
        <v>69</v>
      </c>
      <c r="N551" s="10"/>
      <c r="O551" s="11" t="s">
        <v>2301</v>
      </c>
      <c r="P551" s="10" t="s">
        <v>71</v>
      </c>
      <c r="Q551" s="11" t="s">
        <v>72</v>
      </c>
      <c r="R551" s="11" t="s">
        <v>73</v>
      </c>
      <c r="S551" s="11" t="s">
        <v>74</v>
      </c>
      <c r="T551" s="11" t="s">
        <v>2485</v>
      </c>
      <c r="U551" s="10" t="n">
        <f aca="false">IF(AND($D551="",$E551="",$F551=""),1,0)</f>
        <v>0</v>
      </c>
      <c r="V551" s="10" t="n">
        <f aca="false">IF(OR($I551="",$I551="—"),1,0)</f>
        <v>0</v>
      </c>
      <c r="W551" s="10" t="n">
        <f aca="false">IF(AND(ISNUMBER($D551),ISNUMBER($E551)),IF($E551&gt;$D551,1,0),0)+IF(AND(ISNUMBER($D551),ISNUMBER($F551)),IF($D551&gt;$F551,1,0),0)+IF(AND(ISNUMBER($E551),ISNUMBER($F551)),IF($E551&gt;$F551,1,0),0)</f>
        <v>0</v>
      </c>
      <c r="X551" s="13" t="s">
        <v>76</v>
      </c>
    </row>
    <row r="552" customFormat="false" ht="15" hidden="false" customHeight="false" outlineLevel="0" collapsed="false">
      <c r="A552" s="10" t="s">
        <v>2486</v>
      </c>
      <c r="B552" s="10" t="s">
        <v>2487</v>
      </c>
      <c r="C552" s="11" t="s">
        <v>2488</v>
      </c>
      <c r="D552" s="12" t="n">
        <v>892.5</v>
      </c>
      <c r="E552" s="12"/>
      <c r="F552" s="12"/>
      <c r="G552" s="10" t="s">
        <v>2297</v>
      </c>
      <c r="H552" s="10" t="s">
        <v>2455</v>
      </c>
      <c r="I552" s="11" t="s">
        <v>2307</v>
      </c>
      <c r="J552" s="10" t="s">
        <v>2299</v>
      </c>
      <c r="K552" s="10" t="s">
        <v>2300</v>
      </c>
      <c r="L552" s="10" t="s">
        <v>68</v>
      </c>
      <c r="M552" s="10" t="s">
        <v>69</v>
      </c>
      <c r="N552" s="10"/>
      <c r="O552" s="11" t="s">
        <v>2301</v>
      </c>
      <c r="P552" s="10" t="s">
        <v>71</v>
      </c>
      <c r="Q552" s="11" t="s">
        <v>72</v>
      </c>
      <c r="R552" s="11" t="s">
        <v>73</v>
      </c>
      <c r="S552" s="11" t="s">
        <v>74</v>
      </c>
      <c r="T552" s="11" t="s">
        <v>2489</v>
      </c>
      <c r="U552" s="10" t="n">
        <f aca="false">IF(AND($D552="",$E552="",$F552=""),1,0)</f>
        <v>0</v>
      </c>
      <c r="V552" s="10" t="n">
        <f aca="false">IF(OR($I552="",$I552="—"),1,0)</f>
        <v>0</v>
      </c>
      <c r="W552" s="10" t="n">
        <f aca="false">IF(AND(ISNUMBER($D552),ISNUMBER($E552)),IF($E552&gt;$D552,1,0),0)+IF(AND(ISNUMBER($D552),ISNUMBER($F552)),IF($D552&gt;$F552,1,0),0)+IF(AND(ISNUMBER($E552),ISNUMBER($F552)),IF($E552&gt;$F552,1,0),0)</f>
        <v>0</v>
      </c>
      <c r="X552" s="13" t="s">
        <v>76</v>
      </c>
    </row>
    <row r="553" customFormat="false" ht="15" hidden="false" customHeight="false" outlineLevel="0" collapsed="false">
      <c r="A553" s="10" t="s">
        <v>2490</v>
      </c>
      <c r="B553" s="10" t="s">
        <v>2491</v>
      </c>
      <c r="C553" s="11" t="s">
        <v>2492</v>
      </c>
      <c r="D553" s="12" t="n">
        <v>26365026</v>
      </c>
      <c r="E553" s="12"/>
      <c r="F553" s="12"/>
      <c r="G553" s="11" t="s">
        <v>2306</v>
      </c>
      <c r="H553" s="10" t="s">
        <v>1957</v>
      </c>
      <c r="I553" s="11" t="s">
        <v>2307</v>
      </c>
      <c r="J553" s="10" t="s">
        <v>2299</v>
      </c>
      <c r="K553" s="10" t="s">
        <v>2300</v>
      </c>
      <c r="L553" s="10" t="s">
        <v>68</v>
      </c>
      <c r="M553" s="10" t="s">
        <v>69</v>
      </c>
      <c r="N553" s="10"/>
      <c r="O553" s="11" t="s">
        <v>2301</v>
      </c>
      <c r="P553" s="10" t="s">
        <v>71</v>
      </c>
      <c r="Q553" s="11" t="s">
        <v>72</v>
      </c>
      <c r="R553" s="11" t="s">
        <v>73</v>
      </c>
      <c r="S553" s="11" t="s">
        <v>74</v>
      </c>
      <c r="T553" s="11" t="s">
        <v>2493</v>
      </c>
      <c r="U553" s="10" t="n">
        <f aca="false">IF(AND($D553="",$E553="",$F553=""),1,0)</f>
        <v>0</v>
      </c>
      <c r="V553" s="10" t="n">
        <f aca="false">IF(OR($I553="",$I553="—"),1,0)</f>
        <v>0</v>
      </c>
      <c r="W553" s="10" t="n">
        <f aca="false">IF(AND(ISNUMBER($D553),ISNUMBER($E553)),IF($E553&gt;$D553,1,0),0)+IF(AND(ISNUMBER($D553),ISNUMBER($F553)),IF($D553&gt;$F553,1,0),0)+IF(AND(ISNUMBER($E553),ISNUMBER($F553)),IF($E553&gt;$F553,1,0),0)</f>
        <v>0</v>
      </c>
      <c r="X553" s="13" t="s">
        <v>76</v>
      </c>
    </row>
    <row r="554" customFormat="false" ht="15" hidden="false" customHeight="false" outlineLevel="0" collapsed="false">
      <c r="A554" s="10" t="s">
        <v>2494</v>
      </c>
      <c r="B554" s="10" t="s">
        <v>2495</v>
      </c>
      <c r="C554" s="10" t="s">
        <v>2496</v>
      </c>
      <c r="D554" s="12" t="n">
        <v>60</v>
      </c>
      <c r="E554" s="12"/>
      <c r="F554" s="12"/>
      <c r="G554" s="10" t="s">
        <v>401</v>
      </c>
      <c r="H554" s="10" t="s">
        <v>1957</v>
      </c>
      <c r="I554" s="11" t="s">
        <v>2307</v>
      </c>
      <c r="J554" s="10" t="s">
        <v>2299</v>
      </c>
      <c r="K554" s="10" t="s">
        <v>2300</v>
      </c>
      <c r="L554" s="10" t="s">
        <v>68</v>
      </c>
      <c r="M554" s="10" t="s">
        <v>69</v>
      </c>
      <c r="N554" s="10"/>
      <c r="O554" s="11" t="s">
        <v>2301</v>
      </c>
      <c r="P554" s="10" t="s">
        <v>71</v>
      </c>
      <c r="Q554" s="11" t="s">
        <v>72</v>
      </c>
      <c r="R554" s="11" t="s">
        <v>73</v>
      </c>
      <c r="S554" s="11" t="s">
        <v>74</v>
      </c>
      <c r="T554" s="10" t="s">
        <v>2497</v>
      </c>
      <c r="U554" s="10" t="n">
        <f aca="false">IF(AND($D554="",$E554="",$F554=""),1,0)</f>
        <v>0</v>
      </c>
      <c r="V554" s="10" t="n">
        <f aca="false">IF(OR($I554="",$I554="—"),1,0)</f>
        <v>0</v>
      </c>
      <c r="W554" s="10" t="n">
        <f aca="false">IF(AND(ISNUMBER($D554),ISNUMBER($E554)),IF($E554&gt;$D554,1,0),0)+IF(AND(ISNUMBER($D554),ISNUMBER($F554)),IF($D554&gt;$F554,1,0),0)+IF(AND(ISNUMBER($E554),ISNUMBER($F554)),IF($E554&gt;$F554,1,0),0)</f>
        <v>0</v>
      </c>
      <c r="X554" s="13" t="s">
        <v>76</v>
      </c>
    </row>
    <row r="555" customFormat="false" ht="15" hidden="false" customHeight="false" outlineLevel="0" collapsed="false">
      <c r="A555" s="10" t="s">
        <v>2498</v>
      </c>
      <c r="B555" s="10" t="s">
        <v>2499</v>
      </c>
      <c r="C555" s="10" t="s">
        <v>2500</v>
      </c>
      <c r="D555" s="12" t="n">
        <v>393.31</v>
      </c>
      <c r="E555" s="12"/>
      <c r="F555" s="12"/>
      <c r="G555" s="10" t="s">
        <v>2346</v>
      </c>
      <c r="H555" s="10" t="s">
        <v>1957</v>
      </c>
      <c r="I555" s="11" t="s">
        <v>2501</v>
      </c>
      <c r="J555" s="10" t="s">
        <v>2502</v>
      </c>
      <c r="K555" s="10" t="s">
        <v>1355</v>
      </c>
      <c r="L555" s="10" t="s">
        <v>68</v>
      </c>
      <c r="M555" s="10" t="s">
        <v>636</v>
      </c>
      <c r="N555" s="10"/>
      <c r="O555" s="11" t="s">
        <v>2503</v>
      </c>
      <c r="P555" s="10" t="s">
        <v>637</v>
      </c>
      <c r="Q555" s="11" t="s">
        <v>638</v>
      </c>
      <c r="R555" s="11" t="s">
        <v>639</v>
      </c>
      <c r="S555" s="11" t="s">
        <v>638</v>
      </c>
      <c r="T555" s="11" t="s">
        <v>2504</v>
      </c>
      <c r="U555" s="10" t="n">
        <f aca="false">IF(AND($D555="",$E555="",$F555=""),1,0)</f>
        <v>0</v>
      </c>
      <c r="V555" s="10" t="n">
        <f aca="false">IF(OR($I555="",$I555="—"),1,0)</f>
        <v>0</v>
      </c>
      <c r="W555" s="10" t="n">
        <f aca="false">IF(AND(ISNUMBER($D555),ISNUMBER($E555)),IF($E555&gt;$D555,1,0),0)+IF(AND(ISNUMBER($D555),ISNUMBER($F555)),IF($D555&gt;$F555,1,0),0)+IF(AND(ISNUMBER($E555),ISNUMBER($F555)),IF($E555&gt;$F555,1,0),0)</f>
        <v>0</v>
      </c>
      <c r="X555" s="13" t="s">
        <v>76</v>
      </c>
    </row>
    <row r="556" customFormat="false" ht="15" hidden="false" customHeight="false" outlineLevel="0" collapsed="false">
      <c r="A556" s="10" t="s">
        <v>2505</v>
      </c>
      <c r="B556" s="10" t="s">
        <v>2506</v>
      </c>
      <c r="C556" s="11" t="s">
        <v>2507</v>
      </c>
      <c r="D556" s="12" t="n">
        <v>2224.8</v>
      </c>
      <c r="E556" s="12"/>
      <c r="F556" s="12"/>
      <c r="G556" s="10" t="s">
        <v>2508</v>
      </c>
      <c r="H556" s="10" t="s">
        <v>824</v>
      </c>
      <c r="I556" s="11" t="s">
        <v>2509</v>
      </c>
      <c r="J556" s="10" t="s">
        <v>2510</v>
      </c>
      <c r="K556" s="10" t="s">
        <v>665</v>
      </c>
      <c r="L556" s="10" t="s">
        <v>68</v>
      </c>
      <c r="M556" s="10" t="s">
        <v>69</v>
      </c>
      <c r="N556" s="10"/>
      <c r="O556" s="11" t="s">
        <v>2511</v>
      </c>
      <c r="P556" s="10" t="s">
        <v>71</v>
      </c>
      <c r="Q556" s="11" t="s">
        <v>72</v>
      </c>
      <c r="R556" s="11" t="s">
        <v>73</v>
      </c>
      <c r="S556" s="11" t="s">
        <v>74</v>
      </c>
      <c r="T556" s="11" t="s">
        <v>2512</v>
      </c>
      <c r="U556" s="10" t="n">
        <f aca="false">IF(AND($D556="",$E556="",$F556=""),1,0)</f>
        <v>0</v>
      </c>
      <c r="V556" s="10" t="n">
        <f aca="false">IF(OR($I556="",$I556="—"),1,0)</f>
        <v>0</v>
      </c>
      <c r="W556" s="10" t="n">
        <f aca="false">IF(AND(ISNUMBER($D556),ISNUMBER($E556)),IF($E556&gt;$D556,1,0),0)+IF(AND(ISNUMBER($D556),ISNUMBER($F556)),IF($D556&gt;$F556,1,0),0)+IF(AND(ISNUMBER($E556),ISNUMBER($F556)),IF($E556&gt;$F556,1,0),0)</f>
        <v>0</v>
      </c>
      <c r="X556" s="13" t="s">
        <v>76</v>
      </c>
    </row>
    <row r="557" customFormat="false" ht="15" hidden="false" customHeight="false" outlineLevel="0" collapsed="false">
      <c r="A557" s="10" t="s">
        <v>2513</v>
      </c>
      <c r="B557" s="10" t="s">
        <v>2514</v>
      </c>
      <c r="C557" s="11" t="s">
        <v>2507</v>
      </c>
      <c r="D557" s="12" t="n">
        <v>689.5</v>
      </c>
      <c r="E557" s="12"/>
      <c r="F557" s="12"/>
      <c r="G557" s="10" t="s">
        <v>2508</v>
      </c>
      <c r="H557" s="10" t="s">
        <v>626</v>
      </c>
      <c r="I557" s="11" t="s">
        <v>2509</v>
      </c>
      <c r="J557" s="10" t="s">
        <v>2510</v>
      </c>
      <c r="K557" s="10" t="s">
        <v>665</v>
      </c>
      <c r="L557" s="10" t="s">
        <v>68</v>
      </c>
      <c r="M557" s="10" t="s">
        <v>69</v>
      </c>
      <c r="N557" s="10"/>
      <c r="O557" s="11" t="s">
        <v>2515</v>
      </c>
      <c r="P557" s="10" t="s">
        <v>71</v>
      </c>
      <c r="Q557" s="11" t="s">
        <v>72</v>
      </c>
      <c r="R557" s="11" t="s">
        <v>73</v>
      </c>
      <c r="S557" s="11" t="s">
        <v>74</v>
      </c>
      <c r="T557" s="10" t="s">
        <v>2516</v>
      </c>
      <c r="U557" s="10" t="n">
        <f aca="false">IF(AND($D557="",$E557="",$F557=""),1,0)</f>
        <v>0</v>
      </c>
      <c r="V557" s="10" t="n">
        <f aca="false">IF(OR($I557="",$I557="—"),1,0)</f>
        <v>0</v>
      </c>
      <c r="W557" s="10" t="n">
        <f aca="false">IF(AND(ISNUMBER($D557),ISNUMBER($E557)),IF($E557&gt;$D557,1,0),0)+IF(AND(ISNUMBER($D557),ISNUMBER($F557)),IF($D557&gt;$F557,1,0),0)+IF(AND(ISNUMBER($E557),ISNUMBER($F557)),IF($E557&gt;$F557,1,0),0)</f>
        <v>0</v>
      </c>
      <c r="X557" s="13" t="s">
        <v>76</v>
      </c>
    </row>
    <row r="558" customFormat="false" ht="15" hidden="false" customHeight="false" outlineLevel="0" collapsed="false">
      <c r="A558" s="10" t="s">
        <v>2517</v>
      </c>
      <c r="B558" s="10" t="s">
        <v>2518</v>
      </c>
      <c r="C558" s="11" t="s">
        <v>2519</v>
      </c>
      <c r="D558" s="12" t="n">
        <v>58.8</v>
      </c>
      <c r="E558" s="12"/>
      <c r="F558" s="12"/>
      <c r="G558" s="10" t="s">
        <v>401</v>
      </c>
      <c r="H558" s="10" t="s">
        <v>824</v>
      </c>
      <c r="I558" s="11" t="s">
        <v>2509</v>
      </c>
      <c r="J558" s="10" t="s">
        <v>2510</v>
      </c>
      <c r="K558" s="10" t="s">
        <v>665</v>
      </c>
      <c r="L558" s="10" t="s">
        <v>68</v>
      </c>
      <c r="M558" s="10" t="s">
        <v>69</v>
      </c>
      <c r="N558" s="10"/>
      <c r="O558" s="11" t="s">
        <v>2511</v>
      </c>
      <c r="P558" s="10" t="s">
        <v>71</v>
      </c>
      <c r="Q558" s="11" t="s">
        <v>72</v>
      </c>
      <c r="R558" s="11" t="s">
        <v>73</v>
      </c>
      <c r="S558" s="11" t="s">
        <v>74</v>
      </c>
      <c r="T558" s="11" t="s">
        <v>2520</v>
      </c>
      <c r="U558" s="10" t="n">
        <f aca="false">IF(AND($D558="",$E558="",$F558=""),1,0)</f>
        <v>0</v>
      </c>
      <c r="V558" s="10" t="n">
        <f aca="false">IF(OR($I558="",$I558="—"),1,0)</f>
        <v>0</v>
      </c>
      <c r="W558" s="10" t="n">
        <f aca="false">IF(AND(ISNUMBER($D558),ISNUMBER($E558)),IF($E558&gt;$D558,1,0),0)+IF(AND(ISNUMBER($D558),ISNUMBER($F558)),IF($D558&gt;$F558,1,0),0)+IF(AND(ISNUMBER($E558),ISNUMBER($F558)),IF($E558&gt;$F558,1,0),0)</f>
        <v>0</v>
      </c>
      <c r="X558" s="13" t="s">
        <v>76</v>
      </c>
    </row>
    <row r="559" customFormat="false" ht="15" hidden="false" customHeight="false" outlineLevel="0" collapsed="false">
      <c r="A559" s="10" t="s">
        <v>2521</v>
      </c>
      <c r="B559" s="10" t="s">
        <v>2522</v>
      </c>
      <c r="C559" s="11" t="s">
        <v>2523</v>
      </c>
      <c r="D559" s="12" t="n">
        <v>360.52</v>
      </c>
      <c r="E559" s="12"/>
      <c r="F559" s="12"/>
      <c r="G559" s="10" t="s">
        <v>2508</v>
      </c>
      <c r="H559" s="10" t="s">
        <v>1423</v>
      </c>
      <c r="I559" s="11" t="s">
        <v>2524</v>
      </c>
      <c r="J559" s="10" t="s">
        <v>2510</v>
      </c>
      <c r="K559" s="10" t="s">
        <v>665</v>
      </c>
      <c r="L559" s="10" t="s">
        <v>68</v>
      </c>
      <c r="M559" s="10" t="s">
        <v>69</v>
      </c>
      <c r="N559" s="10"/>
      <c r="O559" s="11" t="s">
        <v>2301</v>
      </c>
      <c r="P559" s="10" t="s">
        <v>71</v>
      </c>
      <c r="Q559" s="11" t="s">
        <v>72</v>
      </c>
      <c r="R559" s="11" t="s">
        <v>73</v>
      </c>
      <c r="S559" s="11" t="s">
        <v>74</v>
      </c>
      <c r="T559" s="11" t="s">
        <v>2525</v>
      </c>
      <c r="U559" s="10" t="n">
        <f aca="false">IF(AND($D559="",$E559="",$F559=""),1,0)</f>
        <v>0</v>
      </c>
      <c r="V559" s="10" t="n">
        <f aca="false">IF(OR($I559="",$I559="—"),1,0)</f>
        <v>0</v>
      </c>
      <c r="W559" s="10" t="n">
        <f aca="false">IF(AND(ISNUMBER($D559),ISNUMBER($E559)),IF($E559&gt;$D559,1,0),0)+IF(AND(ISNUMBER($D559),ISNUMBER($F559)),IF($D559&gt;$F559,1,0),0)+IF(AND(ISNUMBER($E559),ISNUMBER($F559)),IF($E559&gt;$F559,1,0),0)</f>
        <v>0</v>
      </c>
      <c r="X559" s="13" t="s">
        <v>76</v>
      </c>
    </row>
    <row r="560" customFormat="false" ht="15" hidden="false" customHeight="false" outlineLevel="0" collapsed="false">
      <c r="A560" s="10" t="s">
        <v>2526</v>
      </c>
      <c r="B560" s="10" t="s">
        <v>2527</v>
      </c>
      <c r="C560" s="11" t="s">
        <v>2528</v>
      </c>
      <c r="D560" s="12" t="n">
        <v>81.62</v>
      </c>
      <c r="E560" s="12"/>
      <c r="F560" s="12"/>
      <c r="G560" s="10" t="s">
        <v>2508</v>
      </c>
      <c r="H560" s="10" t="s">
        <v>1423</v>
      </c>
      <c r="I560" s="11" t="s">
        <v>2217</v>
      </c>
      <c r="J560" s="10" t="s">
        <v>2529</v>
      </c>
      <c r="K560" s="10" t="s">
        <v>1423</v>
      </c>
      <c r="L560" s="10" t="s">
        <v>68</v>
      </c>
      <c r="M560" s="10" t="s">
        <v>69</v>
      </c>
      <c r="N560" s="10"/>
      <c r="O560" s="11" t="s">
        <v>2417</v>
      </c>
      <c r="P560" s="10" t="s">
        <v>637</v>
      </c>
      <c r="Q560" s="11" t="s">
        <v>72</v>
      </c>
      <c r="R560" s="11" t="s">
        <v>1090</v>
      </c>
      <c r="S560" s="11" t="s">
        <v>1278</v>
      </c>
      <c r="T560" s="11" t="s">
        <v>2530</v>
      </c>
      <c r="U560" s="10" t="n">
        <f aca="false">IF(AND($D560="",$E560="",$F560=""),1,0)</f>
        <v>0</v>
      </c>
      <c r="V560" s="10" t="n">
        <f aca="false">IF(OR($I560="",$I560="—"),1,0)</f>
        <v>0</v>
      </c>
      <c r="W560" s="10" t="n">
        <f aca="false">IF(AND(ISNUMBER($D560),ISNUMBER($E560)),IF($E560&gt;$D560,1,0),0)+IF(AND(ISNUMBER($D560),ISNUMBER($F560)),IF($D560&gt;$F560,1,0),0)+IF(AND(ISNUMBER($E560),ISNUMBER($F560)),IF($E560&gt;$F560,1,0),0)</f>
        <v>0</v>
      </c>
      <c r="X560" s="13" t="s">
        <v>76</v>
      </c>
    </row>
    <row r="561" customFormat="false" ht="15" hidden="false" customHeight="false" outlineLevel="0" collapsed="false">
      <c r="A561" s="10" t="s">
        <v>2531</v>
      </c>
      <c r="B561" s="10" t="s">
        <v>2532</v>
      </c>
      <c r="C561" s="11" t="s">
        <v>2533</v>
      </c>
      <c r="D561" s="12" t="n">
        <v>390.6</v>
      </c>
      <c r="E561" s="12"/>
      <c r="F561" s="12"/>
      <c r="G561" s="10" t="s">
        <v>2508</v>
      </c>
      <c r="H561" s="10" t="s">
        <v>662</v>
      </c>
      <c r="I561" s="11" t="s">
        <v>2509</v>
      </c>
      <c r="J561" s="10" t="s">
        <v>2510</v>
      </c>
      <c r="K561" s="10" t="s">
        <v>665</v>
      </c>
      <c r="L561" s="10" t="s">
        <v>68</v>
      </c>
      <c r="M561" s="10" t="s">
        <v>69</v>
      </c>
      <c r="N561" s="10"/>
      <c r="O561" s="11" t="s">
        <v>2511</v>
      </c>
      <c r="P561" s="10" t="s">
        <v>71</v>
      </c>
      <c r="Q561" s="11" t="s">
        <v>72</v>
      </c>
      <c r="R561" s="11" t="s">
        <v>73</v>
      </c>
      <c r="S561" s="11" t="s">
        <v>74</v>
      </c>
      <c r="T561" s="10" t="s">
        <v>2534</v>
      </c>
      <c r="U561" s="10" t="n">
        <f aca="false">IF(AND($D561="",$E561="",$F561=""),1,0)</f>
        <v>0</v>
      </c>
      <c r="V561" s="10" t="n">
        <f aca="false">IF(OR($I561="",$I561="—"),1,0)</f>
        <v>0</v>
      </c>
      <c r="W561" s="10" t="n">
        <f aca="false">IF(AND(ISNUMBER($D561),ISNUMBER($E561)),IF($E561&gt;$D561,1,0),0)+IF(AND(ISNUMBER($D561),ISNUMBER($F561)),IF($D561&gt;$F561,1,0),0)+IF(AND(ISNUMBER($E561),ISNUMBER($F561)),IF($E561&gt;$F561,1,0),0)</f>
        <v>0</v>
      </c>
      <c r="X561" s="13" t="s">
        <v>76</v>
      </c>
    </row>
    <row r="562" customFormat="false" ht="15" hidden="false" customHeight="false" outlineLevel="0" collapsed="false">
      <c r="A562" s="10" t="s">
        <v>2535</v>
      </c>
      <c r="B562" s="10" t="s">
        <v>2536</v>
      </c>
      <c r="C562" s="11" t="s">
        <v>2537</v>
      </c>
      <c r="D562" s="12" t="n">
        <v>60</v>
      </c>
      <c r="E562" s="12"/>
      <c r="F562" s="12"/>
      <c r="G562" s="10" t="s">
        <v>401</v>
      </c>
      <c r="H562" s="10" t="s">
        <v>1935</v>
      </c>
      <c r="I562" s="11" t="s">
        <v>2538</v>
      </c>
      <c r="J562" s="10" t="s">
        <v>2539</v>
      </c>
      <c r="K562" s="10" t="s">
        <v>1974</v>
      </c>
      <c r="L562" s="10" t="s">
        <v>68</v>
      </c>
      <c r="M562" s="10" t="s">
        <v>416</v>
      </c>
      <c r="N562" s="11" t="s">
        <v>2540</v>
      </c>
      <c r="O562" s="11" t="s">
        <v>2541</v>
      </c>
      <c r="P562" s="10" t="s">
        <v>637</v>
      </c>
      <c r="Q562" s="11" t="s">
        <v>72</v>
      </c>
      <c r="R562" s="11" t="s">
        <v>2540</v>
      </c>
      <c r="S562" s="11" t="s">
        <v>1278</v>
      </c>
      <c r="T562" s="11" t="s">
        <v>2542</v>
      </c>
      <c r="U562" s="10" t="n">
        <f aca="false">IF(AND($D562="",$E562="",$F562=""),1,0)</f>
        <v>0</v>
      </c>
      <c r="V562" s="10" t="n">
        <f aca="false">IF(OR($I562="",$I562="—"),1,0)</f>
        <v>0</v>
      </c>
      <c r="W562" s="10" t="n">
        <f aca="false">IF(AND(ISNUMBER($D562),ISNUMBER($E562)),IF($E562&gt;$D562,1,0),0)+IF(AND(ISNUMBER($D562),ISNUMBER($F562)),IF($D562&gt;$F562,1,0),0)+IF(AND(ISNUMBER($E562),ISNUMBER($F562)),IF($E562&gt;$F562,1,0),0)</f>
        <v>0</v>
      </c>
      <c r="X562" s="13" t="s">
        <v>76</v>
      </c>
    </row>
    <row r="563" customFormat="false" ht="15" hidden="false" customHeight="false" outlineLevel="0" collapsed="false">
      <c r="A563" s="10" t="s">
        <v>2543</v>
      </c>
      <c r="B563" s="10" t="s">
        <v>2544</v>
      </c>
      <c r="C563" s="11" t="s">
        <v>2545</v>
      </c>
      <c r="D563" s="12"/>
      <c r="E563" s="12"/>
      <c r="F563" s="12"/>
      <c r="G563" s="10" t="s">
        <v>2546</v>
      </c>
      <c r="H563" s="10" t="s">
        <v>1935</v>
      </c>
      <c r="I563" s="10" t="s">
        <v>2547</v>
      </c>
      <c r="J563" s="10" t="s">
        <v>2548</v>
      </c>
      <c r="K563" s="10" t="s">
        <v>1935</v>
      </c>
      <c r="L563" s="10" t="s">
        <v>68</v>
      </c>
      <c r="M563" s="10" t="s">
        <v>416</v>
      </c>
      <c r="N563" s="11" t="s">
        <v>2248</v>
      </c>
      <c r="O563" s="11" t="s">
        <v>2442</v>
      </c>
      <c r="P563" s="10" t="s">
        <v>2549</v>
      </c>
      <c r="Q563" s="11" t="s">
        <v>72</v>
      </c>
      <c r="R563" s="11" t="s">
        <v>2248</v>
      </c>
      <c r="S563" s="11" t="s">
        <v>1278</v>
      </c>
      <c r="T563" s="11" t="s">
        <v>2550</v>
      </c>
      <c r="U563" s="10" t="n">
        <f aca="false">IF(AND($D563="",$E563="",$F563=""),1,0)</f>
        <v>1</v>
      </c>
      <c r="V563" s="10" t="n">
        <f aca="false">IF(OR($I563="",$I563="—"),1,0)</f>
        <v>0</v>
      </c>
      <c r="W563" s="10" t="n">
        <f aca="false">IF(AND(ISNUMBER($D563),ISNUMBER($E563)),IF($E563&gt;$D563,1,0),0)+IF(AND(ISNUMBER($D563),ISNUMBER($F563)),IF($D563&gt;$F563,1,0),0)+IF(AND(ISNUMBER($E563),ISNUMBER($F563)),IF($E563&gt;$F563,1,0),0)</f>
        <v>0</v>
      </c>
      <c r="X563" s="13" t="s">
        <v>76</v>
      </c>
    </row>
    <row r="564" customFormat="false" ht="15" hidden="false" customHeight="false" outlineLevel="0" collapsed="false">
      <c r="A564" s="10" t="s">
        <v>2551</v>
      </c>
      <c r="B564" s="10" t="s">
        <v>2552</v>
      </c>
      <c r="C564" s="11" t="s">
        <v>2553</v>
      </c>
      <c r="D564" s="12" t="n">
        <v>445843090</v>
      </c>
      <c r="E564" s="12"/>
      <c r="F564" s="12"/>
      <c r="G564" s="11" t="s">
        <v>2306</v>
      </c>
      <c r="H564" s="10" t="s">
        <v>824</v>
      </c>
      <c r="I564" s="11" t="s">
        <v>2554</v>
      </c>
      <c r="J564" s="10" t="s">
        <v>2555</v>
      </c>
      <c r="K564" s="10" t="s">
        <v>2556</v>
      </c>
      <c r="L564" s="10" t="s">
        <v>68</v>
      </c>
      <c r="M564" s="10" t="s">
        <v>69</v>
      </c>
      <c r="N564" s="10"/>
      <c r="O564" s="11" t="s">
        <v>2409</v>
      </c>
      <c r="P564" s="10" t="s">
        <v>637</v>
      </c>
      <c r="Q564" s="11" t="s">
        <v>72</v>
      </c>
      <c r="R564" s="11" t="s">
        <v>1090</v>
      </c>
      <c r="S564" s="11" t="s">
        <v>1278</v>
      </c>
      <c r="T564" s="10" t="s">
        <v>2557</v>
      </c>
      <c r="U564" s="10" t="n">
        <f aca="false">IF(AND($D564="",$E564="",$F564=""),1,0)</f>
        <v>0</v>
      </c>
      <c r="V564" s="10" t="n">
        <f aca="false">IF(OR($I564="",$I564="—"),1,0)</f>
        <v>0</v>
      </c>
      <c r="W564" s="10" t="n">
        <f aca="false">IF(AND(ISNUMBER($D564),ISNUMBER($E564)),IF($E564&gt;$D564,1,0),0)+IF(AND(ISNUMBER($D564),ISNUMBER($F564)),IF($D564&gt;$F564,1,0),0)+IF(AND(ISNUMBER($E564),ISNUMBER($F564)),IF($E564&gt;$F564,1,0),0)</f>
        <v>0</v>
      </c>
      <c r="X564" s="13" t="s">
        <v>76</v>
      </c>
    </row>
    <row r="565" customFormat="false" ht="15" hidden="false" customHeight="false" outlineLevel="0" collapsed="false">
      <c r="A565" s="10" t="s">
        <v>2558</v>
      </c>
      <c r="B565" s="10" t="s">
        <v>2559</v>
      </c>
      <c r="C565" s="10" t="s">
        <v>2560</v>
      </c>
      <c r="D565" s="12" t="n">
        <v>221314605</v>
      </c>
      <c r="E565" s="12"/>
      <c r="F565" s="12"/>
      <c r="G565" s="11" t="s">
        <v>2306</v>
      </c>
      <c r="H565" s="10" t="s">
        <v>824</v>
      </c>
      <c r="I565" s="11" t="s">
        <v>2554</v>
      </c>
      <c r="J565" s="10" t="s">
        <v>2555</v>
      </c>
      <c r="K565" s="10" t="s">
        <v>2556</v>
      </c>
      <c r="L565" s="10" t="s">
        <v>68</v>
      </c>
      <c r="M565" s="10" t="s">
        <v>69</v>
      </c>
      <c r="N565" s="10"/>
      <c r="O565" s="11" t="s">
        <v>2301</v>
      </c>
      <c r="P565" s="10" t="s">
        <v>637</v>
      </c>
      <c r="Q565" s="11" t="s">
        <v>72</v>
      </c>
      <c r="R565" s="11" t="s">
        <v>1090</v>
      </c>
      <c r="S565" s="11" t="s">
        <v>1278</v>
      </c>
      <c r="T565" s="11" t="s">
        <v>2561</v>
      </c>
      <c r="U565" s="10" t="n">
        <f aca="false">IF(AND($D565="",$E565="",$F565=""),1,0)</f>
        <v>0</v>
      </c>
      <c r="V565" s="10" t="n">
        <f aca="false">IF(OR($I565="",$I565="—"),1,0)</f>
        <v>0</v>
      </c>
      <c r="W565" s="10" t="n">
        <f aca="false">IF(AND(ISNUMBER($D565),ISNUMBER($E565)),IF($E565&gt;$D565,1,0),0)+IF(AND(ISNUMBER($D565),ISNUMBER($F565)),IF($D565&gt;$F565,1,0),0)+IF(AND(ISNUMBER($E565),ISNUMBER($F565)),IF($E565&gt;$F565,1,0),0)</f>
        <v>0</v>
      </c>
      <c r="X565" s="13" t="s">
        <v>76</v>
      </c>
    </row>
    <row r="566" customFormat="false" ht="15" hidden="false" customHeight="false" outlineLevel="0" collapsed="false">
      <c r="A566" s="10" t="s">
        <v>2562</v>
      </c>
      <c r="B566" s="10" t="s">
        <v>2563</v>
      </c>
      <c r="C566" s="11" t="s">
        <v>2564</v>
      </c>
      <c r="D566" s="12" t="n">
        <v>224528485</v>
      </c>
      <c r="E566" s="12"/>
      <c r="F566" s="12"/>
      <c r="G566" s="11" t="s">
        <v>2306</v>
      </c>
      <c r="H566" s="10" t="s">
        <v>2300</v>
      </c>
      <c r="I566" s="11" t="s">
        <v>2307</v>
      </c>
      <c r="J566" s="10" t="s">
        <v>2299</v>
      </c>
      <c r="K566" s="10" t="s">
        <v>2300</v>
      </c>
      <c r="L566" s="10" t="s">
        <v>68</v>
      </c>
      <c r="M566" s="10" t="s">
        <v>69</v>
      </c>
      <c r="N566" s="10"/>
      <c r="O566" s="11" t="s">
        <v>2301</v>
      </c>
      <c r="P566" s="10" t="s">
        <v>71</v>
      </c>
      <c r="Q566" s="11" t="s">
        <v>72</v>
      </c>
      <c r="R566" s="11" t="s">
        <v>73</v>
      </c>
      <c r="S566" s="11" t="s">
        <v>74</v>
      </c>
      <c r="T566" s="11" t="s">
        <v>2565</v>
      </c>
      <c r="U566" s="10" t="n">
        <f aca="false">IF(AND($D566="",$E566="",$F566=""),1,0)</f>
        <v>0</v>
      </c>
      <c r="V566" s="10" t="n">
        <f aca="false">IF(OR($I566="",$I566="—"),1,0)</f>
        <v>0</v>
      </c>
      <c r="W566" s="10" t="n">
        <f aca="false">IF(AND(ISNUMBER($D566),ISNUMBER($E566)),IF($E566&gt;$D566,1,0),0)+IF(AND(ISNUMBER($D566),ISNUMBER($F566)),IF($D566&gt;$F566,1,0),0)+IF(AND(ISNUMBER($E566),ISNUMBER($F566)),IF($E566&gt;$F566,1,0),0)</f>
        <v>0</v>
      </c>
      <c r="X566" s="13" t="s">
        <v>76</v>
      </c>
    </row>
    <row r="567" customFormat="false" ht="15" hidden="false" customHeight="false" outlineLevel="0" collapsed="false">
      <c r="A567" s="10" t="s">
        <v>2566</v>
      </c>
      <c r="B567" s="10" t="s">
        <v>2567</v>
      </c>
      <c r="C567" s="10" t="s">
        <v>2568</v>
      </c>
      <c r="D567" s="12" t="n">
        <v>487588090</v>
      </c>
      <c r="E567" s="12"/>
      <c r="F567" s="12"/>
      <c r="G567" s="11" t="s">
        <v>2306</v>
      </c>
      <c r="H567" s="10" t="s">
        <v>1752</v>
      </c>
      <c r="I567" s="11" t="s">
        <v>2569</v>
      </c>
      <c r="J567" s="10" t="s">
        <v>2299</v>
      </c>
      <c r="K567" s="10" t="s">
        <v>2300</v>
      </c>
      <c r="L567" s="10" t="s">
        <v>68</v>
      </c>
      <c r="M567" s="10" t="s">
        <v>69</v>
      </c>
      <c r="N567" s="10"/>
      <c r="O567" s="11" t="s">
        <v>2301</v>
      </c>
      <c r="P567" s="10" t="s">
        <v>71</v>
      </c>
      <c r="Q567" s="11" t="s">
        <v>72</v>
      </c>
      <c r="R567" s="11" t="s">
        <v>73</v>
      </c>
      <c r="S567" s="11" t="s">
        <v>74</v>
      </c>
      <c r="T567" s="10" t="s">
        <v>2570</v>
      </c>
      <c r="U567" s="10" t="n">
        <f aca="false">IF(AND($D567="",$E567="",$F567=""),1,0)</f>
        <v>0</v>
      </c>
      <c r="V567" s="10" t="n">
        <f aca="false">IF(OR($I567="",$I567="—"),1,0)</f>
        <v>0</v>
      </c>
      <c r="W567" s="10" t="n">
        <f aca="false">IF(AND(ISNUMBER($D567),ISNUMBER($E567)),IF($E567&gt;$D567,1,0),0)+IF(AND(ISNUMBER($D567),ISNUMBER($F567)),IF($D567&gt;$F567,1,0),0)+IF(AND(ISNUMBER($E567),ISNUMBER($F567)),IF($E567&gt;$F567,1,0),0)</f>
        <v>0</v>
      </c>
      <c r="X567" s="13" t="s">
        <v>76</v>
      </c>
    </row>
    <row r="568" customFormat="false" ht="15" hidden="false" customHeight="false" outlineLevel="0" collapsed="false">
      <c r="A568" s="10" t="s">
        <v>2571</v>
      </c>
      <c r="B568" s="10" t="s">
        <v>2572</v>
      </c>
      <c r="C568" s="11" t="s">
        <v>2573</v>
      </c>
      <c r="D568" s="12" t="n">
        <v>28.57</v>
      </c>
      <c r="E568" s="12"/>
      <c r="F568" s="12"/>
      <c r="G568" s="10" t="s">
        <v>401</v>
      </c>
      <c r="H568" s="10" t="s">
        <v>2300</v>
      </c>
      <c r="I568" s="11" t="s">
        <v>2307</v>
      </c>
      <c r="J568" s="10" t="s">
        <v>2299</v>
      </c>
      <c r="K568" s="10" t="s">
        <v>2300</v>
      </c>
      <c r="L568" s="10" t="s">
        <v>68</v>
      </c>
      <c r="M568" s="10" t="s">
        <v>69</v>
      </c>
      <c r="N568" s="10"/>
      <c r="O568" s="11" t="s">
        <v>2301</v>
      </c>
      <c r="P568" s="10" t="s">
        <v>71</v>
      </c>
      <c r="Q568" s="11" t="s">
        <v>72</v>
      </c>
      <c r="R568" s="11" t="s">
        <v>73</v>
      </c>
      <c r="S568" s="11" t="s">
        <v>74</v>
      </c>
      <c r="T568" s="11" t="s">
        <v>2574</v>
      </c>
      <c r="U568" s="10" t="n">
        <f aca="false">IF(AND($D568="",$E568="",$F568=""),1,0)</f>
        <v>0</v>
      </c>
      <c r="V568" s="10" t="n">
        <f aca="false">IF(OR($I568="",$I568="—"),1,0)</f>
        <v>0</v>
      </c>
      <c r="W568" s="10" t="n">
        <f aca="false">IF(AND(ISNUMBER($D568),ISNUMBER($E568)),IF($E568&gt;$D568,1,0),0)+IF(AND(ISNUMBER($D568),ISNUMBER($F568)),IF($D568&gt;$F568,1,0),0)+IF(AND(ISNUMBER($E568),ISNUMBER($F568)),IF($E568&gt;$F568,1,0),0)</f>
        <v>0</v>
      </c>
      <c r="X568" s="13" t="s">
        <v>76</v>
      </c>
    </row>
    <row r="569" customFormat="false" ht="15" hidden="false" customHeight="false" outlineLevel="0" collapsed="false">
      <c r="A569" s="10" t="s">
        <v>2575</v>
      </c>
      <c r="B569" s="10" t="s">
        <v>2576</v>
      </c>
      <c r="C569" s="11" t="s">
        <v>2577</v>
      </c>
      <c r="D569" s="12" t="n">
        <v>33.03</v>
      </c>
      <c r="E569" s="12"/>
      <c r="F569" s="12"/>
      <c r="G569" s="10" t="s">
        <v>401</v>
      </c>
      <c r="H569" s="10" t="s">
        <v>2151</v>
      </c>
      <c r="I569" s="11" t="s">
        <v>2149</v>
      </c>
      <c r="J569" s="10" t="s">
        <v>2150</v>
      </c>
      <c r="K569" s="10" t="s">
        <v>2151</v>
      </c>
      <c r="L569" s="10" t="s">
        <v>68</v>
      </c>
      <c r="M569" s="10" t="s">
        <v>69</v>
      </c>
      <c r="N569" s="10"/>
      <c r="O569" s="11" t="s">
        <v>2160</v>
      </c>
      <c r="P569" s="10" t="s">
        <v>637</v>
      </c>
      <c r="Q569" s="11" t="s">
        <v>72</v>
      </c>
      <c r="R569" s="11" t="s">
        <v>73</v>
      </c>
      <c r="S569" s="11" t="s">
        <v>1104</v>
      </c>
      <c r="T569" s="11" t="s">
        <v>2578</v>
      </c>
      <c r="U569" s="10" t="n">
        <f aca="false">IF(AND($D569="",$E569="",$F569=""),1,0)</f>
        <v>0</v>
      </c>
      <c r="V569" s="10" t="n">
        <f aca="false">IF(OR($I569="",$I569="—"),1,0)</f>
        <v>0</v>
      </c>
      <c r="W569" s="10" t="n">
        <f aca="false">IF(AND(ISNUMBER($D569),ISNUMBER($E569)),IF($E569&gt;$D569,1,0),0)+IF(AND(ISNUMBER($D569),ISNUMBER($F569)),IF($D569&gt;$F569,1,0),0)+IF(AND(ISNUMBER($E569),ISNUMBER($F569)),IF($E569&gt;$F569,1,0),0)</f>
        <v>0</v>
      </c>
      <c r="X569" s="13" t="s">
        <v>76</v>
      </c>
    </row>
    <row r="570" customFormat="false" ht="15" hidden="false" customHeight="false" outlineLevel="0" collapsed="false">
      <c r="A570" s="10" t="s">
        <v>2579</v>
      </c>
      <c r="B570" s="10" t="s">
        <v>2580</v>
      </c>
      <c r="C570" s="11" t="s">
        <v>2581</v>
      </c>
      <c r="D570" s="12" t="n">
        <v>6.73</v>
      </c>
      <c r="E570" s="12"/>
      <c r="F570" s="12"/>
      <c r="G570" s="10" t="s">
        <v>401</v>
      </c>
      <c r="H570" s="10" t="s">
        <v>2151</v>
      </c>
      <c r="I570" s="11" t="s">
        <v>2158</v>
      </c>
      <c r="J570" s="10" t="s">
        <v>2159</v>
      </c>
      <c r="K570" s="10" t="s">
        <v>2151</v>
      </c>
      <c r="L570" s="10" t="s">
        <v>68</v>
      </c>
      <c r="M570" s="10" t="s">
        <v>69</v>
      </c>
      <c r="N570" s="10"/>
      <c r="O570" s="11" t="s">
        <v>2160</v>
      </c>
      <c r="P570" s="10" t="s">
        <v>637</v>
      </c>
      <c r="Q570" s="11" t="s">
        <v>72</v>
      </c>
      <c r="R570" s="11" t="s">
        <v>1090</v>
      </c>
      <c r="S570" s="11" t="s">
        <v>710</v>
      </c>
      <c r="T570" s="11" t="s">
        <v>2582</v>
      </c>
      <c r="U570" s="10" t="n">
        <f aca="false">IF(AND($D570="",$E570="",$F570=""),1,0)</f>
        <v>0</v>
      </c>
      <c r="V570" s="10" t="n">
        <f aca="false">IF(OR($I570="",$I570="—"),1,0)</f>
        <v>0</v>
      </c>
      <c r="W570" s="10" t="n">
        <f aca="false">IF(AND(ISNUMBER($D570),ISNUMBER($E570)),IF($E570&gt;$D570,1,0),0)+IF(AND(ISNUMBER($D570),ISNUMBER($F570)),IF($D570&gt;$F570,1,0),0)+IF(AND(ISNUMBER($E570),ISNUMBER($F570)),IF($E570&gt;$F570,1,0),0)</f>
        <v>0</v>
      </c>
      <c r="X570" s="13" t="s">
        <v>76</v>
      </c>
    </row>
    <row r="571" customFormat="false" ht="15" hidden="false" customHeight="false" outlineLevel="0" collapsed="false">
      <c r="A571" s="10" t="s">
        <v>2583</v>
      </c>
      <c r="B571" s="10" t="s">
        <v>2584</v>
      </c>
      <c r="C571" s="11" t="s">
        <v>2585</v>
      </c>
      <c r="D571" s="12" t="n">
        <v>4.27</v>
      </c>
      <c r="E571" s="12"/>
      <c r="F571" s="12"/>
      <c r="G571" s="10" t="s">
        <v>401</v>
      </c>
      <c r="H571" s="10" t="s">
        <v>2151</v>
      </c>
      <c r="I571" s="11" t="s">
        <v>2158</v>
      </c>
      <c r="J571" s="10" t="s">
        <v>2159</v>
      </c>
      <c r="K571" s="10" t="s">
        <v>2151</v>
      </c>
      <c r="L571" s="10" t="s">
        <v>68</v>
      </c>
      <c r="M571" s="10" t="s">
        <v>69</v>
      </c>
      <c r="N571" s="10"/>
      <c r="O571" s="11" t="s">
        <v>2160</v>
      </c>
      <c r="P571" s="10" t="s">
        <v>637</v>
      </c>
      <c r="Q571" s="11" t="s">
        <v>72</v>
      </c>
      <c r="R571" s="11" t="s">
        <v>1090</v>
      </c>
      <c r="S571" s="11" t="s">
        <v>710</v>
      </c>
      <c r="T571" s="11" t="s">
        <v>2586</v>
      </c>
      <c r="U571" s="10" t="n">
        <f aca="false">IF(AND($D571="",$E571="",$F571=""),1,0)</f>
        <v>0</v>
      </c>
      <c r="V571" s="10" t="n">
        <f aca="false">IF(OR($I571="",$I571="—"),1,0)</f>
        <v>0</v>
      </c>
      <c r="W571" s="10" t="n">
        <f aca="false">IF(AND(ISNUMBER($D571),ISNUMBER($E571)),IF($E571&gt;$D571,1,0),0)+IF(AND(ISNUMBER($D571),ISNUMBER($F571)),IF($D571&gt;$F571,1,0),0)+IF(AND(ISNUMBER($E571),ISNUMBER($F571)),IF($E571&gt;$F571,1,0),0)</f>
        <v>0</v>
      </c>
      <c r="X571" s="13" t="s">
        <v>76</v>
      </c>
    </row>
    <row r="572" customFormat="false" ht="15" hidden="false" customHeight="false" outlineLevel="0" collapsed="false">
      <c r="A572" s="10" t="s">
        <v>2587</v>
      </c>
      <c r="B572" s="10" t="s">
        <v>2588</v>
      </c>
      <c r="C572" s="10" t="s">
        <v>2589</v>
      </c>
      <c r="D572" s="12"/>
      <c r="E572" s="12" t="n">
        <v>40</v>
      </c>
      <c r="F572" s="12"/>
      <c r="G572" s="10" t="s">
        <v>401</v>
      </c>
      <c r="H572" s="10" t="s">
        <v>2590</v>
      </c>
      <c r="I572" s="11" t="s">
        <v>910</v>
      </c>
      <c r="J572" s="10" t="s">
        <v>2392</v>
      </c>
      <c r="K572" s="10" t="s">
        <v>2393</v>
      </c>
      <c r="L572" s="10" t="s">
        <v>68</v>
      </c>
      <c r="M572" s="10" t="s">
        <v>416</v>
      </c>
      <c r="N572" s="11" t="s">
        <v>2591</v>
      </c>
      <c r="O572" s="11" t="s">
        <v>2442</v>
      </c>
      <c r="P572" s="10" t="s">
        <v>637</v>
      </c>
      <c r="Q572" s="11" t="s">
        <v>72</v>
      </c>
      <c r="R572" s="11" t="s">
        <v>2591</v>
      </c>
      <c r="S572" s="11" t="s">
        <v>710</v>
      </c>
      <c r="T572" s="11" t="s">
        <v>2592</v>
      </c>
      <c r="U572" s="10" t="n">
        <f aca="false">IF(AND($D572="",$E572="",$F572=""),1,0)</f>
        <v>0</v>
      </c>
      <c r="V572" s="10" t="n">
        <f aca="false">IF(OR($I572="",$I572="—"),1,0)</f>
        <v>0</v>
      </c>
      <c r="W572" s="10" t="n">
        <f aca="false">IF(AND(ISNUMBER($D572),ISNUMBER($E572)),IF($E572&gt;$D572,1,0),0)+IF(AND(ISNUMBER($D572),ISNUMBER($F572)),IF($D572&gt;$F572,1,0),0)+IF(AND(ISNUMBER($E572),ISNUMBER($F572)),IF($E572&gt;$F572,1,0),0)</f>
        <v>0</v>
      </c>
      <c r="X572" s="13" t="s">
        <v>76</v>
      </c>
    </row>
    <row r="573" customFormat="false" ht="15" hidden="false" customHeight="false" outlineLevel="0" collapsed="false">
      <c r="A573" s="10" t="s">
        <v>2593</v>
      </c>
      <c r="B573" s="10" t="s">
        <v>2594</v>
      </c>
      <c r="C573" s="11" t="s">
        <v>2595</v>
      </c>
      <c r="D573" s="12" t="n">
        <v>696</v>
      </c>
      <c r="E573" s="12"/>
      <c r="F573" s="12"/>
      <c r="G573" s="10" t="s">
        <v>2297</v>
      </c>
      <c r="H573" s="10" t="s">
        <v>2596</v>
      </c>
      <c r="I573" s="11" t="s">
        <v>2597</v>
      </c>
      <c r="J573" s="10" t="s">
        <v>2598</v>
      </c>
      <c r="K573" s="10" t="s">
        <v>2596</v>
      </c>
      <c r="L573" s="10" t="s">
        <v>68</v>
      </c>
      <c r="M573" s="10" t="s">
        <v>69</v>
      </c>
      <c r="N573" s="10"/>
      <c r="O573" s="11" t="s">
        <v>2383</v>
      </c>
      <c r="P573" s="10" t="s">
        <v>637</v>
      </c>
      <c r="Q573" s="11" t="s">
        <v>72</v>
      </c>
      <c r="R573" s="11" t="s">
        <v>1090</v>
      </c>
      <c r="S573" s="11" t="s">
        <v>710</v>
      </c>
      <c r="T573" s="10" t="s">
        <v>2599</v>
      </c>
      <c r="U573" s="10" t="n">
        <f aca="false">IF(AND($D573="",$E573="",$F573=""),1,0)</f>
        <v>0</v>
      </c>
      <c r="V573" s="10" t="n">
        <f aca="false">IF(OR($I573="",$I573="—"),1,0)</f>
        <v>0</v>
      </c>
      <c r="W573" s="10" t="n">
        <f aca="false">IF(AND(ISNUMBER($D573),ISNUMBER($E573)),IF($E573&gt;$D573,1,0),0)+IF(AND(ISNUMBER($D573),ISNUMBER($F573)),IF($D573&gt;$F573,1,0),0)+IF(AND(ISNUMBER($E573),ISNUMBER($F573)),IF($E573&gt;$F573,1,0),0)</f>
        <v>0</v>
      </c>
      <c r="X573" s="13" t="s">
        <v>76</v>
      </c>
    </row>
    <row r="574" customFormat="false" ht="15" hidden="false" customHeight="false" outlineLevel="0" collapsed="false">
      <c r="A574" s="10" t="s">
        <v>2600</v>
      </c>
      <c r="B574" s="10" t="s">
        <v>2601</v>
      </c>
      <c r="C574" s="11" t="s">
        <v>2602</v>
      </c>
      <c r="D574" s="12" t="n">
        <v>626.5</v>
      </c>
      <c r="E574" s="12"/>
      <c r="F574" s="12"/>
      <c r="G574" s="10" t="s">
        <v>2297</v>
      </c>
      <c r="H574" s="10" t="s">
        <v>2603</v>
      </c>
      <c r="I574" s="10" t="s">
        <v>2604</v>
      </c>
      <c r="J574" s="10" t="s">
        <v>2605</v>
      </c>
      <c r="K574" s="10" t="s">
        <v>2606</v>
      </c>
      <c r="L574" s="10" t="s">
        <v>68</v>
      </c>
      <c r="M574" s="10" t="s">
        <v>69</v>
      </c>
      <c r="N574" s="10"/>
      <c r="O574" s="11" t="s">
        <v>2383</v>
      </c>
      <c r="P574" s="10" t="s">
        <v>637</v>
      </c>
      <c r="Q574" s="11" t="s">
        <v>72</v>
      </c>
      <c r="R574" s="11" t="s">
        <v>1090</v>
      </c>
      <c r="S574" s="11" t="s">
        <v>710</v>
      </c>
      <c r="T574" s="11" t="s">
        <v>2607</v>
      </c>
      <c r="U574" s="10" t="n">
        <f aca="false">IF(AND($D574="",$E574="",$F574=""),1,0)</f>
        <v>0</v>
      </c>
      <c r="V574" s="10" t="n">
        <f aca="false">IF(OR($I574="",$I574="—"),1,0)</f>
        <v>0</v>
      </c>
      <c r="W574" s="10" t="n">
        <f aca="false">IF(AND(ISNUMBER($D574),ISNUMBER($E574)),IF($E574&gt;$D574,1,0),0)+IF(AND(ISNUMBER($D574),ISNUMBER($F574)),IF($D574&gt;$F574,1,0),0)+IF(AND(ISNUMBER($E574),ISNUMBER($F574)),IF($E574&gt;$F574,1,0),0)</f>
        <v>0</v>
      </c>
      <c r="X574" s="13" t="s">
        <v>76</v>
      </c>
    </row>
    <row r="575" customFormat="false" ht="15" hidden="false" customHeight="false" outlineLevel="0" collapsed="false">
      <c r="A575" s="10" t="s">
        <v>2608</v>
      </c>
      <c r="B575" s="10" t="s">
        <v>2609</v>
      </c>
      <c r="C575" s="11" t="s">
        <v>2610</v>
      </c>
      <c r="D575" s="12" t="n">
        <v>3396.48</v>
      </c>
      <c r="E575" s="12"/>
      <c r="F575" s="12"/>
      <c r="G575" s="10" t="s">
        <v>2346</v>
      </c>
      <c r="H575" s="10" t="s">
        <v>2596</v>
      </c>
      <c r="I575" s="11" t="s">
        <v>2597</v>
      </c>
      <c r="J575" s="10" t="s">
        <v>2598</v>
      </c>
      <c r="K575" s="10" t="s">
        <v>2596</v>
      </c>
      <c r="L575" s="10" t="s">
        <v>68</v>
      </c>
      <c r="M575" s="10" t="s">
        <v>69</v>
      </c>
      <c r="N575" s="10"/>
      <c r="O575" s="11" t="s">
        <v>2383</v>
      </c>
      <c r="P575" s="10" t="s">
        <v>637</v>
      </c>
      <c r="Q575" s="11" t="s">
        <v>72</v>
      </c>
      <c r="R575" s="11" t="s">
        <v>1090</v>
      </c>
      <c r="S575" s="11" t="s">
        <v>710</v>
      </c>
      <c r="T575" s="11" t="s">
        <v>2611</v>
      </c>
      <c r="U575" s="10" t="n">
        <f aca="false">IF(AND($D575="",$E575="",$F575=""),1,0)</f>
        <v>0</v>
      </c>
      <c r="V575" s="10" t="n">
        <f aca="false">IF(OR($I575="",$I575="—"),1,0)</f>
        <v>0</v>
      </c>
      <c r="W575" s="10" t="n">
        <f aca="false">IF(AND(ISNUMBER($D575),ISNUMBER($E575)),IF($E575&gt;$D575,1,0),0)+IF(AND(ISNUMBER($D575),ISNUMBER($F575)),IF($D575&gt;$F575,1,0),0)+IF(AND(ISNUMBER($E575),ISNUMBER($F575)),IF($E575&gt;$F575,1,0),0)</f>
        <v>0</v>
      </c>
      <c r="X575" s="13" t="s">
        <v>76</v>
      </c>
    </row>
    <row r="576" customFormat="false" ht="15" hidden="false" customHeight="false" outlineLevel="0" collapsed="false">
      <c r="A576" s="10" t="s">
        <v>2612</v>
      </c>
      <c r="B576" s="10" t="s">
        <v>2613</v>
      </c>
      <c r="C576" s="11" t="s">
        <v>2614</v>
      </c>
      <c r="D576" s="12" t="n">
        <v>3393.61</v>
      </c>
      <c r="E576" s="12"/>
      <c r="F576" s="12"/>
      <c r="G576" s="10" t="s">
        <v>2346</v>
      </c>
      <c r="H576" s="10" t="s">
        <v>2596</v>
      </c>
      <c r="I576" s="10" t="s">
        <v>2615</v>
      </c>
      <c r="J576" s="10" t="s">
        <v>2299</v>
      </c>
      <c r="K576" s="10" t="s">
        <v>2596</v>
      </c>
      <c r="L576" s="10" t="s">
        <v>68</v>
      </c>
      <c r="M576" s="10" t="s">
        <v>636</v>
      </c>
      <c r="N576" s="10"/>
      <c r="O576" s="11" t="s">
        <v>2616</v>
      </c>
      <c r="P576" s="10" t="s">
        <v>637</v>
      </c>
      <c r="Q576" s="11" t="s">
        <v>638</v>
      </c>
      <c r="R576" s="11" t="s">
        <v>639</v>
      </c>
      <c r="S576" s="11" t="s">
        <v>74</v>
      </c>
      <c r="T576" s="11" t="s">
        <v>2617</v>
      </c>
      <c r="U576" s="10" t="n">
        <f aca="false">IF(AND($D576="",$E576="",$F576=""),1,0)</f>
        <v>0</v>
      </c>
      <c r="V576" s="10" t="n">
        <f aca="false">IF(OR($I576="",$I576="—"),1,0)</f>
        <v>0</v>
      </c>
      <c r="W576" s="10" t="n">
        <f aca="false">IF(AND(ISNUMBER($D576),ISNUMBER($E576)),IF($E576&gt;$D576,1,0),0)+IF(AND(ISNUMBER($D576),ISNUMBER($F576)),IF($D576&gt;$F576,1,0),0)+IF(AND(ISNUMBER($E576),ISNUMBER($F576)),IF($E576&gt;$F576,1,0),0)</f>
        <v>0</v>
      </c>
      <c r="X576" s="13" t="s">
        <v>76</v>
      </c>
    </row>
    <row r="577" customFormat="false" ht="15" hidden="false" customHeight="false" outlineLevel="0" collapsed="false">
      <c r="A577" s="10" t="s">
        <v>2618</v>
      </c>
      <c r="B577" s="10" t="s">
        <v>2619</v>
      </c>
      <c r="C577" s="10" t="s">
        <v>2620</v>
      </c>
      <c r="D577" s="12" t="n">
        <v>2980</v>
      </c>
      <c r="E577" s="12"/>
      <c r="F577" s="12"/>
      <c r="G577" s="10" t="s">
        <v>2297</v>
      </c>
      <c r="H577" s="10" t="s">
        <v>2393</v>
      </c>
      <c r="I577" s="11" t="s">
        <v>2621</v>
      </c>
      <c r="J577" s="10" t="s">
        <v>2392</v>
      </c>
      <c r="K577" s="10" t="s">
        <v>2393</v>
      </c>
      <c r="L577" s="10" t="s">
        <v>68</v>
      </c>
      <c r="M577" s="10" t="s">
        <v>69</v>
      </c>
      <c r="N577" s="10"/>
      <c r="O577" s="11" t="s">
        <v>2383</v>
      </c>
      <c r="P577" s="10" t="s">
        <v>637</v>
      </c>
      <c r="Q577" s="11" t="s">
        <v>72</v>
      </c>
      <c r="R577" s="11" t="s">
        <v>1090</v>
      </c>
      <c r="S577" s="11" t="s">
        <v>710</v>
      </c>
      <c r="T577" s="10" t="s">
        <v>2622</v>
      </c>
      <c r="U577" s="10" t="n">
        <f aca="false">IF(AND($D577="",$E577="",$F577=""),1,0)</f>
        <v>0</v>
      </c>
      <c r="V577" s="10" t="n">
        <f aca="false">IF(OR($I577="",$I577="—"),1,0)</f>
        <v>0</v>
      </c>
      <c r="W577" s="10" t="n">
        <f aca="false">IF(AND(ISNUMBER($D577),ISNUMBER($E577)),IF($E577&gt;$D577,1,0),0)+IF(AND(ISNUMBER($D577),ISNUMBER($F577)),IF($D577&gt;$F577,1,0),0)+IF(AND(ISNUMBER($E577),ISNUMBER($F577)),IF($E577&gt;$F577,1,0),0)</f>
        <v>0</v>
      </c>
      <c r="X577" s="13" t="s">
        <v>76</v>
      </c>
    </row>
    <row r="578" customFormat="false" ht="15" hidden="false" customHeight="false" outlineLevel="0" collapsed="false">
      <c r="A578" s="10" t="s">
        <v>2623</v>
      </c>
      <c r="B578" s="10" t="s">
        <v>2624</v>
      </c>
      <c r="C578" s="10" t="s">
        <v>2625</v>
      </c>
      <c r="D578" s="12" t="n">
        <v>116.1</v>
      </c>
      <c r="E578" s="12"/>
      <c r="F578" s="12"/>
      <c r="G578" s="10" t="s">
        <v>2297</v>
      </c>
      <c r="H578" s="10" t="s">
        <v>2167</v>
      </c>
      <c r="I578" s="11" t="s">
        <v>2626</v>
      </c>
      <c r="J578" s="10" t="s">
        <v>2605</v>
      </c>
      <c r="K578" s="10" t="s">
        <v>2606</v>
      </c>
      <c r="L578" s="10" t="s">
        <v>68</v>
      </c>
      <c r="M578" s="10" t="s">
        <v>69</v>
      </c>
      <c r="N578" s="10"/>
      <c r="O578" s="11" t="s">
        <v>2383</v>
      </c>
      <c r="P578" s="10" t="s">
        <v>637</v>
      </c>
      <c r="Q578" s="11" t="s">
        <v>72</v>
      </c>
      <c r="R578" s="11" t="s">
        <v>1090</v>
      </c>
      <c r="S578" s="11" t="s">
        <v>710</v>
      </c>
      <c r="T578" s="10" t="s">
        <v>2627</v>
      </c>
      <c r="U578" s="10" t="n">
        <f aca="false">IF(AND($D578="",$E578="",$F578=""),1,0)</f>
        <v>0</v>
      </c>
      <c r="V578" s="10" t="n">
        <f aca="false">IF(OR($I578="",$I578="—"),1,0)</f>
        <v>0</v>
      </c>
      <c r="W578" s="10" t="n">
        <f aca="false">IF(AND(ISNUMBER($D578),ISNUMBER($E578)),IF($E578&gt;$D578,1,0),0)+IF(AND(ISNUMBER($D578),ISNUMBER($F578)),IF($D578&gt;$F578,1,0),0)+IF(AND(ISNUMBER($E578),ISNUMBER($F578)),IF($E578&gt;$F578,1,0),0)</f>
        <v>0</v>
      </c>
      <c r="X578" s="13" t="s">
        <v>76</v>
      </c>
    </row>
    <row r="579" customFormat="false" ht="15" hidden="false" customHeight="false" outlineLevel="0" collapsed="false">
      <c r="A579" s="10" t="s">
        <v>2628</v>
      </c>
      <c r="B579" s="10" t="s">
        <v>2629</v>
      </c>
      <c r="C579" s="11" t="s">
        <v>2630</v>
      </c>
      <c r="D579" s="12" t="n">
        <v>1232</v>
      </c>
      <c r="E579" s="12"/>
      <c r="F579" s="12"/>
      <c r="G579" s="10" t="s">
        <v>2297</v>
      </c>
      <c r="H579" s="10" t="s">
        <v>1935</v>
      </c>
      <c r="I579" s="11" t="s">
        <v>904</v>
      </c>
      <c r="J579" s="10" t="s">
        <v>2631</v>
      </c>
      <c r="K579" s="10" t="s">
        <v>1935</v>
      </c>
      <c r="L579" s="10" t="s">
        <v>68</v>
      </c>
      <c r="M579" s="10" t="s">
        <v>69</v>
      </c>
      <c r="N579" s="10"/>
      <c r="O579" s="11" t="s">
        <v>2632</v>
      </c>
      <c r="P579" s="10" t="s">
        <v>637</v>
      </c>
      <c r="Q579" s="11" t="s">
        <v>72</v>
      </c>
      <c r="R579" s="11" t="s">
        <v>1090</v>
      </c>
      <c r="S579" s="11" t="s">
        <v>710</v>
      </c>
      <c r="T579" s="11" t="s">
        <v>2633</v>
      </c>
      <c r="U579" s="10" t="n">
        <f aca="false">IF(AND($D579="",$E579="",$F579=""),1,0)</f>
        <v>0</v>
      </c>
      <c r="V579" s="10" t="n">
        <f aca="false">IF(OR($I579="",$I579="—"),1,0)</f>
        <v>0</v>
      </c>
      <c r="W579" s="10" t="n">
        <f aca="false">IF(AND(ISNUMBER($D579),ISNUMBER($E579)),IF($E579&gt;$D579,1,0),0)+IF(AND(ISNUMBER($D579),ISNUMBER($F579)),IF($D579&gt;$F579,1,0),0)+IF(AND(ISNUMBER($E579),ISNUMBER($F579)),IF($E579&gt;$F579,1,0),0)</f>
        <v>0</v>
      </c>
      <c r="X579" s="13" t="s">
        <v>76</v>
      </c>
    </row>
    <row r="580" customFormat="false" ht="15" hidden="false" customHeight="false" outlineLevel="0" collapsed="false">
      <c r="A580" s="10" t="s">
        <v>2634</v>
      </c>
      <c r="B580" s="10" t="s">
        <v>2635</v>
      </c>
      <c r="C580" s="11" t="s">
        <v>2636</v>
      </c>
      <c r="D580" s="12" t="n">
        <v>3</v>
      </c>
      <c r="E580" s="12"/>
      <c r="F580" s="12"/>
      <c r="G580" s="10" t="s">
        <v>2237</v>
      </c>
      <c r="H580" s="10" t="s">
        <v>2637</v>
      </c>
      <c r="I580" s="11" t="s">
        <v>2638</v>
      </c>
      <c r="J580" s="10" t="s">
        <v>1754</v>
      </c>
      <c r="K580" s="10" t="s">
        <v>1752</v>
      </c>
      <c r="L580" s="10" t="s">
        <v>68</v>
      </c>
      <c r="M580" s="10" t="s">
        <v>416</v>
      </c>
      <c r="N580" s="11" t="s">
        <v>2639</v>
      </c>
      <c r="O580" s="11" t="s">
        <v>441</v>
      </c>
      <c r="P580" s="10" t="s">
        <v>637</v>
      </c>
      <c r="Q580" s="11" t="s">
        <v>72</v>
      </c>
      <c r="R580" s="11" t="s">
        <v>2639</v>
      </c>
      <c r="S580" s="11" t="s">
        <v>710</v>
      </c>
      <c r="T580" s="11" t="s">
        <v>2640</v>
      </c>
      <c r="U580" s="10" t="n">
        <f aca="false">IF(AND($D580="",$E580="",$F580=""),1,0)</f>
        <v>0</v>
      </c>
      <c r="V580" s="10" t="n">
        <f aca="false">IF(OR($I580="",$I580="—"),1,0)</f>
        <v>0</v>
      </c>
      <c r="W580" s="10" t="n">
        <f aca="false">IF(AND(ISNUMBER($D580),ISNUMBER($E580)),IF($E580&gt;$D580,1,0),0)+IF(AND(ISNUMBER($D580),ISNUMBER($F580)),IF($D580&gt;$F580,1,0),0)+IF(AND(ISNUMBER($E580),ISNUMBER($F580)),IF($E580&gt;$F580,1,0),0)</f>
        <v>0</v>
      </c>
      <c r="X580" s="13" t="s">
        <v>76</v>
      </c>
    </row>
    <row r="581" customFormat="false" ht="15" hidden="false" customHeight="false" outlineLevel="0" collapsed="false">
      <c r="A581" s="10" t="s">
        <v>2641</v>
      </c>
      <c r="B581" s="10" t="s">
        <v>2642</v>
      </c>
      <c r="C581" s="11" t="s">
        <v>2643</v>
      </c>
      <c r="D581" s="12" t="n">
        <v>2.4</v>
      </c>
      <c r="E581" s="12"/>
      <c r="F581" s="12"/>
      <c r="G581" s="10" t="s">
        <v>2237</v>
      </c>
      <c r="H581" s="10" t="s">
        <v>2637</v>
      </c>
      <c r="I581" s="11" t="s">
        <v>2644</v>
      </c>
      <c r="J581" s="10" t="s">
        <v>1754</v>
      </c>
      <c r="K581" s="10" t="s">
        <v>1752</v>
      </c>
      <c r="L581" s="10" t="s">
        <v>68</v>
      </c>
      <c r="M581" s="10" t="s">
        <v>416</v>
      </c>
      <c r="N581" s="11" t="s">
        <v>2645</v>
      </c>
      <c r="O581" s="11" t="s">
        <v>441</v>
      </c>
      <c r="P581" s="10" t="s">
        <v>637</v>
      </c>
      <c r="Q581" s="11" t="s">
        <v>72</v>
      </c>
      <c r="R581" s="11" t="s">
        <v>2645</v>
      </c>
      <c r="S581" s="11" t="s">
        <v>710</v>
      </c>
      <c r="T581" s="11" t="s">
        <v>2646</v>
      </c>
      <c r="U581" s="10" t="n">
        <f aca="false">IF(AND($D581="",$E581="",$F581=""),1,0)</f>
        <v>0</v>
      </c>
      <c r="V581" s="10" t="n">
        <f aca="false">IF(OR($I581="",$I581="—"),1,0)</f>
        <v>0</v>
      </c>
      <c r="W581" s="10" t="n">
        <f aca="false">IF(AND(ISNUMBER($D581),ISNUMBER($E581)),IF($E581&gt;$D581,1,0),0)+IF(AND(ISNUMBER($D581),ISNUMBER($F581)),IF($D581&gt;$F581,1,0),0)+IF(AND(ISNUMBER($E581),ISNUMBER($F581)),IF($E581&gt;$F581,1,0),0)</f>
        <v>0</v>
      </c>
      <c r="X581" s="13" t="s">
        <v>76</v>
      </c>
    </row>
    <row r="582" customFormat="false" ht="15" hidden="false" customHeight="false" outlineLevel="0" collapsed="false">
      <c r="A582" s="10" t="s">
        <v>2647</v>
      </c>
      <c r="B582" s="10" t="s">
        <v>2648</v>
      </c>
      <c r="C582" s="11" t="s">
        <v>2649</v>
      </c>
      <c r="D582" s="12" t="n">
        <v>1.8</v>
      </c>
      <c r="E582" s="12"/>
      <c r="F582" s="12"/>
      <c r="G582" s="10" t="s">
        <v>2237</v>
      </c>
      <c r="H582" s="10" t="s">
        <v>1957</v>
      </c>
      <c r="I582" s="11" t="s">
        <v>2644</v>
      </c>
      <c r="J582" s="10" t="s">
        <v>1754</v>
      </c>
      <c r="K582" s="10" t="s">
        <v>1752</v>
      </c>
      <c r="L582" s="10" t="s">
        <v>68</v>
      </c>
      <c r="M582" s="10" t="s">
        <v>416</v>
      </c>
      <c r="N582" s="11" t="s">
        <v>2645</v>
      </c>
      <c r="O582" s="11" t="s">
        <v>2650</v>
      </c>
      <c r="P582" s="10" t="s">
        <v>637</v>
      </c>
      <c r="Q582" s="11" t="s">
        <v>72</v>
      </c>
      <c r="R582" s="11" t="s">
        <v>2645</v>
      </c>
      <c r="S582" s="11" t="s">
        <v>710</v>
      </c>
      <c r="T582" s="11" t="s">
        <v>2651</v>
      </c>
      <c r="U582" s="10" t="n">
        <f aca="false">IF(AND($D582="",$E582="",$F582=""),1,0)</f>
        <v>0</v>
      </c>
      <c r="V582" s="10" t="n">
        <f aca="false">IF(OR($I582="",$I582="—"),1,0)</f>
        <v>0</v>
      </c>
      <c r="W582" s="10" t="n">
        <f aca="false">IF(AND(ISNUMBER($D582),ISNUMBER($E582)),IF($E582&gt;$D582,1,0),0)+IF(AND(ISNUMBER($D582),ISNUMBER($F582)),IF($D582&gt;$F582,1,0),0)+IF(AND(ISNUMBER($E582),ISNUMBER($F582)),IF($E582&gt;$F582,1,0),0)</f>
        <v>0</v>
      </c>
      <c r="X582" s="13" t="s">
        <v>76</v>
      </c>
    </row>
    <row r="583" customFormat="false" ht="15" hidden="false" customHeight="false" outlineLevel="0" collapsed="false">
      <c r="A583" s="10" t="s">
        <v>2652</v>
      </c>
      <c r="B583" s="10" t="s">
        <v>2653</v>
      </c>
      <c r="C583" s="10" t="s">
        <v>2654</v>
      </c>
      <c r="D583" s="12" t="n">
        <v>1.6</v>
      </c>
      <c r="E583" s="12"/>
      <c r="F583" s="12" t="n">
        <v>2</v>
      </c>
      <c r="G583" s="10" t="s">
        <v>2237</v>
      </c>
      <c r="H583" s="10" t="s">
        <v>1266</v>
      </c>
      <c r="I583" s="11" t="s">
        <v>2655</v>
      </c>
      <c r="J583" s="10" t="s">
        <v>1375</v>
      </c>
      <c r="K583" s="10" t="s">
        <v>665</v>
      </c>
      <c r="L583" s="10" t="s">
        <v>68</v>
      </c>
      <c r="M583" s="10" t="s">
        <v>416</v>
      </c>
      <c r="N583" s="11" t="s">
        <v>2645</v>
      </c>
      <c r="O583" s="11" t="s">
        <v>441</v>
      </c>
      <c r="P583" s="10" t="s">
        <v>637</v>
      </c>
      <c r="Q583" s="11" t="s">
        <v>72</v>
      </c>
      <c r="R583" s="11" t="s">
        <v>2645</v>
      </c>
      <c r="S583" s="11" t="s">
        <v>710</v>
      </c>
      <c r="T583" s="10" t="s">
        <v>2656</v>
      </c>
      <c r="U583" s="10" t="n">
        <f aca="false">IF(AND($D583="",$E583="",$F583=""),1,0)</f>
        <v>0</v>
      </c>
      <c r="V583" s="10" t="n">
        <f aca="false">IF(OR($I583="",$I583="—"),1,0)</f>
        <v>0</v>
      </c>
      <c r="W583" s="10" t="n">
        <f aca="false">IF(AND(ISNUMBER($D583),ISNUMBER($E583)),IF($E583&gt;$D583,1,0),0)+IF(AND(ISNUMBER($D583),ISNUMBER($F583)),IF($D583&gt;$F583,1,0),0)+IF(AND(ISNUMBER($E583),ISNUMBER($F583)),IF($E583&gt;$F583,1,0),0)</f>
        <v>0</v>
      </c>
      <c r="X583" s="13" t="s">
        <v>76</v>
      </c>
    </row>
    <row r="584" customFormat="false" ht="15" hidden="false" customHeight="false" outlineLevel="0" collapsed="false">
      <c r="A584" s="10" t="s">
        <v>2657</v>
      </c>
      <c r="B584" s="10" t="s">
        <v>2658</v>
      </c>
      <c r="C584" s="11" t="s">
        <v>2659</v>
      </c>
      <c r="D584" s="12" t="n">
        <v>80</v>
      </c>
      <c r="E584" s="12"/>
      <c r="F584" s="12"/>
      <c r="G584" s="10" t="s">
        <v>401</v>
      </c>
      <c r="H584" s="10" t="s">
        <v>2660</v>
      </c>
      <c r="I584" s="11" t="s">
        <v>2655</v>
      </c>
      <c r="J584" s="10" t="s">
        <v>1375</v>
      </c>
      <c r="K584" s="10" t="s">
        <v>665</v>
      </c>
      <c r="L584" s="10" t="s">
        <v>68</v>
      </c>
      <c r="M584" s="10" t="s">
        <v>416</v>
      </c>
      <c r="N584" s="11" t="s">
        <v>2645</v>
      </c>
      <c r="O584" s="11" t="s">
        <v>441</v>
      </c>
      <c r="P584" s="10" t="s">
        <v>637</v>
      </c>
      <c r="Q584" s="11" t="s">
        <v>72</v>
      </c>
      <c r="R584" s="11" t="s">
        <v>2645</v>
      </c>
      <c r="S584" s="11" t="s">
        <v>710</v>
      </c>
      <c r="T584" s="11" t="s">
        <v>2661</v>
      </c>
      <c r="U584" s="10" t="n">
        <f aca="false">IF(AND($D584="",$E584="",$F584=""),1,0)</f>
        <v>0</v>
      </c>
      <c r="V584" s="10" t="n">
        <f aca="false">IF(OR($I584="",$I584="—"),1,0)</f>
        <v>0</v>
      </c>
      <c r="W584" s="10" t="n">
        <f aca="false">IF(AND(ISNUMBER($D584),ISNUMBER($E584)),IF($E584&gt;$D584,1,0),0)+IF(AND(ISNUMBER($D584),ISNUMBER($F584)),IF($D584&gt;$F584,1,0),0)+IF(AND(ISNUMBER($E584),ISNUMBER($F584)),IF($E584&gt;$F584,1,0),0)</f>
        <v>0</v>
      </c>
      <c r="X584" s="13" t="s">
        <v>76</v>
      </c>
    </row>
    <row r="585" customFormat="false" ht="15" hidden="false" customHeight="false" outlineLevel="0" collapsed="false">
      <c r="A585" s="10" t="s">
        <v>2662</v>
      </c>
      <c r="B585" s="10" t="s">
        <v>2663</v>
      </c>
      <c r="C585" s="11" t="s">
        <v>2664</v>
      </c>
      <c r="D585" s="12"/>
      <c r="E585" s="12"/>
      <c r="F585" s="12"/>
      <c r="G585" s="11" t="s">
        <v>2665</v>
      </c>
      <c r="H585" s="10"/>
      <c r="I585" s="11" t="s">
        <v>2666</v>
      </c>
      <c r="J585" s="10" t="s">
        <v>2510</v>
      </c>
      <c r="K585" s="10" t="s">
        <v>665</v>
      </c>
      <c r="L585" s="10" t="s">
        <v>68</v>
      </c>
      <c r="M585" s="10" t="s">
        <v>416</v>
      </c>
      <c r="N585" s="11" t="s">
        <v>2645</v>
      </c>
      <c r="O585" s="11" t="s">
        <v>2667</v>
      </c>
      <c r="P585" s="10" t="s">
        <v>71</v>
      </c>
      <c r="Q585" s="11" t="s">
        <v>72</v>
      </c>
      <c r="R585" s="11" t="s">
        <v>2645</v>
      </c>
      <c r="S585" s="11" t="s">
        <v>74</v>
      </c>
      <c r="T585" s="11" t="s">
        <v>2668</v>
      </c>
      <c r="U585" s="10" t="n">
        <f aca="false">IF(AND($D585="",$E585="",$F585=""),1,0)</f>
        <v>1</v>
      </c>
      <c r="V585" s="10" t="n">
        <f aca="false">IF(OR($I585="",$I585="—"),1,0)</f>
        <v>0</v>
      </c>
      <c r="W585" s="10" t="n">
        <f aca="false">IF(AND(ISNUMBER($D585),ISNUMBER($E585)),IF($E585&gt;$D585,1,0),0)+IF(AND(ISNUMBER($D585),ISNUMBER($F585)),IF($D585&gt;$F585,1,0),0)+IF(AND(ISNUMBER($E585),ISNUMBER($F585)),IF($E585&gt;$F585,1,0),0)</f>
        <v>0</v>
      </c>
      <c r="X585" s="13" t="s">
        <v>76</v>
      </c>
    </row>
    <row r="586" customFormat="false" ht="15" hidden="false" customHeight="false" outlineLevel="0" collapsed="false">
      <c r="A586" s="10" t="s">
        <v>2669</v>
      </c>
      <c r="B586" s="10" t="s">
        <v>2670</v>
      </c>
      <c r="C586" s="11" t="s">
        <v>2671</v>
      </c>
      <c r="D586" s="12" t="n">
        <v>6048</v>
      </c>
      <c r="E586" s="12"/>
      <c r="F586" s="12"/>
      <c r="G586" s="10" t="s">
        <v>2508</v>
      </c>
      <c r="H586" s="10" t="s">
        <v>2672</v>
      </c>
      <c r="I586" s="10" t="s">
        <v>2673</v>
      </c>
      <c r="J586" s="10" t="s">
        <v>2674</v>
      </c>
      <c r="K586" s="10" t="s">
        <v>2675</v>
      </c>
      <c r="L586" s="10" t="s">
        <v>68</v>
      </c>
      <c r="M586" s="10" t="s">
        <v>416</v>
      </c>
      <c r="N586" s="11" t="s">
        <v>2676</v>
      </c>
      <c r="O586" s="11" t="s">
        <v>2677</v>
      </c>
      <c r="P586" s="10" t="s">
        <v>637</v>
      </c>
      <c r="Q586" s="11" t="s">
        <v>72</v>
      </c>
      <c r="R586" s="11" t="s">
        <v>2676</v>
      </c>
      <c r="S586" s="11" t="s">
        <v>710</v>
      </c>
      <c r="T586" s="10" t="s">
        <v>2678</v>
      </c>
      <c r="U586" s="10" t="n">
        <f aca="false">IF(AND($D586="",$E586="",$F586=""),1,0)</f>
        <v>0</v>
      </c>
      <c r="V586" s="10" t="n">
        <f aca="false">IF(OR($I586="",$I586="—"),1,0)</f>
        <v>0</v>
      </c>
      <c r="W586" s="10" t="n">
        <f aca="false">IF(AND(ISNUMBER($D586),ISNUMBER($E586)),IF($E586&gt;$D586,1,0),0)+IF(AND(ISNUMBER($D586),ISNUMBER($F586)),IF($D586&gt;$F586,1,0),0)+IF(AND(ISNUMBER($E586),ISNUMBER($F586)),IF($E586&gt;$F586,1,0),0)</f>
        <v>0</v>
      </c>
      <c r="X586" s="13" t="s">
        <v>76</v>
      </c>
    </row>
    <row r="587" customFormat="false" ht="15" hidden="false" customHeight="false" outlineLevel="0" collapsed="false">
      <c r="A587" s="10" t="s">
        <v>2679</v>
      </c>
      <c r="B587" s="10" t="s">
        <v>2680</v>
      </c>
      <c r="C587" s="11" t="s">
        <v>2681</v>
      </c>
      <c r="D587" s="12" t="n">
        <v>18013</v>
      </c>
      <c r="E587" s="12"/>
      <c r="F587" s="12"/>
      <c r="G587" s="10" t="s">
        <v>2508</v>
      </c>
      <c r="H587" s="10" t="s">
        <v>2682</v>
      </c>
      <c r="I587" s="10" t="s">
        <v>2683</v>
      </c>
      <c r="J587" s="10" t="s">
        <v>2674</v>
      </c>
      <c r="K587" s="10" t="s">
        <v>2675</v>
      </c>
      <c r="L587" s="10" t="s">
        <v>68</v>
      </c>
      <c r="M587" s="10" t="s">
        <v>416</v>
      </c>
      <c r="N587" s="11" t="s">
        <v>2684</v>
      </c>
      <c r="O587" s="11" t="s">
        <v>2677</v>
      </c>
      <c r="P587" s="10" t="s">
        <v>637</v>
      </c>
      <c r="Q587" s="11" t="s">
        <v>72</v>
      </c>
      <c r="R587" s="11" t="s">
        <v>2684</v>
      </c>
      <c r="S587" s="11" t="s">
        <v>710</v>
      </c>
      <c r="T587" s="10" t="s">
        <v>2685</v>
      </c>
      <c r="U587" s="10" t="n">
        <f aca="false">IF(AND($D587="",$E587="",$F587=""),1,0)</f>
        <v>0</v>
      </c>
      <c r="V587" s="10" t="n">
        <f aca="false">IF(OR($I587="",$I587="—"),1,0)</f>
        <v>0</v>
      </c>
      <c r="W587" s="10" t="n">
        <f aca="false">IF(AND(ISNUMBER($D587),ISNUMBER($E587)),IF($E587&gt;$D587,1,0),0)+IF(AND(ISNUMBER($D587),ISNUMBER($F587)),IF($D587&gt;$F587,1,0),0)+IF(AND(ISNUMBER($E587),ISNUMBER($F587)),IF($E587&gt;$F587,1,0),0)</f>
        <v>0</v>
      </c>
      <c r="X587" s="13" t="s">
        <v>76</v>
      </c>
    </row>
    <row r="588" customFormat="false" ht="15" hidden="false" customHeight="false" outlineLevel="0" collapsed="false">
      <c r="A588" s="10" t="s">
        <v>2686</v>
      </c>
      <c r="B588" s="10" t="s">
        <v>2687</v>
      </c>
      <c r="C588" s="11" t="s">
        <v>2688</v>
      </c>
      <c r="D588" s="12" t="n">
        <v>37900</v>
      </c>
      <c r="E588" s="12"/>
      <c r="F588" s="12"/>
      <c r="G588" s="10" t="s">
        <v>2508</v>
      </c>
      <c r="H588" s="10" t="s">
        <v>2689</v>
      </c>
      <c r="I588" s="10" t="s">
        <v>2690</v>
      </c>
      <c r="J588" s="10" t="s">
        <v>2674</v>
      </c>
      <c r="K588" s="10" t="s">
        <v>2675</v>
      </c>
      <c r="L588" s="10" t="s">
        <v>68</v>
      </c>
      <c r="M588" s="10" t="s">
        <v>416</v>
      </c>
      <c r="N588" s="11" t="s">
        <v>2684</v>
      </c>
      <c r="O588" s="11" t="s">
        <v>2677</v>
      </c>
      <c r="P588" s="10" t="s">
        <v>637</v>
      </c>
      <c r="Q588" s="11" t="s">
        <v>72</v>
      </c>
      <c r="R588" s="11" t="s">
        <v>2684</v>
      </c>
      <c r="S588" s="11" t="s">
        <v>710</v>
      </c>
      <c r="T588" s="10" t="s">
        <v>2691</v>
      </c>
      <c r="U588" s="10" t="n">
        <f aca="false">IF(AND($D588="",$E588="",$F588=""),1,0)</f>
        <v>0</v>
      </c>
      <c r="V588" s="10" t="n">
        <f aca="false">IF(OR($I588="",$I588="—"),1,0)</f>
        <v>0</v>
      </c>
      <c r="W588" s="10" t="n">
        <f aca="false">IF(AND(ISNUMBER($D588),ISNUMBER($E588)),IF($E588&gt;$D588,1,0),0)+IF(AND(ISNUMBER($D588),ISNUMBER($F588)),IF($D588&gt;$F588,1,0),0)+IF(AND(ISNUMBER($E588),ISNUMBER($F588)),IF($E588&gt;$F588,1,0),0)</f>
        <v>0</v>
      </c>
      <c r="X588" s="13" t="s">
        <v>76</v>
      </c>
    </row>
    <row r="589" customFormat="false" ht="15" hidden="false" customHeight="false" outlineLevel="0" collapsed="false">
      <c r="A589" s="10" t="s">
        <v>2692</v>
      </c>
      <c r="B589" s="10" t="s">
        <v>2693</v>
      </c>
      <c r="C589" s="11" t="s">
        <v>2694</v>
      </c>
      <c r="D589" s="12" t="n">
        <v>-4594</v>
      </c>
      <c r="E589" s="12"/>
      <c r="F589" s="12"/>
      <c r="G589" s="10" t="s">
        <v>2508</v>
      </c>
      <c r="H589" s="10" t="s">
        <v>2672</v>
      </c>
      <c r="I589" s="10" t="s">
        <v>2695</v>
      </c>
      <c r="J589" s="10" t="s">
        <v>2674</v>
      </c>
      <c r="K589" s="10" t="s">
        <v>2675</v>
      </c>
      <c r="L589" s="10" t="s">
        <v>68</v>
      </c>
      <c r="M589" s="10" t="s">
        <v>416</v>
      </c>
      <c r="N589" s="11" t="s">
        <v>2684</v>
      </c>
      <c r="O589" s="11" t="s">
        <v>2677</v>
      </c>
      <c r="P589" s="10" t="s">
        <v>637</v>
      </c>
      <c r="Q589" s="11" t="s">
        <v>72</v>
      </c>
      <c r="R589" s="11" t="s">
        <v>2684</v>
      </c>
      <c r="S589" s="11" t="s">
        <v>710</v>
      </c>
      <c r="T589" s="10" t="s">
        <v>2696</v>
      </c>
      <c r="U589" s="10" t="n">
        <f aca="false">IF(AND($D589="",$E589="",$F589=""),1,0)</f>
        <v>0</v>
      </c>
      <c r="V589" s="10" t="n">
        <f aca="false">IF(OR($I589="",$I589="—"),1,0)</f>
        <v>0</v>
      </c>
      <c r="W589" s="10" t="n">
        <f aca="false">IF(AND(ISNUMBER($D589),ISNUMBER($E589)),IF($E589&gt;$D589,1,0),0)+IF(AND(ISNUMBER($D589),ISNUMBER($F589)),IF($D589&gt;$F589,1,0),0)+IF(AND(ISNUMBER($E589),ISNUMBER($F589)),IF($E589&gt;$F589,1,0),0)</f>
        <v>0</v>
      </c>
      <c r="X589" s="13" t="s">
        <v>76</v>
      </c>
    </row>
    <row r="590" customFormat="false" ht="15" hidden="false" customHeight="false" outlineLevel="0" collapsed="false">
      <c r="A590" s="10" t="s">
        <v>2697</v>
      </c>
      <c r="B590" s="10" t="s">
        <v>2698</v>
      </c>
      <c r="C590" s="11" t="s">
        <v>2699</v>
      </c>
      <c r="D590" s="12" t="n">
        <v>6.1</v>
      </c>
      <c r="E590" s="12"/>
      <c r="F590" s="12"/>
      <c r="G590" s="10" t="s">
        <v>2700</v>
      </c>
      <c r="H590" s="10" t="s">
        <v>2672</v>
      </c>
      <c r="I590" s="10" t="s">
        <v>2701</v>
      </c>
      <c r="J590" s="10" t="s">
        <v>2702</v>
      </c>
      <c r="K590" s="10" t="s">
        <v>2703</v>
      </c>
      <c r="L590" s="10" t="s">
        <v>68</v>
      </c>
      <c r="M590" s="10" t="s">
        <v>416</v>
      </c>
      <c r="N590" s="11" t="s">
        <v>2684</v>
      </c>
      <c r="O590" s="11" t="s">
        <v>2677</v>
      </c>
      <c r="P590" s="10" t="s">
        <v>637</v>
      </c>
      <c r="Q590" s="11" t="s">
        <v>72</v>
      </c>
      <c r="R590" s="11" t="s">
        <v>2684</v>
      </c>
      <c r="S590" s="11" t="s">
        <v>710</v>
      </c>
      <c r="T590" s="11" t="s">
        <v>2704</v>
      </c>
      <c r="U590" s="10" t="n">
        <f aca="false">IF(AND($D590="",$E590="",$F590=""),1,0)</f>
        <v>0</v>
      </c>
      <c r="V590" s="10" t="n">
        <f aca="false">IF(OR($I590="",$I590="—"),1,0)</f>
        <v>0</v>
      </c>
      <c r="W590" s="10" t="n">
        <f aca="false">IF(AND(ISNUMBER($D590),ISNUMBER($E590)),IF($E590&gt;$D590,1,0),0)+IF(AND(ISNUMBER($D590),ISNUMBER($F590)),IF($D590&gt;$F590,1,0),0)+IF(AND(ISNUMBER($E590),ISNUMBER($F590)),IF($E590&gt;$F590,1,0),0)</f>
        <v>0</v>
      </c>
      <c r="X590" s="13" t="s">
        <v>76</v>
      </c>
    </row>
    <row r="591" customFormat="false" ht="15" hidden="false" customHeight="false" outlineLevel="0" collapsed="false">
      <c r="A591" s="10" t="s">
        <v>2705</v>
      </c>
      <c r="B591" s="10" t="s">
        <v>2706</v>
      </c>
      <c r="C591" s="11" t="s">
        <v>2707</v>
      </c>
      <c r="D591" s="12" t="n">
        <v>1567.3</v>
      </c>
      <c r="E591" s="12"/>
      <c r="F591" s="12"/>
      <c r="G591" s="10" t="s">
        <v>2297</v>
      </c>
      <c r="H591" s="10" t="s">
        <v>2606</v>
      </c>
      <c r="I591" s="10" t="s">
        <v>2708</v>
      </c>
      <c r="J591" s="10" t="s">
        <v>2605</v>
      </c>
      <c r="K591" s="10" t="s">
        <v>2606</v>
      </c>
      <c r="L591" s="10" t="s">
        <v>68</v>
      </c>
      <c r="M591" s="10" t="s">
        <v>416</v>
      </c>
      <c r="N591" s="11" t="s">
        <v>2684</v>
      </c>
      <c r="O591" s="11" t="s">
        <v>2677</v>
      </c>
      <c r="P591" s="10" t="s">
        <v>637</v>
      </c>
      <c r="Q591" s="11" t="s">
        <v>72</v>
      </c>
      <c r="R591" s="11" t="s">
        <v>2684</v>
      </c>
      <c r="S591" s="11" t="s">
        <v>710</v>
      </c>
      <c r="T591" s="11" t="s">
        <v>2709</v>
      </c>
      <c r="U591" s="10" t="n">
        <f aca="false">IF(AND($D591="",$E591="",$F591=""),1,0)</f>
        <v>0</v>
      </c>
      <c r="V591" s="10" t="n">
        <f aca="false">IF(OR($I591="",$I591="—"),1,0)</f>
        <v>0</v>
      </c>
      <c r="W591" s="10" t="n">
        <f aca="false">IF(AND(ISNUMBER($D591),ISNUMBER($E591)),IF($E591&gt;$D591,1,0),0)+IF(AND(ISNUMBER($D591),ISNUMBER($F591)),IF($D591&gt;$F591,1,0),0)+IF(AND(ISNUMBER($E591),ISNUMBER($F591)),IF($E591&gt;$F591,1,0),0)</f>
        <v>0</v>
      </c>
      <c r="X591" s="13" t="s">
        <v>76</v>
      </c>
    </row>
    <row r="592" customFormat="false" ht="15" hidden="false" customHeight="false" outlineLevel="0" collapsed="false">
      <c r="A592" s="10" t="s">
        <v>2710</v>
      </c>
      <c r="B592" s="10" t="s">
        <v>2711</v>
      </c>
      <c r="C592" s="11" t="s">
        <v>2712</v>
      </c>
      <c r="D592" s="12" t="n">
        <v>1427</v>
      </c>
      <c r="E592" s="12" t="n">
        <v>549</v>
      </c>
      <c r="F592" s="12" t="n">
        <v>1928</v>
      </c>
      <c r="G592" s="10" t="s">
        <v>2713</v>
      </c>
      <c r="H592" s="10" t="s">
        <v>2703</v>
      </c>
      <c r="I592" s="10" t="s">
        <v>2714</v>
      </c>
      <c r="J592" s="10" t="s">
        <v>2702</v>
      </c>
      <c r="K592" s="10" t="s">
        <v>2703</v>
      </c>
      <c r="L592" s="10" t="s">
        <v>68</v>
      </c>
      <c r="M592" s="10" t="s">
        <v>416</v>
      </c>
      <c r="N592" s="11" t="s">
        <v>2715</v>
      </c>
      <c r="O592" s="11" t="s">
        <v>2677</v>
      </c>
      <c r="P592" s="10" t="s">
        <v>637</v>
      </c>
      <c r="Q592" s="11" t="s">
        <v>72</v>
      </c>
      <c r="R592" s="11" t="s">
        <v>2715</v>
      </c>
      <c r="S592" s="11" t="s">
        <v>710</v>
      </c>
      <c r="T592" s="11" t="s">
        <v>2716</v>
      </c>
      <c r="U592" s="10" t="n">
        <f aca="false">IF(AND($D592="",$E592="",$F592=""),1,0)</f>
        <v>0</v>
      </c>
      <c r="V592" s="10" t="n">
        <f aca="false">IF(OR($I592="",$I592="—"),1,0)</f>
        <v>0</v>
      </c>
      <c r="W592" s="10" t="n">
        <f aca="false">IF(AND(ISNUMBER($D592),ISNUMBER($E592)),IF($E592&gt;$D592,1,0),0)+IF(AND(ISNUMBER($D592),ISNUMBER($F592)),IF($D592&gt;$F592,1,0),0)+IF(AND(ISNUMBER($E592),ISNUMBER($F592)),IF($E592&gt;$F592,1,0),0)</f>
        <v>0</v>
      </c>
      <c r="X592" s="13" t="s">
        <v>76</v>
      </c>
    </row>
    <row r="593" customFormat="false" ht="15" hidden="false" customHeight="false" outlineLevel="0" collapsed="false">
      <c r="A593" s="10" t="s">
        <v>2717</v>
      </c>
      <c r="B593" s="10" t="s">
        <v>2718</v>
      </c>
      <c r="C593" s="11" t="s">
        <v>2719</v>
      </c>
      <c r="D593" s="12" t="n">
        <v>1560</v>
      </c>
      <c r="E593" s="12"/>
      <c r="F593" s="12"/>
      <c r="G593" s="10" t="s">
        <v>2297</v>
      </c>
      <c r="H593" s="10" t="s">
        <v>2720</v>
      </c>
      <c r="I593" s="11" t="s">
        <v>2721</v>
      </c>
      <c r="J593" s="10" t="s">
        <v>2722</v>
      </c>
      <c r="K593" s="10" t="s">
        <v>2720</v>
      </c>
      <c r="L593" s="10" t="s">
        <v>68</v>
      </c>
      <c r="M593" s="10" t="s">
        <v>416</v>
      </c>
      <c r="N593" s="11" t="s">
        <v>2723</v>
      </c>
      <c r="O593" s="11" t="s">
        <v>2715</v>
      </c>
      <c r="P593" s="10" t="s">
        <v>637</v>
      </c>
      <c r="Q593" s="11" t="s">
        <v>72</v>
      </c>
      <c r="R593" s="11" t="s">
        <v>2723</v>
      </c>
      <c r="S593" s="11" t="s">
        <v>710</v>
      </c>
      <c r="T593" s="11" t="s">
        <v>2724</v>
      </c>
      <c r="U593" s="10" t="n">
        <f aca="false">IF(AND($D593="",$E593="",$F593=""),1,0)</f>
        <v>0</v>
      </c>
      <c r="V593" s="10" t="n">
        <f aca="false">IF(OR($I593="",$I593="—"),1,0)</f>
        <v>0</v>
      </c>
      <c r="W593" s="10" t="n">
        <f aca="false">IF(AND(ISNUMBER($D593),ISNUMBER($E593)),IF($E593&gt;$D593,1,0),0)+IF(AND(ISNUMBER($D593),ISNUMBER($F593)),IF($D593&gt;$F593,1,0),0)+IF(AND(ISNUMBER($E593),ISNUMBER($F593)),IF($E593&gt;$F593,1,0),0)</f>
        <v>0</v>
      </c>
      <c r="X593" s="13" t="s">
        <v>76</v>
      </c>
    </row>
    <row r="594" customFormat="false" ht="15" hidden="false" customHeight="false" outlineLevel="0" collapsed="false">
      <c r="A594" s="10" t="s">
        <v>2725</v>
      </c>
      <c r="B594" s="10" t="s">
        <v>2726</v>
      </c>
      <c r="C594" s="11" t="s">
        <v>2727</v>
      </c>
      <c r="D594" s="12" t="n">
        <v>1600</v>
      </c>
      <c r="E594" s="12"/>
      <c r="F594" s="12"/>
      <c r="G594" s="10" t="s">
        <v>2297</v>
      </c>
      <c r="H594" s="10" t="s">
        <v>2728</v>
      </c>
      <c r="I594" s="11" t="s">
        <v>2729</v>
      </c>
      <c r="J594" s="10" t="s">
        <v>2730</v>
      </c>
      <c r="K594" s="10" t="s">
        <v>2728</v>
      </c>
      <c r="L594" s="10" t="s">
        <v>68</v>
      </c>
      <c r="M594" s="10" t="s">
        <v>416</v>
      </c>
      <c r="N594" s="11" t="s">
        <v>2731</v>
      </c>
      <c r="O594" s="11" t="s">
        <v>2715</v>
      </c>
      <c r="P594" s="10" t="s">
        <v>637</v>
      </c>
      <c r="Q594" s="11" t="s">
        <v>72</v>
      </c>
      <c r="R594" s="11" t="s">
        <v>2731</v>
      </c>
      <c r="S594" s="11" t="s">
        <v>710</v>
      </c>
      <c r="T594" s="11" t="s">
        <v>2732</v>
      </c>
      <c r="U594" s="10" t="n">
        <f aca="false">IF(AND($D594="",$E594="",$F594=""),1,0)</f>
        <v>0</v>
      </c>
      <c r="V594" s="10" t="n">
        <f aca="false">IF(OR($I594="",$I594="—"),1,0)</f>
        <v>0</v>
      </c>
      <c r="W594" s="10" t="n">
        <f aca="false">IF(AND(ISNUMBER($D594),ISNUMBER($E594)),IF($E594&gt;$D594,1,0),0)+IF(AND(ISNUMBER($D594),ISNUMBER($F594)),IF($D594&gt;$F594,1,0),0)+IF(AND(ISNUMBER($E594),ISNUMBER($F594)),IF($E594&gt;$F594,1,0),0)</f>
        <v>0</v>
      </c>
      <c r="X594" s="13" t="s">
        <v>76</v>
      </c>
    </row>
    <row r="595" customFormat="false" ht="15" hidden="false" customHeight="false" outlineLevel="0" collapsed="false">
      <c r="A595" s="10" t="s">
        <v>2733</v>
      </c>
      <c r="B595" s="10" t="s">
        <v>2734</v>
      </c>
      <c r="C595" s="11" t="s">
        <v>2735</v>
      </c>
      <c r="D595" s="12" t="n">
        <v>62</v>
      </c>
      <c r="E595" s="12"/>
      <c r="F595" s="12"/>
      <c r="G595" s="10" t="s">
        <v>2736</v>
      </c>
      <c r="H595" s="10" t="s">
        <v>2737</v>
      </c>
      <c r="I595" s="11" t="s">
        <v>2738</v>
      </c>
      <c r="J595" s="10" t="s">
        <v>716</v>
      </c>
      <c r="K595" s="10" t="s">
        <v>717</v>
      </c>
      <c r="L595" s="10" t="s">
        <v>68</v>
      </c>
      <c r="M595" s="10" t="s">
        <v>416</v>
      </c>
      <c r="N595" s="11" t="s">
        <v>2739</v>
      </c>
      <c r="O595" s="11" t="s">
        <v>2715</v>
      </c>
      <c r="P595" s="10" t="s">
        <v>637</v>
      </c>
      <c r="Q595" s="11" t="s">
        <v>72</v>
      </c>
      <c r="R595" s="11" t="s">
        <v>2739</v>
      </c>
      <c r="S595" s="11" t="s">
        <v>710</v>
      </c>
      <c r="T595" s="11" t="s">
        <v>2740</v>
      </c>
      <c r="U595" s="10" t="n">
        <f aca="false">IF(AND($D595="",$E595="",$F595=""),1,0)</f>
        <v>0</v>
      </c>
      <c r="V595" s="10" t="n">
        <f aca="false">IF(OR($I595="",$I595="—"),1,0)</f>
        <v>0</v>
      </c>
      <c r="W595" s="10" t="n">
        <f aca="false">IF(AND(ISNUMBER($D595),ISNUMBER($E595)),IF($E595&gt;$D595,1,0),0)+IF(AND(ISNUMBER($D595),ISNUMBER($F595)),IF($D595&gt;$F595,1,0),0)+IF(AND(ISNUMBER($E595),ISNUMBER($F595)),IF($E595&gt;$F595,1,0),0)</f>
        <v>0</v>
      </c>
      <c r="X595" s="13" t="s">
        <v>76</v>
      </c>
    </row>
    <row r="596" customFormat="false" ht="15" hidden="false" customHeight="false" outlineLevel="0" collapsed="false">
      <c r="A596" s="10" t="s">
        <v>2741</v>
      </c>
      <c r="B596" s="10" t="s">
        <v>2742</v>
      </c>
      <c r="C596" s="11" t="s">
        <v>2743</v>
      </c>
      <c r="D596" s="12" t="n">
        <v>42</v>
      </c>
      <c r="E596" s="12"/>
      <c r="F596" s="12"/>
      <c r="G596" s="10" t="s">
        <v>2736</v>
      </c>
      <c r="H596" s="10" t="s">
        <v>2737</v>
      </c>
      <c r="I596" s="11" t="s">
        <v>2744</v>
      </c>
      <c r="J596" s="10" t="s">
        <v>2745</v>
      </c>
      <c r="K596" s="10" t="s">
        <v>2746</v>
      </c>
      <c r="L596" s="10" t="s">
        <v>68</v>
      </c>
      <c r="M596" s="10" t="s">
        <v>416</v>
      </c>
      <c r="N596" s="11" t="s">
        <v>2747</v>
      </c>
      <c r="O596" s="11" t="s">
        <v>2715</v>
      </c>
      <c r="P596" s="10" t="s">
        <v>637</v>
      </c>
      <c r="Q596" s="11" t="s">
        <v>72</v>
      </c>
      <c r="R596" s="11" t="s">
        <v>2747</v>
      </c>
      <c r="S596" s="11" t="s">
        <v>710</v>
      </c>
      <c r="T596" s="10" t="s">
        <v>2748</v>
      </c>
      <c r="U596" s="10" t="n">
        <f aca="false">IF(AND($D596="",$E596="",$F596=""),1,0)</f>
        <v>0</v>
      </c>
      <c r="V596" s="10" t="n">
        <f aca="false">IF(OR($I596="",$I596="—"),1,0)</f>
        <v>0</v>
      </c>
      <c r="W596" s="10" t="n">
        <f aca="false">IF(AND(ISNUMBER($D596),ISNUMBER($E596)),IF($E596&gt;$D596,1,0),0)+IF(AND(ISNUMBER($D596),ISNUMBER($F596)),IF($D596&gt;$F596,1,0),0)+IF(AND(ISNUMBER($E596),ISNUMBER($F596)),IF($E596&gt;$F596,1,0),0)</f>
        <v>0</v>
      </c>
      <c r="X596" s="13" t="s">
        <v>76</v>
      </c>
    </row>
    <row r="597" customFormat="false" ht="15" hidden="false" customHeight="false" outlineLevel="0" collapsed="false">
      <c r="A597" s="10" t="s">
        <v>2749</v>
      </c>
      <c r="B597" s="10" t="s">
        <v>2750</v>
      </c>
      <c r="C597" s="11" t="s">
        <v>2751</v>
      </c>
      <c r="D597" s="12" t="n">
        <v>1500</v>
      </c>
      <c r="E597" s="12"/>
      <c r="F597" s="12"/>
      <c r="G597" s="10" t="s">
        <v>2297</v>
      </c>
      <c r="H597" s="10" t="s">
        <v>2752</v>
      </c>
      <c r="I597" s="11" t="s">
        <v>2753</v>
      </c>
      <c r="J597" s="10" t="s">
        <v>2754</v>
      </c>
      <c r="K597" s="10" t="s">
        <v>2752</v>
      </c>
      <c r="L597" s="10" t="s">
        <v>68</v>
      </c>
      <c r="M597" s="10" t="s">
        <v>416</v>
      </c>
      <c r="N597" s="11" t="s">
        <v>2755</v>
      </c>
      <c r="O597" s="11" t="s">
        <v>2715</v>
      </c>
      <c r="P597" s="10" t="s">
        <v>637</v>
      </c>
      <c r="Q597" s="11" t="s">
        <v>72</v>
      </c>
      <c r="R597" s="11" t="s">
        <v>2755</v>
      </c>
      <c r="S597" s="11" t="s">
        <v>710</v>
      </c>
      <c r="T597" s="11" t="s">
        <v>2756</v>
      </c>
      <c r="U597" s="10" t="n">
        <f aca="false">IF(AND($D597="",$E597="",$F597=""),1,0)</f>
        <v>0</v>
      </c>
      <c r="V597" s="10" t="n">
        <f aca="false">IF(OR($I597="",$I597="—"),1,0)</f>
        <v>0</v>
      </c>
      <c r="W597" s="10" t="n">
        <f aca="false">IF(AND(ISNUMBER($D597),ISNUMBER($E597)),IF($E597&gt;$D597,1,0),0)+IF(AND(ISNUMBER($D597),ISNUMBER($F597)),IF($D597&gt;$F597,1,0),0)+IF(AND(ISNUMBER($E597),ISNUMBER($F597)),IF($E597&gt;$F597,1,0),0)</f>
        <v>0</v>
      </c>
      <c r="X597" s="13" t="s">
        <v>76</v>
      </c>
    </row>
    <row r="598" customFormat="false" ht="15" hidden="false" customHeight="false" outlineLevel="0" collapsed="false">
      <c r="A598" s="10" t="s">
        <v>2757</v>
      </c>
      <c r="B598" s="10" t="s">
        <v>2758</v>
      </c>
      <c r="C598" s="11" t="s">
        <v>2759</v>
      </c>
      <c r="D598" s="12" t="n">
        <v>2000</v>
      </c>
      <c r="E598" s="12"/>
      <c r="F598" s="12"/>
      <c r="G598" s="10" t="s">
        <v>2297</v>
      </c>
      <c r="H598" s="10" t="s">
        <v>2414</v>
      </c>
      <c r="I598" s="11" t="s">
        <v>2760</v>
      </c>
      <c r="J598" s="10" t="s">
        <v>2761</v>
      </c>
      <c r="K598" s="10" t="s">
        <v>2414</v>
      </c>
      <c r="L598" s="10" t="s">
        <v>68</v>
      </c>
      <c r="M598" s="10" t="s">
        <v>416</v>
      </c>
      <c r="N598" s="11" t="s">
        <v>2762</v>
      </c>
      <c r="O598" s="11" t="s">
        <v>2715</v>
      </c>
      <c r="P598" s="10" t="s">
        <v>637</v>
      </c>
      <c r="Q598" s="11" t="s">
        <v>72</v>
      </c>
      <c r="R598" s="11" t="s">
        <v>2762</v>
      </c>
      <c r="S598" s="11" t="s">
        <v>710</v>
      </c>
      <c r="T598" s="11" t="s">
        <v>2763</v>
      </c>
      <c r="U598" s="10" t="n">
        <f aca="false">IF(AND($D598="",$E598="",$F598=""),1,0)</f>
        <v>0</v>
      </c>
      <c r="V598" s="10" t="n">
        <f aca="false">IF(OR($I598="",$I598="—"),1,0)</f>
        <v>0</v>
      </c>
      <c r="W598" s="10" t="n">
        <f aca="false">IF(AND(ISNUMBER($D598),ISNUMBER($E598)),IF($E598&gt;$D598,1,0),0)+IF(AND(ISNUMBER($D598),ISNUMBER($F598)),IF($D598&gt;$F598,1,0),0)+IF(AND(ISNUMBER($E598),ISNUMBER($F598)),IF($E598&gt;$F598,1,0),0)</f>
        <v>0</v>
      </c>
      <c r="X598" s="13" t="s">
        <v>76</v>
      </c>
    </row>
    <row r="599" customFormat="false" ht="15" hidden="false" customHeight="false" outlineLevel="0" collapsed="false">
      <c r="A599" s="10" t="s">
        <v>2764</v>
      </c>
      <c r="B599" s="10" t="s">
        <v>2765</v>
      </c>
      <c r="C599" s="10" t="s">
        <v>2766</v>
      </c>
      <c r="D599" s="12" t="n">
        <v>236</v>
      </c>
      <c r="E599" s="12"/>
      <c r="F599" s="12"/>
      <c r="G599" s="10" t="s">
        <v>2297</v>
      </c>
      <c r="H599" s="10" t="s">
        <v>2767</v>
      </c>
      <c r="I599" s="11" t="s">
        <v>2597</v>
      </c>
      <c r="J599" s="10" t="s">
        <v>2768</v>
      </c>
      <c r="K599" s="10" t="s">
        <v>2596</v>
      </c>
      <c r="L599" s="10" t="s">
        <v>68</v>
      </c>
      <c r="M599" s="10" t="s">
        <v>69</v>
      </c>
      <c r="N599" s="10"/>
      <c r="O599" s="11" t="s">
        <v>2769</v>
      </c>
      <c r="P599" s="10" t="s">
        <v>637</v>
      </c>
      <c r="Q599" s="11" t="s">
        <v>72</v>
      </c>
      <c r="R599" s="11" t="s">
        <v>1090</v>
      </c>
      <c r="S599" s="11" t="s">
        <v>710</v>
      </c>
      <c r="T599" s="10" t="s">
        <v>2770</v>
      </c>
      <c r="U599" s="10" t="n">
        <f aca="false">IF(AND($D599="",$E599="",$F599=""),1,0)</f>
        <v>0</v>
      </c>
      <c r="V599" s="10" t="n">
        <f aca="false">IF(OR($I599="",$I599="—"),1,0)</f>
        <v>0</v>
      </c>
      <c r="W599" s="10" t="n">
        <f aca="false">IF(AND(ISNUMBER($D599),ISNUMBER($E599)),IF($E599&gt;$D599,1,0),0)+IF(AND(ISNUMBER($D599),ISNUMBER($F599)),IF($D599&gt;$F599,1,0),0)+IF(AND(ISNUMBER($E599),ISNUMBER($F599)),IF($E599&gt;$F599,1,0),0)</f>
        <v>0</v>
      </c>
      <c r="X599" s="13" t="s">
        <v>76</v>
      </c>
    </row>
    <row r="600" customFormat="false" ht="15" hidden="false" customHeight="false" outlineLevel="0" collapsed="false">
      <c r="A600" s="10" t="s">
        <v>2771</v>
      </c>
      <c r="B600" s="10" t="s">
        <v>2772</v>
      </c>
      <c r="C600" s="10" t="s">
        <v>2773</v>
      </c>
      <c r="D600" s="12" t="n">
        <v>830.72</v>
      </c>
      <c r="E600" s="12"/>
      <c r="F600" s="12"/>
      <c r="G600" s="10" t="s">
        <v>2346</v>
      </c>
      <c r="H600" s="10" t="s">
        <v>2596</v>
      </c>
      <c r="I600" s="11" t="s">
        <v>2597</v>
      </c>
      <c r="J600" s="10" t="s">
        <v>2768</v>
      </c>
      <c r="K600" s="10" t="s">
        <v>2596</v>
      </c>
      <c r="L600" s="10" t="s">
        <v>68</v>
      </c>
      <c r="M600" s="10" t="s">
        <v>69</v>
      </c>
      <c r="N600" s="10"/>
      <c r="O600" s="11" t="s">
        <v>2383</v>
      </c>
      <c r="P600" s="10" t="s">
        <v>637</v>
      </c>
      <c r="Q600" s="11" t="s">
        <v>72</v>
      </c>
      <c r="R600" s="11" t="s">
        <v>1090</v>
      </c>
      <c r="S600" s="11" t="s">
        <v>710</v>
      </c>
      <c r="T600" s="10" t="s">
        <v>2774</v>
      </c>
      <c r="U600" s="10" t="n">
        <f aca="false">IF(AND($D600="",$E600="",$F600=""),1,0)</f>
        <v>0</v>
      </c>
      <c r="V600" s="10" t="n">
        <f aca="false">IF(OR($I600="",$I600="—"),1,0)</f>
        <v>0</v>
      </c>
      <c r="W600" s="10" t="n">
        <f aca="false">IF(AND(ISNUMBER($D600),ISNUMBER($E600)),IF($E600&gt;$D600,1,0),0)+IF(AND(ISNUMBER($D600),ISNUMBER($F600)),IF($D600&gt;$F600,1,0),0)+IF(AND(ISNUMBER($E600),ISNUMBER($F600)),IF($E600&gt;$F600,1,0),0)</f>
        <v>0</v>
      </c>
      <c r="X600" s="13" t="s">
        <v>76</v>
      </c>
    </row>
    <row r="601" customFormat="false" ht="15" hidden="false" customHeight="false" outlineLevel="0" collapsed="false">
      <c r="A601" s="10" t="s">
        <v>2775</v>
      </c>
      <c r="B601" s="10" t="s">
        <v>2776</v>
      </c>
      <c r="C601" s="10" t="s">
        <v>2777</v>
      </c>
      <c r="D601" s="12" t="n">
        <v>352480183</v>
      </c>
      <c r="E601" s="12"/>
      <c r="F601" s="12"/>
      <c r="G601" s="11" t="s">
        <v>2306</v>
      </c>
      <c r="H601" s="10" t="s">
        <v>2778</v>
      </c>
      <c r="I601" s="10" t="s">
        <v>2779</v>
      </c>
      <c r="J601" s="10" t="s">
        <v>2780</v>
      </c>
      <c r="K601" s="10" t="s">
        <v>2781</v>
      </c>
      <c r="L601" s="10" t="s">
        <v>68</v>
      </c>
      <c r="M601" s="10" t="s">
        <v>69</v>
      </c>
      <c r="N601" s="10"/>
      <c r="O601" s="11" t="s">
        <v>2301</v>
      </c>
      <c r="P601" s="10" t="s">
        <v>637</v>
      </c>
      <c r="Q601" s="11" t="s">
        <v>72</v>
      </c>
      <c r="R601" s="11" t="s">
        <v>1090</v>
      </c>
      <c r="S601" s="11" t="s">
        <v>1278</v>
      </c>
      <c r="T601" s="11" t="s">
        <v>2782</v>
      </c>
      <c r="U601" s="10" t="n">
        <f aca="false">IF(AND($D601="",$E601="",$F601=""),1,0)</f>
        <v>0</v>
      </c>
      <c r="V601" s="10" t="n">
        <f aca="false">IF(OR($I601="",$I601="—"),1,0)</f>
        <v>0</v>
      </c>
      <c r="W601" s="10" t="n">
        <f aca="false">IF(AND(ISNUMBER($D601),ISNUMBER($E601)),IF($E601&gt;$D601,1,0),0)+IF(AND(ISNUMBER($D601),ISNUMBER($F601)),IF($D601&gt;$F601,1,0),0)+IF(AND(ISNUMBER($E601),ISNUMBER($F601)),IF($E601&gt;$F601,1,0),0)</f>
        <v>0</v>
      </c>
      <c r="X601" s="13" t="s">
        <v>76</v>
      </c>
    </row>
    <row r="602" customFormat="false" ht="15" hidden="false" customHeight="false" outlineLevel="0" collapsed="false">
      <c r="A602" s="10" t="s">
        <v>2783</v>
      </c>
      <c r="B602" s="10" t="s">
        <v>2784</v>
      </c>
      <c r="C602" s="10" t="s">
        <v>2785</v>
      </c>
      <c r="D602" s="12" t="n">
        <v>79</v>
      </c>
      <c r="E602" s="12"/>
      <c r="F602" s="12"/>
      <c r="G602" s="10" t="s">
        <v>2226</v>
      </c>
      <c r="H602" s="10" t="s">
        <v>446</v>
      </c>
      <c r="I602" s="10" t="s">
        <v>2786</v>
      </c>
      <c r="J602" s="10" t="s">
        <v>2787</v>
      </c>
      <c r="K602" s="10" t="s">
        <v>2788</v>
      </c>
      <c r="L602" s="10" t="s">
        <v>68</v>
      </c>
      <c r="M602" s="10" t="s">
        <v>69</v>
      </c>
      <c r="N602" s="10"/>
      <c r="O602" s="11" t="s">
        <v>2789</v>
      </c>
      <c r="P602" s="10" t="s">
        <v>637</v>
      </c>
      <c r="Q602" s="11" t="s">
        <v>72</v>
      </c>
      <c r="R602" s="11" t="s">
        <v>1090</v>
      </c>
      <c r="S602" s="11" t="s">
        <v>1278</v>
      </c>
      <c r="T602" s="11" t="s">
        <v>2790</v>
      </c>
      <c r="U602" s="10" t="n">
        <f aca="false">IF(AND($D602="",$E602="",$F602=""),1,0)</f>
        <v>0</v>
      </c>
      <c r="V602" s="10" t="n">
        <f aca="false">IF(OR($I602="",$I602="—"),1,0)</f>
        <v>0</v>
      </c>
      <c r="W602" s="10" t="n">
        <f aca="false">IF(AND(ISNUMBER($D602),ISNUMBER($E602)),IF($E602&gt;$D602,1,0),0)+IF(AND(ISNUMBER($D602),ISNUMBER($F602)),IF($D602&gt;$F602,1,0),0)+IF(AND(ISNUMBER($E602),ISNUMBER($F602)),IF($E602&gt;$F602,1,0),0)</f>
        <v>0</v>
      </c>
      <c r="X602" s="13" t="s">
        <v>76</v>
      </c>
    </row>
    <row r="603" customFormat="false" ht="15" hidden="false" customHeight="false" outlineLevel="0" collapsed="false">
      <c r="A603" s="10" t="s">
        <v>2791</v>
      </c>
      <c r="B603" s="10" t="s">
        <v>2792</v>
      </c>
      <c r="C603" s="10" t="s">
        <v>2793</v>
      </c>
      <c r="D603" s="12" t="n">
        <v>-1871.6</v>
      </c>
      <c r="E603" s="12"/>
      <c r="F603" s="12"/>
      <c r="G603" s="10" t="s">
        <v>2226</v>
      </c>
      <c r="H603" s="10" t="s">
        <v>446</v>
      </c>
      <c r="I603" s="10" t="s">
        <v>2786</v>
      </c>
      <c r="J603" s="10" t="s">
        <v>2787</v>
      </c>
      <c r="K603" s="10" t="s">
        <v>2788</v>
      </c>
      <c r="L603" s="10" t="s">
        <v>68</v>
      </c>
      <c r="M603" s="10" t="s">
        <v>69</v>
      </c>
      <c r="N603" s="10"/>
      <c r="O603" s="11" t="s">
        <v>2789</v>
      </c>
      <c r="P603" s="10" t="s">
        <v>637</v>
      </c>
      <c r="Q603" s="11" t="s">
        <v>72</v>
      </c>
      <c r="R603" s="11" t="s">
        <v>1090</v>
      </c>
      <c r="S603" s="11" t="s">
        <v>1278</v>
      </c>
      <c r="T603" s="11" t="s">
        <v>2794</v>
      </c>
      <c r="U603" s="10" t="n">
        <f aca="false">IF(AND($D603="",$E603="",$F603=""),1,0)</f>
        <v>0</v>
      </c>
      <c r="V603" s="10" t="n">
        <f aca="false">IF(OR($I603="",$I603="—"),1,0)</f>
        <v>0</v>
      </c>
      <c r="W603" s="10" t="n">
        <f aca="false">IF(AND(ISNUMBER($D603),ISNUMBER($E603)),IF($E603&gt;$D603,1,0),0)+IF(AND(ISNUMBER($D603),ISNUMBER($F603)),IF($D603&gt;$F603,1,0),0)+IF(AND(ISNUMBER($E603),ISNUMBER($F603)),IF($E603&gt;$F603,1,0),0)</f>
        <v>0</v>
      </c>
      <c r="X603" s="13" t="s">
        <v>76</v>
      </c>
    </row>
    <row r="604" customFormat="false" ht="15" hidden="false" customHeight="false" outlineLevel="0" collapsed="false">
      <c r="A604" s="10" t="s">
        <v>2795</v>
      </c>
      <c r="B604" s="10" t="s">
        <v>2796</v>
      </c>
      <c r="C604" s="10" t="s">
        <v>2797</v>
      </c>
      <c r="D604" s="12" t="n">
        <v>-250.9</v>
      </c>
      <c r="E604" s="12"/>
      <c r="F604" s="12"/>
      <c r="G604" s="10" t="s">
        <v>2226</v>
      </c>
      <c r="H604" s="10" t="s">
        <v>446</v>
      </c>
      <c r="I604" s="10" t="s">
        <v>2786</v>
      </c>
      <c r="J604" s="10" t="s">
        <v>2787</v>
      </c>
      <c r="K604" s="10" t="s">
        <v>2788</v>
      </c>
      <c r="L604" s="10" t="s">
        <v>68</v>
      </c>
      <c r="M604" s="10" t="s">
        <v>69</v>
      </c>
      <c r="N604" s="10"/>
      <c r="O604" s="11" t="s">
        <v>2798</v>
      </c>
      <c r="P604" s="10" t="s">
        <v>637</v>
      </c>
      <c r="Q604" s="11" t="s">
        <v>72</v>
      </c>
      <c r="R604" s="11" t="s">
        <v>1090</v>
      </c>
      <c r="S604" s="11" t="s">
        <v>1278</v>
      </c>
      <c r="T604" s="11" t="s">
        <v>2799</v>
      </c>
      <c r="U604" s="10" t="n">
        <f aca="false">IF(AND($D604="",$E604="",$F604=""),1,0)</f>
        <v>0</v>
      </c>
      <c r="V604" s="10" t="n">
        <f aca="false">IF(OR($I604="",$I604="—"),1,0)</f>
        <v>0</v>
      </c>
      <c r="W604" s="10" t="n">
        <f aca="false">IF(AND(ISNUMBER($D604),ISNUMBER($E604)),IF($E604&gt;$D604,1,0),0)+IF(AND(ISNUMBER($D604),ISNUMBER($F604)),IF($D604&gt;$F604,1,0),0)+IF(AND(ISNUMBER($E604),ISNUMBER($F604)),IF($E604&gt;$F604,1,0),0)</f>
        <v>0</v>
      </c>
      <c r="X604" s="13" t="s">
        <v>76</v>
      </c>
    </row>
    <row r="605" customFormat="false" ht="15" hidden="false" customHeight="false" outlineLevel="0" collapsed="false">
      <c r="A605" s="10" t="s">
        <v>2800</v>
      </c>
      <c r="B605" s="10" t="s">
        <v>2801</v>
      </c>
      <c r="C605" s="10" t="s">
        <v>2802</v>
      </c>
      <c r="D605" s="12" t="n">
        <v>116.57</v>
      </c>
      <c r="E605" s="12"/>
      <c r="F605" s="12"/>
      <c r="G605" s="10" t="s">
        <v>2226</v>
      </c>
      <c r="H605" s="10" t="s">
        <v>662</v>
      </c>
      <c r="I605" s="11" t="s">
        <v>2803</v>
      </c>
      <c r="J605" s="10" t="s">
        <v>2804</v>
      </c>
      <c r="K605" s="10" t="s">
        <v>1322</v>
      </c>
      <c r="L605" s="10" t="s">
        <v>68</v>
      </c>
      <c r="M605" s="10" t="s">
        <v>69</v>
      </c>
      <c r="N605" s="10"/>
      <c r="O605" s="11" t="s">
        <v>2805</v>
      </c>
      <c r="P605" s="10" t="s">
        <v>637</v>
      </c>
      <c r="Q605" s="11" t="s">
        <v>72</v>
      </c>
      <c r="R605" s="11" t="s">
        <v>1090</v>
      </c>
      <c r="S605" s="11" t="s">
        <v>1278</v>
      </c>
      <c r="T605" s="11" t="s">
        <v>2806</v>
      </c>
      <c r="U605" s="10" t="n">
        <f aca="false">IF(AND($D605="",$E605="",$F605=""),1,0)</f>
        <v>0</v>
      </c>
      <c r="V605" s="10" t="n">
        <f aca="false">IF(OR($I605="",$I605="—"),1,0)</f>
        <v>0</v>
      </c>
      <c r="W605" s="10" t="n">
        <f aca="false">IF(AND(ISNUMBER($D605),ISNUMBER($E605)),IF($E605&gt;$D605,1,0),0)+IF(AND(ISNUMBER($D605),ISNUMBER($F605)),IF($D605&gt;$F605,1,0),0)+IF(AND(ISNUMBER($E605),ISNUMBER($F605)),IF($E605&gt;$F605,1,0),0)</f>
        <v>0</v>
      </c>
      <c r="X605" s="13" t="s">
        <v>76</v>
      </c>
    </row>
    <row r="606" customFormat="false" ht="15" hidden="false" customHeight="false" outlineLevel="0" collapsed="false">
      <c r="A606" s="10" t="s">
        <v>2807</v>
      </c>
      <c r="B606" s="10" t="s">
        <v>2808</v>
      </c>
      <c r="C606" s="10" t="s">
        <v>2809</v>
      </c>
      <c r="D606" s="12" t="n">
        <v>-357.99</v>
      </c>
      <c r="E606" s="12"/>
      <c r="F606" s="12"/>
      <c r="G606" s="10" t="s">
        <v>2226</v>
      </c>
      <c r="H606" s="10" t="s">
        <v>662</v>
      </c>
      <c r="I606" s="11" t="s">
        <v>2803</v>
      </c>
      <c r="J606" s="10" t="s">
        <v>2804</v>
      </c>
      <c r="K606" s="10" t="s">
        <v>1322</v>
      </c>
      <c r="L606" s="10" t="s">
        <v>68</v>
      </c>
      <c r="M606" s="10" t="s">
        <v>69</v>
      </c>
      <c r="N606" s="10"/>
      <c r="O606" s="11" t="s">
        <v>2810</v>
      </c>
      <c r="P606" s="10" t="s">
        <v>637</v>
      </c>
      <c r="Q606" s="11" t="s">
        <v>72</v>
      </c>
      <c r="R606" s="11" t="s">
        <v>1090</v>
      </c>
      <c r="S606" s="11" t="s">
        <v>1278</v>
      </c>
      <c r="T606" s="11" t="s">
        <v>2811</v>
      </c>
      <c r="U606" s="10" t="n">
        <f aca="false">IF(AND($D606="",$E606="",$F606=""),1,0)</f>
        <v>0</v>
      </c>
      <c r="V606" s="10" t="n">
        <f aca="false">IF(OR($I606="",$I606="—"),1,0)</f>
        <v>0</v>
      </c>
      <c r="W606" s="10" t="n">
        <f aca="false">IF(AND(ISNUMBER($D606),ISNUMBER($E606)),IF($E606&gt;$D606,1,0),0)+IF(AND(ISNUMBER($D606),ISNUMBER($F606)),IF($D606&gt;$F606,1,0),0)+IF(AND(ISNUMBER($E606),ISNUMBER($F606)),IF($E606&gt;$F606,1,0),0)</f>
        <v>0</v>
      </c>
      <c r="X606" s="13" t="s">
        <v>76</v>
      </c>
    </row>
    <row r="607" customFormat="false" ht="15" hidden="false" customHeight="false" outlineLevel="0" collapsed="false">
      <c r="A607" s="10" t="s">
        <v>2812</v>
      </c>
      <c r="B607" s="10" t="s">
        <v>2813</v>
      </c>
      <c r="C607" s="10" t="s">
        <v>2814</v>
      </c>
      <c r="D607" s="12" t="n">
        <v>1320</v>
      </c>
      <c r="E607" s="12"/>
      <c r="F607" s="12"/>
      <c r="G607" s="10" t="s">
        <v>2226</v>
      </c>
      <c r="H607" s="10" t="s">
        <v>824</v>
      </c>
      <c r="I607" s="11" t="s">
        <v>2803</v>
      </c>
      <c r="J607" s="10" t="s">
        <v>2804</v>
      </c>
      <c r="K607" s="10" t="s">
        <v>1322</v>
      </c>
      <c r="L607" s="10" t="s">
        <v>68</v>
      </c>
      <c r="M607" s="10" t="s">
        <v>69</v>
      </c>
      <c r="N607" s="10"/>
      <c r="O607" s="11" t="s">
        <v>2810</v>
      </c>
      <c r="P607" s="10" t="s">
        <v>637</v>
      </c>
      <c r="Q607" s="11" t="s">
        <v>72</v>
      </c>
      <c r="R607" s="11" t="s">
        <v>1090</v>
      </c>
      <c r="S607" s="11" t="s">
        <v>1278</v>
      </c>
      <c r="T607" s="11" t="s">
        <v>2815</v>
      </c>
      <c r="U607" s="10" t="n">
        <f aca="false">IF(AND($D607="",$E607="",$F607=""),1,0)</f>
        <v>0</v>
      </c>
      <c r="V607" s="10" t="n">
        <f aca="false">IF(OR($I607="",$I607="—"),1,0)</f>
        <v>0</v>
      </c>
      <c r="W607" s="10" t="n">
        <f aca="false">IF(AND(ISNUMBER($D607),ISNUMBER($E607)),IF($E607&gt;$D607,1,0),0)+IF(AND(ISNUMBER($D607),ISNUMBER($F607)),IF($D607&gt;$F607,1,0),0)+IF(AND(ISNUMBER($E607),ISNUMBER($F607)),IF($E607&gt;$F607,1,0),0)</f>
        <v>0</v>
      </c>
      <c r="X607" s="13" t="s">
        <v>76</v>
      </c>
    </row>
    <row r="608" customFormat="false" ht="15" hidden="false" customHeight="false" outlineLevel="0" collapsed="false">
      <c r="A608" s="10" t="s">
        <v>2816</v>
      </c>
      <c r="B608" s="10" t="s">
        <v>2817</v>
      </c>
      <c r="C608" s="10" t="s">
        <v>2818</v>
      </c>
      <c r="D608" s="12"/>
      <c r="E608" s="12"/>
      <c r="F608" s="12"/>
      <c r="G608" s="11" t="s">
        <v>1709</v>
      </c>
      <c r="H608" s="10" t="s">
        <v>2596</v>
      </c>
      <c r="I608" s="10" t="s">
        <v>2819</v>
      </c>
      <c r="J608" s="10" t="s">
        <v>2768</v>
      </c>
      <c r="K608" s="10" t="s">
        <v>2596</v>
      </c>
      <c r="L608" s="10" t="s">
        <v>68</v>
      </c>
      <c r="M608" s="10" t="s">
        <v>636</v>
      </c>
      <c r="N608" s="10"/>
      <c r="O608" s="11" t="s">
        <v>2371</v>
      </c>
      <c r="P608" s="10" t="s">
        <v>637</v>
      </c>
      <c r="Q608" s="11" t="s">
        <v>638</v>
      </c>
      <c r="R608" s="11" t="s">
        <v>639</v>
      </c>
      <c r="S608" s="11" t="s">
        <v>638</v>
      </c>
      <c r="T608" s="11" t="s">
        <v>2820</v>
      </c>
      <c r="U608" s="10" t="n">
        <f aca="false">IF(AND($D608="",$E608="",$F608=""),1,0)</f>
        <v>1</v>
      </c>
      <c r="V608" s="10" t="n">
        <f aca="false">IF(OR($I608="",$I608="—"),1,0)</f>
        <v>0</v>
      </c>
      <c r="W608" s="10" t="n">
        <f aca="false">IF(AND(ISNUMBER($D608),ISNUMBER($E608)),IF($E608&gt;$D608,1,0),0)+IF(AND(ISNUMBER($D608),ISNUMBER($F608)),IF($D608&gt;$F608,1,0),0)+IF(AND(ISNUMBER($E608),ISNUMBER($F608)),IF($E608&gt;$F608,1,0),0)</f>
        <v>0</v>
      </c>
      <c r="X608" s="13" t="s">
        <v>76</v>
      </c>
    </row>
    <row r="609" customFormat="false" ht="15" hidden="false" customHeight="false" outlineLevel="0" collapsed="false">
      <c r="A609" s="10" t="s">
        <v>2821</v>
      </c>
      <c r="B609" s="10" t="s">
        <v>2822</v>
      </c>
      <c r="C609" s="11" t="s">
        <v>2823</v>
      </c>
      <c r="D609" s="12" t="n">
        <v>2.47</v>
      </c>
      <c r="E609" s="12"/>
      <c r="F609" s="12"/>
      <c r="G609" s="10" t="s">
        <v>2824</v>
      </c>
      <c r="H609" s="10" t="s">
        <v>1812</v>
      </c>
      <c r="I609" s="11" t="s">
        <v>1720</v>
      </c>
      <c r="J609" s="10" t="s">
        <v>1721</v>
      </c>
      <c r="K609" s="10" t="s">
        <v>806</v>
      </c>
      <c r="L609" s="10" t="s">
        <v>68</v>
      </c>
      <c r="M609" s="10" t="s">
        <v>416</v>
      </c>
      <c r="N609" s="11" t="s">
        <v>709</v>
      </c>
      <c r="O609" s="10"/>
      <c r="P609" s="10" t="s">
        <v>637</v>
      </c>
      <c r="Q609" s="11" t="s">
        <v>72</v>
      </c>
      <c r="R609" s="11" t="s">
        <v>709</v>
      </c>
      <c r="S609" s="11" t="s">
        <v>710</v>
      </c>
      <c r="T609" s="10" t="s">
        <v>2825</v>
      </c>
      <c r="U609" s="10" t="n">
        <f aca="false">IF(AND($D609="",$E609="",$F609=""),1,0)</f>
        <v>0</v>
      </c>
      <c r="V609" s="10" t="n">
        <f aca="false">IF(OR($I609="",$I609="—"),1,0)</f>
        <v>0</v>
      </c>
      <c r="W609" s="10" t="n">
        <f aca="false">IF(AND(ISNUMBER($D609),ISNUMBER($E609)),IF($E609&gt;$D609,1,0),0)+IF(AND(ISNUMBER($D609),ISNUMBER($F609)),IF($D609&gt;$F609,1,0),0)+IF(AND(ISNUMBER($E609),ISNUMBER($F609)),IF($E609&gt;$F609,1,0),0)</f>
        <v>0</v>
      </c>
      <c r="X609" s="13" t="s">
        <v>76</v>
      </c>
    </row>
    <row r="610" customFormat="false" ht="15" hidden="false" customHeight="false" outlineLevel="0" collapsed="false">
      <c r="A610" s="10" t="s">
        <v>2826</v>
      </c>
      <c r="B610" s="10" t="s">
        <v>2827</v>
      </c>
      <c r="C610" s="11" t="s">
        <v>2828</v>
      </c>
      <c r="D610" s="12" t="n">
        <v>155</v>
      </c>
      <c r="E610" s="12"/>
      <c r="F610" s="12"/>
      <c r="G610" s="10" t="s">
        <v>63</v>
      </c>
      <c r="H610" s="10" t="s">
        <v>2682</v>
      </c>
      <c r="I610" s="11" t="s">
        <v>2738</v>
      </c>
      <c r="J610" s="10" t="s">
        <v>716</v>
      </c>
      <c r="K610" s="10" t="s">
        <v>717</v>
      </c>
      <c r="L610" s="10" t="s">
        <v>68</v>
      </c>
      <c r="M610" s="10" t="s">
        <v>416</v>
      </c>
      <c r="N610" s="11" t="s">
        <v>2739</v>
      </c>
      <c r="O610" s="11" t="s">
        <v>2715</v>
      </c>
      <c r="P610" s="10" t="s">
        <v>637</v>
      </c>
      <c r="Q610" s="11" t="s">
        <v>72</v>
      </c>
      <c r="R610" s="11" t="s">
        <v>2739</v>
      </c>
      <c r="S610" s="11" t="s">
        <v>710</v>
      </c>
      <c r="T610" s="10" t="s">
        <v>2829</v>
      </c>
      <c r="U610" s="10" t="n">
        <f aca="false">IF(AND($D610="",$E610="",$F610=""),1,0)</f>
        <v>0</v>
      </c>
      <c r="V610" s="10" t="n">
        <f aca="false">IF(OR($I610="",$I610="—"),1,0)</f>
        <v>0</v>
      </c>
      <c r="W610" s="10" t="n">
        <f aca="false">IF(AND(ISNUMBER($D610),ISNUMBER($E610)),IF($E610&gt;$D610,1,0),0)+IF(AND(ISNUMBER($D610),ISNUMBER($F610)),IF($D610&gt;$F610,1,0),0)+IF(AND(ISNUMBER($E610),ISNUMBER($F610)),IF($E610&gt;$F610,1,0),0)</f>
        <v>0</v>
      </c>
      <c r="X610" s="13" t="s">
        <v>76</v>
      </c>
    </row>
    <row r="611" customFormat="false" ht="15" hidden="false" customHeight="false" outlineLevel="0" collapsed="false">
      <c r="A611" s="10" t="s">
        <v>2830</v>
      </c>
      <c r="B611" s="10" t="s">
        <v>2831</v>
      </c>
      <c r="C611" s="11" t="s">
        <v>2832</v>
      </c>
      <c r="D611" s="12" t="n">
        <v>344</v>
      </c>
      <c r="E611" s="12"/>
      <c r="F611" s="12"/>
      <c r="G611" s="10" t="s">
        <v>63</v>
      </c>
      <c r="H611" s="10" t="s">
        <v>2689</v>
      </c>
      <c r="I611" s="11" t="s">
        <v>2738</v>
      </c>
      <c r="J611" s="10" t="s">
        <v>716</v>
      </c>
      <c r="K611" s="10" t="s">
        <v>717</v>
      </c>
      <c r="L611" s="10" t="s">
        <v>68</v>
      </c>
      <c r="M611" s="10" t="s">
        <v>416</v>
      </c>
      <c r="N611" s="11" t="s">
        <v>2739</v>
      </c>
      <c r="O611" s="11" t="s">
        <v>2715</v>
      </c>
      <c r="P611" s="10" t="s">
        <v>637</v>
      </c>
      <c r="Q611" s="11" t="s">
        <v>72</v>
      </c>
      <c r="R611" s="11" t="s">
        <v>2739</v>
      </c>
      <c r="S611" s="11" t="s">
        <v>710</v>
      </c>
      <c r="T611" s="10" t="s">
        <v>2833</v>
      </c>
      <c r="U611" s="10" t="n">
        <f aca="false">IF(AND($D611="",$E611="",$F611=""),1,0)</f>
        <v>0</v>
      </c>
      <c r="V611" s="10" t="n">
        <f aca="false">IF(OR($I611="",$I611="—"),1,0)</f>
        <v>0</v>
      </c>
      <c r="W611" s="10" t="n">
        <f aca="false">IF(AND(ISNUMBER($D611),ISNUMBER($E611)),IF($E611&gt;$D611,1,0),0)+IF(AND(ISNUMBER($D611),ISNUMBER($F611)),IF($D611&gt;$F611,1,0),0)+IF(AND(ISNUMBER($E611),ISNUMBER($F611)),IF($E611&gt;$F611,1,0),0)</f>
        <v>0</v>
      </c>
      <c r="X611" s="13" t="s">
        <v>76</v>
      </c>
    </row>
    <row r="612" customFormat="false" ht="15" hidden="false" customHeight="false" outlineLevel="0" collapsed="false">
      <c r="A612" s="10" t="s">
        <v>2834</v>
      </c>
      <c r="B612" s="10" t="s">
        <v>2835</v>
      </c>
      <c r="C612" s="11" t="s">
        <v>2836</v>
      </c>
      <c r="D612" s="12" t="n">
        <v>114</v>
      </c>
      <c r="E612" s="12"/>
      <c r="F612" s="12"/>
      <c r="G612" s="10" t="s">
        <v>63</v>
      </c>
      <c r="H612" s="10" t="s">
        <v>2682</v>
      </c>
      <c r="I612" s="11" t="s">
        <v>2744</v>
      </c>
      <c r="J612" s="10" t="s">
        <v>2745</v>
      </c>
      <c r="K612" s="10" t="s">
        <v>2746</v>
      </c>
      <c r="L612" s="10" t="s">
        <v>68</v>
      </c>
      <c r="M612" s="10" t="s">
        <v>416</v>
      </c>
      <c r="N612" s="11" t="s">
        <v>2747</v>
      </c>
      <c r="O612" s="11" t="s">
        <v>2715</v>
      </c>
      <c r="P612" s="10" t="s">
        <v>637</v>
      </c>
      <c r="Q612" s="11" t="s">
        <v>72</v>
      </c>
      <c r="R612" s="11" t="s">
        <v>2747</v>
      </c>
      <c r="S612" s="11" t="s">
        <v>710</v>
      </c>
      <c r="T612" s="10" t="s">
        <v>2837</v>
      </c>
      <c r="U612" s="10" t="n">
        <f aca="false">IF(AND($D612="",$E612="",$F612=""),1,0)</f>
        <v>0</v>
      </c>
      <c r="V612" s="10" t="n">
        <f aca="false">IF(OR($I612="",$I612="—"),1,0)</f>
        <v>0</v>
      </c>
      <c r="W612" s="10" t="n">
        <f aca="false">IF(AND(ISNUMBER($D612),ISNUMBER($E612)),IF($E612&gt;$D612,1,0),0)+IF(AND(ISNUMBER($D612),ISNUMBER($F612)),IF($D612&gt;$F612,1,0),0)+IF(AND(ISNUMBER($E612),ISNUMBER($F612)),IF($E612&gt;$F612,1,0),0)</f>
        <v>0</v>
      </c>
      <c r="X612" s="13" t="s">
        <v>76</v>
      </c>
    </row>
    <row r="613" customFormat="false" ht="15" hidden="false" customHeight="false" outlineLevel="0" collapsed="false">
      <c r="A613" s="10" t="s">
        <v>2838</v>
      </c>
      <c r="B613" s="10" t="s">
        <v>2839</v>
      </c>
      <c r="C613" s="11" t="s">
        <v>2840</v>
      </c>
      <c r="D613" s="12" t="n">
        <v>251</v>
      </c>
      <c r="E613" s="12"/>
      <c r="F613" s="12"/>
      <c r="G613" s="10" t="s">
        <v>63</v>
      </c>
      <c r="H613" s="10" t="s">
        <v>2689</v>
      </c>
      <c r="I613" s="11" t="s">
        <v>2744</v>
      </c>
      <c r="J613" s="10" t="s">
        <v>2745</v>
      </c>
      <c r="K613" s="10" t="s">
        <v>2746</v>
      </c>
      <c r="L613" s="10" t="s">
        <v>68</v>
      </c>
      <c r="M613" s="10" t="s">
        <v>416</v>
      </c>
      <c r="N613" s="11" t="s">
        <v>2747</v>
      </c>
      <c r="O613" s="11" t="s">
        <v>2715</v>
      </c>
      <c r="P613" s="10" t="s">
        <v>637</v>
      </c>
      <c r="Q613" s="11" t="s">
        <v>72</v>
      </c>
      <c r="R613" s="11" t="s">
        <v>2747</v>
      </c>
      <c r="S613" s="11" t="s">
        <v>710</v>
      </c>
      <c r="T613" s="10" t="s">
        <v>2841</v>
      </c>
      <c r="U613" s="10" t="n">
        <f aca="false">IF(AND($D613="",$E613="",$F613=""),1,0)</f>
        <v>0</v>
      </c>
      <c r="V613" s="10" t="n">
        <f aca="false">IF(OR($I613="",$I613="—"),1,0)</f>
        <v>0</v>
      </c>
      <c r="W613" s="10" t="n">
        <f aca="false">IF(AND(ISNUMBER($D613),ISNUMBER($E613)),IF($E613&gt;$D613,1,0),0)+IF(AND(ISNUMBER($D613),ISNUMBER($F613)),IF($D613&gt;$F613,1,0),0)+IF(AND(ISNUMBER($E613),ISNUMBER($F613)),IF($E613&gt;$F613,1,0),0)</f>
        <v>0</v>
      </c>
      <c r="X613" s="13" t="s">
        <v>76</v>
      </c>
    </row>
    <row r="614" customFormat="false" ht="15" hidden="false" customHeight="false" outlineLevel="0" collapsed="false">
      <c r="A614" s="10" t="s">
        <v>2842</v>
      </c>
      <c r="B614" s="10" t="s">
        <v>2843</v>
      </c>
      <c r="C614" s="11" t="s">
        <v>2844</v>
      </c>
      <c r="D614" s="12" t="n">
        <v>475</v>
      </c>
      <c r="E614" s="12"/>
      <c r="F614" s="12"/>
      <c r="G614" s="10" t="s">
        <v>63</v>
      </c>
      <c r="H614" s="10" t="s">
        <v>2845</v>
      </c>
      <c r="I614" s="11" t="s">
        <v>2753</v>
      </c>
      <c r="J614" s="10" t="s">
        <v>2754</v>
      </c>
      <c r="K614" s="10" t="s">
        <v>2752</v>
      </c>
      <c r="L614" s="10" t="s">
        <v>68</v>
      </c>
      <c r="M614" s="10" t="s">
        <v>416</v>
      </c>
      <c r="N614" s="11" t="s">
        <v>2755</v>
      </c>
      <c r="O614" s="11" t="s">
        <v>2715</v>
      </c>
      <c r="P614" s="10" t="s">
        <v>637</v>
      </c>
      <c r="Q614" s="11" t="s">
        <v>72</v>
      </c>
      <c r="R614" s="11" t="s">
        <v>2755</v>
      </c>
      <c r="S614" s="11" t="s">
        <v>710</v>
      </c>
      <c r="T614" s="10" t="s">
        <v>2846</v>
      </c>
      <c r="U614" s="10" t="n">
        <f aca="false">IF(AND($D614="",$E614="",$F614=""),1,0)</f>
        <v>0</v>
      </c>
      <c r="V614" s="10" t="n">
        <f aca="false">IF(OR($I614="",$I614="—"),1,0)</f>
        <v>0</v>
      </c>
      <c r="W614" s="10" t="n">
        <f aca="false">IF(AND(ISNUMBER($D614),ISNUMBER($E614)),IF($E614&gt;$D614,1,0),0)+IF(AND(ISNUMBER($D614),ISNUMBER($F614)),IF($D614&gt;$F614,1,0),0)+IF(AND(ISNUMBER($E614),ISNUMBER($F614)),IF($E614&gt;$F614,1,0),0)</f>
        <v>0</v>
      </c>
      <c r="X614" s="13" t="s">
        <v>76</v>
      </c>
    </row>
    <row r="615" customFormat="false" ht="15" hidden="false" customHeight="false" outlineLevel="0" collapsed="false">
      <c r="A615" s="10" t="s">
        <v>2847</v>
      </c>
      <c r="B615" s="10" t="s">
        <v>2848</v>
      </c>
      <c r="C615" s="11" t="s">
        <v>2849</v>
      </c>
      <c r="D615" s="12" t="n">
        <v>0.1463</v>
      </c>
      <c r="E615" s="12"/>
      <c r="F615" s="12"/>
      <c r="G615" s="10" t="s">
        <v>63</v>
      </c>
      <c r="H615" s="10" t="s">
        <v>64</v>
      </c>
      <c r="I615" s="11" t="s">
        <v>2850</v>
      </c>
      <c r="J615" s="10" t="s">
        <v>66</v>
      </c>
      <c r="K615" s="10" t="s">
        <v>67</v>
      </c>
      <c r="L615" s="10" t="s">
        <v>68</v>
      </c>
      <c r="M615" s="10" t="s">
        <v>69</v>
      </c>
      <c r="N615" s="10"/>
      <c r="O615" s="11" t="s">
        <v>2851</v>
      </c>
      <c r="P615" s="10" t="s">
        <v>71</v>
      </c>
      <c r="Q615" s="11" t="s">
        <v>72</v>
      </c>
      <c r="R615" s="11" t="s">
        <v>73</v>
      </c>
      <c r="S615" s="11" t="s">
        <v>74</v>
      </c>
      <c r="T615" s="11" t="s">
        <v>2852</v>
      </c>
      <c r="U615" s="10" t="n">
        <f aca="false">IF(AND($D615="",$E615="",$F615=""),1,0)</f>
        <v>0</v>
      </c>
      <c r="V615" s="10" t="n">
        <f aca="false">IF(OR($I615="",$I615="—"),1,0)</f>
        <v>0</v>
      </c>
      <c r="W615" s="10" t="n">
        <f aca="false">IF(AND(ISNUMBER($D615),ISNUMBER($E615)),IF($E615&gt;$D615,1,0),0)+IF(AND(ISNUMBER($D615),ISNUMBER($F615)),IF($D615&gt;$F615,1,0),0)+IF(AND(ISNUMBER($E615),ISNUMBER($F615)),IF($E615&gt;$F615,1,0),0)</f>
        <v>0</v>
      </c>
      <c r="X615" s="13" t="s">
        <v>76</v>
      </c>
    </row>
    <row r="616" customFormat="false" ht="15" hidden="false" customHeight="false" outlineLevel="0" collapsed="false">
      <c r="A616" s="10" t="s">
        <v>2853</v>
      </c>
      <c r="B616" s="10" t="s">
        <v>2854</v>
      </c>
      <c r="C616" s="11" t="s">
        <v>2849</v>
      </c>
      <c r="D616" s="12" t="n">
        <v>3.1175</v>
      </c>
      <c r="E616" s="12"/>
      <c r="F616" s="12"/>
      <c r="G616" s="10" t="s">
        <v>63</v>
      </c>
      <c r="H616" s="10" t="s">
        <v>79</v>
      </c>
      <c r="I616" s="11" t="s">
        <v>2850</v>
      </c>
      <c r="J616" s="10" t="s">
        <v>66</v>
      </c>
      <c r="K616" s="10" t="s">
        <v>67</v>
      </c>
      <c r="L616" s="10" t="s">
        <v>68</v>
      </c>
      <c r="M616" s="10" t="s">
        <v>69</v>
      </c>
      <c r="N616" s="10"/>
      <c r="O616" s="11" t="s">
        <v>2851</v>
      </c>
      <c r="P616" s="10" t="s">
        <v>71</v>
      </c>
      <c r="Q616" s="11" t="s">
        <v>72</v>
      </c>
      <c r="R616" s="11" t="s">
        <v>73</v>
      </c>
      <c r="S616" s="11" t="s">
        <v>74</v>
      </c>
      <c r="T616" s="11" t="s">
        <v>2855</v>
      </c>
      <c r="U616" s="10" t="n">
        <f aca="false">IF(AND($D616="",$E616="",$F616=""),1,0)</f>
        <v>0</v>
      </c>
      <c r="V616" s="10" t="n">
        <f aca="false">IF(OR($I616="",$I616="—"),1,0)</f>
        <v>0</v>
      </c>
      <c r="W616" s="10" t="n">
        <f aca="false">IF(AND(ISNUMBER($D616),ISNUMBER($E616)),IF($E616&gt;$D616,1,0),0)+IF(AND(ISNUMBER($D616),ISNUMBER($F616)),IF($D616&gt;$F616,1,0),0)+IF(AND(ISNUMBER($E616),ISNUMBER($F616)),IF($E616&gt;$F616,1,0),0)</f>
        <v>0</v>
      </c>
      <c r="X616" s="13" t="s">
        <v>76</v>
      </c>
    </row>
    <row r="617" customFormat="false" ht="15" hidden="false" customHeight="false" outlineLevel="0" collapsed="false">
      <c r="A617" s="10" t="s">
        <v>2856</v>
      </c>
      <c r="B617" s="10" t="s">
        <v>2857</v>
      </c>
      <c r="C617" s="11" t="s">
        <v>2849</v>
      </c>
      <c r="D617" s="12" t="n">
        <v>15.5283</v>
      </c>
      <c r="E617" s="12"/>
      <c r="F617" s="12"/>
      <c r="G617" s="10" t="s">
        <v>63</v>
      </c>
      <c r="H617" s="10" t="s">
        <v>83</v>
      </c>
      <c r="I617" s="11" t="s">
        <v>2850</v>
      </c>
      <c r="J617" s="10" t="s">
        <v>66</v>
      </c>
      <c r="K617" s="10" t="s">
        <v>67</v>
      </c>
      <c r="L617" s="10" t="s">
        <v>68</v>
      </c>
      <c r="M617" s="10" t="s">
        <v>69</v>
      </c>
      <c r="N617" s="10"/>
      <c r="O617" s="11" t="s">
        <v>2851</v>
      </c>
      <c r="P617" s="10" t="s">
        <v>71</v>
      </c>
      <c r="Q617" s="11" t="s">
        <v>72</v>
      </c>
      <c r="R617" s="11" t="s">
        <v>73</v>
      </c>
      <c r="S617" s="11" t="s">
        <v>74</v>
      </c>
      <c r="T617" s="11" t="s">
        <v>2858</v>
      </c>
      <c r="U617" s="10" t="n">
        <f aca="false">IF(AND($D617="",$E617="",$F617=""),1,0)</f>
        <v>0</v>
      </c>
      <c r="V617" s="10" t="n">
        <f aca="false">IF(OR($I617="",$I617="—"),1,0)</f>
        <v>0</v>
      </c>
      <c r="W617" s="10" t="n">
        <f aca="false">IF(AND(ISNUMBER($D617),ISNUMBER($E617)),IF($E617&gt;$D617,1,0),0)+IF(AND(ISNUMBER($D617),ISNUMBER($F617)),IF($D617&gt;$F617,1,0),0)+IF(AND(ISNUMBER($E617),ISNUMBER($F617)),IF($E617&gt;$F617,1,0),0)</f>
        <v>0</v>
      </c>
      <c r="X617" s="13" t="s">
        <v>76</v>
      </c>
    </row>
    <row r="618" customFormat="false" ht="15" hidden="false" customHeight="false" outlineLevel="0" collapsed="false">
      <c r="A618" s="10" t="s">
        <v>2859</v>
      </c>
      <c r="B618" s="10" t="s">
        <v>2860</v>
      </c>
      <c r="C618" s="11" t="s">
        <v>2849</v>
      </c>
      <c r="D618" s="12" t="n">
        <v>6.0324</v>
      </c>
      <c r="E618" s="12"/>
      <c r="F618" s="12"/>
      <c r="G618" s="10" t="s">
        <v>63</v>
      </c>
      <c r="H618" s="10" t="s">
        <v>87</v>
      </c>
      <c r="I618" s="11" t="s">
        <v>2850</v>
      </c>
      <c r="J618" s="10" t="s">
        <v>66</v>
      </c>
      <c r="K618" s="10" t="s">
        <v>67</v>
      </c>
      <c r="L618" s="10" t="s">
        <v>68</v>
      </c>
      <c r="M618" s="10" t="s">
        <v>69</v>
      </c>
      <c r="N618" s="10"/>
      <c r="O618" s="11" t="s">
        <v>2861</v>
      </c>
      <c r="P618" s="10" t="s">
        <v>71</v>
      </c>
      <c r="Q618" s="11" t="s">
        <v>72</v>
      </c>
      <c r="R618" s="11" t="s">
        <v>73</v>
      </c>
      <c r="S618" s="11" t="s">
        <v>74</v>
      </c>
      <c r="T618" s="11" t="s">
        <v>2862</v>
      </c>
      <c r="U618" s="10" t="n">
        <f aca="false">IF(AND($D618="",$E618="",$F618=""),1,0)</f>
        <v>0</v>
      </c>
      <c r="V618" s="10" t="n">
        <f aca="false">IF(OR($I618="",$I618="—"),1,0)</f>
        <v>0</v>
      </c>
      <c r="W618" s="10" t="n">
        <f aca="false">IF(AND(ISNUMBER($D618),ISNUMBER($E618)),IF($E618&gt;$D618,1,0),0)+IF(AND(ISNUMBER($D618),ISNUMBER($F618)),IF($D618&gt;$F618,1,0),0)+IF(AND(ISNUMBER($E618),ISNUMBER($F618)),IF($E618&gt;$F618,1,0),0)</f>
        <v>0</v>
      </c>
      <c r="X618" s="13" t="s">
        <v>76</v>
      </c>
    </row>
    <row r="619" customFormat="false" ht="15" hidden="false" customHeight="false" outlineLevel="0" collapsed="false">
      <c r="A619" s="10" t="s">
        <v>2863</v>
      </c>
      <c r="B619" s="10" t="s">
        <v>2864</v>
      </c>
      <c r="C619" s="11" t="s">
        <v>2849</v>
      </c>
      <c r="D619" s="12" t="n">
        <v>11.4512</v>
      </c>
      <c r="E619" s="12"/>
      <c r="F619" s="12"/>
      <c r="G619" s="10" t="s">
        <v>63</v>
      </c>
      <c r="H619" s="10" t="s">
        <v>92</v>
      </c>
      <c r="I619" s="11" t="s">
        <v>2850</v>
      </c>
      <c r="J619" s="10" t="s">
        <v>66</v>
      </c>
      <c r="K619" s="10" t="s">
        <v>67</v>
      </c>
      <c r="L619" s="10" t="s">
        <v>68</v>
      </c>
      <c r="M619" s="10" t="s">
        <v>69</v>
      </c>
      <c r="N619" s="10"/>
      <c r="O619" s="11" t="s">
        <v>2865</v>
      </c>
      <c r="P619" s="10" t="s">
        <v>71</v>
      </c>
      <c r="Q619" s="11" t="s">
        <v>72</v>
      </c>
      <c r="R619" s="11" t="s">
        <v>73</v>
      </c>
      <c r="S619" s="11" t="s">
        <v>74</v>
      </c>
      <c r="T619" s="11" t="s">
        <v>2866</v>
      </c>
      <c r="U619" s="10" t="n">
        <f aca="false">IF(AND($D619="",$E619="",$F619=""),1,0)</f>
        <v>0</v>
      </c>
      <c r="V619" s="10" t="n">
        <f aca="false">IF(OR($I619="",$I619="—"),1,0)</f>
        <v>0</v>
      </c>
      <c r="W619" s="10" t="n">
        <f aca="false">IF(AND(ISNUMBER($D619),ISNUMBER($E619)),IF($E619&gt;$D619,1,0),0)+IF(AND(ISNUMBER($D619),ISNUMBER($F619)),IF($D619&gt;$F619,1,0),0)+IF(AND(ISNUMBER($E619),ISNUMBER($F619)),IF($E619&gt;$F619,1,0),0)</f>
        <v>0</v>
      </c>
      <c r="X619" s="13" t="s">
        <v>76</v>
      </c>
    </row>
    <row r="620" customFormat="false" ht="15" hidden="false" customHeight="false" outlineLevel="0" collapsed="false">
      <c r="A620" s="10" t="s">
        <v>2867</v>
      </c>
      <c r="B620" s="10" t="s">
        <v>2868</v>
      </c>
      <c r="C620" s="11" t="s">
        <v>2869</v>
      </c>
      <c r="D620" s="12" t="n">
        <v>0.4198</v>
      </c>
      <c r="E620" s="12"/>
      <c r="F620" s="12"/>
      <c r="G620" s="10" t="s">
        <v>63</v>
      </c>
      <c r="H620" s="10" t="s">
        <v>64</v>
      </c>
      <c r="I620" s="11" t="s">
        <v>2850</v>
      </c>
      <c r="J620" s="10" t="s">
        <v>66</v>
      </c>
      <c r="K620" s="10" t="s">
        <v>67</v>
      </c>
      <c r="L620" s="10" t="s">
        <v>68</v>
      </c>
      <c r="M620" s="10" t="s">
        <v>69</v>
      </c>
      <c r="N620" s="10"/>
      <c r="O620" s="11" t="s">
        <v>2851</v>
      </c>
      <c r="P620" s="10" t="s">
        <v>71</v>
      </c>
      <c r="Q620" s="11" t="s">
        <v>72</v>
      </c>
      <c r="R620" s="11" t="s">
        <v>73</v>
      </c>
      <c r="S620" s="11" t="s">
        <v>74</v>
      </c>
      <c r="T620" s="11" t="s">
        <v>2870</v>
      </c>
      <c r="U620" s="10" t="n">
        <f aca="false">IF(AND($D620="",$E620="",$F620=""),1,0)</f>
        <v>0</v>
      </c>
      <c r="V620" s="10" t="n">
        <f aca="false">IF(OR($I620="",$I620="—"),1,0)</f>
        <v>0</v>
      </c>
      <c r="W620" s="10" t="n">
        <f aca="false">IF(AND(ISNUMBER($D620),ISNUMBER($E620)),IF($E620&gt;$D620,1,0),0)+IF(AND(ISNUMBER($D620),ISNUMBER($F620)),IF($D620&gt;$F620,1,0),0)+IF(AND(ISNUMBER($E620),ISNUMBER($F620)),IF($E620&gt;$F620,1,0),0)</f>
        <v>0</v>
      </c>
      <c r="X620" s="13" t="s">
        <v>76</v>
      </c>
    </row>
    <row r="621" customFormat="false" ht="15" hidden="false" customHeight="false" outlineLevel="0" collapsed="false">
      <c r="A621" s="10" t="s">
        <v>2871</v>
      </c>
      <c r="B621" s="10" t="s">
        <v>2872</v>
      </c>
      <c r="C621" s="11" t="s">
        <v>2869</v>
      </c>
      <c r="D621" s="12" t="n">
        <v>1.373</v>
      </c>
      <c r="E621" s="12"/>
      <c r="F621" s="12"/>
      <c r="G621" s="10" t="s">
        <v>63</v>
      </c>
      <c r="H621" s="10" t="s">
        <v>79</v>
      </c>
      <c r="I621" s="11" t="s">
        <v>2850</v>
      </c>
      <c r="J621" s="10" t="s">
        <v>66</v>
      </c>
      <c r="K621" s="10" t="s">
        <v>67</v>
      </c>
      <c r="L621" s="10" t="s">
        <v>68</v>
      </c>
      <c r="M621" s="10" t="s">
        <v>69</v>
      </c>
      <c r="N621" s="10"/>
      <c r="O621" s="11" t="s">
        <v>2851</v>
      </c>
      <c r="P621" s="10" t="s">
        <v>71</v>
      </c>
      <c r="Q621" s="11" t="s">
        <v>72</v>
      </c>
      <c r="R621" s="11" t="s">
        <v>73</v>
      </c>
      <c r="S621" s="11" t="s">
        <v>74</v>
      </c>
      <c r="T621" s="11" t="s">
        <v>2873</v>
      </c>
      <c r="U621" s="10" t="n">
        <f aca="false">IF(AND($D621="",$E621="",$F621=""),1,0)</f>
        <v>0</v>
      </c>
      <c r="V621" s="10" t="n">
        <f aca="false">IF(OR($I621="",$I621="—"),1,0)</f>
        <v>0</v>
      </c>
      <c r="W621" s="10" t="n">
        <f aca="false">IF(AND(ISNUMBER($D621),ISNUMBER($E621)),IF($E621&gt;$D621,1,0),0)+IF(AND(ISNUMBER($D621),ISNUMBER($F621)),IF($D621&gt;$F621,1,0),0)+IF(AND(ISNUMBER($E621),ISNUMBER($F621)),IF($E621&gt;$F621,1,0),0)</f>
        <v>0</v>
      </c>
      <c r="X621" s="13" t="s">
        <v>76</v>
      </c>
    </row>
    <row r="622" customFormat="false" ht="15" hidden="false" customHeight="false" outlineLevel="0" collapsed="false">
      <c r="A622" s="10" t="s">
        <v>2874</v>
      </c>
      <c r="B622" s="10" t="s">
        <v>2875</v>
      </c>
      <c r="C622" s="11" t="s">
        <v>2869</v>
      </c>
      <c r="D622" s="12" t="n">
        <v>3.2419</v>
      </c>
      <c r="E622" s="12"/>
      <c r="F622" s="12"/>
      <c r="G622" s="10" t="s">
        <v>63</v>
      </c>
      <c r="H622" s="10" t="s">
        <v>83</v>
      </c>
      <c r="I622" s="11" t="s">
        <v>2850</v>
      </c>
      <c r="J622" s="10" t="s">
        <v>66</v>
      </c>
      <c r="K622" s="10" t="s">
        <v>67</v>
      </c>
      <c r="L622" s="10" t="s">
        <v>68</v>
      </c>
      <c r="M622" s="10" t="s">
        <v>69</v>
      </c>
      <c r="N622" s="10"/>
      <c r="O622" s="11" t="s">
        <v>2851</v>
      </c>
      <c r="P622" s="10" t="s">
        <v>71</v>
      </c>
      <c r="Q622" s="11" t="s">
        <v>72</v>
      </c>
      <c r="R622" s="11" t="s">
        <v>73</v>
      </c>
      <c r="S622" s="11" t="s">
        <v>74</v>
      </c>
      <c r="T622" s="11" t="s">
        <v>2876</v>
      </c>
      <c r="U622" s="10" t="n">
        <f aca="false">IF(AND($D622="",$E622="",$F622=""),1,0)</f>
        <v>0</v>
      </c>
      <c r="V622" s="10" t="n">
        <f aca="false">IF(OR($I622="",$I622="—"),1,0)</f>
        <v>0</v>
      </c>
      <c r="W622" s="10" t="n">
        <f aca="false">IF(AND(ISNUMBER($D622),ISNUMBER($E622)),IF($E622&gt;$D622,1,0),0)+IF(AND(ISNUMBER($D622),ISNUMBER($F622)),IF($D622&gt;$F622,1,0),0)+IF(AND(ISNUMBER($E622),ISNUMBER($F622)),IF($E622&gt;$F622,1,0),0)</f>
        <v>0</v>
      </c>
      <c r="X622" s="13" t="s">
        <v>76</v>
      </c>
    </row>
    <row r="623" customFormat="false" ht="15" hidden="false" customHeight="false" outlineLevel="0" collapsed="false">
      <c r="A623" s="10" t="s">
        <v>2877</v>
      </c>
      <c r="B623" s="10" t="s">
        <v>2878</v>
      </c>
      <c r="C623" s="11" t="s">
        <v>2869</v>
      </c>
      <c r="D623" s="12" t="n">
        <v>1.0799</v>
      </c>
      <c r="E623" s="12"/>
      <c r="F623" s="12"/>
      <c r="G623" s="10" t="s">
        <v>63</v>
      </c>
      <c r="H623" s="10" t="s">
        <v>87</v>
      </c>
      <c r="I623" s="11" t="s">
        <v>2850</v>
      </c>
      <c r="J623" s="10" t="s">
        <v>66</v>
      </c>
      <c r="K623" s="10" t="s">
        <v>67</v>
      </c>
      <c r="L623" s="10" t="s">
        <v>68</v>
      </c>
      <c r="M623" s="10" t="s">
        <v>69</v>
      </c>
      <c r="N623" s="10"/>
      <c r="O623" s="11" t="s">
        <v>2861</v>
      </c>
      <c r="P623" s="10" t="s">
        <v>71</v>
      </c>
      <c r="Q623" s="11" t="s">
        <v>72</v>
      </c>
      <c r="R623" s="11" t="s">
        <v>73</v>
      </c>
      <c r="S623" s="11" t="s">
        <v>74</v>
      </c>
      <c r="T623" s="11" t="s">
        <v>2879</v>
      </c>
      <c r="U623" s="10" t="n">
        <f aca="false">IF(AND($D623="",$E623="",$F623=""),1,0)</f>
        <v>0</v>
      </c>
      <c r="V623" s="10" t="n">
        <f aca="false">IF(OR($I623="",$I623="—"),1,0)</f>
        <v>0</v>
      </c>
      <c r="W623" s="10" t="n">
        <f aca="false">IF(AND(ISNUMBER($D623),ISNUMBER($E623)),IF($E623&gt;$D623,1,0),0)+IF(AND(ISNUMBER($D623),ISNUMBER($F623)),IF($D623&gt;$F623,1,0),0)+IF(AND(ISNUMBER($E623),ISNUMBER($F623)),IF($E623&gt;$F623,1,0),0)</f>
        <v>0</v>
      </c>
      <c r="X623" s="13" t="s">
        <v>76</v>
      </c>
    </row>
    <row r="624" customFormat="false" ht="15" hidden="false" customHeight="false" outlineLevel="0" collapsed="false">
      <c r="A624" s="10" t="s">
        <v>2880</v>
      </c>
      <c r="B624" s="10" t="s">
        <v>2881</v>
      </c>
      <c r="C624" s="11" t="s">
        <v>2869</v>
      </c>
      <c r="D624" s="12" t="n">
        <v>2.6557</v>
      </c>
      <c r="E624" s="12"/>
      <c r="F624" s="12"/>
      <c r="G624" s="10" t="s">
        <v>63</v>
      </c>
      <c r="H624" s="10" t="s">
        <v>92</v>
      </c>
      <c r="I624" s="11" t="s">
        <v>2850</v>
      </c>
      <c r="J624" s="10" t="s">
        <v>66</v>
      </c>
      <c r="K624" s="10" t="s">
        <v>67</v>
      </c>
      <c r="L624" s="10" t="s">
        <v>68</v>
      </c>
      <c r="M624" s="10" t="s">
        <v>69</v>
      </c>
      <c r="N624" s="10"/>
      <c r="O624" s="11" t="s">
        <v>2865</v>
      </c>
      <c r="P624" s="10" t="s">
        <v>71</v>
      </c>
      <c r="Q624" s="11" t="s">
        <v>72</v>
      </c>
      <c r="R624" s="11" t="s">
        <v>73</v>
      </c>
      <c r="S624" s="11" t="s">
        <v>74</v>
      </c>
      <c r="T624" s="11" t="s">
        <v>2882</v>
      </c>
      <c r="U624" s="10" t="n">
        <f aca="false">IF(AND($D624="",$E624="",$F624=""),1,0)</f>
        <v>0</v>
      </c>
      <c r="V624" s="10" t="n">
        <f aca="false">IF(OR($I624="",$I624="—"),1,0)</f>
        <v>0</v>
      </c>
      <c r="W624" s="10" t="n">
        <f aca="false">IF(AND(ISNUMBER($D624),ISNUMBER($E624)),IF($E624&gt;$D624,1,0),0)+IF(AND(ISNUMBER($D624),ISNUMBER($F624)),IF($D624&gt;$F624,1,0),0)+IF(AND(ISNUMBER($E624),ISNUMBER($F624)),IF($E624&gt;$F624,1,0),0)</f>
        <v>0</v>
      </c>
      <c r="X624" s="13" t="s">
        <v>76</v>
      </c>
    </row>
    <row r="625" customFormat="false" ht="15" hidden="false" customHeight="false" outlineLevel="0" collapsed="false">
      <c r="A625" s="10" t="s">
        <v>2883</v>
      </c>
      <c r="B625" s="10" t="s">
        <v>2884</v>
      </c>
      <c r="C625" s="11" t="s">
        <v>2885</v>
      </c>
      <c r="D625" s="12" t="n">
        <v>0.1469</v>
      </c>
      <c r="E625" s="12"/>
      <c r="F625" s="12"/>
      <c r="G625" s="10" t="s">
        <v>63</v>
      </c>
      <c r="H625" s="10" t="s">
        <v>64</v>
      </c>
      <c r="I625" s="11" t="s">
        <v>2850</v>
      </c>
      <c r="J625" s="10" t="s">
        <v>66</v>
      </c>
      <c r="K625" s="10" t="s">
        <v>67</v>
      </c>
      <c r="L625" s="10" t="s">
        <v>68</v>
      </c>
      <c r="M625" s="10" t="s">
        <v>69</v>
      </c>
      <c r="N625" s="10"/>
      <c r="O625" s="11" t="s">
        <v>2851</v>
      </c>
      <c r="P625" s="10" t="s">
        <v>71</v>
      </c>
      <c r="Q625" s="11" t="s">
        <v>72</v>
      </c>
      <c r="R625" s="11" t="s">
        <v>73</v>
      </c>
      <c r="S625" s="11" t="s">
        <v>74</v>
      </c>
      <c r="T625" s="11" t="s">
        <v>2886</v>
      </c>
      <c r="U625" s="10" t="n">
        <f aca="false">IF(AND($D625="",$E625="",$F625=""),1,0)</f>
        <v>0</v>
      </c>
      <c r="V625" s="10" t="n">
        <f aca="false">IF(OR($I625="",$I625="—"),1,0)</f>
        <v>0</v>
      </c>
      <c r="W625" s="10" t="n">
        <f aca="false">IF(AND(ISNUMBER($D625),ISNUMBER($E625)),IF($E625&gt;$D625,1,0),0)+IF(AND(ISNUMBER($D625),ISNUMBER($F625)),IF($D625&gt;$F625,1,0),0)+IF(AND(ISNUMBER($E625),ISNUMBER($F625)),IF($E625&gt;$F625,1,0),0)</f>
        <v>0</v>
      </c>
      <c r="X625" s="13" t="s">
        <v>76</v>
      </c>
    </row>
    <row r="626" customFormat="false" ht="15" hidden="false" customHeight="false" outlineLevel="0" collapsed="false">
      <c r="A626" s="10" t="s">
        <v>2887</v>
      </c>
      <c r="B626" s="10" t="s">
        <v>2888</v>
      </c>
      <c r="C626" s="11" t="s">
        <v>2885</v>
      </c>
      <c r="D626" s="12" t="n">
        <v>0.4921</v>
      </c>
      <c r="E626" s="12"/>
      <c r="F626" s="12"/>
      <c r="G626" s="10" t="s">
        <v>63</v>
      </c>
      <c r="H626" s="10" t="s">
        <v>79</v>
      </c>
      <c r="I626" s="11" t="s">
        <v>2850</v>
      </c>
      <c r="J626" s="10" t="s">
        <v>66</v>
      </c>
      <c r="K626" s="10" t="s">
        <v>67</v>
      </c>
      <c r="L626" s="10" t="s">
        <v>68</v>
      </c>
      <c r="M626" s="10" t="s">
        <v>69</v>
      </c>
      <c r="N626" s="10"/>
      <c r="O626" s="11" t="s">
        <v>2851</v>
      </c>
      <c r="P626" s="10" t="s">
        <v>71</v>
      </c>
      <c r="Q626" s="11" t="s">
        <v>72</v>
      </c>
      <c r="R626" s="11" t="s">
        <v>73</v>
      </c>
      <c r="S626" s="11" t="s">
        <v>74</v>
      </c>
      <c r="T626" s="11" t="s">
        <v>2889</v>
      </c>
      <c r="U626" s="10" t="n">
        <f aca="false">IF(AND($D626="",$E626="",$F626=""),1,0)</f>
        <v>0</v>
      </c>
      <c r="V626" s="10" t="n">
        <f aca="false">IF(OR($I626="",$I626="—"),1,0)</f>
        <v>0</v>
      </c>
      <c r="W626" s="10" t="n">
        <f aca="false">IF(AND(ISNUMBER($D626),ISNUMBER($E626)),IF($E626&gt;$D626,1,0),0)+IF(AND(ISNUMBER($D626),ISNUMBER($F626)),IF($D626&gt;$F626,1,0),0)+IF(AND(ISNUMBER($E626),ISNUMBER($F626)),IF($E626&gt;$F626,1,0),0)</f>
        <v>0</v>
      </c>
      <c r="X626" s="13" t="s">
        <v>76</v>
      </c>
    </row>
    <row r="627" customFormat="false" ht="15" hidden="false" customHeight="false" outlineLevel="0" collapsed="false">
      <c r="A627" s="10" t="s">
        <v>2890</v>
      </c>
      <c r="B627" s="10" t="s">
        <v>2891</v>
      </c>
      <c r="C627" s="11" t="s">
        <v>2885</v>
      </c>
      <c r="D627" s="12" t="n">
        <v>2.5904</v>
      </c>
      <c r="E627" s="12"/>
      <c r="F627" s="12"/>
      <c r="G627" s="10" t="s">
        <v>63</v>
      </c>
      <c r="H627" s="10" t="s">
        <v>83</v>
      </c>
      <c r="I627" s="11" t="s">
        <v>2850</v>
      </c>
      <c r="J627" s="10" t="s">
        <v>66</v>
      </c>
      <c r="K627" s="10" t="s">
        <v>67</v>
      </c>
      <c r="L627" s="10" t="s">
        <v>68</v>
      </c>
      <c r="M627" s="10" t="s">
        <v>69</v>
      </c>
      <c r="N627" s="10"/>
      <c r="O627" s="11" t="s">
        <v>2851</v>
      </c>
      <c r="P627" s="10" t="s">
        <v>71</v>
      </c>
      <c r="Q627" s="11" t="s">
        <v>72</v>
      </c>
      <c r="R627" s="11" t="s">
        <v>73</v>
      </c>
      <c r="S627" s="11" t="s">
        <v>74</v>
      </c>
      <c r="T627" s="11" t="s">
        <v>2892</v>
      </c>
      <c r="U627" s="10" t="n">
        <f aca="false">IF(AND($D627="",$E627="",$F627=""),1,0)</f>
        <v>0</v>
      </c>
      <c r="V627" s="10" t="n">
        <f aca="false">IF(OR($I627="",$I627="—"),1,0)</f>
        <v>0</v>
      </c>
      <c r="W627" s="10" t="n">
        <f aca="false">IF(AND(ISNUMBER($D627),ISNUMBER($E627)),IF($E627&gt;$D627,1,0),0)+IF(AND(ISNUMBER($D627),ISNUMBER($F627)),IF($D627&gt;$F627,1,0),0)+IF(AND(ISNUMBER($E627),ISNUMBER($F627)),IF($E627&gt;$F627,1,0),0)</f>
        <v>0</v>
      </c>
      <c r="X627" s="13" t="s">
        <v>76</v>
      </c>
    </row>
    <row r="628" customFormat="false" ht="15" hidden="false" customHeight="false" outlineLevel="0" collapsed="false">
      <c r="A628" s="10" t="s">
        <v>2893</v>
      </c>
      <c r="B628" s="10" t="s">
        <v>2894</v>
      </c>
      <c r="C628" s="11" t="s">
        <v>2885</v>
      </c>
      <c r="D628" s="12" t="n">
        <v>1.1852</v>
      </c>
      <c r="E628" s="12"/>
      <c r="F628" s="12"/>
      <c r="G628" s="10" t="s">
        <v>63</v>
      </c>
      <c r="H628" s="10" t="s">
        <v>87</v>
      </c>
      <c r="I628" s="11" t="s">
        <v>2850</v>
      </c>
      <c r="J628" s="10" t="s">
        <v>66</v>
      </c>
      <c r="K628" s="10" t="s">
        <v>67</v>
      </c>
      <c r="L628" s="10" t="s">
        <v>68</v>
      </c>
      <c r="M628" s="10" t="s">
        <v>69</v>
      </c>
      <c r="N628" s="10"/>
      <c r="O628" s="11" t="s">
        <v>2861</v>
      </c>
      <c r="P628" s="10" t="s">
        <v>71</v>
      </c>
      <c r="Q628" s="11" t="s">
        <v>72</v>
      </c>
      <c r="R628" s="11" t="s">
        <v>73</v>
      </c>
      <c r="S628" s="11" t="s">
        <v>74</v>
      </c>
      <c r="T628" s="11" t="s">
        <v>2895</v>
      </c>
      <c r="U628" s="10" t="n">
        <f aca="false">IF(AND($D628="",$E628="",$F628=""),1,0)</f>
        <v>0</v>
      </c>
      <c r="V628" s="10" t="n">
        <f aca="false">IF(OR($I628="",$I628="—"),1,0)</f>
        <v>0</v>
      </c>
      <c r="W628" s="10" t="n">
        <f aca="false">IF(AND(ISNUMBER($D628),ISNUMBER($E628)),IF($E628&gt;$D628,1,0),0)+IF(AND(ISNUMBER($D628),ISNUMBER($F628)),IF($D628&gt;$F628,1,0),0)+IF(AND(ISNUMBER($E628),ISNUMBER($F628)),IF($E628&gt;$F628,1,0),0)</f>
        <v>0</v>
      </c>
      <c r="X628" s="13" t="s">
        <v>76</v>
      </c>
    </row>
    <row r="629" customFormat="false" ht="15" hidden="false" customHeight="false" outlineLevel="0" collapsed="false">
      <c r="A629" s="10" t="s">
        <v>2896</v>
      </c>
      <c r="B629" s="10" t="s">
        <v>2897</v>
      </c>
      <c r="C629" s="11" t="s">
        <v>2885</v>
      </c>
      <c r="D629" s="12" t="n">
        <v>1.2397</v>
      </c>
      <c r="E629" s="12"/>
      <c r="F629" s="12"/>
      <c r="G629" s="10" t="s">
        <v>63</v>
      </c>
      <c r="H629" s="10" t="s">
        <v>92</v>
      </c>
      <c r="I629" s="11" t="s">
        <v>2850</v>
      </c>
      <c r="J629" s="10" t="s">
        <v>66</v>
      </c>
      <c r="K629" s="10" t="s">
        <v>67</v>
      </c>
      <c r="L629" s="10" t="s">
        <v>68</v>
      </c>
      <c r="M629" s="10" t="s">
        <v>69</v>
      </c>
      <c r="N629" s="10"/>
      <c r="O629" s="11" t="s">
        <v>2865</v>
      </c>
      <c r="P629" s="10" t="s">
        <v>71</v>
      </c>
      <c r="Q629" s="11" t="s">
        <v>72</v>
      </c>
      <c r="R629" s="11" t="s">
        <v>73</v>
      </c>
      <c r="S629" s="11" t="s">
        <v>74</v>
      </c>
      <c r="T629" s="11" t="s">
        <v>2898</v>
      </c>
      <c r="U629" s="10" t="n">
        <f aca="false">IF(AND($D629="",$E629="",$F629=""),1,0)</f>
        <v>0</v>
      </c>
      <c r="V629" s="10" t="n">
        <f aca="false">IF(OR($I629="",$I629="—"),1,0)</f>
        <v>0</v>
      </c>
      <c r="W629" s="10" t="n">
        <f aca="false">IF(AND(ISNUMBER($D629),ISNUMBER($E629)),IF($E629&gt;$D629,1,0),0)+IF(AND(ISNUMBER($D629),ISNUMBER($F629)),IF($D629&gt;$F629,1,0),0)+IF(AND(ISNUMBER($E629),ISNUMBER($F629)),IF($E629&gt;$F629,1,0),0)</f>
        <v>0</v>
      </c>
      <c r="X629" s="13" t="s">
        <v>76</v>
      </c>
    </row>
    <row r="630" customFormat="false" ht="15" hidden="false" customHeight="false" outlineLevel="0" collapsed="false">
      <c r="A630" s="10" t="s">
        <v>2899</v>
      </c>
      <c r="B630" s="10" t="s">
        <v>2900</v>
      </c>
      <c r="C630" s="11" t="s">
        <v>2901</v>
      </c>
      <c r="D630" s="12" t="n">
        <v>0.1141</v>
      </c>
      <c r="E630" s="12"/>
      <c r="F630" s="12"/>
      <c r="G630" s="10" t="s">
        <v>63</v>
      </c>
      <c r="H630" s="10" t="s">
        <v>64</v>
      </c>
      <c r="I630" s="11" t="s">
        <v>2850</v>
      </c>
      <c r="J630" s="10" t="s">
        <v>66</v>
      </c>
      <c r="K630" s="10" t="s">
        <v>67</v>
      </c>
      <c r="L630" s="10" t="s">
        <v>68</v>
      </c>
      <c r="M630" s="10" t="s">
        <v>69</v>
      </c>
      <c r="N630" s="10"/>
      <c r="O630" s="11" t="s">
        <v>2851</v>
      </c>
      <c r="P630" s="10" t="s">
        <v>71</v>
      </c>
      <c r="Q630" s="11" t="s">
        <v>72</v>
      </c>
      <c r="R630" s="11" t="s">
        <v>73</v>
      </c>
      <c r="S630" s="11" t="s">
        <v>74</v>
      </c>
      <c r="T630" s="11" t="s">
        <v>2902</v>
      </c>
      <c r="U630" s="10" t="n">
        <f aca="false">IF(AND($D630="",$E630="",$F630=""),1,0)</f>
        <v>0</v>
      </c>
      <c r="V630" s="10" t="n">
        <f aca="false">IF(OR($I630="",$I630="—"),1,0)</f>
        <v>0</v>
      </c>
      <c r="W630" s="10" t="n">
        <f aca="false">IF(AND(ISNUMBER($D630),ISNUMBER($E630)),IF($E630&gt;$D630,1,0),0)+IF(AND(ISNUMBER($D630),ISNUMBER($F630)),IF($D630&gt;$F630,1,0),0)+IF(AND(ISNUMBER($E630),ISNUMBER($F630)),IF($E630&gt;$F630,1,0),0)</f>
        <v>0</v>
      </c>
      <c r="X630" s="13" t="s">
        <v>76</v>
      </c>
    </row>
    <row r="631" customFormat="false" ht="15" hidden="false" customHeight="false" outlineLevel="0" collapsed="false">
      <c r="A631" s="10" t="s">
        <v>2903</v>
      </c>
      <c r="B631" s="10" t="s">
        <v>2904</v>
      </c>
      <c r="C631" s="11" t="s">
        <v>2901</v>
      </c>
      <c r="D631" s="12" t="n">
        <v>0.2518</v>
      </c>
      <c r="E631" s="12"/>
      <c r="F631" s="12"/>
      <c r="G631" s="10" t="s">
        <v>63</v>
      </c>
      <c r="H631" s="10" t="s">
        <v>79</v>
      </c>
      <c r="I631" s="11" t="s">
        <v>2850</v>
      </c>
      <c r="J631" s="10" t="s">
        <v>66</v>
      </c>
      <c r="K631" s="10" t="s">
        <v>67</v>
      </c>
      <c r="L631" s="10" t="s">
        <v>68</v>
      </c>
      <c r="M631" s="10" t="s">
        <v>69</v>
      </c>
      <c r="N631" s="10"/>
      <c r="O631" s="11" t="s">
        <v>2851</v>
      </c>
      <c r="P631" s="10" t="s">
        <v>71</v>
      </c>
      <c r="Q631" s="11" t="s">
        <v>72</v>
      </c>
      <c r="R631" s="11" t="s">
        <v>73</v>
      </c>
      <c r="S631" s="11" t="s">
        <v>74</v>
      </c>
      <c r="T631" s="11" t="s">
        <v>2905</v>
      </c>
      <c r="U631" s="10" t="n">
        <f aca="false">IF(AND($D631="",$E631="",$F631=""),1,0)</f>
        <v>0</v>
      </c>
      <c r="V631" s="10" t="n">
        <f aca="false">IF(OR($I631="",$I631="—"),1,0)</f>
        <v>0</v>
      </c>
      <c r="W631" s="10" t="n">
        <f aca="false">IF(AND(ISNUMBER($D631),ISNUMBER($E631)),IF($E631&gt;$D631,1,0),0)+IF(AND(ISNUMBER($D631),ISNUMBER($F631)),IF($D631&gt;$F631,1,0),0)+IF(AND(ISNUMBER($E631),ISNUMBER($F631)),IF($E631&gt;$F631,1,0),0)</f>
        <v>0</v>
      </c>
      <c r="X631" s="13" t="s">
        <v>76</v>
      </c>
    </row>
    <row r="632" customFormat="false" ht="15" hidden="false" customHeight="false" outlineLevel="0" collapsed="false">
      <c r="A632" s="10" t="s">
        <v>2906</v>
      </c>
      <c r="B632" s="10" t="s">
        <v>2907</v>
      </c>
      <c r="C632" s="11" t="s">
        <v>2901</v>
      </c>
      <c r="D632" s="12" t="n">
        <v>0.4504</v>
      </c>
      <c r="E632" s="12"/>
      <c r="F632" s="12"/>
      <c r="G632" s="10" t="s">
        <v>63</v>
      </c>
      <c r="H632" s="10" t="s">
        <v>83</v>
      </c>
      <c r="I632" s="11" t="s">
        <v>2850</v>
      </c>
      <c r="J632" s="10" t="s">
        <v>66</v>
      </c>
      <c r="K632" s="10" t="s">
        <v>67</v>
      </c>
      <c r="L632" s="10" t="s">
        <v>68</v>
      </c>
      <c r="M632" s="10" t="s">
        <v>69</v>
      </c>
      <c r="N632" s="10"/>
      <c r="O632" s="11" t="s">
        <v>2851</v>
      </c>
      <c r="P632" s="10" t="s">
        <v>71</v>
      </c>
      <c r="Q632" s="11" t="s">
        <v>72</v>
      </c>
      <c r="R632" s="11" t="s">
        <v>73</v>
      </c>
      <c r="S632" s="11" t="s">
        <v>74</v>
      </c>
      <c r="T632" s="11" t="s">
        <v>2908</v>
      </c>
      <c r="U632" s="10" t="n">
        <f aca="false">IF(AND($D632="",$E632="",$F632=""),1,0)</f>
        <v>0</v>
      </c>
      <c r="V632" s="10" t="n">
        <f aca="false">IF(OR($I632="",$I632="—"),1,0)</f>
        <v>0</v>
      </c>
      <c r="W632" s="10" t="n">
        <f aca="false">IF(AND(ISNUMBER($D632),ISNUMBER($E632)),IF($E632&gt;$D632,1,0),0)+IF(AND(ISNUMBER($D632),ISNUMBER($F632)),IF($D632&gt;$F632,1,0),0)+IF(AND(ISNUMBER($E632),ISNUMBER($F632)),IF($E632&gt;$F632,1,0),0)</f>
        <v>0</v>
      </c>
      <c r="X632" s="13" t="s">
        <v>76</v>
      </c>
    </row>
    <row r="633" customFormat="false" ht="15" hidden="false" customHeight="false" outlineLevel="0" collapsed="false">
      <c r="A633" s="10" t="s">
        <v>2909</v>
      </c>
      <c r="B633" s="10" t="s">
        <v>2910</v>
      </c>
      <c r="C633" s="11" t="s">
        <v>2901</v>
      </c>
      <c r="D633" s="12" t="n">
        <v>0.2467</v>
      </c>
      <c r="E633" s="12"/>
      <c r="F633" s="12"/>
      <c r="G633" s="10" t="s">
        <v>63</v>
      </c>
      <c r="H633" s="10" t="s">
        <v>87</v>
      </c>
      <c r="I633" s="11" t="s">
        <v>2850</v>
      </c>
      <c r="J633" s="10" t="s">
        <v>66</v>
      </c>
      <c r="K633" s="10" t="s">
        <v>67</v>
      </c>
      <c r="L633" s="10" t="s">
        <v>68</v>
      </c>
      <c r="M633" s="10" t="s">
        <v>69</v>
      </c>
      <c r="N633" s="10"/>
      <c r="O633" s="11" t="s">
        <v>2861</v>
      </c>
      <c r="P633" s="10" t="s">
        <v>71</v>
      </c>
      <c r="Q633" s="11" t="s">
        <v>72</v>
      </c>
      <c r="R633" s="11" t="s">
        <v>73</v>
      </c>
      <c r="S633" s="11" t="s">
        <v>74</v>
      </c>
      <c r="T633" s="11" t="s">
        <v>2911</v>
      </c>
      <c r="U633" s="10" t="n">
        <f aca="false">IF(AND($D633="",$E633="",$F633=""),1,0)</f>
        <v>0</v>
      </c>
      <c r="V633" s="10" t="n">
        <f aca="false">IF(OR($I633="",$I633="—"),1,0)</f>
        <v>0</v>
      </c>
      <c r="W633" s="10" t="n">
        <f aca="false">IF(AND(ISNUMBER($D633),ISNUMBER($E633)),IF($E633&gt;$D633,1,0),0)+IF(AND(ISNUMBER($D633),ISNUMBER($F633)),IF($D633&gt;$F633,1,0),0)+IF(AND(ISNUMBER($E633),ISNUMBER($F633)),IF($E633&gt;$F633,1,0),0)</f>
        <v>0</v>
      </c>
      <c r="X633" s="13" t="s">
        <v>76</v>
      </c>
    </row>
    <row r="634" customFormat="false" ht="15" hidden="false" customHeight="false" outlineLevel="0" collapsed="false">
      <c r="A634" s="10" t="s">
        <v>2912</v>
      </c>
      <c r="B634" s="10" t="s">
        <v>2913</v>
      </c>
      <c r="C634" s="11" t="s">
        <v>2901</v>
      </c>
      <c r="D634" s="12" t="n">
        <v>0.5221</v>
      </c>
      <c r="E634" s="12"/>
      <c r="F634" s="12"/>
      <c r="G634" s="10" t="s">
        <v>63</v>
      </c>
      <c r="H634" s="10" t="s">
        <v>92</v>
      </c>
      <c r="I634" s="11" t="s">
        <v>2850</v>
      </c>
      <c r="J634" s="10" t="s">
        <v>66</v>
      </c>
      <c r="K634" s="10" t="s">
        <v>67</v>
      </c>
      <c r="L634" s="10" t="s">
        <v>68</v>
      </c>
      <c r="M634" s="10" t="s">
        <v>69</v>
      </c>
      <c r="N634" s="10"/>
      <c r="O634" s="11" t="s">
        <v>2865</v>
      </c>
      <c r="P634" s="10" t="s">
        <v>71</v>
      </c>
      <c r="Q634" s="11" t="s">
        <v>72</v>
      </c>
      <c r="R634" s="11" t="s">
        <v>73</v>
      </c>
      <c r="S634" s="11" t="s">
        <v>74</v>
      </c>
      <c r="T634" s="11" t="s">
        <v>2914</v>
      </c>
      <c r="U634" s="10" t="n">
        <f aca="false">IF(AND($D634="",$E634="",$F634=""),1,0)</f>
        <v>0</v>
      </c>
      <c r="V634" s="10" t="n">
        <f aca="false">IF(OR($I634="",$I634="—"),1,0)</f>
        <v>0</v>
      </c>
      <c r="W634" s="10" t="n">
        <f aca="false">IF(AND(ISNUMBER($D634),ISNUMBER($E634)),IF($E634&gt;$D634,1,0),0)+IF(AND(ISNUMBER($D634),ISNUMBER($F634)),IF($D634&gt;$F634,1,0),0)+IF(AND(ISNUMBER($E634),ISNUMBER($F634)),IF($E634&gt;$F634,1,0),0)</f>
        <v>0</v>
      </c>
      <c r="X634" s="13" t="s">
        <v>76</v>
      </c>
    </row>
    <row r="635" customFormat="false" ht="15" hidden="false" customHeight="false" outlineLevel="0" collapsed="false">
      <c r="A635" s="10" t="s">
        <v>2915</v>
      </c>
      <c r="B635" s="10" t="s">
        <v>2916</v>
      </c>
      <c r="C635" s="11" t="s">
        <v>2917</v>
      </c>
      <c r="D635" s="12" t="n">
        <v>0.0166</v>
      </c>
      <c r="E635" s="12"/>
      <c r="F635" s="12"/>
      <c r="G635" s="10" t="s">
        <v>63</v>
      </c>
      <c r="H635" s="10" t="s">
        <v>64</v>
      </c>
      <c r="I635" s="11" t="s">
        <v>2850</v>
      </c>
      <c r="J635" s="10" t="s">
        <v>66</v>
      </c>
      <c r="K635" s="10" t="s">
        <v>67</v>
      </c>
      <c r="L635" s="10" t="s">
        <v>68</v>
      </c>
      <c r="M635" s="10" t="s">
        <v>69</v>
      </c>
      <c r="N635" s="10"/>
      <c r="O635" s="11" t="s">
        <v>2851</v>
      </c>
      <c r="P635" s="10" t="s">
        <v>71</v>
      </c>
      <c r="Q635" s="11" t="s">
        <v>72</v>
      </c>
      <c r="R635" s="11" t="s">
        <v>73</v>
      </c>
      <c r="S635" s="11" t="s">
        <v>74</v>
      </c>
      <c r="T635" s="11" t="s">
        <v>2918</v>
      </c>
      <c r="U635" s="10" t="n">
        <f aca="false">IF(AND($D635="",$E635="",$F635=""),1,0)</f>
        <v>0</v>
      </c>
      <c r="V635" s="10" t="n">
        <f aca="false">IF(OR($I635="",$I635="—"),1,0)</f>
        <v>0</v>
      </c>
      <c r="W635" s="10" t="n">
        <f aca="false">IF(AND(ISNUMBER($D635),ISNUMBER($E635)),IF($E635&gt;$D635,1,0),0)+IF(AND(ISNUMBER($D635),ISNUMBER($F635)),IF($D635&gt;$F635,1,0),0)+IF(AND(ISNUMBER($E635),ISNUMBER($F635)),IF($E635&gt;$F635,1,0),0)</f>
        <v>0</v>
      </c>
      <c r="X635" s="13" t="s">
        <v>76</v>
      </c>
    </row>
    <row r="636" customFormat="false" ht="15" hidden="false" customHeight="false" outlineLevel="0" collapsed="false">
      <c r="A636" s="10" t="s">
        <v>2919</v>
      </c>
      <c r="B636" s="10" t="s">
        <v>2920</v>
      </c>
      <c r="C636" s="11" t="s">
        <v>2917</v>
      </c>
      <c r="D636" s="12" t="n">
        <v>0.0545</v>
      </c>
      <c r="E636" s="12"/>
      <c r="F636" s="12"/>
      <c r="G636" s="10" t="s">
        <v>63</v>
      </c>
      <c r="H636" s="10" t="s">
        <v>79</v>
      </c>
      <c r="I636" s="11" t="s">
        <v>2850</v>
      </c>
      <c r="J636" s="10" t="s">
        <v>66</v>
      </c>
      <c r="K636" s="10" t="s">
        <v>67</v>
      </c>
      <c r="L636" s="10" t="s">
        <v>68</v>
      </c>
      <c r="M636" s="10" t="s">
        <v>69</v>
      </c>
      <c r="N636" s="10"/>
      <c r="O636" s="11" t="s">
        <v>2851</v>
      </c>
      <c r="P636" s="10" t="s">
        <v>71</v>
      </c>
      <c r="Q636" s="11" t="s">
        <v>72</v>
      </c>
      <c r="R636" s="11" t="s">
        <v>73</v>
      </c>
      <c r="S636" s="11" t="s">
        <v>74</v>
      </c>
      <c r="T636" s="11" t="s">
        <v>2921</v>
      </c>
      <c r="U636" s="10" t="n">
        <f aca="false">IF(AND($D636="",$E636="",$F636=""),1,0)</f>
        <v>0</v>
      </c>
      <c r="V636" s="10" t="n">
        <f aca="false">IF(OR($I636="",$I636="—"),1,0)</f>
        <v>0</v>
      </c>
      <c r="W636" s="10" t="n">
        <f aca="false">IF(AND(ISNUMBER($D636),ISNUMBER($E636)),IF($E636&gt;$D636,1,0),0)+IF(AND(ISNUMBER($D636),ISNUMBER($F636)),IF($D636&gt;$F636,1,0),0)+IF(AND(ISNUMBER($E636),ISNUMBER($F636)),IF($E636&gt;$F636,1,0),0)</f>
        <v>0</v>
      </c>
      <c r="X636" s="13" t="s">
        <v>76</v>
      </c>
    </row>
    <row r="637" customFormat="false" ht="15" hidden="false" customHeight="false" outlineLevel="0" collapsed="false">
      <c r="A637" s="10" t="s">
        <v>2922</v>
      </c>
      <c r="B637" s="10" t="s">
        <v>2923</v>
      </c>
      <c r="C637" s="11" t="s">
        <v>2917</v>
      </c>
      <c r="D637" s="12" t="n">
        <v>0.1434</v>
      </c>
      <c r="E637" s="12"/>
      <c r="F637" s="12"/>
      <c r="G637" s="10" t="s">
        <v>63</v>
      </c>
      <c r="H637" s="10" t="s">
        <v>83</v>
      </c>
      <c r="I637" s="11" t="s">
        <v>2850</v>
      </c>
      <c r="J637" s="10" t="s">
        <v>66</v>
      </c>
      <c r="K637" s="10" t="s">
        <v>67</v>
      </c>
      <c r="L637" s="10" t="s">
        <v>68</v>
      </c>
      <c r="M637" s="10" t="s">
        <v>69</v>
      </c>
      <c r="N637" s="10"/>
      <c r="O637" s="11" t="s">
        <v>2851</v>
      </c>
      <c r="P637" s="10" t="s">
        <v>71</v>
      </c>
      <c r="Q637" s="11" t="s">
        <v>72</v>
      </c>
      <c r="R637" s="11" t="s">
        <v>73</v>
      </c>
      <c r="S637" s="11" t="s">
        <v>74</v>
      </c>
      <c r="T637" s="11" t="s">
        <v>2924</v>
      </c>
      <c r="U637" s="10" t="n">
        <f aca="false">IF(AND($D637="",$E637="",$F637=""),1,0)</f>
        <v>0</v>
      </c>
      <c r="V637" s="10" t="n">
        <f aca="false">IF(OR($I637="",$I637="—"),1,0)</f>
        <v>0</v>
      </c>
      <c r="W637" s="10" t="n">
        <f aca="false">IF(AND(ISNUMBER($D637),ISNUMBER($E637)),IF($E637&gt;$D637,1,0),0)+IF(AND(ISNUMBER($D637),ISNUMBER($F637)),IF($D637&gt;$F637,1,0),0)+IF(AND(ISNUMBER($E637),ISNUMBER($F637)),IF($E637&gt;$F637,1,0),0)</f>
        <v>0</v>
      </c>
      <c r="X637" s="13" t="s">
        <v>76</v>
      </c>
    </row>
    <row r="638" customFormat="false" ht="15" hidden="false" customHeight="false" outlineLevel="0" collapsed="false">
      <c r="A638" s="10" t="s">
        <v>2925</v>
      </c>
      <c r="B638" s="10" t="s">
        <v>2926</v>
      </c>
      <c r="C638" s="11" t="s">
        <v>2917</v>
      </c>
      <c r="D638" s="12" t="n">
        <v>0.0481</v>
      </c>
      <c r="E638" s="12"/>
      <c r="F638" s="12"/>
      <c r="G638" s="10" t="s">
        <v>63</v>
      </c>
      <c r="H638" s="10" t="s">
        <v>87</v>
      </c>
      <c r="I638" s="11" t="s">
        <v>2850</v>
      </c>
      <c r="J638" s="10" t="s">
        <v>66</v>
      </c>
      <c r="K638" s="10" t="s">
        <v>67</v>
      </c>
      <c r="L638" s="10" t="s">
        <v>68</v>
      </c>
      <c r="M638" s="10" t="s">
        <v>69</v>
      </c>
      <c r="N638" s="10"/>
      <c r="O638" s="11" t="s">
        <v>2861</v>
      </c>
      <c r="P638" s="10" t="s">
        <v>71</v>
      </c>
      <c r="Q638" s="11" t="s">
        <v>72</v>
      </c>
      <c r="R638" s="11" t="s">
        <v>73</v>
      </c>
      <c r="S638" s="11" t="s">
        <v>74</v>
      </c>
      <c r="T638" s="11" t="s">
        <v>2927</v>
      </c>
      <c r="U638" s="10" t="n">
        <f aca="false">IF(AND($D638="",$E638="",$F638=""),1,0)</f>
        <v>0</v>
      </c>
      <c r="V638" s="10" t="n">
        <f aca="false">IF(OR($I638="",$I638="—"),1,0)</f>
        <v>0</v>
      </c>
      <c r="W638" s="10" t="n">
        <f aca="false">IF(AND(ISNUMBER($D638),ISNUMBER($E638)),IF($E638&gt;$D638,1,0),0)+IF(AND(ISNUMBER($D638),ISNUMBER($F638)),IF($D638&gt;$F638,1,0),0)+IF(AND(ISNUMBER($E638),ISNUMBER($F638)),IF($E638&gt;$F638,1,0),0)</f>
        <v>0</v>
      </c>
      <c r="X638" s="13" t="s">
        <v>76</v>
      </c>
    </row>
    <row r="639" customFormat="false" ht="15" hidden="false" customHeight="false" outlineLevel="0" collapsed="false">
      <c r="A639" s="10" t="s">
        <v>2928</v>
      </c>
      <c r="B639" s="10" t="s">
        <v>2929</v>
      </c>
      <c r="C639" s="11" t="s">
        <v>2917</v>
      </c>
      <c r="D639" s="12" t="n">
        <v>0.078</v>
      </c>
      <c r="E639" s="12"/>
      <c r="F639" s="12"/>
      <c r="G639" s="10" t="s">
        <v>63</v>
      </c>
      <c r="H639" s="10" t="s">
        <v>92</v>
      </c>
      <c r="I639" s="11" t="s">
        <v>2850</v>
      </c>
      <c r="J639" s="10" t="s">
        <v>66</v>
      </c>
      <c r="K639" s="10" t="s">
        <v>67</v>
      </c>
      <c r="L639" s="10" t="s">
        <v>68</v>
      </c>
      <c r="M639" s="10" t="s">
        <v>69</v>
      </c>
      <c r="N639" s="10"/>
      <c r="O639" s="11" t="s">
        <v>2865</v>
      </c>
      <c r="P639" s="10" t="s">
        <v>71</v>
      </c>
      <c r="Q639" s="11" t="s">
        <v>72</v>
      </c>
      <c r="R639" s="11" t="s">
        <v>73</v>
      </c>
      <c r="S639" s="11" t="s">
        <v>74</v>
      </c>
      <c r="T639" s="11" t="s">
        <v>2930</v>
      </c>
      <c r="U639" s="10" t="n">
        <f aca="false">IF(AND($D639="",$E639="",$F639=""),1,0)</f>
        <v>0</v>
      </c>
      <c r="V639" s="10" t="n">
        <f aca="false">IF(OR($I639="",$I639="—"),1,0)</f>
        <v>0</v>
      </c>
      <c r="W639" s="10" t="n">
        <f aca="false">IF(AND(ISNUMBER($D639),ISNUMBER($E639)),IF($E639&gt;$D639,1,0),0)+IF(AND(ISNUMBER($D639),ISNUMBER($F639)),IF($D639&gt;$F639,1,0),0)+IF(AND(ISNUMBER($E639),ISNUMBER($F639)),IF($E639&gt;$F639,1,0),0)</f>
        <v>0</v>
      </c>
      <c r="X639" s="13" t="s">
        <v>76</v>
      </c>
    </row>
    <row r="640" customFormat="false" ht="15" hidden="false" customHeight="false" outlineLevel="0" collapsed="false">
      <c r="A640" s="10" t="s">
        <v>2931</v>
      </c>
      <c r="B640" s="10" t="s">
        <v>2932</v>
      </c>
      <c r="C640" s="11" t="s">
        <v>916</v>
      </c>
      <c r="D640" s="12" t="n">
        <v>17.3</v>
      </c>
      <c r="E640" s="12"/>
      <c r="F640" s="12"/>
      <c r="G640" s="10" t="s">
        <v>401</v>
      </c>
      <c r="H640" s="10" t="s">
        <v>64</v>
      </c>
      <c r="I640" s="11" t="s">
        <v>2850</v>
      </c>
      <c r="J640" s="10" t="s">
        <v>66</v>
      </c>
      <c r="K640" s="10" t="s">
        <v>67</v>
      </c>
      <c r="L640" s="10" t="s">
        <v>68</v>
      </c>
      <c r="M640" s="10" t="s">
        <v>69</v>
      </c>
      <c r="N640" s="10"/>
      <c r="O640" s="11" t="s">
        <v>2851</v>
      </c>
      <c r="P640" s="10" t="s">
        <v>71</v>
      </c>
      <c r="Q640" s="11" t="s">
        <v>72</v>
      </c>
      <c r="R640" s="11" t="s">
        <v>73</v>
      </c>
      <c r="S640" s="11" t="s">
        <v>74</v>
      </c>
      <c r="T640" s="11" t="s">
        <v>2933</v>
      </c>
      <c r="U640" s="10" t="n">
        <f aca="false">IF(AND($D640="",$E640="",$F640=""),1,0)</f>
        <v>0</v>
      </c>
      <c r="V640" s="10" t="n">
        <f aca="false">IF(OR($I640="",$I640="—"),1,0)</f>
        <v>0</v>
      </c>
      <c r="W640" s="10" t="n">
        <f aca="false">IF(AND(ISNUMBER($D640),ISNUMBER($E640)),IF($E640&gt;$D640,1,0),0)+IF(AND(ISNUMBER($D640),ISNUMBER($F640)),IF($D640&gt;$F640,1,0),0)+IF(AND(ISNUMBER($E640),ISNUMBER($F640)),IF($E640&gt;$F640,1,0),0)</f>
        <v>0</v>
      </c>
      <c r="X640" s="13" t="s">
        <v>76</v>
      </c>
    </row>
    <row r="641" customFormat="false" ht="15" hidden="false" customHeight="false" outlineLevel="0" collapsed="false">
      <c r="A641" s="10" t="s">
        <v>2934</v>
      </c>
      <c r="B641" s="10" t="s">
        <v>2935</v>
      </c>
      <c r="C641" s="11" t="s">
        <v>916</v>
      </c>
      <c r="D641" s="12" t="n">
        <v>58.9</v>
      </c>
      <c r="E641" s="12"/>
      <c r="F641" s="12"/>
      <c r="G641" s="10" t="s">
        <v>401</v>
      </c>
      <c r="H641" s="10" t="s">
        <v>79</v>
      </c>
      <c r="I641" s="11" t="s">
        <v>2850</v>
      </c>
      <c r="J641" s="10" t="s">
        <v>66</v>
      </c>
      <c r="K641" s="10" t="s">
        <v>67</v>
      </c>
      <c r="L641" s="10" t="s">
        <v>68</v>
      </c>
      <c r="M641" s="10" t="s">
        <v>69</v>
      </c>
      <c r="N641" s="10"/>
      <c r="O641" s="11" t="s">
        <v>2851</v>
      </c>
      <c r="P641" s="10" t="s">
        <v>71</v>
      </c>
      <c r="Q641" s="11" t="s">
        <v>72</v>
      </c>
      <c r="R641" s="11" t="s">
        <v>73</v>
      </c>
      <c r="S641" s="11" t="s">
        <v>74</v>
      </c>
      <c r="T641" s="11" t="s">
        <v>2933</v>
      </c>
      <c r="U641" s="10" t="n">
        <f aca="false">IF(AND($D641="",$E641="",$F641=""),1,0)</f>
        <v>0</v>
      </c>
      <c r="V641" s="10" t="n">
        <f aca="false">IF(OR($I641="",$I641="—"),1,0)</f>
        <v>0</v>
      </c>
      <c r="W641" s="10" t="n">
        <f aca="false">IF(AND(ISNUMBER($D641),ISNUMBER($E641)),IF($E641&gt;$D641,1,0),0)+IF(AND(ISNUMBER($D641),ISNUMBER($F641)),IF($D641&gt;$F641,1,0),0)+IF(AND(ISNUMBER($E641),ISNUMBER($F641)),IF($E641&gt;$F641,1,0),0)</f>
        <v>0</v>
      </c>
      <c r="X641" s="13" t="s">
        <v>76</v>
      </c>
    </row>
    <row r="642" customFormat="false" ht="15" hidden="false" customHeight="false" outlineLevel="0" collapsed="false">
      <c r="A642" s="10" t="s">
        <v>2936</v>
      </c>
      <c r="B642" s="10" t="s">
        <v>2937</v>
      </c>
      <c r="C642" s="11" t="s">
        <v>916</v>
      </c>
      <c r="D642" s="12" t="n">
        <v>70.7</v>
      </c>
      <c r="E642" s="12"/>
      <c r="F642" s="12"/>
      <c r="G642" s="10" t="s">
        <v>401</v>
      </c>
      <c r="H642" s="10" t="s">
        <v>83</v>
      </c>
      <c r="I642" s="11" t="s">
        <v>2850</v>
      </c>
      <c r="J642" s="10" t="s">
        <v>66</v>
      </c>
      <c r="K642" s="10" t="s">
        <v>67</v>
      </c>
      <c r="L642" s="10" t="s">
        <v>68</v>
      </c>
      <c r="M642" s="10" t="s">
        <v>69</v>
      </c>
      <c r="N642" s="10"/>
      <c r="O642" s="11" t="s">
        <v>2851</v>
      </c>
      <c r="P642" s="10" t="s">
        <v>71</v>
      </c>
      <c r="Q642" s="11" t="s">
        <v>72</v>
      </c>
      <c r="R642" s="11" t="s">
        <v>73</v>
      </c>
      <c r="S642" s="11" t="s">
        <v>74</v>
      </c>
      <c r="T642" s="11" t="s">
        <v>2933</v>
      </c>
      <c r="U642" s="10" t="n">
        <f aca="false">IF(AND($D642="",$E642="",$F642=""),1,0)</f>
        <v>0</v>
      </c>
      <c r="V642" s="10" t="n">
        <f aca="false">IF(OR($I642="",$I642="—"),1,0)</f>
        <v>0</v>
      </c>
      <c r="W642" s="10" t="n">
        <f aca="false">IF(AND(ISNUMBER($D642),ISNUMBER($E642)),IF($E642&gt;$D642,1,0),0)+IF(AND(ISNUMBER($D642),ISNUMBER($F642)),IF($D642&gt;$F642,1,0),0)+IF(AND(ISNUMBER($E642),ISNUMBER($F642)),IF($E642&gt;$F642,1,0),0)</f>
        <v>0</v>
      </c>
      <c r="X642" s="13" t="s">
        <v>76</v>
      </c>
    </row>
    <row r="643" customFormat="false" ht="15" hidden="false" customHeight="false" outlineLevel="0" collapsed="false">
      <c r="A643" s="10" t="s">
        <v>2938</v>
      </c>
      <c r="B643" s="10" t="s">
        <v>2939</v>
      </c>
      <c r="C643" s="11" t="s">
        <v>916</v>
      </c>
      <c r="D643" s="12" t="n">
        <v>70.2</v>
      </c>
      <c r="E643" s="12"/>
      <c r="F643" s="12"/>
      <c r="G643" s="10" t="s">
        <v>401</v>
      </c>
      <c r="H643" s="10" t="s">
        <v>87</v>
      </c>
      <c r="I643" s="11" t="s">
        <v>2850</v>
      </c>
      <c r="J643" s="10" t="s">
        <v>66</v>
      </c>
      <c r="K643" s="10" t="s">
        <v>67</v>
      </c>
      <c r="L643" s="10" t="s">
        <v>68</v>
      </c>
      <c r="M643" s="10" t="s">
        <v>69</v>
      </c>
      <c r="N643" s="10"/>
      <c r="O643" s="11" t="s">
        <v>2861</v>
      </c>
      <c r="P643" s="10" t="s">
        <v>71</v>
      </c>
      <c r="Q643" s="11" t="s">
        <v>72</v>
      </c>
      <c r="R643" s="11" t="s">
        <v>73</v>
      </c>
      <c r="S643" s="11" t="s">
        <v>74</v>
      </c>
      <c r="T643" s="11" t="s">
        <v>2933</v>
      </c>
      <c r="U643" s="10" t="n">
        <f aca="false">IF(AND($D643="",$E643="",$F643=""),1,0)</f>
        <v>0</v>
      </c>
      <c r="V643" s="10" t="n">
        <f aca="false">IF(OR($I643="",$I643="—"),1,0)</f>
        <v>0</v>
      </c>
      <c r="W643" s="10" t="n">
        <f aca="false">IF(AND(ISNUMBER($D643),ISNUMBER($E643)),IF($E643&gt;$D643,1,0),0)+IF(AND(ISNUMBER($D643),ISNUMBER($F643)),IF($D643&gt;$F643,1,0),0)+IF(AND(ISNUMBER($E643),ISNUMBER($F643)),IF($E643&gt;$F643,1,0),0)</f>
        <v>0</v>
      </c>
      <c r="X643" s="13" t="s">
        <v>76</v>
      </c>
    </row>
    <row r="644" customFormat="false" ht="15" hidden="false" customHeight="false" outlineLevel="0" collapsed="false">
      <c r="A644" s="10" t="s">
        <v>2940</v>
      </c>
      <c r="B644" s="10" t="s">
        <v>2941</v>
      </c>
      <c r="C644" s="11" t="s">
        <v>916</v>
      </c>
      <c r="D644" s="12" t="n">
        <v>71.8</v>
      </c>
      <c r="E644" s="12"/>
      <c r="F644" s="12"/>
      <c r="G644" s="10" t="s">
        <v>401</v>
      </c>
      <c r="H644" s="10" t="s">
        <v>92</v>
      </c>
      <c r="I644" s="11" t="s">
        <v>2850</v>
      </c>
      <c r="J644" s="10" t="s">
        <v>66</v>
      </c>
      <c r="K644" s="10" t="s">
        <v>67</v>
      </c>
      <c r="L644" s="10" t="s">
        <v>68</v>
      </c>
      <c r="M644" s="10" t="s">
        <v>69</v>
      </c>
      <c r="N644" s="10"/>
      <c r="O644" s="11" t="s">
        <v>2865</v>
      </c>
      <c r="P644" s="10" t="s">
        <v>71</v>
      </c>
      <c r="Q644" s="11" t="s">
        <v>72</v>
      </c>
      <c r="R644" s="11" t="s">
        <v>73</v>
      </c>
      <c r="S644" s="11" t="s">
        <v>74</v>
      </c>
      <c r="T644" s="11" t="s">
        <v>2933</v>
      </c>
      <c r="U644" s="10" t="n">
        <f aca="false">IF(AND($D644="",$E644="",$F644=""),1,0)</f>
        <v>0</v>
      </c>
      <c r="V644" s="10" t="n">
        <f aca="false">IF(OR($I644="",$I644="—"),1,0)</f>
        <v>0</v>
      </c>
      <c r="W644" s="10" t="n">
        <f aca="false">IF(AND(ISNUMBER($D644),ISNUMBER($E644)),IF($E644&gt;$D644,1,0),0)+IF(AND(ISNUMBER($D644),ISNUMBER($F644)),IF($D644&gt;$F644,1,0),0)+IF(AND(ISNUMBER($E644),ISNUMBER($F644)),IF($E644&gt;$F644,1,0),0)</f>
        <v>0</v>
      </c>
      <c r="X644" s="13" t="s">
        <v>76</v>
      </c>
    </row>
    <row r="645" customFormat="false" ht="15" hidden="false" customHeight="false" outlineLevel="0" collapsed="false">
      <c r="A645" s="10" t="s">
        <v>2942</v>
      </c>
      <c r="B645" s="10" t="s">
        <v>2943</v>
      </c>
      <c r="C645" s="11" t="s">
        <v>931</v>
      </c>
      <c r="D645" s="12" t="n">
        <v>49.8</v>
      </c>
      <c r="E645" s="12"/>
      <c r="F645" s="12"/>
      <c r="G645" s="10" t="s">
        <v>401</v>
      </c>
      <c r="H645" s="10" t="s">
        <v>64</v>
      </c>
      <c r="I645" s="11" t="s">
        <v>2850</v>
      </c>
      <c r="J645" s="10" t="s">
        <v>66</v>
      </c>
      <c r="K645" s="10" t="s">
        <v>67</v>
      </c>
      <c r="L645" s="10" t="s">
        <v>68</v>
      </c>
      <c r="M645" s="10" t="s">
        <v>69</v>
      </c>
      <c r="N645" s="10"/>
      <c r="O645" s="11" t="s">
        <v>2851</v>
      </c>
      <c r="P645" s="10" t="s">
        <v>71</v>
      </c>
      <c r="Q645" s="11" t="s">
        <v>72</v>
      </c>
      <c r="R645" s="11" t="s">
        <v>73</v>
      </c>
      <c r="S645" s="11" t="s">
        <v>74</v>
      </c>
      <c r="T645" s="11" t="s">
        <v>2944</v>
      </c>
      <c r="U645" s="10" t="n">
        <f aca="false">IF(AND($D645="",$E645="",$F645=""),1,0)</f>
        <v>0</v>
      </c>
      <c r="V645" s="10" t="n">
        <f aca="false">IF(OR($I645="",$I645="—"),1,0)</f>
        <v>0</v>
      </c>
      <c r="W645" s="10" t="n">
        <f aca="false">IF(AND(ISNUMBER($D645),ISNUMBER($E645)),IF($E645&gt;$D645,1,0),0)+IF(AND(ISNUMBER($D645),ISNUMBER($F645)),IF($D645&gt;$F645,1,0),0)+IF(AND(ISNUMBER($E645),ISNUMBER($F645)),IF($E645&gt;$F645,1,0),0)</f>
        <v>0</v>
      </c>
      <c r="X645" s="13" t="s">
        <v>76</v>
      </c>
    </row>
    <row r="646" customFormat="false" ht="15" hidden="false" customHeight="false" outlineLevel="0" collapsed="false">
      <c r="A646" s="10" t="s">
        <v>2945</v>
      </c>
      <c r="B646" s="10" t="s">
        <v>2946</v>
      </c>
      <c r="C646" s="11" t="s">
        <v>931</v>
      </c>
      <c r="D646" s="12" t="n">
        <v>26</v>
      </c>
      <c r="E646" s="12"/>
      <c r="F646" s="12"/>
      <c r="G646" s="10" t="s">
        <v>401</v>
      </c>
      <c r="H646" s="10" t="s">
        <v>79</v>
      </c>
      <c r="I646" s="11" t="s">
        <v>2850</v>
      </c>
      <c r="J646" s="10" t="s">
        <v>66</v>
      </c>
      <c r="K646" s="10" t="s">
        <v>67</v>
      </c>
      <c r="L646" s="10" t="s">
        <v>68</v>
      </c>
      <c r="M646" s="10" t="s">
        <v>69</v>
      </c>
      <c r="N646" s="10"/>
      <c r="O646" s="11" t="s">
        <v>2851</v>
      </c>
      <c r="P646" s="10" t="s">
        <v>71</v>
      </c>
      <c r="Q646" s="11" t="s">
        <v>72</v>
      </c>
      <c r="R646" s="11" t="s">
        <v>73</v>
      </c>
      <c r="S646" s="11" t="s">
        <v>74</v>
      </c>
      <c r="T646" s="11" t="s">
        <v>2944</v>
      </c>
      <c r="U646" s="10" t="n">
        <f aca="false">IF(AND($D646="",$E646="",$F646=""),1,0)</f>
        <v>0</v>
      </c>
      <c r="V646" s="10" t="n">
        <f aca="false">IF(OR($I646="",$I646="—"),1,0)</f>
        <v>0</v>
      </c>
      <c r="W646" s="10" t="n">
        <f aca="false">IF(AND(ISNUMBER($D646),ISNUMBER($E646)),IF($E646&gt;$D646,1,0),0)+IF(AND(ISNUMBER($D646),ISNUMBER($F646)),IF($D646&gt;$F646,1,0),0)+IF(AND(ISNUMBER($E646),ISNUMBER($F646)),IF($E646&gt;$F646,1,0),0)</f>
        <v>0</v>
      </c>
      <c r="X646" s="13" t="s">
        <v>76</v>
      </c>
    </row>
    <row r="647" customFormat="false" ht="15" hidden="false" customHeight="false" outlineLevel="0" collapsed="false">
      <c r="A647" s="10" t="s">
        <v>2947</v>
      </c>
      <c r="B647" s="10" t="s">
        <v>2948</v>
      </c>
      <c r="C647" s="11" t="s">
        <v>931</v>
      </c>
      <c r="D647" s="12" t="n">
        <v>14.8</v>
      </c>
      <c r="E647" s="12"/>
      <c r="F647" s="12"/>
      <c r="G647" s="10" t="s">
        <v>401</v>
      </c>
      <c r="H647" s="10" t="s">
        <v>83</v>
      </c>
      <c r="I647" s="11" t="s">
        <v>2850</v>
      </c>
      <c r="J647" s="10" t="s">
        <v>66</v>
      </c>
      <c r="K647" s="10" t="s">
        <v>67</v>
      </c>
      <c r="L647" s="10" t="s">
        <v>68</v>
      </c>
      <c r="M647" s="10" t="s">
        <v>69</v>
      </c>
      <c r="N647" s="10"/>
      <c r="O647" s="11" t="s">
        <v>2851</v>
      </c>
      <c r="P647" s="10" t="s">
        <v>71</v>
      </c>
      <c r="Q647" s="11" t="s">
        <v>72</v>
      </c>
      <c r="R647" s="11" t="s">
        <v>73</v>
      </c>
      <c r="S647" s="11" t="s">
        <v>74</v>
      </c>
      <c r="T647" s="11" t="s">
        <v>2949</v>
      </c>
      <c r="U647" s="10" t="n">
        <f aca="false">IF(AND($D647="",$E647="",$F647=""),1,0)</f>
        <v>0</v>
      </c>
      <c r="V647" s="10" t="n">
        <f aca="false">IF(OR($I647="",$I647="—"),1,0)</f>
        <v>0</v>
      </c>
      <c r="W647" s="10" t="n">
        <f aca="false">IF(AND(ISNUMBER($D647),ISNUMBER($E647)),IF($E647&gt;$D647,1,0),0)+IF(AND(ISNUMBER($D647),ISNUMBER($F647)),IF($D647&gt;$F647,1,0),0)+IF(AND(ISNUMBER($E647),ISNUMBER($F647)),IF($E647&gt;$F647,1,0),0)</f>
        <v>0</v>
      </c>
      <c r="X647" s="13" t="s">
        <v>76</v>
      </c>
    </row>
    <row r="648" customFormat="false" ht="15" hidden="false" customHeight="false" outlineLevel="0" collapsed="false">
      <c r="A648" s="10" t="s">
        <v>2950</v>
      </c>
      <c r="B648" s="10" t="s">
        <v>2951</v>
      </c>
      <c r="C648" s="11" t="s">
        <v>931</v>
      </c>
      <c r="D648" s="12" t="n">
        <v>12.6</v>
      </c>
      <c r="E648" s="12"/>
      <c r="F648" s="12"/>
      <c r="G648" s="10" t="s">
        <v>401</v>
      </c>
      <c r="H648" s="10" t="s">
        <v>87</v>
      </c>
      <c r="I648" s="11" t="s">
        <v>2850</v>
      </c>
      <c r="J648" s="10" t="s">
        <v>66</v>
      </c>
      <c r="K648" s="10" t="s">
        <v>67</v>
      </c>
      <c r="L648" s="10" t="s">
        <v>68</v>
      </c>
      <c r="M648" s="10" t="s">
        <v>69</v>
      </c>
      <c r="N648" s="10"/>
      <c r="O648" s="11" t="s">
        <v>2861</v>
      </c>
      <c r="P648" s="10" t="s">
        <v>71</v>
      </c>
      <c r="Q648" s="11" t="s">
        <v>72</v>
      </c>
      <c r="R648" s="11" t="s">
        <v>73</v>
      </c>
      <c r="S648" s="11" t="s">
        <v>74</v>
      </c>
      <c r="T648" s="11" t="s">
        <v>2944</v>
      </c>
      <c r="U648" s="10" t="n">
        <f aca="false">IF(AND($D648="",$E648="",$F648=""),1,0)</f>
        <v>0</v>
      </c>
      <c r="V648" s="10" t="n">
        <f aca="false">IF(OR($I648="",$I648="—"),1,0)</f>
        <v>0</v>
      </c>
      <c r="W648" s="10" t="n">
        <f aca="false">IF(AND(ISNUMBER($D648),ISNUMBER($E648)),IF($E648&gt;$D648,1,0),0)+IF(AND(ISNUMBER($D648),ISNUMBER($F648)),IF($D648&gt;$F648,1,0),0)+IF(AND(ISNUMBER($E648),ISNUMBER($F648)),IF($E648&gt;$F648,1,0),0)</f>
        <v>0</v>
      </c>
      <c r="X648" s="13" t="s">
        <v>76</v>
      </c>
    </row>
    <row r="649" customFormat="false" ht="15" hidden="false" customHeight="false" outlineLevel="0" collapsed="false">
      <c r="A649" s="10" t="s">
        <v>2952</v>
      </c>
      <c r="B649" s="10" t="s">
        <v>2953</v>
      </c>
      <c r="C649" s="11" t="s">
        <v>931</v>
      </c>
      <c r="D649" s="12" t="n">
        <v>16.7</v>
      </c>
      <c r="E649" s="12"/>
      <c r="F649" s="12"/>
      <c r="G649" s="10" t="s">
        <v>401</v>
      </c>
      <c r="H649" s="10" t="s">
        <v>92</v>
      </c>
      <c r="I649" s="11" t="s">
        <v>2850</v>
      </c>
      <c r="J649" s="10" t="s">
        <v>66</v>
      </c>
      <c r="K649" s="10" t="s">
        <v>67</v>
      </c>
      <c r="L649" s="10" t="s">
        <v>68</v>
      </c>
      <c r="M649" s="10" t="s">
        <v>69</v>
      </c>
      <c r="N649" s="10"/>
      <c r="O649" s="11" t="s">
        <v>2865</v>
      </c>
      <c r="P649" s="10" t="s">
        <v>71</v>
      </c>
      <c r="Q649" s="11" t="s">
        <v>72</v>
      </c>
      <c r="R649" s="11" t="s">
        <v>73</v>
      </c>
      <c r="S649" s="11" t="s">
        <v>74</v>
      </c>
      <c r="T649" s="11" t="s">
        <v>2944</v>
      </c>
      <c r="U649" s="10" t="n">
        <f aca="false">IF(AND($D649="",$E649="",$F649=""),1,0)</f>
        <v>0</v>
      </c>
      <c r="V649" s="10" t="n">
        <f aca="false">IF(OR($I649="",$I649="—"),1,0)</f>
        <v>0</v>
      </c>
      <c r="W649" s="10" t="n">
        <f aca="false">IF(AND(ISNUMBER($D649),ISNUMBER($E649)),IF($E649&gt;$D649,1,0),0)+IF(AND(ISNUMBER($D649),ISNUMBER($F649)),IF($D649&gt;$F649,1,0),0)+IF(AND(ISNUMBER($E649),ISNUMBER($F649)),IF($E649&gt;$F649,1,0),0)</f>
        <v>0</v>
      </c>
      <c r="X649" s="13" t="s">
        <v>76</v>
      </c>
    </row>
    <row r="650" customFormat="false" ht="15" hidden="false" customHeight="false" outlineLevel="0" collapsed="false">
      <c r="A650" s="10" t="s">
        <v>2954</v>
      </c>
      <c r="B650" s="10" t="s">
        <v>2955</v>
      </c>
      <c r="C650" s="11" t="s">
        <v>2956</v>
      </c>
      <c r="D650" s="12"/>
      <c r="E650" s="12"/>
      <c r="F650" s="12"/>
      <c r="G650" s="11" t="s">
        <v>2957</v>
      </c>
      <c r="H650" s="10" t="s">
        <v>2958</v>
      </c>
      <c r="I650" s="11" t="s">
        <v>2959</v>
      </c>
      <c r="J650" s="10" t="s">
        <v>66</v>
      </c>
      <c r="K650" s="10" t="s">
        <v>67</v>
      </c>
      <c r="L650" s="10" t="s">
        <v>68</v>
      </c>
      <c r="M650" s="10" t="s">
        <v>69</v>
      </c>
      <c r="N650" s="10"/>
      <c r="O650" s="11" t="s">
        <v>2960</v>
      </c>
      <c r="P650" s="10" t="s">
        <v>71</v>
      </c>
      <c r="Q650" s="11" t="s">
        <v>72</v>
      </c>
      <c r="R650" s="11" t="s">
        <v>73</v>
      </c>
      <c r="S650" s="11" t="s">
        <v>74</v>
      </c>
      <c r="T650" s="11" t="s">
        <v>2961</v>
      </c>
      <c r="U650" s="10" t="n">
        <f aca="false">IF(AND($D650="",$E650="",$F650=""),1,0)</f>
        <v>1</v>
      </c>
      <c r="V650" s="10" t="n">
        <f aca="false">IF(OR($I650="",$I650="—"),1,0)</f>
        <v>0</v>
      </c>
      <c r="W650" s="10" t="n">
        <f aca="false">IF(AND(ISNUMBER($D650),ISNUMBER($E650)),IF($E650&gt;$D650,1,0),0)+IF(AND(ISNUMBER($D650),ISNUMBER($F650)),IF($D650&gt;$F650,1,0),0)+IF(AND(ISNUMBER($E650),ISNUMBER($F650)),IF($E650&gt;$F650,1,0),0)</f>
        <v>0</v>
      </c>
      <c r="X650" s="13" t="s">
        <v>76</v>
      </c>
    </row>
    <row r="651" customFormat="false" ht="15" hidden="false" customHeight="false" outlineLevel="0" collapsed="false">
      <c r="A651" s="10" t="s">
        <v>2962</v>
      </c>
      <c r="B651" s="10" t="s">
        <v>2963</v>
      </c>
      <c r="C651" s="11" t="s">
        <v>2964</v>
      </c>
      <c r="D651" s="12"/>
      <c r="E651" s="12"/>
      <c r="F651" s="12"/>
      <c r="G651" s="11" t="s">
        <v>2957</v>
      </c>
      <c r="H651" s="10" t="s">
        <v>2965</v>
      </c>
      <c r="I651" s="11" t="s">
        <v>2966</v>
      </c>
      <c r="J651" s="10" t="s">
        <v>66</v>
      </c>
      <c r="K651" s="10" t="s">
        <v>67</v>
      </c>
      <c r="L651" s="10" t="s">
        <v>68</v>
      </c>
      <c r="M651" s="10" t="s">
        <v>69</v>
      </c>
      <c r="N651" s="10"/>
      <c r="O651" s="11" t="s">
        <v>2960</v>
      </c>
      <c r="P651" s="10" t="s">
        <v>71</v>
      </c>
      <c r="Q651" s="11" t="s">
        <v>72</v>
      </c>
      <c r="R651" s="11" t="s">
        <v>73</v>
      </c>
      <c r="S651" s="11" t="s">
        <v>74</v>
      </c>
      <c r="T651" s="11" t="s">
        <v>2967</v>
      </c>
      <c r="U651" s="10" t="n">
        <f aca="false">IF(AND($D651="",$E651="",$F651=""),1,0)</f>
        <v>1</v>
      </c>
      <c r="V651" s="10" t="n">
        <f aca="false">IF(OR($I651="",$I651="—"),1,0)</f>
        <v>0</v>
      </c>
      <c r="W651" s="10" t="n">
        <f aca="false">IF(AND(ISNUMBER($D651),ISNUMBER($E651)),IF($E651&gt;$D651,1,0),0)+IF(AND(ISNUMBER($D651),ISNUMBER($F651)),IF($D651&gt;$F651,1,0),0)+IF(AND(ISNUMBER($E651),ISNUMBER($F651)),IF($E651&gt;$F651,1,0),0)</f>
        <v>0</v>
      </c>
      <c r="X651" s="13" t="s">
        <v>76</v>
      </c>
    </row>
    <row r="652" customFormat="false" ht="15" hidden="false" customHeight="false" outlineLevel="0" collapsed="false">
      <c r="A652" s="10" t="s">
        <v>2968</v>
      </c>
      <c r="B652" s="10" t="s">
        <v>2969</v>
      </c>
      <c r="C652" s="11" t="s">
        <v>2970</v>
      </c>
      <c r="D652" s="12" t="n">
        <v>0</v>
      </c>
      <c r="E652" s="12"/>
      <c r="F652" s="12"/>
      <c r="G652" s="10" t="s">
        <v>63</v>
      </c>
      <c r="H652" s="10" t="s">
        <v>2958</v>
      </c>
      <c r="I652" s="11" t="s">
        <v>2850</v>
      </c>
      <c r="J652" s="10" t="s">
        <v>66</v>
      </c>
      <c r="K652" s="10" t="s">
        <v>67</v>
      </c>
      <c r="L652" s="10" t="s">
        <v>68</v>
      </c>
      <c r="M652" s="10" t="s">
        <v>69</v>
      </c>
      <c r="N652" s="10"/>
      <c r="O652" s="11" t="s">
        <v>2851</v>
      </c>
      <c r="P652" s="10" t="s">
        <v>71</v>
      </c>
      <c r="Q652" s="11" t="s">
        <v>72</v>
      </c>
      <c r="R652" s="11" t="s">
        <v>73</v>
      </c>
      <c r="S652" s="11" t="s">
        <v>74</v>
      </c>
      <c r="T652" s="11" t="s">
        <v>2971</v>
      </c>
      <c r="U652" s="10" t="n">
        <f aca="false">IF(AND($D652="",$E652="",$F652=""),1,0)</f>
        <v>0</v>
      </c>
      <c r="V652" s="10" t="n">
        <f aca="false">IF(OR($I652="",$I652="—"),1,0)</f>
        <v>0</v>
      </c>
      <c r="W652" s="10" t="n">
        <f aca="false">IF(AND(ISNUMBER($D652),ISNUMBER($E652)),IF($E652&gt;$D652,1,0),0)+IF(AND(ISNUMBER($D652),ISNUMBER($F652)),IF($D652&gt;$F652,1,0),0)+IF(AND(ISNUMBER($E652),ISNUMBER($F652)),IF($E652&gt;$F652,1,0),0)</f>
        <v>0</v>
      </c>
      <c r="X652" s="13" t="s">
        <v>76</v>
      </c>
    </row>
    <row r="653" customFormat="false" ht="15" hidden="false" customHeight="false" outlineLevel="0" collapsed="false">
      <c r="A653" s="10" t="s">
        <v>2972</v>
      </c>
      <c r="B653" s="10" t="s">
        <v>2973</v>
      </c>
      <c r="C653" s="11" t="s">
        <v>2974</v>
      </c>
      <c r="D653" s="12" t="n">
        <v>0.2589</v>
      </c>
      <c r="E653" s="12"/>
      <c r="F653" s="12"/>
      <c r="G653" s="10" t="s">
        <v>63</v>
      </c>
      <c r="H653" s="10" t="s">
        <v>64</v>
      </c>
      <c r="I653" s="11" t="s">
        <v>2975</v>
      </c>
      <c r="J653" s="10" t="s">
        <v>66</v>
      </c>
      <c r="K653" s="10" t="s">
        <v>67</v>
      </c>
      <c r="L653" s="10" t="s">
        <v>68</v>
      </c>
      <c r="M653" s="10" t="s">
        <v>69</v>
      </c>
      <c r="N653" s="10"/>
      <c r="O653" s="11" t="s">
        <v>2976</v>
      </c>
      <c r="P653" s="10" t="s">
        <v>71</v>
      </c>
      <c r="Q653" s="11" t="s">
        <v>72</v>
      </c>
      <c r="R653" s="11" t="s">
        <v>73</v>
      </c>
      <c r="S653" s="11" t="s">
        <v>74</v>
      </c>
      <c r="T653" s="11" t="s">
        <v>2977</v>
      </c>
      <c r="U653" s="10" t="n">
        <f aca="false">IF(AND($D653="",$E653="",$F653=""),1,0)</f>
        <v>0</v>
      </c>
      <c r="V653" s="10" t="n">
        <f aca="false">IF(OR($I653="",$I653="—"),1,0)</f>
        <v>0</v>
      </c>
      <c r="W653" s="10" t="n">
        <f aca="false">IF(AND(ISNUMBER($D653),ISNUMBER($E653)),IF($E653&gt;$D653,1,0),0)+IF(AND(ISNUMBER($D653),ISNUMBER($F653)),IF($D653&gt;$F653,1,0),0)+IF(AND(ISNUMBER($E653),ISNUMBER($F653)),IF($E653&gt;$F653,1,0),0)</f>
        <v>0</v>
      </c>
      <c r="X653" s="13" t="s">
        <v>76</v>
      </c>
    </row>
    <row r="654" customFormat="false" ht="15" hidden="false" customHeight="false" outlineLevel="0" collapsed="false">
      <c r="A654" s="10" t="s">
        <v>2978</v>
      </c>
      <c r="B654" s="10" t="s">
        <v>2979</v>
      </c>
      <c r="C654" s="11" t="s">
        <v>2974</v>
      </c>
      <c r="D654" s="12" t="n">
        <v>2.4781</v>
      </c>
      <c r="E654" s="12"/>
      <c r="F654" s="12"/>
      <c r="G654" s="10" t="s">
        <v>63</v>
      </c>
      <c r="H654" s="10" t="s">
        <v>79</v>
      </c>
      <c r="I654" s="11" t="s">
        <v>2975</v>
      </c>
      <c r="J654" s="10" t="s">
        <v>66</v>
      </c>
      <c r="K654" s="10" t="s">
        <v>67</v>
      </c>
      <c r="L654" s="10" t="s">
        <v>68</v>
      </c>
      <c r="M654" s="10" t="s">
        <v>69</v>
      </c>
      <c r="N654" s="10"/>
      <c r="O654" s="11" t="s">
        <v>2976</v>
      </c>
      <c r="P654" s="10" t="s">
        <v>71</v>
      </c>
      <c r="Q654" s="11" t="s">
        <v>72</v>
      </c>
      <c r="R654" s="11" t="s">
        <v>73</v>
      </c>
      <c r="S654" s="11" t="s">
        <v>74</v>
      </c>
      <c r="T654" s="11" t="s">
        <v>2980</v>
      </c>
      <c r="U654" s="10" t="n">
        <f aca="false">IF(AND($D654="",$E654="",$F654=""),1,0)</f>
        <v>0</v>
      </c>
      <c r="V654" s="10" t="n">
        <f aca="false">IF(OR($I654="",$I654="—"),1,0)</f>
        <v>0</v>
      </c>
      <c r="W654" s="10" t="n">
        <f aca="false">IF(AND(ISNUMBER($D654),ISNUMBER($E654)),IF($E654&gt;$D654,1,0),0)+IF(AND(ISNUMBER($D654),ISNUMBER($F654)),IF($D654&gt;$F654,1,0),0)+IF(AND(ISNUMBER($E654),ISNUMBER($F654)),IF($E654&gt;$F654,1,0),0)</f>
        <v>0</v>
      </c>
      <c r="X654" s="13" t="s">
        <v>76</v>
      </c>
    </row>
    <row r="655" customFormat="false" ht="15" hidden="false" customHeight="false" outlineLevel="0" collapsed="false">
      <c r="A655" s="10" t="s">
        <v>2981</v>
      </c>
      <c r="B655" s="10" t="s">
        <v>2982</v>
      </c>
      <c r="C655" s="11" t="s">
        <v>2974</v>
      </c>
      <c r="D655" s="12" t="n">
        <v>14.2561</v>
      </c>
      <c r="E655" s="12"/>
      <c r="F655" s="12"/>
      <c r="G655" s="10" t="s">
        <v>63</v>
      </c>
      <c r="H655" s="10" t="s">
        <v>83</v>
      </c>
      <c r="I655" s="11" t="s">
        <v>2975</v>
      </c>
      <c r="J655" s="10" t="s">
        <v>66</v>
      </c>
      <c r="K655" s="10" t="s">
        <v>67</v>
      </c>
      <c r="L655" s="10" t="s">
        <v>68</v>
      </c>
      <c r="M655" s="10" t="s">
        <v>69</v>
      </c>
      <c r="N655" s="10"/>
      <c r="O655" s="11" t="s">
        <v>2976</v>
      </c>
      <c r="P655" s="10" t="s">
        <v>71</v>
      </c>
      <c r="Q655" s="11" t="s">
        <v>72</v>
      </c>
      <c r="R655" s="11" t="s">
        <v>73</v>
      </c>
      <c r="S655" s="11" t="s">
        <v>74</v>
      </c>
      <c r="T655" s="11" t="s">
        <v>2983</v>
      </c>
      <c r="U655" s="10" t="n">
        <f aca="false">IF(AND($D655="",$E655="",$F655=""),1,0)</f>
        <v>0</v>
      </c>
      <c r="V655" s="10" t="n">
        <f aca="false">IF(OR($I655="",$I655="—"),1,0)</f>
        <v>0</v>
      </c>
      <c r="W655" s="10" t="n">
        <f aca="false">IF(AND(ISNUMBER($D655),ISNUMBER($E655)),IF($E655&gt;$D655,1,0),0)+IF(AND(ISNUMBER($D655),ISNUMBER($F655)),IF($D655&gt;$F655,1,0),0)+IF(AND(ISNUMBER($E655),ISNUMBER($F655)),IF($E655&gt;$F655,1,0),0)</f>
        <v>0</v>
      </c>
      <c r="X655" s="13" t="s">
        <v>76</v>
      </c>
    </row>
    <row r="656" customFormat="false" ht="15" hidden="false" customHeight="false" outlineLevel="0" collapsed="false">
      <c r="A656" s="10" t="s">
        <v>2984</v>
      </c>
      <c r="B656" s="10" t="s">
        <v>2985</v>
      </c>
      <c r="C656" s="11" t="s">
        <v>2974</v>
      </c>
      <c r="D656" s="12" t="n">
        <v>9.27</v>
      </c>
      <c r="E656" s="12"/>
      <c r="F656" s="12"/>
      <c r="G656" s="10" t="s">
        <v>63</v>
      </c>
      <c r="H656" s="10" t="s">
        <v>92</v>
      </c>
      <c r="I656" s="11" t="s">
        <v>2975</v>
      </c>
      <c r="J656" s="10" t="s">
        <v>66</v>
      </c>
      <c r="K656" s="10" t="s">
        <v>67</v>
      </c>
      <c r="L656" s="10" t="s">
        <v>68</v>
      </c>
      <c r="M656" s="10" t="s">
        <v>69</v>
      </c>
      <c r="N656" s="10"/>
      <c r="O656" s="11" t="s">
        <v>2976</v>
      </c>
      <c r="P656" s="10" t="s">
        <v>71</v>
      </c>
      <c r="Q656" s="11" t="s">
        <v>72</v>
      </c>
      <c r="R656" s="11" t="s">
        <v>73</v>
      </c>
      <c r="S656" s="11" t="s">
        <v>74</v>
      </c>
      <c r="T656" s="11" t="s">
        <v>2986</v>
      </c>
      <c r="U656" s="10" t="n">
        <f aca="false">IF(AND($D656="",$E656="",$F656=""),1,0)</f>
        <v>0</v>
      </c>
      <c r="V656" s="10" t="n">
        <f aca="false">IF(OR($I656="",$I656="—"),1,0)</f>
        <v>0</v>
      </c>
      <c r="W656" s="10" t="n">
        <f aca="false">IF(AND(ISNUMBER($D656),ISNUMBER($E656)),IF($E656&gt;$D656,1,0),0)+IF(AND(ISNUMBER($D656),ISNUMBER($F656)),IF($D656&gt;$F656,1,0),0)+IF(AND(ISNUMBER($E656),ISNUMBER($F656)),IF($E656&gt;$F656,1,0),0)</f>
        <v>0</v>
      </c>
      <c r="X656" s="13" t="s">
        <v>76</v>
      </c>
    </row>
    <row r="657" customFormat="false" ht="15" hidden="false" customHeight="false" outlineLevel="0" collapsed="false">
      <c r="A657" s="10" t="s">
        <v>2987</v>
      </c>
      <c r="B657" s="10" t="s">
        <v>2988</v>
      </c>
      <c r="C657" s="11" t="s">
        <v>2989</v>
      </c>
      <c r="D657" s="12" t="n">
        <v>0.8482</v>
      </c>
      <c r="E657" s="12"/>
      <c r="F657" s="12"/>
      <c r="G657" s="10" t="s">
        <v>63</v>
      </c>
      <c r="H657" s="10" t="s">
        <v>64</v>
      </c>
      <c r="I657" s="11" t="s">
        <v>2975</v>
      </c>
      <c r="J657" s="10" t="s">
        <v>66</v>
      </c>
      <c r="K657" s="10" t="s">
        <v>67</v>
      </c>
      <c r="L657" s="10" t="s">
        <v>68</v>
      </c>
      <c r="M657" s="10" t="s">
        <v>69</v>
      </c>
      <c r="N657" s="10"/>
      <c r="O657" s="11" t="s">
        <v>2990</v>
      </c>
      <c r="P657" s="10" t="s">
        <v>71</v>
      </c>
      <c r="Q657" s="11" t="s">
        <v>72</v>
      </c>
      <c r="R657" s="11" t="s">
        <v>73</v>
      </c>
      <c r="S657" s="11" t="s">
        <v>74</v>
      </c>
      <c r="T657" s="11" t="s">
        <v>2991</v>
      </c>
      <c r="U657" s="10" t="n">
        <f aca="false">IF(AND($D657="",$E657="",$F657=""),1,0)</f>
        <v>0</v>
      </c>
      <c r="V657" s="10" t="n">
        <f aca="false">IF(OR($I657="",$I657="—"),1,0)</f>
        <v>0</v>
      </c>
      <c r="W657" s="10" t="n">
        <f aca="false">IF(AND(ISNUMBER($D657),ISNUMBER($E657)),IF($E657&gt;$D657,1,0),0)+IF(AND(ISNUMBER($D657),ISNUMBER($F657)),IF($D657&gt;$F657,1,0),0)+IF(AND(ISNUMBER($E657),ISNUMBER($F657)),IF($E657&gt;$F657,1,0),0)</f>
        <v>0</v>
      </c>
      <c r="X657" s="13" t="s">
        <v>76</v>
      </c>
    </row>
    <row r="658" customFormat="false" ht="15" hidden="false" customHeight="false" outlineLevel="0" collapsed="false">
      <c r="A658" s="10" t="s">
        <v>2992</v>
      </c>
      <c r="B658" s="10" t="s">
        <v>2993</v>
      </c>
      <c r="C658" s="11" t="s">
        <v>2989</v>
      </c>
      <c r="D658" s="12" t="n">
        <v>1.8194</v>
      </c>
      <c r="E658" s="12"/>
      <c r="F658" s="12"/>
      <c r="G658" s="10" t="s">
        <v>63</v>
      </c>
      <c r="H658" s="10" t="s">
        <v>79</v>
      </c>
      <c r="I658" s="11" t="s">
        <v>2975</v>
      </c>
      <c r="J658" s="10" t="s">
        <v>66</v>
      </c>
      <c r="K658" s="10" t="s">
        <v>67</v>
      </c>
      <c r="L658" s="10" t="s">
        <v>68</v>
      </c>
      <c r="M658" s="10" t="s">
        <v>69</v>
      </c>
      <c r="N658" s="10"/>
      <c r="O658" s="11" t="s">
        <v>2990</v>
      </c>
      <c r="P658" s="10" t="s">
        <v>71</v>
      </c>
      <c r="Q658" s="11" t="s">
        <v>72</v>
      </c>
      <c r="R658" s="11" t="s">
        <v>73</v>
      </c>
      <c r="S658" s="11" t="s">
        <v>74</v>
      </c>
      <c r="T658" s="11" t="s">
        <v>2994</v>
      </c>
      <c r="U658" s="10" t="n">
        <f aca="false">IF(AND($D658="",$E658="",$F658=""),1,0)</f>
        <v>0</v>
      </c>
      <c r="V658" s="10" t="n">
        <f aca="false">IF(OR($I658="",$I658="—"),1,0)</f>
        <v>0</v>
      </c>
      <c r="W658" s="10" t="n">
        <f aca="false">IF(AND(ISNUMBER($D658),ISNUMBER($E658)),IF($E658&gt;$D658,1,0),0)+IF(AND(ISNUMBER($D658),ISNUMBER($F658)),IF($D658&gt;$F658,1,0),0)+IF(AND(ISNUMBER($E658),ISNUMBER($F658)),IF($E658&gt;$F658,1,0),0)</f>
        <v>0</v>
      </c>
      <c r="X658" s="13" t="s">
        <v>76</v>
      </c>
    </row>
    <row r="659" customFormat="false" ht="15" hidden="false" customHeight="false" outlineLevel="0" collapsed="false">
      <c r="A659" s="10" t="s">
        <v>2995</v>
      </c>
      <c r="B659" s="10" t="s">
        <v>2996</v>
      </c>
      <c r="C659" s="11" t="s">
        <v>2989</v>
      </c>
      <c r="D659" s="12" t="n">
        <v>4.9064</v>
      </c>
      <c r="E659" s="12"/>
      <c r="F659" s="12"/>
      <c r="G659" s="10" t="s">
        <v>63</v>
      </c>
      <c r="H659" s="10" t="s">
        <v>83</v>
      </c>
      <c r="I659" s="11" t="s">
        <v>2975</v>
      </c>
      <c r="J659" s="10" t="s">
        <v>66</v>
      </c>
      <c r="K659" s="10" t="s">
        <v>67</v>
      </c>
      <c r="L659" s="10" t="s">
        <v>68</v>
      </c>
      <c r="M659" s="10" t="s">
        <v>69</v>
      </c>
      <c r="N659" s="10"/>
      <c r="O659" s="11" t="s">
        <v>2990</v>
      </c>
      <c r="P659" s="10" t="s">
        <v>71</v>
      </c>
      <c r="Q659" s="11" t="s">
        <v>72</v>
      </c>
      <c r="R659" s="11" t="s">
        <v>73</v>
      </c>
      <c r="S659" s="11" t="s">
        <v>74</v>
      </c>
      <c r="T659" s="11" t="s">
        <v>2997</v>
      </c>
      <c r="U659" s="10" t="n">
        <f aca="false">IF(AND($D659="",$E659="",$F659=""),1,0)</f>
        <v>0</v>
      </c>
      <c r="V659" s="10" t="n">
        <f aca="false">IF(OR($I659="",$I659="—"),1,0)</f>
        <v>0</v>
      </c>
      <c r="W659" s="10" t="n">
        <f aca="false">IF(AND(ISNUMBER($D659),ISNUMBER($E659)),IF($E659&gt;$D659,1,0),0)+IF(AND(ISNUMBER($D659),ISNUMBER($F659)),IF($D659&gt;$F659,1,0),0)+IF(AND(ISNUMBER($E659),ISNUMBER($F659)),IF($E659&gt;$F659,1,0),0)</f>
        <v>0</v>
      </c>
      <c r="X659" s="13" t="s">
        <v>76</v>
      </c>
    </row>
    <row r="660" customFormat="false" ht="15" hidden="false" customHeight="false" outlineLevel="0" collapsed="false">
      <c r="A660" s="10" t="s">
        <v>2998</v>
      </c>
      <c r="B660" s="10" t="s">
        <v>2999</v>
      </c>
      <c r="C660" s="11" t="s">
        <v>2989</v>
      </c>
      <c r="D660" s="12" t="n">
        <v>3.3912</v>
      </c>
      <c r="E660" s="12"/>
      <c r="F660" s="12"/>
      <c r="G660" s="10" t="s">
        <v>63</v>
      </c>
      <c r="H660" s="10" t="s">
        <v>92</v>
      </c>
      <c r="I660" s="11" t="s">
        <v>2975</v>
      </c>
      <c r="J660" s="10" t="s">
        <v>66</v>
      </c>
      <c r="K660" s="10" t="s">
        <v>67</v>
      </c>
      <c r="L660" s="10" t="s">
        <v>68</v>
      </c>
      <c r="M660" s="10" t="s">
        <v>69</v>
      </c>
      <c r="N660" s="10"/>
      <c r="O660" s="11" t="s">
        <v>2990</v>
      </c>
      <c r="P660" s="10" t="s">
        <v>71</v>
      </c>
      <c r="Q660" s="11" t="s">
        <v>72</v>
      </c>
      <c r="R660" s="11" t="s">
        <v>73</v>
      </c>
      <c r="S660" s="11" t="s">
        <v>74</v>
      </c>
      <c r="T660" s="11" t="s">
        <v>3000</v>
      </c>
      <c r="U660" s="10" t="n">
        <f aca="false">IF(AND($D660="",$E660="",$F660=""),1,0)</f>
        <v>0</v>
      </c>
      <c r="V660" s="10" t="n">
        <f aca="false">IF(OR($I660="",$I660="—"),1,0)</f>
        <v>0</v>
      </c>
      <c r="W660" s="10" t="n">
        <f aca="false">IF(AND(ISNUMBER($D660),ISNUMBER($E660)),IF($E660&gt;$D660,1,0),0)+IF(AND(ISNUMBER($D660),ISNUMBER($F660)),IF($D660&gt;$F660,1,0),0)+IF(AND(ISNUMBER($E660),ISNUMBER($F660)),IF($E660&gt;$F660,1,0),0)</f>
        <v>0</v>
      </c>
      <c r="X660" s="13" t="s">
        <v>76</v>
      </c>
    </row>
    <row r="661" customFormat="false" ht="15" hidden="false" customHeight="false" outlineLevel="0" collapsed="false">
      <c r="A661" s="10" t="s">
        <v>3001</v>
      </c>
      <c r="B661" s="10" t="s">
        <v>3002</v>
      </c>
      <c r="C661" s="11" t="s">
        <v>3003</v>
      </c>
      <c r="D661" s="12" t="n">
        <v>0.8098</v>
      </c>
      <c r="E661" s="12"/>
      <c r="F661" s="12"/>
      <c r="G661" s="10" t="s">
        <v>63</v>
      </c>
      <c r="H661" s="10" t="s">
        <v>64</v>
      </c>
      <c r="I661" s="11" t="s">
        <v>3004</v>
      </c>
      <c r="J661" s="10" t="s">
        <v>66</v>
      </c>
      <c r="K661" s="10" t="s">
        <v>67</v>
      </c>
      <c r="L661" s="10" t="s">
        <v>68</v>
      </c>
      <c r="M661" s="10" t="s">
        <v>69</v>
      </c>
      <c r="N661" s="10"/>
      <c r="O661" s="11" t="s">
        <v>2990</v>
      </c>
      <c r="P661" s="10" t="s">
        <v>71</v>
      </c>
      <c r="Q661" s="11" t="s">
        <v>72</v>
      </c>
      <c r="R661" s="11" t="s">
        <v>73</v>
      </c>
      <c r="S661" s="11" t="s">
        <v>74</v>
      </c>
      <c r="T661" s="11" t="s">
        <v>3005</v>
      </c>
      <c r="U661" s="10" t="n">
        <f aca="false">IF(AND($D661="",$E661="",$F661=""),1,0)</f>
        <v>0</v>
      </c>
      <c r="V661" s="10" t="n">
        <f aca="false">IF(OR($I661="",$I661="—"),1,0)</f>
        <v>0</v>
      </c>
      <c r="W661" s="10" t="n">
        <f aca="false">IF(AND(ISNUMBER($D661),ISNUMBER($E661)),IF($E661&gt;$D661,1,0),0)+IF(AND(ISNUMBER($D661),ISNUMBER($F661)),IF($D661&gt;$F661,1,0),0)+IF(AND(ISNUMBER($E661),ISNUMBER($F661)),IF($E661&gt;$F661,1,0),0)</f>
        <v>0</v>
      </c>
      <c r="X661" s="13" t="s">
        <v>76</v>
      </c>
    </row>
    <row r="662" customFormat="false" ht="15" hidden="false" customHeight="false" outlineLevel="0" collapsed="false">
      <c r="A662" s="10" t="s">
        <v>3006</v>
      </c>
      <c r="B662" s="10" t="s">
        <v>3007</v>
      </c>
      <c r="C662" s="11" t="s">
        <v>3003</v>
      </c>
      <c r="D662" s="12" t="n">
        <v>5.6266</v>
      </c>
      <c r="E662" s="12"/>
      <c r="F662" s="12"/>
      <c r="G662" s="10" t="s">
        <v>63</v>
      </c>
      <c r="H662" s="10" t="s">
        <v>79</v>
      </c>
      <c r="I662" s="11" t="s">
        <v>3004</v>
      </c>
      <c r="J662" s="10" t="s">
        <v>66</v>
      </c>
      <c r="K662" s="10" t="s">
        <v>67</v>
      </c>
      <c r="L662" s="10" t="s">
        <v>68</v>
      </c>
      <c r="M662" s="10" t="s">
        <v>69</v>
      </c>
      <c r="N662" s="10"/>
      <c r="O662" s="11" t="s">
        <v>2990</v>
      </c>
      <c r="P662" s="10" t="s">
        <v>71</v>
      </c>
      <c r="Q662" s="11" t="s">
        <v>72</v>
      </c>
      <c r="R662" s="11" t="s">
        <v>73</v>
      </c>
      <c r="S662" s="11" t="s">
        <v>74</v>
      </c>
      <c r="T662" s="11" t="s">
        <v>3008</v>
      </c>
      <c r="U662" s="10" t="n">
        <f aca="false">IF(AND($D662="",$E662="",$F662=""),1,0)</f>
        <v>0</v>
      </c>
      <c r="V662" s="10" t="n">
        <f aca="false">IF(OR($I662="",$I662="—"),1,0)</f>
        <v>0</v>
      </c>
      <c r="W662" s="10" t="n">
        <f aca="false">IF(AND(ISNUMBER($D662),ISNUMBER($E662)),IF($E662&gt;$D662,1,0),0)+IF(AND(ISNUMBER($D662),ISNUMBER($F662)),IF($D662&gt;$F662,1,0),0)+IF(AND(ISNUMBER($E662),ISNUMBER($F662)),IF($E662&gt;$F662,1,0),0)</f>
        <v>0</v>
      </c>
      <c r="X662" s="13" t="s">
        <v>76</v>
      </c>
    </row>
    <row r="663" customFormat="false" ht="15" hidden="false" customHeight="false" outlineLevel="0" collapsed="false">
      <c r="A663" s="10" t="s">
        <v>3009</v>
      </c>
      <c r="B663" s="10" t="s">
        <v>3010</v>
      </c>
      <c r="C663" s="11" t="s">
        <v>3003</v>
      </c>
      <c r="D663" s="12" t="n">
        <v>21.9206</v>
      </c>
      <c r="E663" s="12"/>
      <c r="F663" s="12"/>
      <c r="G663" s="10" t="s">
        <v>63</v>
      </c>
      <c r="H663" s="10" t="s">
        <v>83</v>
      </c>
      <c r="I663" s="11" t="s">
        <v>3004</v>
      </c>
      <c r="J663" s="10" t="s">
        <v>66</v>
      </c>
      <c r="K663" s="10" t="s">
        <v>67</v>
      </c>
      <c r="L663" s="10" t="s">
        <v>68</v>
      </c>
      <c r="M663" s="10" t="s">
        <v>69</v>
      </c>
      <c r="N663" s="10"/>
      <c r="O663" s="11" t="s">
        <v>2990</v>
      </c>
      <c r="P663" s="10" t="s">
        <v>71</v>
      </c>
      <c r="Q663" s="11" t="s">
        <v>72</v>
      </c>
      <c r="R663" s="11" t="s">
        <v>73</v>
      </c>
      <c r="S663" s="11" t="s">
        <v>74</v>
      </c>
      <c r="T663" s="11" t="s">
        <v>3011</v>
      </c>
      <c r="U663" s="10" t="n">
        <f aca="false">IF(AND($D663="",$E663="",$F663=""),1,0)</f>
        <v>0</v>
      </c>
      <c r="V663" s="10" t="n">
        <f aca="false">IF(OR($I663="",$I663="—"),1,0)</f>
        <v>0</v>
      </c>
      <c r="W663" s="10" t="n">
        <f aca="false">IF(AND(ISNUMBER($D663),ISNUMBER($E663)),IF($E663&gt;$D663,1,0),0)+IF(AND(ISNUMBER($D663),ISNUMBER($F663)),IF($D663&gt;$F663,1,0),0)+IF(AND(ISNUMBER($E663),ISNUMBER($F663)),IF($E663&gt;$F663,1,0),0)</f>
        <v>0</v>
      </c>
      <c r="X663" s="13" t="s">
        <v>76</v>
      </c>
    </row>
    <row r="664" customFormat="false" ht="15" hidden="false" customHeight="false" outlineLevel="0" collapsed="false">
      <c r="A664" s="10" t="s">
        <v>3012</v>
      </c>
      <c r="B664" s="10" t="s">
        <v>3013</v>
      </c>
      <c r="C664" s="11" t="s">
        <v>3003</v>
      </c>
      <c r="D664" s="12" t="n">
        <v>8.6072</v>
      </c>
      <c r="E664" s="12"/>
      <c r="F664" s="12"/>
      <c r="G664" s="10" t="s">
        <v>63</v>
      </c>
      <c r="H664" s="10" t="s">
        <v>87</v>
      </c>
      <c r="I664" s="11" t="s">
        <v>3004</v>
      </c>
      <c r="J664" s="10" t="s">
        <v>66</v>
      </c>
      <c r="K664" s="10" t="s">
        <v>67</v>
      </c>
      <c r="L664" s="10" t="s">
        <v>68</v>
      </c>
      <c r="M664" s="10" t="s">
        <v>69</v>
      </c>
      <c r="N664" s="10"/>
      <c r="O664" s="11" t="s">
        <v>2990</v>
      </c>
      <c r="P664" s="10" t="s">
        <v>71</v>
      </c>
      <c r="Q664" s="11" t="s">
        <v>72</v>
      </c>
      <c r="R664" s="11" t="s">
        <v>73</v>
      </c>
      <c r="S664" s="11" t="s">
        <v>74</v>
      </c>
      <c r="T664" s="11" t="s">
        <v>3014</v>
      </c>
      <c r="U664" s="10" t="n">
        <f aca="false">IF(AND($D664="",$E664="",$F664=""),1,0)</f>
        <v>0</v>
      </c>
      <c r="V664" s="10" t="n">
        <f aca="false">IF(OR($I664="",$I664="—"),1,0)</f>
        <v>0</v>
      </c>
      <c r="W664" s="10" t="n">
        <f aca="false">IF(AND(ISNUMBER($D664),ISNUMBER($E664)),IF($E664&gt;$D664,1,0),0)+IF(AND(ISNUMBER($D664),ISNUMBER($F664)),IF($D664&gt;$F664,1,0),0)+IF(AND(ISNUMBER($E664),ISNUMBER($F664)),IF($E664&gt;$F664,1,0),0)</f>
        <v>0</v>
      </c>
      <c r="X664" s="13" t="s">
        <v>76</v>
      </c>
    </row>
    <row r="665" customFormat="false" ht="15" hidden="false" customHeight="false" outlineLevel="0" collapsed="false">
      <c r="A665" s="10" t="s">
        <v>3015</v>
      </c>
      <c r="B665" s="10" t="s">
        <v>3016</v>
      </c>
      <c r="C665" s="11" t="s">
        <v>3003</v>
      </c>
      <c r="D665" s="12" t="n">
        <v>15.9009</v>
      </c>
      <c r="E665" s="12"/>
      <c r="F665" s="12"/>
      <c r="G665" s="10" t="s">
        <v>63</v>
      </c>
      <c r="H665" s="10" t="s">
        <v>92</v>
      </c>
      <c r="I665" s="11" t="s">
        <v>3004</v>
      </c>
      <c r="J665" s="10" t="s">
        <v>66</v>
      </c>
      <c r="K665" s="10" t="s">
        <v>67</v>
      </c>
      <c r="L665" s="10" t="s">
        <v>68</v>
      </c>
      <c r="M665" s="10" t="s">
        <v>69</v>
      </c>
      <c r="N665" s="10"/>
      <c r="O665" s="11" t="s">
        <v>2990</v>
      </c>
      <c r="P665" s="10" t="s">
        <v>71</v>
      </c>
      <c r="Q665" s="11" t="s">
        <v>72</v>
      </c>
      <c r="R665" s="11" t="s">
        <v>73</v>
      </c>
      <c r="S665" s="11" t="s">
        <v>74</v>
      </c>
      <c r="T665" s="11" t="s">
        <v>3017</v>
      </c>
      <c r="U665" s="10" t="n">
        <f aca="false">IF(AND($D665="",$E665="",$F665=""),1,0)</f>
        <v>0</v>
      </c>
      <c r="V665" s="10" t="n">
        <f aca="false">IF(OR($I665="",$I665="—"),1,0)</f>
        <v>0</v>
      </c>
      <c r="W665" s="10" t="n">
        <f aca="false">IF(AND(ISNUMBER($D665),ISNUMBER($E665)),IF($E665&gt;$D665,1,0),0)+IF(AND(ISNUMBER($D665),ISNUMBER($F665)),IF($D665&gt;$F665,1,0),0)+IF(AND(ISNUMBER($E665),ISNUMBER($F665)),IF($E665&gt;$F665,1,0),0)</f>
        <v>0</v>
      </c>
      <c r="X665" s="13" t="s">
        <v>76</v>
      </c>
    </row>
    <row r="666" customFormat="false" ht="15" hidden="false" customHeight="false" outlineLevel="0" collapsed="false">
      <c r="A666" s="10" t="s">
        <v>3018</v>
      </c>
      <c r="B666" s="10" t="s">
        <v>3019</v>
      </c>
      <c r="C666" s="11" t="s">
        <v>3020</v>
      </c>
      <c r="D666" s="12" t="n">
        <v>0.1643</v>
      </c>
      <c r="E666" s="12"/>
      <c r="F666" s="12"/>
      <c r="G666" s="10" t="s">
        <v>63</v>
      </c>
      <c r="H666" s="10" t="s">
        <v>64</v>
      </c>
      <c r="I666" s="11" t="s">
        <v>3021</v>
      </c>
      <c r="J666" s="10" t="s">
        <v>66</v>
      </c>
      <c r="K666" s="10" t="s">
        <v>67</v>
      </c>
      <c r="L666" s="10" t="s">
        <v>68</v>
      </c>
      <c r="M666" s="10" t="s">
        <v>69</v>
      </c>
      <c r="N666" s="10"/>
      <c r="O666" s="11" t="s">
        <v>2851</v>
      </c>
      <c r="P666" s="10" t="s">
        <v>71</v>
      </c>
      <c r="Q666" s="11" t="s">
        <v>72</v>
      </c>
      <c r="R666" s="11" t="s">
        <v>73</v>
      </c>
      <c r="S666" s="11" t="s">
        <v>74</v>
      </c>
      <c r="T666" s="11" t="s">
        <v>3022</v>
      </c>
      <c r="U666" s="10" t="n">
        <f aca="false">IF(AND($D666="",$E666="",$F666=""),1,0)</f>
        <v>0</v>
      </c>
      <c r="V666" s="10" t="n">
        <f aca="false">IF(OR($I666="",$I666="—"),1,0)</f>
        <v>0</v>
      </c>
      <c r="W666" s="10" t="n">
        <f aca="false">IF(AND(ISNUMBER($D666),ISNUMBER($E666)),IF($E666&gt;$D666,1,0),0)+IF(AND(ISNUMBER($D666),ISNUMBER($F666)),IF($D666&gt;$F666,1,0),0)+IF(AND(ISNUMBER($E666),ISNUMBER($F666)),IF($E666&gt;$F666,1,0),0)</f>
        <v>0</v>
      </c>
      <c r="X666" s="13" t="s">
        <v>76</v>
      </c>
    </row>
    <row r="667" customFormat="false" ht="15" hidden="false" customHeight="false" outlineLevel="0" collapsed="false">
      <c r="A667" s="10" t="s">
        <v>3023</v>
      </c>
      <c r="B667" s="10" t="s">
        <v>3024</v>
      </c>
      <c r="C667" s="11" t="s">
        <v>3020</v>
      </c>
      <c r="D667" s="12" t="n">
        <v>0.1537</v>
      </c>
      <c r="E667" s="12"/>
      <c r="F667" s="12"/>
      <c r="G667" s="10" t="s">
        <v>63</v>
      </c>
      <c r="H667" s="10" t="s">
        <v>79</v>
      </c>
      <c r="I667" s="11" t="s">
        <v>3021</v>
      </c>
      <c r="J667" s="10" t="s">
        <v>66</v>
      </c>
      <c r="K667" s="10" t="s">
        <v>67</v>
      </c>
      <c r="L667" s="10" t="s">
        <v>68</v>
      </c>
      <c r="M667" s="10" t="s">
        <v>69</v>
      </c>
      <c r="N667" s="10"/>
      <c r="O667" s="11" t="s">
        <v>2851</v>
      </c>
      <c r="P667" s="10" t="s">
        <v>71</v>
      </c>
      <c r="Q667" s="11" t="s">
        <v>72</v>
      </c>
      <c r="R667" s="11" t="s">
        <v>73</v>
      </c>
      <c r="S667" s="11" t="s">
        <v>74</v>
      </c>
      <c r="T667" s="11" t="s">
        <v>3025</v>
      </c>
      <c r="U667" s="10" t="n">
        <f aca="false">IF(AND($D667="",$E667="",$F667=""),1,0)</f>
        <v>0</v>
      </c>
      <c r="V667" s="10" t="n">
        <f aca="false">IF(OR($I667="",$I667="—"),1,0)</f>
        <v>0</v>
      </c>
      <c r="W667" s="10" t="n">
        <f aca="false">IF(AND(ISNUMBER($D667),ISNUMBER($E667)),IF($E667&gt;$D667,1,0),0)+IF(AND(ISNUMBER($D667),ISNUMBER($F667)),IF($D667&gt;$F667,1,0),0)+IF(AND(ISNUMBER($E667),ISNUMBER($F667)),IF($E667&gt;$F667,1,0),0)</f>
        <v>0</v>
      </c>
      <c r="X667" s="13" t="s">
        <v>76</v>
      </c>
    </row>
    <row r="668" customFormat="false" ht="15" hidden="false" customHeight="false" outlineLevel="0" collapsed="false">
      <c r="A668" s="10" t="s">
        <v>3026</v>
      </c>
      <c r="B668" s="10" t="s">
        <v>3027</v>
      </c>
      <c r="C668" s="11" t="s">
        <v>3020</v>
      </c>
      <c r="D668" s="12" t="n">
        <v>0.7426</v>
      </c>
      <c r="E668" s="12"/>
      <c r="F668" s="12"/>
      <c r="G668" s="10" t="s">
        <v>63</v>
      </c>
      <c r="H668" s="10" t="s">
        <v>83</v>
      </c>
      <c r="I668" s="11" t="s">
        <v>3021</v>
      </c>
      <c r="J668" s="10" t="s">
        <v>66</v>
      </c>
      <c r="K668" s="10" t="s">
        <v>67</v>
      </c>
      <c r="L668" s="10" t="s">
        <v>68</v>
      </c>
      <c r="M668" s="10" t="s">
        <v>69</v>
      </c>
      <c r="N668" s="10"/>
      <c r="O668" s="11" t="s">
        <v>2851</v>
      </c>
      <c r="P668" s="10" t="s">
        <v>71</v>
      </c>
      <c r="Q668" s="11" t="s">
        <v>72</v>
      </c>
      <c r="R668" s="11" t="s">
        <v>73</v>
      </c>
      <c r="S668" s="11" t="s">
        <v>74</v>
      </c>
      <c r="T668" s="11" t="s">
        <v>3028</v>
      </c>
      <c r="U668" s="10" t="n">
        <f aca="false">IF(AND($D668="",$E668="",$F668=""),1,0)</f>
        <v>0</v>
      </c>
      <c r="V668" s="10" t="n">
        <f aca="false">IF(OR($I668="",$I668="—"),1,0)</f>
        <v>0</v>
      </c>
      <c r="W668" s="10" t="n">
        <f aca="false">IF(AND(ISNUMBER($D668),ISNUMBER($E668)),IF($E668&gt;$D668,1,0),0)+IF(AND(ISNUMBER($D668),ISNUMBER($F668)),IF($D668&gt;$F668,1,0),0)+IF(AND(ISNUMBER($E668),ISNUMBER($F668)),IF($E668&gt;$F668,1,0),0)</f>
        <v>0</v>
      </c>
      <c r="X668" s="13" t="s">
        <v>76</v>
      </c>
    </row>
    <row r="669" customFormat="false" ht="15" hidden="false" customHeight="false" outlineLevel="0" collapsed="false">
      <c r="A669" s="10" t="s">
        <v>3029</v>
      </c>
      <c r="B669" s="10" t="s">
        <v>3030</v>
      </c>
      <c r="C669" s="11" t="s">
        <v>3020</v>
      </c>
      <c r="D669" s="12" t="n">
        <v>0.1083</v>
      </c>
      <c r="E669" s="12"/>
      <c r="F669" s="12"/>
      <c r="G669" s="10" t="s">
        <v>63</v>
      </c>
      <c r="H669" s="10" t="s">
        <v>87</v>
      </c>
      <c r="I669" s="11" t="s">
        <v>3021</v>
      </c>
      <c r="J669" s="10" t="s">
        <v>66</v>
      </c>
      <c r="K669" s="10" t="s">
        <v>67</v>
      </c>
      <c r="L669" s="10" t="s">
        <v>68</v>
      </c>
      <c r="M669" s="10" t="s">
        <v>69</v>
      </c>
      <c r="N669" s="10"/>
      <c r="O669" s="11" t="s">
        <v>2861</v>
      </c>
      <c r="P669" s="10" t="s">
        <v>71</v>
      </c>
      <c r="Q669" s="11" t="s">
        <v>72</v>
      </c>
      <c r="R669" s="11" t="s">
        <v>73</v>
      </c>
      <c r="S669" s="11" t="s">
        <v>74</v>
      </c>
      <c r="T669" s="11" t="s">
        <v>3031</v>
      </c>
      <c r="U669" s="10" t="n">
        <f aca="false">IF(AND($D669="",$E669="",$F669=""),1,0)</f>
        <v>0</v>
      </c>
      <c r="V669" s="10" t="n">
        <f aca="false">IF(OR($I669="",$I669="—"),1,0)</f>
        <v>0</v>
      </c>
      <c r="W669" s="10" t="n">
        <f aca="false">IF(AND(ISNUMBER($D669),ISNUMBER($E669)),IF($E669&gt;$D669,1,0),0)+IF(AND(ISNUMBER($D669),ISNUMBER($F669)),IF($D669&gt;$F669,1,0),0)+IF(AND(ISNUMBER($E669),ISNUMBER($F669)),IF($E669&gt;$F669,1,0),0)</f>
        <v>0</v>
      </c>
      <c r="X669" s="13" t="s">
        <v>76</v>
      </c>
    </row>
    <row r="670" customFormat="false" ht="15" hidden="false" customHeight="false" outlineLevel="0" collapsed="false">
      <c r="A670" s="10" t="s">
        <v>3032</v>
      </c>
      <c r="B670" s="10" t="s">
        <v>3033</v>
      </c>
      <c r="C670" s="11" t="s">
        <v>3020</v>
      </c>
      <c r="D670" s="12" t="n">
        <v>0.3763</v>
      </c>
      <c r="E670" s="12"/>
      <c r="F670" s="12"/>
      <c r="G670" s="10" t="s">
        <v>63</v>
      </c>
      <c r="H670" s="10" t="s">
        <v>92</v>
      </c>
      <c r="I670" s="11" t="s">
        <v>3021</v>
      </c>
      <c r="J670" s="10" t="s">
        <v>66</v>
      </c>
      <c r="K670" s="10" t="s">
        <v>67</v>
      </c>
      <c r="L670" s="10" t="s">
        <v>68</v>
      </c>
      <c r="M670" s="10" t="s">
        <v>69</v>
      </c>
      <c r="N670" s="10"/>
      <c r="O670" s="11" t="s">
        <v>2865</v>
      </c>
      <c r="P670" s="10" t="s">
        <v>71</v>
      </c>
      <c r="Q670" s="11" t="s">
        <v>72</v>
      </c>
      <c r="R670" s="11" t="s">
        <v>73</v>
      </c>
      <c r="S670" s="11" t="s">
        <v>74</v>
      </c>
      <c r="T670" s="11" t="s">
        <v>3034</v>
      </c>
      <c r="U670" s="10" t="n">
        <f aca="false">IF(AND($D670="",$E670="",$F670=""),1,0)</f>
        <v>0</v>
      </c>
      <c r="V670" s="10" t="n">
        <f aca="false">IF(OR($I670="",$I670="—"),1,0)</f>
        <v>0</v>
      </c>
      <c r="W670" s="10" t="n">
        <f aca="false">IF(AND(ISNUMBER($D670),ISNUMBER($E670)),IF($E670&gt;$D670,1,0),0)+IF(AND(ISNUMBER($D670),ISNUMBER($F670)),IF($D670&gt;$F670,1,0),0)+IF(AND(ISNUMBER($E670),ISNUMBER($F670)),IF($E670&gt;$F670,1,0),0)</f>
        <v>0</v>
      </c>
      <c r="X670" s="13" t="s">
        <v>76</v>
      </c>
    </row>
    <row r="671" customFormat="false" ht="15" hidden="false" customHeight="false" outlineLevel="0" collapsed="false">
      <c r="A671" s="10" t="s">
        <v>3035</v>
      </c>
      <c r="B671" s="10" t="s">
        <v>3036</v>
      </c>
      <c r="C671" s="11" t="s">
        <v>3037</v>
      </c>
      <c r="D671" s="12" t="n">
        <v>0</v>
      </c>
      <c r="E671" s="12"/>
      <c r="F671" s="12"/>
      <c r="G671" s="10" t="s">
        <v>63</v>
      </c>
      <c r="H671" s="10" t="s">
        <v>64</v>
      </c>
      <c r="I671" s="11" t="s">
        <v>3021</v>
      </c>
      <c r="J671" s="10" t="s">
        <v>66</v>
      </c>
      <c r="K671" s="10" t="s">
        <v>67</v>
      </c>
      <c r="L671" s="10" t="s">
        <v>68</v>
      </c>
      <c r="M671" s="10" t="s">
        <v>69</v>
      </c>
      <c r="N671" s="10"/>
      <c r="O671" s="11" t="s">
        <v>2851</v>
      </c>
      <c r="P671" s="10" t="s">
        <v>71</v>
      </c>
      <c r="Q671" s="11" t="s">
        <v>72</v>
      </c>
      <c r="R671" s="11" t="s">
        <v>73</v>
      </c>
      <c r="S671" s="11" t="s">
        <v>74</v>
      </c>
      <c r="T671" s="11" t="s">
        <v>3038</v>
      </c>
      <c r="U671" s="10" t="n">
        <f aca="false">IF(AND($D671="",$E671="",$F671=""),1,0)</f>
        <v>0</v>
      </c>
      <c r="V671" s="10" t="n">
        <f aca="false">IF(OR($I671="",$I671="—"),1,0)</f>
        <v>0</v>
      </c>
      <c r="W671" s="10" t="n">
        <f aca="false">IF(AND(ISNUMBER($D671),ISNUMBER($E671)),IF($E671&gt;$D671,1,0),0)+IF(AND(ISNUMBER($D671),ISNUMBER($F671)),IF($D671&gt;$F671,1,0),0)+IF(AND(ISNUMBER($E671),ISNUMBER($F671)),IF($E671&gt;$F671,1,0),0)</f>
        <v>0</v>
      </c>
      <c r="X671" s="13" t="s">
        <v>76</v>
      </c>
    </row>
    <row r="672" customFormat="false" ht="15" hidden="false" customHeight="false" outlineLevel="0" collapsed="false">
      <c r="A672" s="10" t="s">
        <v>3039</v>
      </c>
      <c r="B672" s="10" t="s">
        <v>3040</v>
      </c>
      <c r="C672" s="11" t="s">
        <v>3037</v>
      </c>
      <c r="D672" s="12" t="n">
        <v>0.12</v>
      </c>
      <c r="E672" s="12"/>
      <c r="F672" s="12"/>
      <c r="G672" s="10" t="s">
        <v>63</v>
      </c>
      <c r="H672" s="10" t="s">
        <v>79</v>
      </c>
      <c r="I672" s="11" t="s">
        <v>3021</v>
      </c>
      <c r="J672" s="10" t="s">
        <v>66</v>
      </c>
      <c r="K672" s="10" t="s">
        <v>67</v>
      </c>
      <c r="L672" s="10" t="s">
        <v>68</v>
      </c>
      <c r="M672" s="10" t="s">
        <v>69</v>
      </c>
      <c r="N672" s="10"/>
      <c r="O672" s="11" t="s">
        <v>2851</v>
      </c>
      <c r="P672" s="10" t="s">
        <v>71</v>
      </c>
      <c r="Q672" s="11" t="s">
        <v>72</v>
      </c>
      <c r="R672" s="11" t="s">
        <v>73</v>
      </c>
      <c r="S672" s="11" t="s">
        <v>74</v>
      </c>
      <c r="T672" s="11" t="s">
        <v>3041</v>
      </c>
      <c r="U672" s="10" t="n">
        <f aca="false">IF(AND($D672="",$E672="",$F672=""),1,0)</f>
        <v>0</v>
      </c>
      <c r="V672" s="10" t="n">
        <f aca="false">IF(OR($I672="",$I672="—"),1,0)</f>
        <v>0</v>
      </c>
      <c r="W672" s="10" t="n">
        <f aca="false">IF(AND(ISNUMBER($D672),ISNUMBER($E672)),IF($E672&gt;$D672,1,0),0)+IF(AND(ISNUMBER($D672),ISNUMBER($F672)),IF($D672&gt;$F672,1,0),0)+IF(AND(ISNUMBER($E672),ISNUMBER($F672)),IF($E672&gt;$F672,1,0),0)</f>
        <v>0</v>
      </c>
      <c r="X672" s="13" t="s">
        <v>76</v>
      </c>
    </row>
    <row r="673" customFormat="false" ht="15" hidden="false" customHeight="false" outlineLevel="0" collapsed="false">
      <c r="A673" s="10" t="s">
        <v>3042</v>
      </c>
      <c r="B673" s="10" t="s">
        <v>3043</v>
      </c>
      <c r="C673" s="11" t="s">
        <v>3037</v>
      </c>
      <c r="D673" s="12" t="n">
        <v>0.3017</v>
      </c>
      <c r="E673" s="12"/>
      <c r="F673" s="12"/>
      <c r="G673" s="10" t="s">
        <v>63</v>
      </c>
      <c r="H673" s="10" t="s">
        <v>83</v>
      </c>
      <c r="I673" s="11" t="s">
        <v>3021</v>
      </c>
      <c r="J673" s="10" t="s">
        <v>66</v>
      </c>
      <c r="K673" s="10" t="s">
        <v>67</v>
      </c>
      <c r="L673" s="10" t="s">
        <v>68</v>
      </c>
      <c r="M673" s="10" t="s">
        <v>69</v>
      </c>
      <c r="N673" s="10"/>
      <c r="O673" s="11" t="s">
        <v>2851</v>
      </c>
      <c r="P673" s="10" t="s">
        <v>71</v>
      </c>
      <c r="Q673" s="11" t="s">
        <v>72</v>
      </c>
      <c r="R673" s="11" t="s">
        <v>73</v>
      </c>
      <c r="S673" s="11" t="s">
        <v>74</v>
      </c>
      <c r="T673" s="11" t="s">
        <v>3044</v>
      </c>
      <c r="U673" s="10" t="n">
        <f aca="false">IF(AND($D673="",$E673="",$F673=""),1,0)</f>
        <v>0</v>
      </c>
      <c r="V673" s="10" t="n">
        <f aca="false">IF(OR($I673="",$I673="—"),1,0)</f>
        <v>0</v>
      </c>
      <c r="W673" s="10" t="n">
        <f aca="false">IF(AND(ISNUMBER($D673),ISNUMBER($E673)),IF($E673&gt;$D673,1,0),0)+IF(AND(ISNUMBER($D673),ISNUMBER($F673)),IF($D673&gt;$F673,1,0),0)+IF(AND(ISNUMBER($E673),ISNUMBER($F673)),IF($E673&gt;$F673,1,0),0)</f>
        <v>0</v>
      </c>
      <c r="X673" s="13" t="s">
        <v>76</v>
      </c>
    </row>
    <row r="674" customFormat="false" ht="15" hidden="false" customHeight="false" outlineLevel="0" collapsed="false">
      <c r="A674" s="10" t="s">
        <v>3045</v>
      </c>
      <c r="B674" s="10" t="s">
        <v>3046</v>
      </c>
      <c r="C674" s="11" t="s">
        <v>3037</v>
      </c>
      <c r="D674" s="12" t="n">
        <v>0.0845</v>
      </c>
      <c r="E674" s="12"/>
      <c r="F674" s="12"/>
      <c r="G674" s="10" t="s">
        <v>63</v>
      </c>
      <c r="H674" s="10" t="s">
        <v>87</v>
      </c>
      <c r="I674" s="11" t="s">
        <v>3021</v>
      </c>
      <c r="J674" s="10" t="s">
        <v>66</v>
      </c>
      <c r="K674" s="10" t="s">
        <v>67</v>
      </c>
      <c r="L674" s="10" t="s">
        <v>68</v>
      </c>
      <c r="M674" s="10" t="s">
        <v>69</v>
      </c>
      <c r="N674" s="10"/>
      <c r="O674" s="11" t="s">
        <v>2861</v>
      </c>
      <c r="P674" s="10" t="s">
        <v>71</v>
      </c>
      <c r="Q674" s="11" t="s">
        <v>72</v>
      </c>
      <c r="R674" s="11" t="s">
        <v>73</v>
      </c>
      <c r="S674" s="11" t="s">
        <v>74</v>
      </c>
      <c r="T674" s="11" t="s">
        <v>3047</v>
      </c>
      <c r="U674" s="10" t="n">
        <f aca="false">IF(AND($D674="",$E674="",$F674=""),1,0)</f>
        <v>0</v>
      </c>
      <c r="V674" s="10" t="n">
        <f aca="false">IF(OR($I674="",$I674="—"),1,0)</f>
        <v>0</v>
      </c>
      <c r="W674" s="10" t="n">
        <f aca="false">IF(AND(ISNUMBER($D674),ISNUMBER($E674)),IF($E674&gt;$D674,1,0),0)+IF(AND(ISNUMBER($D674),ISNUMBER($F674)),IF($D674&gt;$F674,1,0),0)+IF(AND(ISNUMBER($E674),ISNUMBER($F674)),IF($E674&gt;$F674,1,0),0)</f>
        <v>0</v>
      </c>
      <c r="X674" s="13" t="s">
        <v>76</v>
      </c>
    </row>
    <row r="675" customFormat="false" ht="15" hidden="false" customHeight="false" outlineLevel="0" collapsed="false">
      <c r="A675" s="10" t="s">
        <v>3048</v>
      </c>
      <c r="B675" s="10" t="s">
        <v>3049</v>
      </c>
      <c r="C675" s="11" t="s">
        <v>3037</v>
      </c>
      <c r="D675" s="12" t="n">
        <v>0.3584</v>
      </c>
      <c r="E675" s="12"/>
      <c r="F675" s="12"/>
      <c r="G675" s="10" t="s">
        <v>63</v>
      </c>
      <c r="H675" s="10" t="s">
        <v>92</v>
      </c>
      <c r="I675" s="11" t="s">
        <v>3021</v>
      </c>
      <c r="J675" s="10" t="s">
        <v>66</v>
      </c>
      <c r="K675" s="10" t="s">
        <v>67</v>
      </c>
      <c r="L675" s="10" t="s">
        <v>68</v>
      </c>
      <c r="M675" s="10" t="s">
        <v>69</v>
      </c>
      <c r="N675" s="10"/>
      <c r="O675" s="11" t="s">
        <v>2865</v>
      </c>
      <c r="P675" s="10" t="s">
        <v>71</v>
      </c>
      <c r="Q675" s="11" t="s">
        <v>72</v>
      </c>
      <c r="R675" s="11" t="s">
        <v>73</v>
      </c>
      <c r="S675" s="11" t="s">
        <v>74</v>
      </c>
      <c r="T675" s="11" t="s">
        <v>3050</v>
      </c>
      <c r="U675" s="10" t="n">
        <f aca="false">IF(AND($D675="",$E675="",$F675=""),1,0)</f>
        <v>0</v>
      </c>
      <c r="V675" s="10" t="n">
        <f aca="false">IF(OR($I675="",$I675="—"),1,0)</f>
        <v>0</v>
      </c>
      <c r="W675" s="10" t="n">
        <f aca="false">IF(AND(ISNUMBER($D675),ISNUMBER($E675)),IF($E675&gt;$D675,1,0),0)+IF(AND(ISNUMBER($D675),ISNUMBER($F675)),IF($D675&gt;$F675,1,0),0)+IF(AND(ISNUMBER($E675),ISNUMBER($F675)),IF($E675&gt;$F675,1,0),0)</f>
        <v>0</v>
      </c>
      <c r="X675" s="13" t="s">
        <v>76</v>
      </c>
    </row>
    <row r="676" customFormat="false" ht="15" hidden="false" customHeight="false" outlineLevel="0" collapsed="false">
      <c r="A676" s="10" t="s">
        <v>3051</v>
      </c>
      <c r="B676" s="10" t="s">
        <v>3052</v>
      </c>
      <c r="C676" s="11" t="s">
        <v>3053</v>
      </c>
      <c r="D676" s="12" t="n">
        <v>0.021</v>
      </c>
      <c r="E676" s="12"/>
      <c r="F676" s="12"/>
      <c r="G676" s="10" t="s">
        <v>63</v>
      </c>
      <c r="H676" s="10" t="s">
        <v>64</v>
      </c>
      <c r="I676" s="11" t="s">
        <v>3021</v>
      </c>
      <c r="J676" s="10" t="s">
        <v>66</v>
      </c>
      <c r="K676" s="10" t="s">
        <v>67</v>
      </c>
      <c r="L676" s="10" t="s">
        <v>68</v>
      </c>
      <c r="M676" s="10" t="s">
        <v>69</v>
      </c>
      <c r="N676" s="10"/>
      <c r="O676" s="11" t="s">
        <v>2851</v>
      </c>
      <c r="P676" s="10" t="s">
        <v>71</v>
      </c>
      <c r="Q676" s="11" t="s">
        <v>72</v>
      </c>
      <c r="R676" s="11" t="s">
        <v>73</v>
      </c>
      <c r="S676" s="11" t="s">
        <v>74</v>
      </c>
      <c r="T676" s="11" t="s">
        <v>3054</v>
      </c>
      <c r="U676" s="10" t="n">
        <f aca="false">IF(AND($D676="",$E676="",$F676=""),1,0)</f>
        <v>0</v>
      </c>
      <c r="V676" s="10" t="n">
        <f aca="false">IF(OR($I676="",$I676="—"),1,0)</f>
        <v>0</v>
      </c>
      <c r="W676" s="10" t="n">
        <f aca="false">IF(AND(ISNUMBER($D676),ISNUMBER($E676)),IF($E676&gt;$D676,1,0),0)+IF(AND(ISNUMBER($D676),ISNUMBER($F676)),IF($D676&gt;$F676,1,0),0)+IF(AND(ISNUMBER($E676),ISNUMBER($F676)),IF($E676&gt;$F676,1,0),0)</f>
        <v>0</v>
      </c>
      <c r="X676" s="13" t="s">
        <v>76</v>
      </c>
    </row>
    <row r="677" customFormat="false" ht="15" hidden="false" customHeight="false" outlineLevel="0" collapsed="false">
      <c r="A677" s="10" t="s">
        <v>3055</v>
      </c>
      <c r="B677" s="10" t="s">
        <v>3056</v>
      </c>
      <c r="C677" s="11" t="s">
        <v>3053</v>
      </c>
      <c r="D677" s="12" t="n">
        <v>0.0452</v>
      </c>
      <c r="E677" s="12"/>
      <c r="F677" s="12"/>
      <c r="G677" s="10" t="s">
        <v>63</v>
      </c>
      <c r="H677" s="10" t="s">
        <v>79</v>
      </c>
      <c r="I677" s="11" t="s">
        <v>3021</v>
      </c>
      <c r="J677" s="10" t="s">
        <v>66</v>
      </c>
      <c r="K677" s="10" t="s">
        <v>67</v>
      </c>
      <c r="L677" s="10" t="s">
        <v>68</v>
      </c>
      <c r="M677" s="10" t="s">
        <v>69</v>
      </c>
      <c r="N677" s="10"/>
      <c r="O677" s="11" t="s">
        <v>2851</v>
      </c>
      <c r="P677" s="10" t="s">
        <v>71</v>
      </c>
      <c r="Q677" s="11" t="s">
        <v>72</v>
      </c>
      <c r="R677" s="11" t="s">
        <v>73</v>
      </c>
      <c r="S677" s="11" t="s">
        <v>74</v>
      </c>
      <c r="T677" s="11" t="s">
        <v>3057</v>
      </c>
      <c r="U677" s="10" t="n">
        <f aca="false">IF(AND($D677="",$E677="",$F677=""),1,0)</f>
        <v>0</v>
      </c>
      <c r="V677" s="10" t="n">
        <f aca="false">IF(OR($I677="",$I677="—"),1,0)</f>
        <v>0</v>
      </c>
      <c r="W677" s="10" t="n">
        <f aca="false">IF(AND(ISNUMBER($D677),ISNUMBER($E677)),IF($E677&gt;$D677,1,0),0)+IF(AND(ISNUMBER($D677),ISNUMBER($F677)),IF($D677&gt;$F677,1,0),0)+IF(AND(ISNUMBER($E677),ISNUMBER($F677)),IF($E677&gt;$F677,1,0),0)</f>
        <v>0</v>
      </c>
      <c r="X677" s="13" t="s">
        <v>76</v>
      </c>
    </row>
    <row r="678" customFormat="false" ht="15" hidden="false" customHeight="false" outlineLevel="0" collapsed="false">
      <c r="A678" s="10" t="s">
        <v>3058</v>
      </c>
      <c r="B678" s="10" t="s">
        <v>3059</v>
      </c>
      <c r="C678" s="11" t="s">
        <v>3053</v>
      </c>
      <c r="D678" s="12" t="n">
        <v>0.1217</v>
      </c>
      <c r="E678" s="12"/>
      <c r="F678" s="12"/>
      <c r="G678" s="10" t="s">
        <v>63</v>
      </c>
      <c r="H678" s="10" t="s">
        <v>83</v>
      </c>
      <c r="I678" s="11" t="s">
        <v>3021</v>
      </c>
      <c r="J678" s="10" t="s">
        <v>66</v>
      </c>
      <c r="K678" s="10" t="s">
        <v>67</v>
      </c>
      <c r="L678" s="10" t="s">
        <v>68</v>
      </c>
      <c r="M678" s="10" t="s">
        <v>69</v>
      </c>
      <c r="N678" s="10"/>
      <c r="O678" s="11" t="s">
        <v>2851</v>
      </c>
      <c r="P678" s="10" t="s">
        <v>71</v>
      </c>
      <c r="Q678" s="11" t="s">
        <v>72</v>
      </c>
      <c r="R678" s="11" t="s">
        <v>73</v>
      </c>
      <c r="S678" s="11" t="s">
        <v>74</v>
      </c>
      <c r="T678" s="11" t="s">
        <v>3060</v>
      </c>
      <c r="U678" s="10" t="n">
        <f aca="false">IF(AND($D678="",$E678="",$F678=""),1,0)</f>
        <v>0</v>
      </c>
      <c r="V678" s="10" t="n">
        <f aca="false">IF(OR($I678="",$I678="—"),1,0)</f>
        <v>0</v>
      </c>
      <c r="W678" s="10" t="n">
        <f aca="false">IF(AND(ISNUMBER($D678),ISNUMBER($E678)),IF($E678&gt;$D678,1,0),0)+IF(AND(ISNUMBER($D678),ISNUMBER($F678)),IF($D678&gt;$F678,1,0),0)+IF(AND(ISNUMBER($E678),ISNUMBER($F678)),IF($E678&gt;$F678,1,0),0)</f>
        <v>0</v>
      </c>
      <c r="X678" s="13" t="s">
        <v>76</v>
      </c>
    </row>
    <row r="679" customFormat="false" ht="15" hidden="false" customHeight="false" outlineLevel="0" collapsed="false">
      <c r="A679" s="10" t="s">
        <v>3061</v>
      </c>
      <c r="B679" s="10" t="s">
        <v>3062</v>
      </c>
      <c r="C679" s="11" t="s">
        <v>3053</v>
      </c>
      <c r="D679" s="12" t="n">
        <v>0.0167</v>
      </c>
      <c r="E679" s="12"/>
      <c r="F679" s="12"/>
      <c r="G679" s="10" t="s">
        <v>63</v>
      </c>
      <c r="H679" s="10" t="s">
        <v>87</v>
      </c>
      <c r="I679" s="11" t="s">
        <v>3021</v>
      </c>
      <c r="J679" s="10" t="s">
        <v>66</v>
      </c>
      <c r="K679" s="10" t="s">
        <v>67</v>
      </c>
      <c r="L679" s="10" t="s">
        <v>68</v>
      </c>
      <c r="M679" s="10" t="s">
        <v>69</v>
      </c>
      <c r="N679" s="10"/>
      <c r="O679" s="11" t="s">
        <v>2861</v>
      </c>
      <c r="P679" s="10" t="s">
        <v>71</v>
      </c>
      <c r="Q679" s="11" t="s">
        <v>72</v>
      </c>
      <c r="R679" s="11" t="s">
        <v>73</v>
      </c>
      <c r="S679" s="11" t="s">
        <v>74</v>
      </c>
      <c r="T679" s="11" t="s">
        <v>3063</v>
      </c>
      <c r="U679" s="10" t="n">
        <f aca="false">IF(AND($D679="",$E679="",$F679=""),1,0)</f>
        <v>0</v>
      </c>
      <c r="V679" s="10" t="n">
        <f aca="false">IF(OR($I679="",$I679="—"),1,0)</f>
        <v>0</v>
      </c>
      <c r="W679" s="10" t="n">
        <f aca="false">IF(AND(ISNUMBER($D679),ISNUMBER($E679)),IF($E679&gt;$D679,1,0),0)+IF(AND(ISNUMBER($D679),ISNUMBER($F679)),IF($D679&gt;$F679,1,0),0)+IF(AND(ISNUMBER($E679),ISNUMBER($F679)),IF($E679&gt;$F679,1,0),0)</f>
        <v>0</v>
      </c>
      <c r="X679" s="13" t="s">
        <v>76</v>
      </c>
    </row>
    <row r="680" customFormat="false" ht="15" hidden="false" customHeight="false" outlineLevel="0" collapsed="false">
      <c r="A680" s="10" t="s">
        <v>3064</v>
      </c>
      <c r="B680" s="10" t="s">
        <v>3065</v>
      </c>
      <c r="C680" s="11" t="s">
        <v>3053</v>
      </c>
      <c r="D680" s="12" t="n">
        <v>0.0667</v>
      </c>
      <c r="E680" s="12"/>
      <c r="F680" s="12"/>
      <c r="G680" s="10" t="s">
        <v>63</v>
      </c>
      <c r="H680" s="10" t="s">
        <v>92</v>
      </c>
      <c r="I680" s="11" t="s">
        <v>3021</v>
      </c>
      <c r="J680" s="10" t="s">
        <v>66</v>
      </c>
      <c r="K680" s="10" t="s">
        <v>67</v>
      </c>
      <c r="L680" s="10" t="s">
        <v>68</v>
      </c>
      <c r="M680" s="10" t="s">
        <v>69</v>
      </c>
      <c r="N680" s="10"/>
      <c r="O680" s="11" t="s">
        <v>2865</v>
      </c>
      <c r="P680" s="10" t="s">
        <v>71</v>
      </c>
      <c r="Q680" s="11" t="s">
        <v>72</v>
      </c>
      <c r="R680" s="11" t="s">
        <v>73</v>
      </c>
      <c r="S680" s="11" t="s">
        <v>74</v>
      </c>
      <c r="T680" s="11" t="s">
        <v>3066</v>
      </c>
      <c r="U680" s="10" t="n">
        <f aca="false">IF(AND($D680="",$E680="",$F680=""),1,0)</f>
        <v>0</v>
      </c>
      <c r="V680" s="10" t="n">
        <f aca="false">IF(OR($I680="",$I680="—"),1,0)</f>
        <v>0</v>
      </c>
      <c r="W680" s="10" t="n">
        <f aca="false">IF(AND(ISNUMBER($D680),ISNUMBER($E680)),IF($E680&gt;$D680,1,0),0)+IF(AND(ISNUMBER($D680),ISNUMBER($F680)),IF($D680&gt;$F680,1,0),0)+IF(AND(ISNUMBER($E680),ISNUMBER($F680)),IF($E680&gt;$F680,1,0),0)</f>
        <v>0</v>
      </c>
      <c r="X680" s="13" t="s">
        <v>76</v>
      </c>
    </row>
    <row r="681" customFormat="false" ht="15" hidden="false" customHeight="false" outlineLevel="0" collapsed="false">
      <c r="A681" s="10" t="s">
        <v>3067</v>
      </c>
      <c r="B681" s="10" t="s">
        <v>3068</v>
      </c>
      <c r="C681" s="11" t="s">
        <v>3069</v>
      </c>
      <c r="D681" s="12" t="n">
        <v>0.0191</v>
      </c>
      <c r="E681" s="12"/>
      <c r="F681" s="12"/>
      <c r="G681" s="10" t="s">
        <v>63</v>
      </c>
      <c r="H681" s="10" t="s">
        <v>64</v>
      </c>
      <c r="I681" s="11" t="s">
        <v>3021</v>
      </c>
      <c r="J681" s="10" t="s">
        <v>66</v>
      </c>
      <c r="K681" s="10" t="s">
        <v>67</v>
      </c>
      <c r="L681" s="10" t="s">
        <v>68</v>
      </c>
      <c r="M681" s="10" t="s">
        <v>69</v>
      </c>
      <c r="N681" s="10"/>
      <c r="O681" s="11" t="s">
        <v>2851</v>
      </c>
      <c r="P681" s="10" t="s">
        <v>71</v>
      </c>
      <c r="Q681" s="11" t="s">
        <v>72</v>
      </c>
      <c r="R681" s="11" t="s">
        <v>73</v>
      </c>
      <c r="S681" s="11" t="s">
        <v>74</v>
      </c>
      <c r="T681" s="11" t="s">
        <v>3070</v>
      </c>
      <c r="U681" s="10" t="n">
        <f aca="false">IF(AND($D681="",$E681="",$F681=""),1,0)</f>
        <v>0</v>
      </c>
      <c r="V681" s="10" t="n">
        <f aca="false">IF(OR($I681="",$I681="—"),1,0)</f>
        <v>0</v>
      </c>
      <c r="W681" s="10" t="n">
        <f aca="false">IF(AND(ISNUMBER($D681),ISNUMBER($E681)),IF($E681&gt;$D681,1,0),0)+IF(AND(ISNUMBER($D681),ISNUMBER($F681)),IF($D681&gt;$F681,1,0),0)+IF(AND(ISNUMBER($E681),ISNUMBER($F681)),IF($E681&gt;$F681,1,0),0)</f>
        <v>0</v>
      </c>
      <c r="X681" s="13" t="s">
        <v>76</v>
      </c>
    </row>
    <row r="682" customFormat="false" ht="15" hidden="false" customHeight="false" outlineLevel="0" collapsed="false">
      <c r="A682" s="10" t="s">
        <v>3071</v>
      </c>
      <c r="B682" s="10" t="s">
        <v>3072</v>
      </c>
      <c r="C682" s="11" t="s">
        <v>3069</v>
      </c>
      <c r="D682" s="12" t="n">
        <v>0.0644</v>
      </c>
      <c r="E682" s="12"/>
      <c r="F682" s="12"/>
      <c r="G682" s="10" t="s">
        <v>63</v>
      </c>
      <c r="H682" s="10" t="s">
        <v>79</v>
      </c>
      <c r="I682" s="11" t="s">
        <v>3021</v>
      </c>
      <c r="J682" s="10" t="s">
        <v>66</v>
      </c>
      <c r="K682" s="10" t="s">
        <v>67</v>
      </c>
      <c r="L682" s="10" t="s">
        <v>68</v>
      </c>
      <c r="M682" s="10" t="s">
        <v>69</v>
      </c>
      <c r="N682" s="10"/>
      <c r="O682" s="11" t="s">
        <v>2851</v>
      </c>
      <c r="P682" s="10" t="s">
        <v>71</v>
      </c>
      <c r="Q682" s="11" t="s">
        <v>72</v>
      </c>
      <c r="R682" s="11" t="s">
        <v>73</v>
      </c>
      <c r="S682" s="11" t="s">
        <v>74</v>
      </c>
      <c r="T682" s="11" t="s">
        <v>3073</v>
      </c>
      <c r="U682" s="10" t="n">
        <f aca="false">IF(AND($D682="",$E682="",$F682=""),1,0)</f>
        <v>0</v>
      </c>
      <c r="V682" s="10" t="n">
        <f aca="false">IF(OR($I682="",$I682="—"),1,0)</f>
        <v>0</v>
      </c>
      <c r="W682" s="10" t="n">
        <f aca="false">IF(AND(ISNUMBER($D682),ISNUMBER($E682)),IF($E682&gt;$D682,1,0),0)+IF(AND(ISNUMBER($D682),ISNUMBER($F682)),IF($D682&gt;$F682,1,0),0)+IF(AND(ISNUMBER($E682),ISNUMBER($F682)),IF($E682&gt;$F682,1,0),0)</f>
        <v>0</v>
      </c>
      <c r="X682" s="13" t="s">
        <v>76</v>
      </c>
    </row>
    <row r="683" customFormat="false" ht="15" hidden="false" customHeight="false" outlineLevel="0" collapsed="false">
      <c r="A683" s="10" t="s">
        <v>3074</v>
      </c>
      <c r="B683" s="10" t="s">
        <v>3075</v>
      </c>
      <c r="C683" s="11" t="s">
        <v>3069</v>
      </c>
      <c r="D683" s="12" t="n">
        <v>0.0677</v>
      </c>
      <c r="E683" s="12"/>
      <c r="F683" s="12"/>
      <c r="G683" s="10" t="s">
        <v>63</v>
      </c>
      <c r="H683" s="10" t="s">
        <v>83</v>
      </c>
      <c r="I683" s="11" t="s">
        <v>3021</v>
      </c>
      <c r="J683" s="10" t="s">
        <v>66</v>
      </c>
      <c r="K683" s="10" t="s">
        <v>67</v>
      </c>
      <c r="L683" s="10" t="s">
        <v>68</v>
      </c>
      <c r="M683" s="10" t="s">
        <v>69</v>
      </c>
      <c r="N683" s="10"/>
      <c r="O683" s="11" t="s">
        <v>2851</v>
      </c>
      <c r="P683" s="10" t="s">
        <v>71</v>
      </c>
      <c r="Q683" s="11" t="s">
        <v>72</v>
      </c>
      <c r="R683" s="11" t="s">
        <v>73</v>
      </c>
      <c r="S683" s="11" t="s">
        <v>74</v>
      </c>
      <c r="T683" s="11" t="s">
        <v>3076</v>
      </c>
      <c r="U683" s="10" t="n">
        <f aca="false">IF(AND($D683="",$E683="",$F683=""),1,0)</f>
        <v>0</v>
      </c>
      <c r="V683" s="10" t="n">
        <f aca="false">IF(OR($I683="",$I683="—"),1,0)</f>
        <v>0</v>
      </c>
      <c r="W683" s="10" t="n">
        <f aca="false">IF(AND(ISNUMBER($D683),ISNUMBER($E683)),IF($E683&gt;$D683,1,0),0)+IF(AND(ISNUMBER($D683),ISNUMBER($F683)),IF($D683&gt;$F683,1,0),0)+IF(AND(ISNUMBER($E683),ISNUMBER($F683)),IF($E683&gt;$F683,1,0),0)</f>
        <v>0</v>
      </c>
      <c r="X683" s="13" t="s">
        <v>76</v>
      </c>
    </row>
    <row r="684" customFormat="false" ht="15" hidden="false" customHeight="false" outlineLevel="0" collapsed="false">
      <c r="A684" s="10" t="s">
        <v>3077</v>
      </c>
      <c r="B684" s="10" t="s">
        <v>3078</v>
      </c>
      <c r="C684" s="11" t="s">
        <v>3069</v>
      </c>
      <c r="D684" s="12" t="n">
        <v>0.0055</v>
      </c>
      <c r="E684" s="12"/>
      <c r="F684" s="12"/>
      <c r="G684" s="10" t="s">
        <v>63</v>
      </c>
      <c r="H684" s="10" t="s">
        <v>87</v>
      </c>
      <c r="I684" s="11" t="s">
        <v>3021</v>
      </c>
      <c r="J684" s="10" t="s">
        <v>66</v>
      </c>
      <c r="K684" s="10" t="s">
        <v>67</v>
      </c>
      <c r="L684" s="10" t="s">
        <v>68</v>
      </c>
      <c r="M684" s="10" t="s">
        <v>69</v>
      </c>
      <c r="N684" s="10"/>
      <c r="O684" s="11" t="s">
        <v>2861</v>
      </c>
      <c r="P684" s="10" t="s">
        <v>71</v>
      </c>
      <c r="Q684" s="11" t="s">
        <v>72</v>
      </c>
      <c r="R684" s="11" t="s">
        <v>73</v>
      </c>
      <c r="S684" s="11" t="s">
        <v>74</v>
      </c>
      <c r="T684" s="11" t="s">
        <v>3079</v>
      </c>
      <c r="U684" s="10" t="n">
        <f aca="false">IF(AND($D684="",$E684="",$F684=""),1,0)</f>
        <v>0</v>
      </c>
      <c r="V684" s="10" t="n">
        <f aca="false">IF(OR($I684="",$I684="—"),1,0)</f>
        <v>0</v>
      </c>
      <c r="W684" s="10" t="n">
        <f aca="false">IF(AND(ISNUMBER($D684),ISNUMBER($E684)),IF($E684&gt;$D684,1,0),0)+IF(AND(ISNUMBER($D684),ISNUMBER($F684)),IF($D684&gt;$F684,1,0),0)+IF(AND(ISNUMBER($E684),ISNUMBER($F684)),IF($E684&gt;$F684,1,0),0)</f>
        <v>0</v>
      </c>
      <c r="X684" s="13" t="s">
        <v>76</v>
      </c>
    </row>
    <row r="685" customFormat="false" ht="15" hidden="false" customHeight="false" outlineLevel="0" collapsed="false">
      <c r="A685" s="10" t="s">
        <v>3080</v>
      </c>
      <c r="B685" s="10" t="s">
        <v>3081</v>
      </c>
      <c r="C685" s="11" t="s">
        <v>3069</v>
      </c>
      <c r="D685" s="12" t="n">
        <v>0.0207</v>
      </c>
      <c r="E685" s="12"/>
      <c r="F685" s="12"/>
      <c r="G685" s="10" t="s">
        <v>63</v>
      </c>
      <c r="H685" s="10" t="s">
        <v>92</v>
      </c>
      <c r="I685" s="11" t="s">
        <v>3021</v>
      </c>
      <c r="J685" s="10" t="s">
        <v>66</v>
      </c>
      <c r="K685" s="10" t="s">
        <v>67</v>
      </c>
      <c r="L685" s="10" t="s">
        <v>68</v>
      </c>
      <c r="M685" s="10" t="s">
        <v>69</v>
      </c>
      <c r="N685" s="10"/>
      <c r="O685" s="11" t="s">
        <v>2865</v>
      </c>
      <c r="P685" s="10" t="s">
        <v>71</v>
      </c>
      <c r="Q685" s="11" t="s">
        <v>72</v>
      </c>
      <c r="R685" s="11" t="s">
        <v>73</v>
      </c>
      <c r="S685" s="11" t="s">
        <v>74</v>
      </c>
      <c r="T685" s="11" t="s">
        <v>3082</v>
      </c>
      <c r="U685" s="10" t="n">
        <f aca="false">IF(AND($D685="",$E685="",$F685=""),1,0)</f>
        <v>0</v>
      </c>
      <c r="V685" s="10" t="n">
        <f aca="false">IF(OR($I685="",$I685="—"),1,0)</f>
        <v>0</v>
      </c>
      <c r="W685" s="10" t="n">
        <f aca="false">IF(AND(ISNUMBER($D685),ISNUMBER($E685)),IF($E685&gt;$D685,1,0),0)+IF(AND(ISNUMBER($D685),ISNUMBER($F685)),IF($D685&gt;$F685,1,0),0)+IF(AND(ISNUMBER($E685),ISNUMBER($F685)),IF($E685&gt;$F685,1,0),0)</f>
        <v>0</v>
      </c>
      <c r="X685" s="13" t="s">
        <v>76</v>
      </c>
    </row>
    <row r="686" customFormat="false" ht="15" hidden="false" customHeight="false" outlineLevel="0" collapsed="false">
      <c r="A686" s="10" t="s">
        <v>3083</v>
      </c>
      <c r="B686" s="10" t="s">
        <v>3084</v>
      </c>
      <c r="C686" s="11" t="s">
        <v>3085</v>
      </c>
      <c r="D686" s="12" t="n">
        <v>0.0455</v>
      </c>
      <c r="E686" s="12"/>
      <c r="F686" s="12"/>
      <c r="G686" s="10" t="s">
        <v>63</v>
      </c>
      <c r="H686" s="10" t="s">
        <v>64</v>
      </c>
      <c r="I686" s="11" t="s">
        <v>3021</v>
      </c>
      <c r="J686" s="10" t="s">
        <v>66</v>
      </c>
      <c r="K686" s="10" t="s">
        <v>67</v>
      </c>
      <c r="L686" s="10" t="s">
        <v>68</v>
      </c>
      <c r="M686" s="10" t="s">
        <v>69</v>
      </c>
      <c r="N686" s="10"/>
      <c r="O686" s="11" t="s">
        <v>2851</v>
      </c>
      <c r="P686" s="10" t="s">
        <v>71</v>
      </c>
      <c r="Q686" s="11" t="s">
        <v>72</v>
      </c>
      <c r="R686" s="11" t="s">
        <v>73</v>
      </c>
      <c r="S686" s="11" t="s">
        <v>74</v>
      </c>
      <c r="T686" s="11" t="s">
        <v>3086</v>
      </c>
      <c r="U686" s="10" t="n">
        <f aca="false">IF(AND($D686="",$E686="",$F686=""),1,0)</f>
        <v>0</v>
      </c>
      <c r="V686" s="10" t="n">
        <f aca="false">IF(OR($I686="",$I686="—"),1,0)</f>
        <v>0</v>
      </c>
      <c r="W686" s="10" t="n">
        <f aca="false">IF(AND(ISNUMBER($D686),ISNUMBER($E686)),IF($E686&gt;$D686,1,0),0)+IF(AND(ISNUMBER($D686),ISNUMBER($F686)),IF($D686&gt;$F686,1,0),0)+IF(AND(ISNUMBER($E686),ISNUMBER($F686)),IF($E686&gt;$F686,1,0),0)</f>
        <v>0</v>
      </c>
      <c r="X686" s="13" t="s">
        <v>76</v>
      </c>
    </row>
    <row r="687" customFormat="false" ht="15" hidden="false" customHeight="false" outlineLevel="0" collapsed="false">
      <c r="A687" s="10" t="s">
        <v>3087</v>
      </c>
      <c r="B687" s="10" t="s">
        <v>3088</v>
      </c>
      <c r="C687" s="11" t="s">
        <v>3085</v>
      </c>
      <c r="D687" s="12" t="n">
        <v>0.0062</v>
      </c>
      <c r="E687" s="12"/>
      <c r="F687" s="12"/>
      <c r="G687" s="10" t="s">
        <v>63</v>
      </c>
      <c r="H687" s="10" t="s">
        <v>79</v>
      </c>
      <c r="I687" s="11" t="s">
        <v>3021</v>
      </c>
      <c r="J687" s="10" t="s">
        <v>66</v>
      </c>
      <c r="K687" s="10" t="s">
        <v>67</v>
      </c>
      <c r="L687" s="10" t="s">
        <v>68</v>
      </c>
      <c r="M687" s="10" t="s">
        <v>69</v>
      </c>
      <c r="N687" s="10"/>
      <c r="O687" s="11" t="s">
        <v>2851</v>
      </c>
      <c r="P687" s="10" t="s">
        <v>71</v>
      </c>
      <c r="Q687" s="11" t="s">
        <v>72</v>
      </c>
      <c r="R687" s="11" t="s">
        <v>73</v>
      </c>
      <c r="S687" s="11" t="s">
        <v>74</v>
      </c>
      <c r="T687" s="11" t="s">
        <v>3089</v>
      </c>
      <c r="U687" s="10" t="n">
        <f aca="false">IF(AND($D687="",$E687="",$F687=""),1,0)</f>
        <v>0</v>
      </c>
      <c r="V687" s="10" t="n">
        <f aca="false">IF(OR($I687="",$I687="—"),1,0)</f>
        <v>0</v>
      </c>
      <c r="W687" s="10" t="n">
        <f aca="false">IF(AND(ISNUMBER($D687),ISNUMBER($E687)),IF($E687&gt;$D687,1,0),0)+IF(AND(ISNUMBER($D687),ISNUMBER($F687)),IF($D687&gt;$F687,1,0),0)+IF(AND(ISNUMBER($E687),ISNUMBER($F687)),IF($E687&gt;$F687,1,0),0)</f>
        <v>0</v>
      </c>
      <c r="X687" s="13" t="s">
        <v>76</v>
      </c>
    </row>
    <row r="688" customFormat="false" ht="15" hidden="false" customHeight="false" outlineLevel="0" collapsed="false">
      <c r="A688" s="10" t="s">
        <v>3090</v>
      </c>
      <c r="B688" s="10" t="s">
        <v>3091</v>
      </c>
      <c r="C688" s="11" t="s">
        <v>3085</v>
      </c>
      <c r="D688" s="12" t="n">
        <v>0.0913</v>
      </c>
      <c r="E688" s="12"/>
      <c r="F688" s="12"/>
      <c r="G688" s="10" t="s">
        <v>63</v>
      </c>
      <c r="H688" s="10" t="s">
        <v>83</v>
      </c>
      <c r="I688" s="11" t="s">
        <v>3021</v>
      </c>
      <c r="J688" s="10" t="s">
        <v>66</v>
      </c>
      <c r="K688" s="10" t="s">
        <v>67</v>
      </c>
      <c r="L688" s="10" t="s">
        <v>68</v>
      </c>
      <c r="M688" s="10" t="s">
        <v>69</v>
      </c>
      <c r="N688" s="10"/>
      <c r="O688" s="11" t="s">
        <v>2851</v>
      </c>
      <c r="P688" s="10" t="s">
        <v>71</v>
      </c>
      <c r="Q688" s="11" t="s">
        <v>72</v>
      </c>
      <c r="R688" s="11" t="s">
        <v>73</v>
      </c>
      <c r="S688" s="11" t="s">
        <v>74</v>
      </c>
      <c r="T688" s="11" t="s">
        <v>3092</v>
      </c>
      <c r="U688" s="10" t="n">
        <f aca="false">IF(AND($D688="",$E688="",$F688=""),1,0)</f>
        <v>0</v>
      </c>
      <c r="V688" s="10" t="n">
        <f aca="false">IF(OR($I688="",$I688="—"),1,0)</f>
        <v>0</v>
      </c>
      <c r="W688" s="10" t="n">
        <f aca="false">IF(AND(ISNUMBER($D688),ISNUMBER($E688)),IF($E688&gt;$D688,1,0),0)+IF(AND(ISNUMBER($D688),ISNUMBER($F688)),IF($D688&gt;$F688,1,0),0)+IF(AND(ISNUMBER($E688),ISNUMBER($F688)),IF($E688&gt;$F688,1,0),0)</f>
        <v>0</v>
      </c>
      <c r="X688" s="13" t="s">
        <v>76</v>
      </c>
    </row>
    <row r="689" customFormat="false" ht="15" hidden="false" customHeight="false" outlineLevel="0" collapsed="false">
      <c r="A689" s="10" t="s">
        <v>3093</v>
      </c>
      <c r="B689" s="10" t="s">
        <v>3094</v>
      </c>
      <c r="C689" s="11" t="s">
        <v>3085</v>
      </c>
      <c r="D689" s="12" t="n">
        <v>0.0036</v>
      </c>
      <c r="E689" s="12"/>
      <c r="F689" s="12"/>
      <c r="G689" s="10" t="s">
        <v>63</v>
      </c>
      <c r="H689" s="10" t="s">
        <v>87</v>
      </c>
      <c r="I689" s="11" t="s">
        <v>3021</v>
      </c>
      <c r="J689" s="10" t="s">
        <v>66</v>
      </c>
      <c r="K689" s="10" t="s">
        <v>67</v>
      </c>
      <c r="L689" s="10" t="s">
        <v>68</v>
      </c>
      <c r="M689" s="10" t="s">
        <v>69</v>
      </c>
      <c r="N689" s="10"/>
      <c r="O689" s="11" t="s">
        <v>2861</v>
      </c>
      <c r="P689" s="10" t="s">
        <v>71</v>
      </c>
      <c r="Q689" s="11" t="s">
        <v>72</v>
      </c>
      <c r="R689" s="11" t="s">
        <v>73</v>
      </c>
      <c r="S689" s="11" t="s">
        <v>74</v>
      </c>
      <c r="T689" s="11" t="s">
        <v>3095</v>
      </c>
      <c r="U689" s="10" t="n">
        <f aca="false">IF(AND($D689="",$E689="",$F689=""),1,0)</f>
        <v>0</v>
      </c>
      <c r="V689" s="10" t="n">
        <f aca="false">IF(OR($I689="",$I689="—"),1,0)</f>
        <v>0</v>
      </c>
      <c r="W689" s="10" t="n">
        <f aca="false">IF(AND(ISNUMBER($D689),ISNUMBER($E689)),IF($E689&gt;$D689,1,0),0)+IF(AND(ISNUMBER($D689),ISNUMBER($F689)),IF($D689&gt;$F689,1,0),0)+IF(AND(ISNUMBER($E689),ISNUMBER($F689)),IF($E689&gt;$F689,1,0),0)</f>
        <v>0</v>
      </c>
      <c r="X689" s="13" t="s">
        <v>76</v>
      </c>
    </row>
    <row r="690" customFormat="false" ht="15" hidden="false" customHeight="false" outlineLevel="0" collapsed="false">
      <c r="A690" s="10" t="s">
        <v>3096</v>
      </c>
      <c r="B690" s="10" t="s">
        <v>3097</v>
      </c>
      <c r="C690" s="11" t="s">
        <v>3085</v>
      </c>
      <c r="D690" s="12" t="n">
        <v>0.0617</v>
      </c>
      <c r="E690" s="12"/>
      <c r="F690" s="12"/>
      <c r="G690" s="10" t="s">
        <v>63</v>
      </c>
      <c r="H690" s="10" t="s">
        <v>92</v>
      </c>
      <c r="I690" s="11" t="s">
        <v>3021</v>
      </c>
      <c r="J690" s="10" t="s">
        <v>66</v>
      </c>
      <c r="K690" s="10" t="s">
        <v>67</v>
      </c>
      <c r="L690" s="10" t="s">
        <v>68</v>
      </c>
      <c r="M690" s="10" t="s">
        <v>69</v>
      </c>
      <c r="N690" s="10"/>
      <c r="O690" s="11" t="s">
        <v>2865</v>
      </c>
      <c r="P690" s="10" t="s">
        <v>71</v>
      </c>
      <c r="Q690" s="11" t="s">
        <v>72</v>
      </c>
      <c r="R690" s="11" t="s">
        <v>73</v>
      </c>
      <c r="S690" s="11" t="s">
        <v>74</v>
      </c>
      <c r="T690" s="11" t="s">
        <v>3098</v>
      </c>
      <c r="U690" s="10" t="n">
        <f aca="false">IF(AND($D690="",$E690="",$F690=""),1,0)</f>
        <v>0</v>
      </c>
      <c r="V690" s="10" t="n">
        <f aca="false">IF(OR($I690="",$I690="—"),1,0)</f>
        <v>0</v>
      </c>
      <c r="W690" s="10" t="n">
        <f aca="false">IF(AND(ISNUMBER($D690),ISNUMBER($E690)),IF($E690&gt;$D690,1,0),0)+IF(AND(ISNUMBER($D690),ISNUMBER($F690)),IF($D690&gt;$F690,1,0),0)+IF(AND(ISNUMBER($E690),ISNUMBER($F690)),IF($E690&gt;$F690,1,0),0)</f>
        <v>0</v>
      </c>
      <c r="X690" s="13" t="s">
        <v>76</v>
      </c>
    </row>
    <row r="691" customFormat="false" ht="15" hidden="false" customHeight="false" outlineLevel="0" collapsed="false">
      <c r="A691" s="10" t="s">
        <v>3099</v>
      </c>
      <c r="B691" s="10" t="s">
        <v>3100</v>
      </c>
      <c r="C691" s="11" t="s">
        <v>3101</v>
      </c>
      <c r="D691" s="12" t="n">
        <v>0.0006</v>
      </c>
      <c r="E691" s="12"/>
      <c r="F691" s="12"/>
      <c r="G691" s="10" t="s">
        <v>63</v>
      </c>
      <c r="H691" s="10" t="s">
        <v>64</v>
      </c>
      <c r="I691" s="11" t="s">
        <v>3021</v>
      </c>
      <c r="J691" s="10" t="s">
        <v>66</v>
      </c>
      <c r="K691" s="10" t="s">
        <v>67</v>
      </c>
      <c r="L691" s="10" t="s">
        <v>68</v>
      </c>
      <c r="M691" s="10" t="s">
        <v>69</v>
      </c>
      <c r="N691" s="10"/>
      <c r="O691" s="11" t="s">
        <v>2851</v>
      </c>
      <c r="P691" s="10" t="s">
        <v>71</v>
      </c>
      <c r="Q691" s="11" t="s">
        <v>72</v>
      </c>
      <c r="R691" s="11" t="s">
        <v>73</v>
      </c>
      <c r="S691" s="11" t="s">
        <v>74</v>
      </c>
      <c r="T691" s="11" t="s">
        <v>3102</v>
      </c>
      <c r="U691" s="10" t="n">
        <f aca="false">IF(AND($D691="",$E691="",$F691=""),1,0)</f>
        <v>0</v>
      </c>
      <c r="V691" s="10" t="n">
        <f aca="false">IF(OR($I691="",$I691="—"),1,0)</f>
        <v>0</v>
      </c>
      <c r="W691" s="10" t="n">
        <f aca="false">IF(AND(ISNUMBER($D691),ISNUMBER($E691)),IF($E691&gt;$D691,1,0),0)+IF(AND(ISNUMBER($D691),ISNUMBER($F691)),IF($D691&gt;$F691,1,0),0)+IF(AND(ISNUMBER($E691),ISNUMBER($F691)),IF($E691&gt;$F691,1,0),0)</f>
        <v>0</v>
      </c>
      <c r="X691" s="13" t="s">
        <v>76</v>
      </c>
    </row>
    <row r="692" customFormat="false" ht="15" hidden="false" customHeight="false" outlineLevel="0" collapsed="false">
      <c r="A692" s="10" t="s">
        <v>3103</v>
      </c>
      <c r="B692" s="10" t="s">
        <v>3104</v>
      </c>
      <c r="C692" s="11" t="s">
        <v>3101</v>
      </c>
      <c r="D692" s="12" t="n">
        <v>0.0171</v>
      </c>
      <c r="E692" s="12"/>
      <c r="F692" s="12"/>
      <c r="G692" s="10" t="s">
        <v>63</v>
      </c>
      <c r="H692" s="10" t="s">
        <v>79</v>
      </c>
      <c r="I692" s="11" t="s">
        <v>3021</v>
      </c>
      <c r="J692" s="10" t="s">
        <v>66</v>
      </c>
      <c r="K692" s="10" t="s">
        <v>67</v>
      </c>
      <c r="L692" s="10" t="s">
        <v>68</v>
      </c>
      <c r="M692" s="10" t="s">
        <v>69</v>
      </c>
      <c r="N692" s="10"/>
      <c r="O692" s="11" t="s">
        <v>2851</v>
      </c>
      <c r="P692" s="10" t="s">
        <v>71</v>
      </c>
      <c r="Q692" s="11" t="s">
        <v>72</v>
      </c>
      <c r="R692" s="11" t="s">
        <v>73</v>
      </c>
      <c r="S692" s="11" t="s">
        <v>74</v>
      </c>
      <c r="T692" s="11" t="s">
        <v>3105</v>
      </c>
      <c r="U692" s="10" t="n">
        <f aca="false">IF(AND($D692="",$E692="",$F692=""),1,0)</f>
        <v>0</v>
      </c>
      <c r="V692" s="10" t="n">
        <f aca="false">IF(OR($I692="",$I692="—"),1,0)</f>
        <v>0</v>
      </c>
      <c r="W692" s="10" t="n">
        <f aca="false">IF(AND(ISNUMBER($D692),ISNUMBER($E692)),IF($E692&gt;$D692,1,0),0)+IF(AND(ISNUMBER($D692),ISNUMBER($F692)),IF($D692&gt;$F692,1,0),0)+IF(AND(ISNUMBER($E692),ISNUMBER($F692)),IF($E692&gt;$F692,1,0),0)</f>
        <v>0</v>
      </c>
      <c r="X692" s="13" t="s">
        <v>76</v>
      </c>
    </row>
    <row r="693" customFormat="false" ht="15" hidden="false" customHeight="false" outlineLevel="0" collapsed="false">
      <c r="A693" s="10" t="s">
        <v>3106</v>
      </c>
      <c r="B693" s="10" t="s">
        <v>3107</v>
      </c>
      <c r="C693" s="11" t="s">
        <v>3101</v>
      </c>
      <c r="D693" s="12" t="n">
        <v>0.0054</v>
      </c>
      <c r="E693" s="12"/>
      <c r="F693" s="12"/>
      <c r="G693" s="10" t="s">
        <v>63</v>
      </c>
      <c r="H693" s="10" t="s">
        <v>83</v>
      </c>
      <c r="I693" s="11" t="s">
        <v>3021</v>
      </c>
      <c r="J693" s="10" t="s">
        <v>66</v>
      </c>
      <c r="K693" s="10" t="s">
        <v>67</v>
      </c>
      <c r="L693" s="10" t="s">
        <v>68</v>
      </c>
      <c r="M693" s="10" t="s">
        <v>69</v>
      </c>
      <c r="N693" s="10"/>
      <c r="O693" s="11" t="s">
        <v>2851</v>
      </c>
      <c r="P693" s="10" t="s">
        <v>71</v>
      </c>
      <c r="Q693" s="11" t="s">
        <v>72</v>
      </c>
      <c r="R693" s="11" t="s">
        <v>73</v>
      </c>
      <c r="S693" s="11" t="s">
        <v>74</v>
      </c>
      <c r="T693" s="11" t="s">
        <v>3108</v>
      </c>
      <c r="U693" s="10" t="n">
        <f aca="false">IF(AND($D693="",$E693="",$F693=""),1,0)</f>
        <v>0</v>
      </c>
      <c r="V693" s="10" t="n">
        <f aca="false">IF(OR($I693="",$I693="—"),1,0)</f>
        <v>0</v>
      </c>
      <c r="W693" s="10" t="n">
        <f aca="false">IF(AND(ISNUMBER($D693),ISNUMBER($E693)),IF($E693&gt;$D693,1,0),0)+IF(AND(ISNUMBER($D693),ISNUMBER($F693)),IF($D693&gt;$F693,1,0),0)+IF(AND(ISNUMBER($E693),ISNUMBER($F693)),IF($E693&gt;$F693,1,0),0)</f>
        <v>0</v>
      </c>
      <c r="X693" s="13" t="s">
        <v>76</v>
      </c>
    </row>
    <row r="694" customFormat="false" ht="15" hidden="false" customHeight="false" outlineLevel="0" collapsed="false">
      <c r="A694" s="10" t="s">
        <v>3109</v>
      </c>
      <c r="B694" s="10" t="s">
        <v>3110</v>
      </c>
      <c r="C694" s="11" t="s">
        <v>3101</v>
      </c>
      <c r="D694" s="12" t="n">
        <v>0.0036</v>
      </c>
      <c r="E694" s="12"/>
      <c r="F694" s="12"/>
      <c r="G694" s="10" t="s">
        <v>63</v>
      </c>
      <c r="H694" s="10" t="s">
        <v>87</v>
      </c>
      <c r="I694" s="11" t="s">
        <v>3021</v>
      </c>
      <c r="J694" s="10" t="s">
        <v>66</v>
      </c>
      <c r="K694" s="10" t="s">
        <v>67</v>
      </c>
      <c r="L694" s="10" t="s">
        <v>68</v>
      </c>
      <c r="M694" s="10" t="s">
        <v>69</v>
      </c>
      <c r="N694" s="10"/>
      <c r="O694" s="11" t="s">
        <v>2861</v>
      </c>
      <c r="P694" s="10" t="s">
        <v>71</v>
      </c>
      <c r="Q694" s="11" t="s">
        <v>72</v>
      </c>
      <c r="R694" s="11" t="s">
        <v>73</v>
      </c>
      <c r="S694" s="11" t="s">
        <v>74</v>
      </c>
      <c r="T694" s="11" t="s">
        <v>3111</v>
      </c>
      <c r="U694" s="10" t="n">
        <f aca="false">IF(AND($D694="",$E694="",$F694=""),1,0)</f>
        <v>0</v>
      </c>
      <c r="V694" s="10" t="n">
        <f aca="false">IF(OR($I694="",$I694="—"),1,0)</f>
        <v>0</v>
      </c>
      <c r="W694" s="10" t="n">
        <f aca="false">IF(AND(ISNUMBER($D694),ISNUMBER($E694)),IF($E694&gt;$D694,1,0),0)+IF(AND(ISNUMBER($D694),ISNUMBER($F694)),IF($D694&gt;$F694,1,0),0)+IF(AND(ISNUMBER($E694),ISNUMBER($F694)),IF($E694&gt;$F694,1,0),0)</f>
        <v>0</v>
      </c>
      <c r="X694" s="13" t="s">
        <v>76</v>
      </c>
    </row>
    <row r="695" customFormat="false" ht="15" hidden="false" customHeight="false" outlineLevel="0" collapsed="false">
      <c r="A695" s="10" t="s">
        <v>3112</v>
      </c>
      <c r="B695" s="10" t="s">
        <v>3113</v>
      </c>
      <c r="C695" s="11" t="s">
        <v>3101</v>
      </c>
      <c r="D695" s="12" t="n">
        <v>0.0111</v>
      </c>
      <c r="E695" s="12"/>
      <c r="F695" s="12"/>
      <c r="G695" s="10" t="s">
        <v>63</v>
      </c>
      <c r="H695" s="10" t="s">
        <v>92</v>
      </c>
      <c r="I695" s="11" t="s">
        <v>3021</v>
      </c>
      <c r="J695" s="10" t="s">
        <v>66</v>
      </c>
      <c r="K695" s="10" t="s">
        <v>67</v>
      </c>
      <c r="L695" s="10" t="s">
        <v>68</v>
      </c>
      <c r="M695" s="10" t="s">
        <v>69</v>
      </c>
      <c r="N695" s="10"/>
      <c r="O695" s="11" t="s">
        <v>2865</v>
      </c>
      <c r="P695" s="10" t="s">
        <v>71</v>
      </c>
      <c r="Q695" s="11" t="s">
        <v>72</v>
      </c>
      <c r="R695" s="11" t="s">
        <v>73</v>
      </c>
      <c r="S695" s="11" t="s">
        <v>74</v>
      </c>
      <c r="T695" s="11" t="s">
        <v>3114</v>
      </c>
      <c r="U695" s="10" t="n">
        <f aca="false">IF(AND($D695="",$E695="",$F695=""),1,0)</f>
        <v>0</v>
      </c>
      <c r="V695" s="10" t="n">
        <f aca="false">IF(OR($I695="",$I695="—"),1,0)</f>
        <v>0</v>
      </c>
      <c r="W695" s="10" t="n">
        <f aca="false">IF(AND(ISNUMBER($D695),ISNUMBER($E695)),IF($E695&gt;$D695,1,0),0)+IF(AND(ISNUMBER($D695),ISNUMBER($F695)),IF($D695&gt;$F695,1,0),0)+IF(AND(ISNUMBER($E695),ISNUMBER($F695)),IF($E695&gt;$F695,1,0),0)</f>
        <v>0</v>
      </c>
      <c r="X695" s="13" t="s">
        <v>76</v>
      </c>
    </row>
    <row r="696" customFormat="false" ht="15" hidden="false" customHeight="false" outlineLevel="0" collapsed="false">
      <c r="A696" s="10" t="s">
        <v>3115</v>
      </c>
      <c r="B696" s="10" t="s">
        <v>3116</v>
      </c>
      <c r="C696" s="11" t="s">
        <v>3117</v>
      </c>
      <c r="D696" s="12" t="n">
        <v>0.0099</v>
      </c>
      <c r="E696" s="12"/>
      <c r="F696" s="12"/>
      <c r="G696" s="10" t="s">
        <v>63</v>
      </c>
      <c r="H696" s="10" t="s">
        <v>64</v>
      </c>
      <c r="I696" s="11" t="s">
        <v>3021</v>
      </c>
      <c r="J696" s="10" t="s">
        <v>66</v>
      </c>
      <c r="K696" s="10" t="s">
        <v>67</v>
      </c>
      <c r="L696" s="10" t="s">
        <v>68</v>
      </c>
      <c r="M696" s="10" t="s">
        <v>69</v>
      </c>
      <c r="N696" s="10"/>
      <c r="O696" s="11" t="s">
        <v>2851</v>
      </c>
      <c r="P696" s="10" t="s">
        <v>71</v>
      </c>
      <c r="Q696" s="11" t="s">
        <v>72</v>
      </c>
      <c r="R696" s="11" t="s">
        <v>73</v>
      </c>
      <c r="S696" s="11" t="s">
        <v>74</v>
      </c>
      <c r="T696" s="11" t="s">
        <v>3118</v>
      </c>
      <c r="U696" s="10" t="n">
        <f aca="false">IF(AND($D696="",$E696="",$F696=""),1,0)</f>
        <v>0</v>
      </c>
      <c r="V696" s="10" t="n">
        <f aca="false">IF(OR($I696="",$I696="—"),1,0)</f>
        <v>0</v>
      </c>
      <c r="W696" s="10" t="n">
        <f aca="false">IF(AND(ISNUMBER($D696),ISNUMBER($E696)),IF($E696&gt;$D696,1,0),0)+IF(AND(ISNUMBER($D696),ISNUMBER($F696)),IF($D696&gt;$F696,1,0),0)+IF(AND(ISNUMBER($E696),ISNUMBER($F696)),IF($E696&gt;$F696,1,0),0)</f>
        <v>0</v>
      </c>
      <c r="X696" s="13" t="s">
        <v>76</v>
      </c>
    </row>
    <row r="697" customFormat="false" ht="15" hidden="false" customHeight="false" outlineLevel="0" collapsed="false">
      <c r="A697" s="10" t="s">
        <v>3119</v>
      </c>
      <c r="B697" s="10" t="s">
        <v>3120</v>
      </c>
      <c r="C697" s="11" t="s">
        <v>3117</v>
      </c>
      <c r="D697" s="12" t="n">
        <v>0.0339</v>
      </c>
      <c r="E697" s="12"/>
      <c r="F697" s="12"/>
      <c r="G697" s="10" t="s">
        <v>63</v>
      </c>
      <c r="H697" s="10" t="s">
        <v>79</v>
      </c>
      <c r="I697" s="11" t="s">
        <v>3021</v>
      </c>
      <c r="J697" s="10" t="s">
        <v>66</v>
      </c>
      <c r="K697" s="10" t="s">
        <v>67</v>
      </c>
      <c r="L697" s="10" t="s">
        <v>68</v>
      </c>
      <c r="M697" s="10" t="s">
        <v>69</v>
      </c>
      <c r="N697" s="10"/>
      <c r="O697" s="11" t="s">
        <v>2851</v>
      </c>
      <c r="P697" s="10" t="s">
        <v>71</v>
      </c>
      <c r="Q697" s="11" t="s">
        <v>72</v>
      </c>
      <c r="R697" s="11" t="s">
        <v>73</v>
      </c>
      <c r="S697" s="11" t="s">
        <v>74</v>
      </c>
      <c r="T697" s="11" t="s">
        <v>3121</v>
      </c>
      <c r="U697" s="10" t="n">
        <f aca="false">IF(AND($D697="",$E697="",$F697=""),1,0)</f>
        <v>0</v>
      </c>
      <c r="V697" s="10" t="n">
        <f aca="false">IF(OR($I697="",$I697="—"),1,0)</f>
        <v>0</v>
      </c>
      <c r="W697" s="10" t="n">
        <f aca="false">IF(AND(ISNUMBER($D697),ISNUMBER($E697)),IF($E697&gt;$D697,1,0),0)+IF(AND(ISNUMBER($D697),ISNUMBER($F697)),IF($D697&gt;$F697,1,0),0)+IF(AND(ISNUMBER($E697),ISNUMBER($F697)),IF($E697&gt;$F697,1,0),0)</f>
        <v>0</v>
      </c>
      <c r="X697" s="13" t="s">
        <v>76</v>
      </c>
    </row>
    <row r="698" customFormat="false" ht="15" hidden="false" customHeight="false" outlineLevel="0" collapsed="false">
      <c r="A698" s="10" t="s">
        <v>3122</v>
      </c>
      <c r="B698" s="10" t="s">
        <v>3123</v>
      </c>
      <c r="C698" s="11" t="s">
        <v>3117</v>
      </c>
      <c r="D698" s="12" t="n">
        <v>0.0348</v>
      </c>
      <c r="E698" s="12"/>
      <c r="F698" s="12"/>
      <c r="G698" s="10" t="s">
        <v>63</v>
      </c>
      <c r="H698" s="10" t="s">
        <v>83</v>
      </c>
      <c r="I698" s="11" t="s">
        <v>3021</v>
      </c>
      <c r="J698" s="10" t="s">
        <v>66</v>
      </c>
      <c r="K698" s="10" t="s">
        <v>67</v>
      </c>
      <c r="L698" s="10" t="s">
        <v>68</v>
      </c>
      <c r="M698" s="10" t="s">
        <v>69</v>
      </c>
      <c r="N698" s="10"/>
      <c r="O698" s="11" t="s">
        <v>2851</v>
      </c>
      <c r="P698" s="10" t="s">
        <v>71</v>
      </c>
      <c r="Q698" s="11" t="s">
        <v>72</v>
      </c>
      <c r="R698" s="11" t="s">
        <v>73</v>
      </c>
      <c r="S698" s="11" t="s">
        <v>74</v>
      </c>
      <c r="T698" s="11" t="s">
        <v>3124</v>
      </c>
      <c r="U698" s="10" t="n">
        <f aca="false">IF(AND($D698="",$E698="",$F698=""),1,0)</f>
        <v>0</v>
      </c>
      <c r="V698" s="10" t="n">
        <f aca="false">IF(OR($I698="",$I698="—"),1,0)</f>
        <v>0</v>
      </c>
      <c r="W698" s="10" t="n">
        <f aca="false">IF(AND(ISNUMBER($D698),ISNUMBER($E698)),IF($E698&gt;$D698,1,0),0)+IF(AND(ISNUMBER($D698),ISNUMBER($F698)),IF($D698&gt;$F698,1,0),0)+IF(AND(ISNUMBER($E698),ISNUMBER($F698)),IF($E698&gt;$F698,1,0),0)</f>
        <v>0</v>
      </c>
      <c r="X698" s="13" t="s">
        <v>76</v>
      </c>
    </row>
    <row r="699" customFormat="false" ht="15" hidden="false" customHeight="false" outlineLevel="0" collapsed="false">
      <c r="A699" s="10" t="s">
        <v>3125</v>
      </c>
      <c r="B699" s="10" t="s">
        <v>3126</v>
      </c>
      <c r="C699" s="11" t="s">
        <v>3117</v>
      </c>
      <c r="D699" s="12" t="n">
        <v>0.0073</v>
      </c>
      <c r="E699" s="12"/>
      <c r="F699" s="12"/>
      <c r="G699" s="10" t="s">
        <v>63</v>
      </c>
      <c r="H699" s="10" t="s">
        <v>87</v>
      </c>
      <c r="I699" s="11" t="s">
        <v>3021</v>
      </c>
      <c r="J699" s="10" t="s">
        <v>66</v>
      </c>
      <c r="K699" s="10" t="s">
        <v>67</v>
      </c>
      <c r="L699" s="10" t="s">
        <v>68</v>
      </c>
      <c r="M699" s="10" t="s">
        <v>69</v>
      </c>
      <c r="N699" s="10"/>
      <c r="O699" s="11" t="s">
        <v>2861</v>
      </c>
      <c r="P699" s="10" t="s">
        <v>71</v>
      </c>
      <c r="Q699" s="11" t="s">
        <v>72</v>
      </c>
      <c r="R699" s="11" t="s">
        <v>73</v>
      </c>
      <c r="S699" s="11" t="s">
        <v>74</v>
      </c>
      <c r="T699" s="11" t="s">
        <v>3127</v>
      </c>
      <c r="U699" s="10" t="n">
        <f aca="false">IF(AND($D699="",$E699="",$F699=""),1,0)</f>
        <v>0</v>
      </c>
      <c r="V699" s="10" t="n">
        <f aca="false">IF(OR($I699="",$I699="—"),1,0)</f>
        <v>0</v>
      </c>
      <c r="W699" s="10" t="n">
        <f aca="false">IF(AND(ISNUMBER($D699),ISNUMBER($E699)),IF($E699&gt;$D699,1,0),0)+IF(AND(ISNUMBER($D699),ISNUMBER($F699)),IF($D699&gt;$F699,1,0),0)+IF(AND(ISNUMBER($E699),ISNUMBER($F699)),IF($E699&gt;$F699,1,0),0)</f>
        <v>0</v>
      </c>
      <c r="X699" s="13" t="s">
        <v>76</v>
      </c>
    </row>
    <row r="700" customFormat="false" ht="15" hidden="false" customHeight="false" outlineLevel="0" collapsed="false">
      <c r="A700" s="10" t="s">
        <v>3128</v>
      </c>
      <c r="B700" s="10" t="s">
        <v>3129</v>
      </c>
      <c r="C700" s="11" t="s">
        <v>3117</v>
      </c>
      <c r="D700" s="12" t="n">
        <v>0.0596</v>
      </c>
      <c r="E700" s="12"/>
      <c r="F700" s="12"/>
      <c r="G700" s="10" t="s">
        <v>63</v>
      </c>
      <c r="H700" s="10" t="s">
        <v>92</v>
      </c>
      <c r="I700" s="11" t="s">
        <v>3021</v>
      </c>
      <c r="J700" s="10" t="s">
        <v>66</v>
      </c>
      <c r="K700" s="10" t="s">
        <v>67</v>
      </c>
      <c r="L700" s="10" t="s">
        <v>68</v>
      </c>
      <c r="M700" s="10" t="s">
        <v>69</v>
      </c>
      <c r="N700" s="10"/>
      <c r="O700" s="11" t="s">
        <v>2865</v>
      </c>
      <c r="P700" s="10" t="s">
        <v>71</v>
      </c>
      <c r="Q700" s="11" t="s">
        <v>72</v>
      </c>
      <c r="R700" s="11" t="s">
        <v>73</v>
      </c>
      <c r="S700" s="11" t="s">
        <v>74</v>
      </c>
      <c r="T700" s="11" t="s">
        <v>3130</v>
      </c>
      <c r="U700" s="10" t="n">
        <f aca="false">IF(AND($D700="",$E700="",$F700=""),1,0)</f>
        <v>0</v>
      </c>
      <c r="V700" s="10" t="n">
        <f aca="false">IF(OR($I700="",$I700="—"),1,0)</f>
        <v>0</v>
      </c>
      <c r="W700" s="10" t="n">
        <f aca="false">IF(AND(ISNUMBER($D700),ISNUMBER($E700)),IF($E700&gt;$D700,1,0),0)+IF(AND(ISNUMBER($D700),ISNUMBER($F700)),IF($D700&gt;$F700,1,0),0)+IF(AND(ISNUMBER($E700),ISNUMBER($F700)),IF($E700&gt;$F700,1,0),0)</f>
        <v>0</v>
      </c>
      <c r="X700" s="13" t="s">
        <v>76</v>
      </c>
    </row>
    <row r="701" customFormat="false" ht="15" hidden="false" customHeight="false" outlineLevel="0" collapsed="false">
      <c r="A701" s="10" t="s">
        <v>3131</v>
      </c>
      <c r="B701" s="10" t="s">
        <v>3132</v>
      </c>
      <c r="C701" s="11" t="s">
        <v>3133</v>
      </c>
      <c r="D701" s="12" t="n">
        <v>0.2543</v>
      </c>
      <c r="E701" s="12"/>
      <c r="F701" s="12"/>
      <c r="G701" s="10" t="s">
        <v>63</v>
      </c>
      <c r="H701" s="10" t="s">
        <v>64</v>
      </c>
      <c r="I701" s="11" t="s">
        <v>3021</v>
      </c>
      <c r="J701" s="10" t="s">
        <v>66</v>
      </c>
      <c r="K701" s="10" t="s">
        <v>67</v>
      </c>
      <c r="L701" s="10" t="s">
        <v>68</v>
      </c>
      <c r="M701" s="10" t="s">
        <v>69</v>
      </c>
      <c r="N701" s="10"/>
      <c r="O701" s="11" t="s">
        <v>2851</v>
      </c>
      <c r="P701" s="10" t="s">
        <v>71</v>
      </c>
      <c r="Q701" s="11" t="s">
        <v>72</v>
      </c>
      <c r="R701" s="11" t="s">
        <v>73</v>
      </c>
      <c r="S701" s="11" t="s">
        <v>74</v>
      </c>
      <c r="T701" s="11" t="s">
        <v>3134</v>
      </c>
      <c r="U701" s="10" t="n">
        <f aca="false">IF(AND($D701="",$E701="",$F701=""),1,0)</f>
        <v>0</v>
      </c>
      <c r="V701" s="10" t="n">
        <f aca="false">IF(OR($I701="",$I701="—"),1,0)</f>
        <v>0</v>
      </c>
      <c r="W701" s="10" t="n">
        <f aca="false">IF(AND(ISNUMBER($D701),ISNUMBER($E701)),IF($E701&gt;$D701,1,0),0)+IF(AND(ISNUMBER($D701),ISNUMBER($F701)),IF($D701&gt;$F701,1,0),0)+IF(AND(ISNUMBER($E701),ISNUMBER($F701)),IF($E701&gt;$F701,1,0),0)</f>
        <v>0</v>
      </c>
      <c r="X701" s="13" t="s">
        <v>76</v>
      </c>
    </row>
    <row r="702" customFormat="false" ht="15" hidden="false" customHeight="false" outlineLevel="0" collapsed="false">
      <c r="A702" s="10" t="s">
        <v>3135</v>
      </c>
      <c r="B702" s="10" t="s">
        <v>3136</v>
      </c>
      <c r="C702" s="11" t="s">
        <v>3133</v>
      </c>
      <c r="D702" s="12" t="n">
        <v>0.3583</v>
      </c>
      <c r="E702" s="12"/>
      <c r="F702" s="12"/>
      <c r="G702" s="10" t="s">
        <v>63</v>
      </c>
      <c r="H702" s="10" t="s">
        <v>79</v>
      </c>
      <c r="I702" s="11" t="s">
        <v>3021</v>
      </c>
      <c r="J702" s="10" t="s">
        <v>66</v>
      </c>
      <c r="K702" s="10" t="s">
        <v>67</v>
      </c>
      <c r="L702" s="10" t="s">
        <v>68</v>
      </c>
      <c r="M702" s="10" t="s">
        <v>69</v>
      </c>
      <c r="N702" s="10"/>
      <c r="O702" s="11" t="s">
        <v>2851</v>
      </c>
      <c r="P702" s="10" t="s">
        <v>71</v>
      </c>
      <c r="Q702" s="11" t="s">
        <v>72</v>
      </c>
      <c r="R702" s="11" t="s">
        <v>73</v>
      </c>
      <c r="S702" s="11" t="s">
        <v>74</v>
      </c>
      <c r="T702" s="11" t="s">
        <v>3137</v>
      </c>
      <c r="U702" s="10" t="n">
        <f aca="false">IF(AND($D702="",$E702="",$F702=""),1,0)</f>
        <v>0</v>
      </c>
      <c r="V702" s="10" t="n">
        <f aca="false">IF(OR($I702="",$I702="—"),1,0)</f>
        <v>0</v>
      </c>
      <c r="W702" s="10" t="n">
        <f aca="false">IF(AND(ISNUMBER($D702),ISNUMBER($E702)),IF($E702&gt;$D702,1,0),0)+IF(AND(ISNUMBER($D702),ISNUMBER($F702)),IF($D702&gt;$F702,1,0),0)+IF(AND(ISNUMBER($E702),ISNUMBER($F702)),IF($E702&gt;$F702,1,0),0)</f>
        <v>0</v>
      </c>
      <c r="X702" s="13" t="s">
        <v>76</v>
      </c>
    </row>
    <row r="703" customFormat="false" ht="15" hidden="false" customHeight="false" outlineLevel="0" collapsed="false">
      <c r="A703" s="10" t="s">
        <v>3138</v>
      </c>
      <c r="B703" s="10" t="s">
        <v>3139</v>
      </c>
      <c r="C703" s="11" t="s">
        <v>3133</v>
      </c>
      <c r="D703" s="12" t="n">
        <v>0.8967</v>
      </c>
      <c r="E703" s="12"/>
      <c r="F703" s="12"/>
      <c r="G703" s="10" t="s">
        <v>63</v>
      </c>
      <c r="H703" s="10" t="s">
        <v>83</v>
      </c>
      <c r="I703" s="11" t="s">
        <v>3021</v>
      </c>
      <c r="J703" s="10" t="s">
        <v>66</v>
      </c>
      <c r="K703" s="10" t="s">
        <v>67</v>
      </c>
      <c r="L703" s="10" t="s">
        <v>68</v>
      </c>
      <c r="M703" s="10" t="s">
        <v>69</v>
      </c>
      <c r="N703" s="10"/>
      <c r="O703" s="11" t="s">
        <v>2851</v>
      </c>
      <c r="P703" s="10" t="s">
        <v>71</v>
      </c>
      <c r="Q703" s="11" t="s">
        <v>72</v>
      </c>
      <c r="R703" s="11" t="s">
        <v>73</v>
      </c>
      <c r="S703" s="11" t="s">
        <v>74</v>
      </c>
      <c r="T703" s="11" t="s">
        <v>3140</v>
      </c>
      <c r="U703" s="10" t="n">
        <f aca="false">IF(AND($D703="",$E703="",$F703=""),1,0)</f>
        <v>0</v>
      </c>
      <c r="V703" s="10" t="n">
        <f aca="false">IF(OR($I703="",$I703="—"),1,0)</f>
        <v>0</v>
      </c>
      <c r="W703" s="10" t="n">
        <f aca="false">IF(AND(ISNUMBER($D703),ISNUMBER($E703)),IF($E703&gt;$D703,1,0),0)+IF(AND(ISNUMBER($D703),ISNUMBER($F703)),IF($D703&gt;$F703,1,0),0)+IF(AND(ISNUMBER($E703),ISNUMBER($F703)),IF($E703&gt;$F703,1,0),0)</f>
        <v>0</v>
      </c>
      <c r="X703" s="13" t="s">
        <v>76</v>
      </c>
    </row>
    <row r="704" customFormat="false" ht="15" hidden="false" customHeight="false" outlineLevel="0" collapsed="false">
      <c r="A704" s="10" t="s">
        <v>3141</v>
      </c>
      <c r="B704" s="10" t="s">
        <v>3142</v>
      </c>
      <c r="C704" s="11" t="s">
        <v>3133</v>
      </c>
      <c r="D704" s="12" t="n">
        <v>0.1003</v>
      </c>
      <c r="E704" s="12"/>
      <c r="F704" s="12"/>
      <c r="G704" s="10" t="s">
        <v>63</v>
      </c>
      <c r="H704" s="10" t="s">
        <v>87</v>
      </c>
      <c r="I704" s="11" t="s">
        <v>3021</v>
      </c>
      <c r="J704" s="10" t="s">
        <v>66</v>
      </c>
      <c r="K704" s="10" t="s">
        <v>67</v>
      </c>
      <c r="L704" s="10" t="s">
        <v>68</v>
      </c>
      <c r="M704" s="10" t="s">
        <v>69</v>
      </c>
      <c r="N704" s="10"/>
      <c r="O704" s="11" t="s">
        <v>2861</v>
      </c>
      <c r="P704" s="10" t="s">
        <v>71</v>
      </c>
      <c r="Q704" s="11" t="s">
        <v>72</v>
      </c>
      <c r="R704" s="11" t="s">
        <v>73</v>
      </c>
      <c r="S704" s="11" t="s">
        <v>74</v>
      </c>
      <c r="T704" s="11" t="s">
        <v>3143</v>
      </c>
      <c r="U704" s="10" t="n">
        <f aca="false">IF(AND($D704="",$E704="",$F704=""),1,0)</f>
        <v>0</v>
      </c>
      <c r="V704" s="10" t="n">
        <f aca="false">IF(OR($I704="",$I704="—"),1,0)</f>
        <v>0</v>
      </c>
      <c r="W704" s="10" t="n">
        <f aca="false">IF(AND(ISNUMBER($D704),ISNUMBER($E704)),IF($E704&gt;$D704,1,0),0)+IF(AND(ISNUMBER($D704),ISNUMBER($F704)),IF($D704&gt;$F704,1,0),0)+IF(AND(ISNUMBER($E704),ISNUMBER($F704)),IF($E704&gt;$F704,1,0),0)</f>
        <v>0</v>
      </c>
      <c r="X704" s="13" t="s">
        <v>76</v>
      </c>
    </row>
    <row r="705" customFormat="false" ht="15" hidden="false" customHeight="false" outlineLevel="0" collapsed="false">
      <c r="A705" s="10" t="s">
        <v>3144</v>
      </c>
      <c r="B705" s="10" t="s">
        <v>3145</v>
      </c>
      <c r="C705" s="11" t="s">
        <v>3133</v>
      </c>
      <c r="D705" s="12" t="n">
        <v>0.6624</v>
      </c>
      <c r="E705" s="12"/>
      <c r="F705" s="12"/>
      <c r="G705" s="10" t="s">
        <v>63</v>
      </c>
      <c r="H705" s="10" t="s">
        <v>92</v>
      </c>
      <c r="I705" s="11" t="s">
        <v>3021</v>
      </c>
      <c r="J705" s="10" t="s">
        <v>66</v>
      </c>
      <c r="K705" s="10" t="s">
        <v>67</v>
      </c>
      <c r="L705" s="10" t="s">
        <v>68</v>
      </c>
      <c r="M705" s="10" t="s">
        <v>69</v>
      </c>
      <c r="N705" s="10"/>
      <c r="O705" s="11" t="s">
        <v>2865</v>
      </c>
      <c r="P705" s="10" t="s">
        <v>71</v>
      </c>
      <c r="Q705" s="11" t="s">
        <v>72</v>
      </c>
      <c r="R705" s="11" t="s">
        <v>73</v>
      </c>
      <c r="S705" s="11" t="s">
        <v>74</v>
      </c>
      <c r="T705" s="11" t="s">
        <v>3146</v>
      </c>
      <c r="U705" s="10" t="n">
        <f aca="false">IF(AND($D705="",$E705="",$F705=""),1,0)</f>
        <v>0</v>
      </c>
      <c r="V705" s="10" t="n">
        <f aca="false">IF(OR($I705="",$I705="—"),1,0)</f>
        <v>0</v>
      </c>
      <c r="W705" s="10" t="n">
        <f aca="false">IF(AND(ISNUMBER($D705),ISNUMBER($E705)),IF($E705&gt;$D705,1,0),0)+IF(AND(ISNUMBER($D705),ISNUMBER($F705)),IF($D705&gt;$F705,1,0),0)+IF(AND(ISNUMBER($E705),ISNUMBER($F705)),IF($E705&gt;$F705,1,0),0)</f>
        <v>0</v>
      </c>
      <c r="X705" s="13" t="s">
        <v>76</v>
      </c>
    </row>
    <row r="706" customFormat="false" ht="15" hidden="false" customHeight="false" outlineLevel="0" collapsed="false">
      <c r="A706" s="10" t="s">
        <v>3147</v>
      </c>
      <c r="B706" s="10" t="s">
        <v>3148</v>
      </c>
      <c r="C706" s="11" t="s">
        <v>3149</v>
      </c>
      <c r="D706" s="12" t="n">
        <v>0.0062</v>
      </c>
      <c r="E706" s="12"/>
      <c r="F706" s="12"/>
      <c r="G706" s="10" t="s">
        <v>63</v>
      </c>
      <c r="H706" s="10" t="s">
        <v>64</v>
      </c>
      <c r="I706" s="11" t="s">
        <v>3021</v>
      </c>
      <c r="J706" s="10" t="s">
        <v>66</v>
      </c>
      <c r="K706" s="10" t="s">
        <v>67</v>
      </c>
      <c r="L706" s="10" t="s">
        <v>68</v>
      </c>
      <c r="M706" s="10" t="s">
        <v>69</v>
      </c>
      <c r="N706" s="10"/>
      <c r="O706" s="11" t="s">
        <v>2851</v>
      </c>
      <c r="P706" s="10" t="s">
        <v>71</v>
      </c>
      <c r="Q706" s="11" t="s">
        <v>72</v>
      </c>
      <c r="R706" s="11" t="s">
        <v>73</v>
      </c>
      <c r="S706" s="11" t="s">
        <v>74</v>
      </c>
      <c r="T706" s="11" t="s">
        <v>3150</v>
      </c>
      <c r="U706" s="10" t="n">
        <f aca="false">IF(AND($D706="",$E706="",$F706=""),1,0)</f>
        <v>0</v>
      </c>
      <c r="V706" s="10" t="n">
        <f aca="false">IF(OR($I706="",$I706="—"),1,0)</f>
        <v>0</v>
      </c>
      <c r="W706" s="10" t="n">
        <f aca="false">IF(AND(ISNUMBER($D706),ISNUMBER($E706)),IF($E706&gt;$D706,1,0),0)+IF(AND(ISNUMBER($D706),ISNUMBER($F706)),IF($D706&gt;$F706,1,0),0)+IF(AND(ISNUMBER($E706),ISNUMBER($F706)),IF($E706&gt;$F706,1,0),0)</f>
        <v>0</v>
      </c>
      <c r="X706" s="13" t="s">
        <v>76</v>
      </c>
    </row>
    <row r="707" customFormat="false" ht="15" hidden="false" customHeight="false" outlineLevel="0" collapsed="false">
      <c r="A707" s="10" t="s">
        <v>3151</v>
      </c>
      <c r="B707" s="10" t="s">
        <v>3152</v>
      </c>
      <c r="C707" s="11" t="s">
        <v>3149</v>
      </c>
      <c r="D707" s="12" t="n">
        <v>0.0822</v>
      </c>
      <c r="E707" s="12"/>
      <c r="F707" s="12"/>
      <c r="G707" s="10" t="s">
        <v>63</v>
      </c>
      <c r="H707" s="10" t="s">
        <v>79</v>
      </c>
      <c r="I707" s="11" t="s">
        <v>3021</v>
      </c>
      <c r="J707" s="10" t="s">
        <v>66</v>
      </c>
      <c r="K707" s="10" t="s">
        <v>67</v>
      </c>
      <c r="L707" s="10" t="s">
        <v>68</v>
      </c>
      <c r="M707" s="10" t="s">
        <v>69</v>
      </c>
      <c r="N707" s="10"/>
      <c r="O707" s="11" t="s">
        <v>2851</v>
      </c>
      <c r="P707" s="10" t="s">
        <v>71</v>
      </c>
      <c r="Q707" s="11" t="s">
        <v>72</v>
      </c>
      <c r="R707" s="11" t="s">
        <v>73</v>
      </c>
      <c r="S707" s="11" t="s">
        <v>74</v>
      </c>
      <c r="T707" s="11" t="s">
        <v>3153</v>
      </c>
      <c r="U707" s="10" t="n">
        <f aca="false">IF(AND($D707="",$E707="",$F707=""),1,0)</f>
        <v>0</v>
      </c>
      <c r="V707" s="10" t="n">
        <f aca="false">IF(OR($I707="",$I707="—"),1,0)</f>
        <v>0</v>
      </c>
      <c r="W707" s="10" t="n">
        <f aca="false">IF(AND(ISNUMBER($D707),ISNUMBER($E707)),IF($E707&gt;$D707,1,0),0)+IF(AND(ISNUMBER($D707),ISNUMBER($F707)),IF($D707&gt;$F707,1,0),0)+IF(AND(ISNUMBER($E707),ISNUMBER($F707)),IF($E707&gt;$F707,1,0),0)</f>
        <v>0</v>
      </c>
      <c r="X707" s="13" t="s">
        <v>76</v>
      </c>
    </row>
    <row r="708" customFormat="false" ht="15" hidden="false" customHeight="false" outlineLevel="0" collapsed="false">
      <c r="A708" s="10" t="s">
        <v>3154</v>
      </c>
      <c r="B708" s="10" t="s">
        <v>3155</v>
      </c>
      <c r="C708" s="11" t="s">
        <v>3149</v>
      </c>
      <c r="D708" s="12" t="n">
        <v>0.4685</v>
      </c>
      <c r="E708" s="12"/>
      <c r="F708" s="12"/>
      <c r="G708" s="10" t="s">
        <v>63</v>
      </c>
      <c r="H708" s="10" t="s">
        <v>83</v>
      </c>
      <c r="I708" s="11" t="s">
        <v>3021</v>
      </c>
      <c r="J708" s="10" t="s">
        <v>66</v>
      </c>
      <c r="K708" s="10" t="s">
        <v>67</v>
      </c>
      <c r="L708" s="10" t="s">
        <v>68</v>
      </c>
      <c r="M708" s="10" t="s">
        <v>69</v>
      </c>
      <c r="N708" s="10"/>
      <c r="O708" s="11" t="s">
        <v>2851</v>
      </c>
      <c r="P708" s="10" t="s">
        <v>71</v>
      </c>
      <c r="Q708" s="11" t="s">
        <v>72</v>
      </c>
      <c r="R708" s="11" t="s">
        <v>73</v>
      </c>
      <c r="S708" s="11" t="s">
        <v>74</v>
      </c>
      <c r="T708" s="11" t="s">
        <v>3156</v>
      </c>
      <c r="U708" s="10" t="n">
        <f aca="false">IF(AND($D708="",$E708="",$F708=""),1,0)</f>
        <v>0</v>
      </c>
      <c r="V708" s="10" t="n">
        <f aca="false">IF(OR($I708="",$I708="—"),1,0)</f>
        <v>0</v>
      </c>
      <c r="W708" s="10" t="n">
        <f aca="false">IF(AND(ISNUMBER($D708),ISNUMBER($E708)),IF($E708&gt;$D708,1,0),0)+IF(AND(ISNUMBER($D708),ISNUMBER($F708)),IF($D708&gt;$F708,1,0),0)+IF(AND(ISNUMBER($E708),ISNUMBER($F708)),IF($E708&gt;$F708,1,0),0)</f>
        <v>0</v>
      </c>
      <c r="X708" s="13" t="s">
        <v>76</v>
      </c>
    </row>
    <row r="709" customFormat="false" ht="15" hidden="false" customHeight="false" outlineLevel="0" collapsed="false">
      <c r="A709" s="10" t="s">
        <v>3157</v>
      </c>
      <c r="B709" s="10" t="s">
        <v>3158</v>
      </c>
      <c r="C709" s="11" t="s">
        <v>3149</v>
      </c>
      <c r="D709" s="12" t="n">
        <v>0.1292</v>
      </c>
      <c r="E709" s="12"/>
      <c r="F709" s="12"/>
      <c r="G709" s="10" t="s">
        <v>63</v>
      </c>
      <c r="H709" s="10" t="s">
        <v>87</v>
      </c>
      <c r="I709" s="11" t="s">
        <v>3021</v>
      </c>
      <c r="J709" s="10" t="s">
        <v>66</v>
      </c>
      <c r="K709" s="10" t="s">
        <v>67</v>
      </c>
      <c r="L709" s="10" t="s">
        <v>68</v>
      </c>
      <c r="M709" s="10" t="s">
        <v>69</v>
      </c>
      <c r="N709" s="10"/>
      <c r="O709" s="11" t="s">
        <v>2861</v>
      </c>
      <c r="P709" s="10" t="s">
        <v>71</v>
      </c>
      <c r="Q709" s="11" t="s">
        <v>72</v>
      </c>
      <c r="R709" s="11" t="s">
        <v>73</v>
      </c>
      <c r="S709" s="11" t="s">
        <v>74</v>
      </c>
      <c r="T709" s="11" t="s">
        <v>3159</v>
      </c>
      <c r="U709" s="10" t="n">
        <f aca="false">IF(AND($D709="",$E709="",$F709=""),1,0)</f>
        <v>0</v>
      </c>
      <c r="V709" s="10" t="n">
        <f aca="false">IF(OR($I709="",$I709="—"),1,0)</f>
        <v>0</v>
      </c>
      <c r="W709" s="10" t="n">
        <f aca="false">IF(AND(ISNUMBER($D709),ISNUMBER($E709)),IF($E709&gt;$D709,1,0),0)+IF(AND(ISNUMBER($D709),ISNUMBER($F709)),IF($D709&gt;$F709,1,0),0)+IF(AND(ISNUMBER($E709),ISNUMBER($F709)),IF($E709&gt;$F709,1,0),0)</f>
        <v>0</v>
      </c>
      <c r="X709" s="13" t="s">
        <v>76</v>
      </c>
    </row>
    <row r="710" customFormat="false" ht="15" hidden="false" customHeight="false" outlineLevel="0" collapsed="false">
      <c r="A710" s="10" t="s">
        <v>3160</v>
      </c>
      <c r="B710" s="10" t="s">
        <v>3161</v>
      </c>
      <c r="C710" s="11" t="s">
        <v>3149</v>
      </c>
      <c r="D710" s="12" t="n">
        <v>0.2922</v>
      </c>
      <c r="E710" s="12"/>
      <c r="F710" s="12"/>
      <c r="G710" s="10" t="s">
        <v>63</v>
      </c>
      <c r="H710" s="10" t="s">
        <v>92</v>
      </c>
      <c r="I710" s="11" t="s">
        <v>3021</v>
      </c>
      <c r="J710" s="10" t="s">
        <v>66</v>
      </c>
      <c r="K710" s="10" t="s">
        <v>67</v>
      </c>
      <c r="L710" s="10" t="s">
        <v>68</v>
      </c>
      <c r="M710" s="10" t="s">
        <v>69</v>
      </c>
      <c r="N710" s="10"/>
      <c r="O710" s="11" t="s">
        <v>2865</v>
      </c>
      <c r="P710" s="10" t="s">
        <v>71</v>
      </c>
      <c r="Q710" s="11" t="s">
        <v>72</v>
      </c>
      <c r="R710" s="11" t="s">
        <v>73</v>
      </c>
      <c r="S710" s="11" t="s">
        <v>74</v>
      </c>
      <c r="T710" s="11" t="s">
        <v>3162</v>
      </c>
      <c r="U710" s="10" t="n">
        <f aca="false">IF(AND($D710="",$E710="",$F710=""),1,0)</f>
        <v>0</v>
      </c>
      <c r="V710" s="10" t="n">
        <f aca="false">IF(OR($I710="",$I710="—"),1,0)</f>
        <v>0</v>
      </c>
      <c r="W710" s="10" t="n">
        <f aca="false">IF(AND(ISNUMBER($D710),ISNUMBER($E710)),IF($E710&gt;$D710,1,0),0)+IF(AND(ISNUMBER($D710),ISNUMBER($F710)),IF($D710&gt;$F710,1,0),0)+IF(AND(ISNUMBER($E710),ISNUMBER($F710)),IF($E710&gt;$F710,1,0),0)</f>
        <v>0</v>
      </c>
      <c r="X710" s="13" t="s">
        <v>76</v>
      </c>
    </row>
    <row r="711" customFormat="false" ht="15" hidden="false" customHeight="false" outlineLevel="0" collapsed="false">
      <c r="A711" s="10" t="s">
        <v>3163</v>
      </c>
      <c r="B711" s="10" t="s">
        <v>3164</v>
      </c>
      <c r="C711" s="11" t="s">
        <v>3165</v>
      </c>
      <c r="D711" s="12" t="n">
        <v>53.6</v>
      </c>
      <c r="E711" s="12"/>
      <c r="F711" s="12"/>
      <c r="G711" s="10" t="s">
        <v>401</v>
      </c>
      <c r="H711" s="10" t="s">
        <v>64</v>
      </c>
      <c r="I711" s="11" t="s">
        <v>3021</v>
      </c>
      <c r="J711" s="10" t="s">
        <v>66</v>
      </c>
      <c r="K711" s="10" t="s">
        <v>67</v>
      </c>
      <c r="L711" s="10" t="s">
        <v>68</v>
      </c>
      <c r="M711" s="10" t="s">
        <v>69</v>
      </c>
      <c r="N711" s="10"/>
      <c r="O711" s="11" t="s">
        <v>2851</v>
      </c>
      <c r="P711" s="10" t="s">
        <v>71</v>
      </c>
      <c r="Q711" s="11" t="s">
        <v>72</v>
      </c>
      <c r="R711" s="11" t="s">
        <v>73</v>
      </c>
      <c r="S711" s="11" t="s">
        <v>74</v>
      </c>
      <c r="T711" s="11" t="s">
        <v>3166</v>
      </c>
      <c r="U711" s="10" t="n">
        <f aca="false">IF(AND($D711="",$E711="",$F711=""),1,0)</f>
        <v>0</v>
      </c>
      <c r="V711" s="10" t="n">
        <f aca="false">IF(OR($I711="",$I711="—"),1,0)</f>
        <v>0</v>
      </c>
      <c r="W711" s="10" t="n">
        <f aca="false">IF(AND(ISNUMBER($D711),ISNUMBER($E711)),IF($E711&gt;$D711,1,0),0)+IF(AND(ISNUMBER($D711),ISNUMBER($F711)),IF($D711&gt;$F711,1,0),0)+IF(AND(ISNUMBER($E711),ISNUMBER($F711)),IF($E711&gt;$F711,1,0),0)</f>
        <v>0</v>
      </c>
      <c r="X711" s="13" t="s">
        <v>76</v>
      </c>
    </row>
    <row r="712" customFormat="false" ht="15" hidden="false" customHeight="false" outlineLevel="0" collapsed="false">
      <c r="A712" s="10" t="s">
        <v>3167</v>
      </c>
      <c r="B712" s="10" t="s">
        <v>3168</v>
      </c>
      <c r="C712" s="11" t="s">
        <v>541</v>
      </c>
      <c r="D712" s="12" t="n">
        <v>76.1</v>
      </c>
      <c r="E712" s="12"/>
      <c r="F712" s="12"/>
      <c r="G712" s="10" t="s">
        <v>401</v>
      </c>
      <c r="H712" s="10" t="s">
        <v>64</v>
      </c>
      <c r="I712" s="11" t="s">
        <v>3021</v>
      </c>
      <c r="J712" s="10" t="s">
        <v>66</v>
      </c>
      <c r="K712" s="10" t="s">
        <v>67</v>
      </c>
      <c r="L712" s="10" t="s">
        <v>68</v>
      </c>
      <c r="M712" s="10" t="s">
        <v>69</v>
      </c>
      <c r="N712" s="10"/>
      <c r="O712" s="11" t="s">
        <v>2851</v>
      </c>
      <c r="P712" s="10" t="s">
        <v>71</v>
      </c>
      <c r="Q712" s="11" t="s">
        <v>72</v>
      </c>
      <c r="R712" s="11" t="s">
        <v>73</v>
      </c>
      <c r="S712" s="11" t="s">
        <v>74</v>
      </c>
      <c r="T712" s="11" t="s">
        <v>3169</v>
      </c>
      <c r="U712" s="10" t="n">
        <f aca="false">IF(AND($D712="",$E712="",$F712=""),1,0)</f>
        <v>0</v>
      </c>
      <c r="V712" s="10" t="n">
        <f aca="false">IF(OR($I712="",$I712="—"),1,0)</f>
        <v>0</v>
      </c>
      <c r="W712" s="10" t="n">
        <f aca="false">IF(AND(ISNUMBER($D712),ISNUMBER($E712)),IF($E712&gt;$D712,1,0),0)+IF(AND(ISNUMBER($D712),ISNUMBER($F712)),IF($D712&gt;$F712,1,0),0)+IF(AND(ISNUMBER($E712),ISNUMBER($F712)),IF($E712&gt;$F712,1,0),0)</f>
        <v>0</v>
      </c>
      <c r="X712" s="13" t="s">
        <v>76</v>
      </c>
    </row>
    <row r="713" customFormat="false" ht="15" hidden="false" customHeight="false" outlineLevel="0" collapsed="false">
      <c r="A713" s="10" t="s">
        <v>3170</v>
      </c>
      <c r="B713" s="10" t="s">
        <v>3171</v>
      </c>
      <c r="C713" s="11" t="s">
        <v>3165</v>
      </c>
      <c r="D713" s="12" t="n">
        <v>68.2</v>
      </c>
      <c r="E713" s="12"/>
      <c r="F713" s="12"/>
      <c r="G713" s="10" t="s">
        <v>401</v>
      </c>
      <c r="H713" s="10" t="s">
        <v>79</v>
      </c>
      <c r="I713" s="11" t="s">
        <v>3021</v>
      </c>
      <c r="J713" s="10" t="s">
        <v>66</v>
      </c>
      <c r="K713" s="10" t="s">
        <v>67</v>
      </c>
      <c r="L713" s="10" t="s">
        <v>68</v>
      </c>
      <c r="M713" s="10" t="s">
        <v>69</v>
      </c>
      <c r="N713" s="10"/>
      <c r="O713" s="11" t="s">
        <v>2851</v>
      </c>
      <c r="P713" s="10" t="s">
        <v>71</v>
      </c>
      <c r="Q713" s="11" t="s">
        <v>72</v>
      </c>
      <c r="R713" s="11" t="s">
        <v>73</v>
      </c>
      <c r="S713" s="11" t="s">
        <v>74</v>
      </c>
      <c r="T713" s="11" t="s">
        <v>3166</v>
      </c>
      <c r="U713" s="10" t="n">
        <f aca="false">IF(AND($D713="",$E713="",$F713=""),1,0)</f>
        <v>0</v>
      </c>
      <c r="V713" s="10" t="n">
        <f aca="false">IF(OR($I713="",$I713="—"),1,0)</f>
        <v>0</v>
      </c>
      <c r="W713" s="10" t="n">
        <f aca="false">IF(AND(ISNUMBER($D713),ISNUMBER($E713)),IF($E713&gt;$D713,1,0),0)+IF(AND(ISNUMBER($D713),ISNUMBER($F713)),IF($D713&gt;$F713,1,0),0)+IF(AND(ISNUMBER($E713),ISNUMBER($F713)),IF($E713&gt;$F713,1,0),0)</f>
        <v>0</v>
      </c>
      <c r="X713" s="13" t="s">
        <v>76</v>
      </c>
    </row>
    <row r="714" customFormat="false" ht="15" hidden="false" customHeight="false" outlineLevel="0" collapsed="false">
      <c r="A714" s="10" t="s">
        <v>3172</v>
      </c>
      <c r="B714" s="10" t="s">
        <v>3173</v>
      </c>
      <c r="C714" s="11" t="s">
        <v>541</v>
      </c>
      <c r="D714" s="12" t="n">
        <v>31</v>
      </c>
      <c r="E714" s="12"/>
      <c r="F714" s="12"/>
      <c r="G714" s="10" t="s">
        <v>401</v>
      </c>
      <c r="H714" s="10" t="s">
        <v>79</v>
      </c>
      <c r="I714" s="11" t="s">
        <v>3021</v>
      </c>
      <c r="J714" s="10" t="s">
        <v>66</v>
      </c>
      <c r="K714" s="10" t="s">
        <v>67</v>
      </c>
      <c r="L714" s="10" t="s">
        <v>68</v>
      </c>
      <c r="M714" s="10" t="s">
        <v>69</v>
      </c>
      <c r="N714" s="10"/>
      <c r="O714" s="11" t="s">
        <v>2851</v>
      </c>
      <c r="P714" s="10" t="s">
        <v>71</v>
      </c>
      <c r="Q714" s="11" t="s">
        <v>72</v>
      </c>
      <c r="R714" s="11" t="s">
        <v>73</v>
      </c>
      <c r="S714" s="11" t="s">
        <v>74</v>
      </c>
      <c r="T714" s="11" t="s">
        <v>3169</v>
      </c>
      <c r="U714" s="10" t="n">
        <f aca="false">IF(AND($D714="",$E714="",$F714=""),1,0)</f>
        <v>0</v>
      </c>
      <c r="V714" s="10" t="n">
        <f aca="false">IF(OR($I714="",$I714="—"),1,0)</f>
        <v>0</v>
      </c>
      <c r="W714" s="10" t="n">
        <f aca="false">IF(AND(ISNUMBER($D714),ISNUMBER($E714)),IF($E714&gt;$D714,1,0),0)+IF(AND(ISNUMBER($D714),ISNUMBER($F714)),IF($D714&gt;$F714,1,0),0)+IF(AND(ISNUMBER($E714),ISNUMBER($F714)),IF($E714&gt;$F714,1,0),0)</f>
        <v>0</v>
      </c>
      <c r="X714" s="13" t="s">
        <v>76</v>
      </c>
    </row>
    <row r="715" customFormat="false" ht="15" hidden="false" customHeight="false" outlineLevel="0" collapsed="false">
      <c r="A715" s="10" t="s">
        <v>3174</v>
      </c>
      <c r="B715" s="10" t="s">
        <v>3175</v>
      </c>
      <c r="C715" s="11" t="s">
        <v>3165</v>
      </c>
      <c r="D715" s="12" t="n">
        <v>66</v>
      </c>
      <c r="E715" s="12"/>
      <c r="F715" s="12"/>
      <c r="G715" s="10" t="s">
        <v>401</v>
      </c>
      <c r="H715" s="10" t="s">
        <v>83</v>
      </c>
      <c r="I715" s="11" t="s">
        <v>3021</v>
      </c>
      <c r="J715" s="10" t="s">
        <v>66</v>
      </c>
      <c r="K715" s="10" t="s">
        <v>67</v>
      </c>
      <c r="L715" s="10" t="s">
        <v>68</v>
      </c>
      <c r="M715" s="10" t="s">
        <v>69</v>
      </c>
      <c r="N715" s="10"/>
      <c r="O715" s="11" t="s">
        <v>2851</v>
      </c>
      <c r="P715" s="10" t="s">
        <v>71</v>
      </c>
      <c r="Q715" s="11" t="s">
        <v>72</v>
      </c>
      <c r="R715" s="11" t="s">
        <v>73</v>
      </c>
      <c r="S715" s="11" t="s">
        <v>74</v>
      </c>
      <c r="T715" s="11" t="s">
        <v>3166</v>
      </c>
      <c r="U715" s="10" t="n">
        <f aca="false">IF(AND($D715="",$E715="",$F715=""),1,0)</f>
        <v>0</v>
      </c>
      <c r="V715" s="10" t="n">
        <f aca="false">IF(OR($I715="",$I715="—"),1,0)</f>
        <v>0</v>
      </c>
      <c r="W715" s="10" t="n">
        <f aca="false">IF(AND(ISNUMBER($D715),ISNUMBER($E715)),IF($E715&gt;$D715,1,0),0)+IF(AND(ISNUMBER($D715),ISNUMBER($F715)),IF($D715&gt;$F715,1,0),0)+IF(AND(ISNUMBER($E715),ISNUMBER($F715)),IF($E715&gt;$F715,1,0),0)</f>
        <v>0</v>
      </c>
      <c r="X715" s="13" t="s">
        <v>76</v>
      </c>
    </row>
    <row r="716" customFormat="false" ht="15" hidden="false" customHeight="false" outlineLevel="0" collapsed="false">
      <c r="A716" s="10" t="s">
        <v>3176</v>
      </c>
      <c r="B716" s="10" t="s">
        <v>3177</v>
      </c>
      <c r="C716" s="11" t="s">
        <v>541</v>
      </c>
      <c r="D716" s="12" t="n">
        <v>3.4</v>
      </c>
      <c r="E716" s="12"/>
      <c r="F716" s="12"/>
      <c r="G716" s="10" t="s">
        <v>401</v>
      </c>
      <c r="H716" s="10" t="s">
        <v>83</v>
      </c>
      <c r="I716" s="11" t="s">
        <v>3021</v>
      </c>
      <c r="J716" s="10" t="s">
        <v>66</v>
      </c>
      <c r="K716" s="10" t="s">
        <v>67</v>
      </c>
      <c r="L716" s="10" t="s">
        <v>68</v>
      </c>
      <c r="M716" s="10" t="s">
        <v>69</v>
      </c>
      <c r="N716" s="10"/>
      <c r="O716" s="11" t="s">
        <v>2851</v>
      </c>
      <c r="P716" s="10" t="s">
        <v>71</v>
      </c>
      <c r="Q716" s="11" t="s">
        <v>72</v>
      </c>
      <c r="R716" s="11" t="s">
        <v>73</v>
      </c>
      <c r="S716" s="11" t="s">
        <v>74</v>
      </c>
      <c r="T716" s="11" t="s">
        <v>3169</v>
      </c>
      <c r="U716" s="10" t="n">
        <f aca="false">IF(AND($D716="",$E716="",$F716=""),1,0)</f>
        <v>0</v>
      </c>
      <c r="V716" s="10" t="n">
        <f aca="false">IF(OR($I716="",$I716="—"),1,0)</f>
        <v>0</v>
      </c>
      <c r="W716" s="10" t="n">
        <f aca="false">IF(AND(ISNUMBER($D716),ISNUMBER($E716)),IF($E716&gt;$D716,1,0),0)+IF(AND(ISNUMBER($D716),ISNUMBER($F716)),IF($D716&gt;$F716,1,0),0)+IF(AND(ISNUMBER($E716),ISNUMBER($F716)),IF($E716&gt;$F716,1,0),0)</f>
        <v>0</v>
      </c>
      <c r="X716" s="13" t="s">
        <v>76</v>
      </c>
    </row>
    <row r="717" customFormat="false" ht="15" hidden="false" customHeight="false" outlineLevel="0" collapsed="false">
      <c r="A717" s="10" t="s">
        <v>3178</v>
      </c>
      <c r="B717" s="10" t="s">
        <v>3179</v>
      </c>
      <c r="C717" s="11" t="s">
        <v>3165</v>
      </c>
      <c r="D717" s="12" t="n">
        <v>62.6</v>
      </c>
      <c r="E717" s="12"/>
      <c r="F717" s="12"/>
      <c r="G717" s="10" t="s">
        <v>401</v>
      </c>
      <c r="H717" s="10" t="s">
        <v>87</v>
      </c>
      <c r="I717" s="11" t="s">
        <v>3021</v>
      </c>
      <c r="J717" s="10" t="s">
        <v>66</v>
      </c>
      <c r="K717" s="10" t="s">
        <v>67</v>
      </c>
      <c r="L717" s="10" t="s">
        <v>68</v>
      </c>
      <c r="M717" s="10" t="s">
        <v>69</v>
      </c>
      <c r="N717" s="10"/>
      <c r="O717" s="11" t="s">
        <v>2861</v>
      </c>
      <c r="P717" s="10" t="s">
        <v>71</v>
      </c>
      <c r="Q717" s="11" t="s">
        <v>72</v>
      </c>
      <c r="R717" s="11" t="s">
        <v>73</v>
      </c>
      <c r="S717" s="11" t="s">
        <v>74</v>
      </c>
      <c r="T717" s="11" t="s">
        <v>3166</v>
      </c>
      <c r="U717" s="10" t="n">
        <f aca="false">IF(AND($D717="",$E717="",$F717=""),1,0)</f>
        <v>0</v>
      </c>
      <c r="V717" s="10" t="n">
        <f aca="false">IF(OR($I717="",$I717="—"),1,0)</f>
        <v>0</v>
      </c>
      <c r="W717" s="10" t="n">
        <f aca="false">IF(AND(ISNUMBER($D717),ISNUMBER($E717)),IF($E717&gt;$D717,1,0),0)+IF(AND(ISNUMBER($D717),ISNUMBER($F717)),IF($D717&gt;$F717,1,0),0)+IF(AND(ISNUMBER($E717),ISNUMBER($F717)),IF($E717&gt;$F717,1,0),0)</f>
        <v>0</v>
      </c>
      <c r="X717" s="13" t="s">
        <v>76</v>
      </c>
    </row>
    <row r="718" customFormat="false" ht="15" hidden="false" customHeight="false" outlineLevel="0" collapsed="false">
      <c r="A718" s="10" t="s">
        <v>3180</v>
      </c>
      <c r="B718" s="10" t="s">
        <v>3181</v>
      </c>
      <c r="C718" s="11" t="s">
        <v>541</v>
      </c>
      <c r="D718" s="12" t="n">
        <v>28.6</v>
      </c>
      <c r="E718" s="12"/>
      <c r="F718" s="12"/>
      <c r="G718" s="10" t="s">
        <v>401</v>
      </c>
      <c r="H718" s="10" t="s">
        <v>87</v>
      </c>
      <c r="I718" s="11" t="s">
        <v>3021</v>
      </c>
      <c r="J718" s="10" t="s">
        <v>66</v>
      </c>
      <c r="K718" s="10" t="s">
        <v>67</v>
      </c>
      <c r="L718" s="10" t="s">
        <v>68</v>
      </c>
      <c r="M718" s="10" t="s">
        <v>69</v>
      </c>
      <c r="N718" s="10"/>
      <c r="O718" s="11" t="s">
        <v>2861</v>
      </c>
      <c r="P718" s="10" t="s">
        <v>71</v>
      </c>
      <c r="Q718" s="11" t="s">
        <v>72</v>
      </c>
      <c r="R718" s="11" t="s">
        <v>73</v>
      </c>
      <c r="S718" s="11" t="s">
        <v>74</v>
      </c>
      <c r="T718" s="11" t="s">
        <v>3169</v>
      </c>
      <c r="U718" s="10" t="n">
        <f aca="false">IF(AND($D718="",$E718="",$F718=""),1,0)</f>
        <v>0</v>
      </c>
      <c r="V718" s="10" t="n">
        <f aca="false">IF(OR($I718="",$I718="—"),1,0)</f>
        <v>0</v>
      </c>
      <c r="W718" s="10" t="n">
        <f aca="false">IF(AND(ISNUMBER($D718),ISNUMBER($E718)),IF($E718&gt;$D718,1,0),0)+IF(AND(ISNUMBER($D718),ISNUMBER($F718)),IF($D718&gt;$F718,1,0),0)+IF(AND(ISNUMBER($E718),ISNUMBER($F718)),IF($E718&gt;$F718,1,0),0)</f>
        <v>0</v>
      </c>
      <c r="X718" s="13" t="s">
        <v>76</v>
      </c>
    </row>
    <row r="719" customFormat="false" ht="15" hidden="false" customHeight="false" outlineLevel="0" collapsed="false">
      <c r="A719" s="10" t="s">
        <v>3182</v>
      </c>
      <c r="B719" s="10" t="s">
        <v>3183</v>
      </c>
      <c r="C719" s="11" t="s">
        <v>3165</v>
      </c>
      <c r="D719" s="12" t="n">
        <v>59.1</v>
      </c>
      <c r="E719" s="12"/>
      <c r="F719" s="12"/>
      <c r="G719" s="10" t="s">
        <v>401</v>
      </c>
      <c r="H719" s="10" t="s">
        <v>92</v>
      </c>
      <c r="I719" s="11" t="s">
        <v>3021</v>
      </c>
      <c r="J719" s="10" t="s">
        <v>66</v>
      </c>
      <c r="K719" s="10" t="s">
        <v>67</v>
      </c>
      <c r="L719" s="10" t="s">
        <v>68</v>
      </c>
      <c r="M719" s="10" t="s">
        <v>69</v>
      </c>
      <c r="N719" s="10"/>
      <c r="O719" s="11" t="s">
        <v>2865</v>
      </c>
      <c r="P719" s="10" t="s">
        <v>71</v>
      </c>
      <c r="Q719" s="11" t="s">
        <v>72</v>
      </c>
      <c r="R719" s="11" t="s">
        <v>73</v>
      </c>
      <c r="S719" s="11" t="s">
        <v>74</v>
      </c>
      <c r="T719" s="11" t="s">
        <v>3166</v>
      </c>
      <c r="U719" s="10" t="n">
        <f aca="false">IF(AND($D719="",$E719="",$F719=""),1,0)</f>
        <v>0</v>
      </c>
      <c r="V719" s="10" t="n">
        <f aca="false">IF(OR($I719="",$I719="—"),1,0)</f>
        <v>0</v>
      </c>
      <c r="W719" s="10" t="n">
        <f aca="false">IF(AND(ISNUMBER($D719),ISNUMBER($E719)),IF($E719&gt;$D719,1,0),0)+IF(AND(ISNUMBER($D719),ISNUMBER($F719)),IF($D719&gt;$F719,1,0),0)+IF(AND(ISNUMBER($E719),ISNUMBER($F719)),IF($E719&gt;$F719,1,0),0)</f>
        <v>0</v>
      </c>
      <c r="X719" s="13" t="s">
        <v>76</v>
      </c>
    </row>
    <row r="720" customFormat="false" ht="15" hidden="false" customHeight="false" outlineLevel="0" collapsed="false">
      <c r="A720" s="10" t="s">
        <v>3184</v>
      </c>
      <c r="B720" s="10" t="s">
        <v>3185</v>
      </c>
      <c r="C720" s="11" t="s">
        <v>541</v>
      </c>
      <c r="D720" s="12" t="n">
        <v>-0.4</v>
      </c>
      <c r="E720" s="12"/>
      <c r="F720" s="12"/>
      <c r="G720" s="10" t="s">
        <v>401</v>
      </c>
      <c r="H720" s="10" t="s">
        <v>92</v>
      </c>
      <c r="I720" s="11" t="s">
        <v>3021</v>
      </c>
      <c r="J720" s="10" t="s">
        <v>66</v>
      </c>
      <c r="K720" s="10" t="s">
        <v>67</v>
      </c>
      <c r="L720" s="10" t="s">
        <v>68</v>
      </c>
      <c r="M720" s="10" t="s">
        <v>69</v>
      </c>
      <c r="N720" s="10"/>
      <c r="O720" s="11" t="s">
        <v>2865</v>
      </c>
      <c r="P720" s="10" t="s">
        <v>71</v>
      </c>
      <c r="Q720" s="11" t="s">
        <v>72</v>
      </c>
      <c r="R720" s="11" t="s">
        <v>73</v>
      </c>
      <c r="S720" s="11" t="s">
        <v>74</v>
      </c>
      <c r="T720" s="11" t="s">
        <v>3169</v>
      </c>
      <c r="U720" s="10" t="n">
        <f aca="false">IF(AND($D720="",$E720="",$F720=""),1,0)</f>
        <v>0</v>
      </c>
      <c r="V720" s="10" t="n">
        <f aca="false">IF(OR($I720="",$I720="—"),1,0)</f>
        <v>0</v>
      </c>
      <c r="W720" s="10" t="n">
        <f aca="false">IF(AND(ISNUMBER($D720),ISNUMBER($E720)),IF($E720&gt;$D720,1,0),0)+IF(AND(ISNUMBER($D720),ISNUMBER($F720)),IF($D720&gt;$F720,1,0),0)+IF(AND(ISNUMBER($E720),ISNUMBER($F720)),IF($E720&gt;$F720,1,0),0)</f>
        <v>0</v>
      </c>
      <c r="X720" s="13" t="s">
        <v>76</v>
      </c>
    </row>
    <row r="721" customFormat="false" ht="15" hidden="false" customHeight="false" outlineLevel="0" collapsed="false">
      <c r="A721" s="10" t="s">
        <v>3186</v>
      </c>
      <c r="B721" s="10" t="s">
        <v>3187</v>
      </c>
      <c r="C721" s="11" t="s">
        <v>3188</v>
      </c>
      <c r="D721" s="12"/>
      <c r="E721" s="12"/>
      <c r="F721" s="12"/>
      <c r="G721" s="11" t="s">
        <v>2957</v>
      </c>
      <c r="H721" s="10" t="s">
        <v>2958</v>
      </c>
      <c r="I721" s="11" t="s">
        <v>3189</v>
      </c>
      <c r="J721" s="10" t="s">
        <v>66</v>
      </c>
      <c r="K721" s="10" t="s">
        <v>67</v>
      </c>
      <c r="L721" s="10" t="s">
        <v>68</v>
      </c>
      <c r="M721" s="10" t="s">
        <v>69</v>
      </c>
      <c r="N721" s="10"/>
      <c r="O721" s="11" t="s">
        <v>2960</v>
      </c>
      <c r="P721" s="10" t="s">
        <v>71</v>
      </c>
      <c r="Q721" s="11" t="s">
        <v>72</v>
      </c>
      <c r="R721" s="11" t="s">
        <v>73</v>
      </c>
      <c r="S721" s="11" t="s">
        <v>74</v>
      </c>
      <c r="T721" s="11" t="s">
        <v>3190</v>
      </c>
      <c r="U721" s="10" t="n">
        <f aca="false">IF(AND($D721="",$E721="",$F721=""),1,0)</f>
        <v>1</v>
      </c>
      <c r="V721" s="10" t="n">
        <f aca="false">IF(OR($I721="",$I721="—"),1,0)</f>
        <v>0</v>
      </c>
      <c r="W721" s="10" t="n">
        <f aca="false">IF(AND(ISNUMBER($D721),ISNUMBER($E721)),IF($E721&gt;$D721,1,0),0)+IF(AND(ISNUMBER($D721),ISNUMBER($F721)),IF($D721&gt;$F721,1,0),0)+IF(AND(ISNUMBER($E721),ISNUMBER($F721)),IF($E721&gt;$F721,1,0),0)</f>
        <v>0</v>
      </c>
      <c r="X721" s="13" t="s">
        <v>76</v>
      </c>
    </row>
    <row r="722" customFormat="false" ht="15" hidden="false" customHeight="false" outlineLevel="0" collapsed="false">
      <c r="A722" s="10" t="s">
        <v>3191</v>
      </c>
      <c r="B722" s="10" t="s">
        <v>3192</v>
      </c>
      <c r="C722" s="11" t="s">
        <v>3193</v>
      </c>
      <c r="D722" s="12" t="n">
        <v>0</v>
      </c>
      <c r="E722" s="12"/>
      <c r="F722" s="12"/>
      <c r="G722" s="10" t="s">
        <v>63</v>
      </c>
      <c r="H722" s="10" t="s">
        <v>64</v>
      </c>
      <c r="I722" s="11" t="s">
        <v>3194</v>
      </c>
      <c r="J722" s="10" t="s">
        <v>66</v>
      </c>
      <c r="K722" s="10" t="s">
        <v>67</v>
      </c>
      <c r="L722" s="10" t="s">
        <v>68</v>
      </c>
      <c r="M722" s="10" t="s">
        <v>69</v>
      </c>
      <c r="N722" s="10"/>
      <c r="O722" s="11" t="s">
        <v>2851</v>
      </c>
      <c r="P722" s="10" t="s">
        <v>71</v>
      </c>
      <c r="Q722" s="11" t="s">
        <v>72</v>
      </c>
      <c r="R722" s="11" t="s">
        <v>73</v>
      </c>
      <c r="S722" s="11" t="s">
        <v>74</v>
      </c>
      <c r="T722" s="11" t="s">
        <v>3195</v>
      </c>
      <c r="U722" s="10" t="n">
        <f aca="false">IF(AND($D722="",$E722="",$F722=""),1,0)</f>
        <v>0</v>
      </c>
      <c r="V722" s="10" t="n">
        <f aca="false">IF(OR($I722="",$I722="—"),1,0)</f>
        <v>0</v>
      </c>
      <c r="W722" s="10" t="n">
        <f aca="false">IF(AND(ISNUMBER($D722),ISNUMBER($E722)),IF($E722&gt;$D722,1,0),0)+IF(AND(ISNUMBER($D722),ISNUMBER($F722)),IF($D722&gt;$F722,1,0),0)+IF(AND(ISNUMBER($E722),ISNUMBER($F722)),IF($E722&gt;$F722,1,0),0)</f>
        <v>0</v>
      </c>
      <c r="X722" s="13" t="s">
        <v>76</v>
      </c>
    </row>
    <row r="723" customFormat="false" ht="15" hidden="false" customHeight="false" outlineLevel="0" collapsed="false">
      <c r="A723" s="10" t="s">
        <v>3196</v>
      </c>
      <c r="B723" s="10" t="s">
        <v>3197</v>
      </c>
      <c r="C723" s="11" t="s">
        <v>3193</v>
      </c>
      <c r="D723" s="12" t="n">
        <v>0.0185</v>
      </c>
      <c r="E723" s="12"/>
      <c r="F723" s="12"/>
      <c r="G723" s="10" t="s">
        <v>63</v>
      </c>
      <c r="H723" s="10" t="s">
        <v>79</v>
      </c>
      <c r="I723" s="11" t="s">
        <v>3194</v>
      </c>
      <c r="J723" s="10" t="s">
        <v>66</v>
      </c>
      <c r="K723" s="10" t="s">
        <v>67</v>
      </c>
      <c r="L723" s="10" t="s">
        <v>68</v>
      </c>
      <c r="M723" s="10" t="s">
        <v>69</v>
      </c>
      <c r="N723" s="10"/>
      <c r="O723" s="11" t="s">
        <v>2851</v>
      </c>
      <c r="P723" s="10" t="s">
        <v>71</v>
      </c>
      <c r="Q723" s="11" t="s">
        <v>72</v>
      </c>
      <c r="R723" s="11" t="s">
        <v>73</v>
      </c>
      <c r="S723" s="11" t="s">
        <v>74</v>
      </c>
      <c r="T723" s="11" t="s">
        <v>3198</v>
      </c>
      <c r="U723" s="10" t="n">
        <f aca="false">IF(AND($D723="",$E723="",$F723=""),1,0)</f>
        <v>0</v>
      </c>
      <c r="V723" s="10" t="n">
        <f aca="false">IF(OR($I723="",$I723="—"),1,0)</f>
        <v>0</v>
      </c>
      <c r="W723" s="10" t="n">
        <f aca="false">IF(AND(ISNUMBER($D723),ISNUMBER($E723)),IF($E723&gt;$D723,1,0),0)+IF(AND(ISNUMBER($D723),ISNUMBER($F723)),IF($D723&gt;$F723,1,0),0)+IF(AND(ISNUMBER($E723),ISNUMBER($F723)),IF($E723&gt;$F723,1,0),0)</f>
        <v>0</v>
      </c>
      <c r="X723" s="13" t="s">
        <v>76</v>
      </c>
    </row>
    <row r="724" customFormat="false" ht="15" hidden="false" customHeight="false" outlineLevel="0" collapsed="false">
      <c r="A724" s="10" t="s">
        <v>3199</v>
      </c>
      <c r="B724" s="10" t="s">
        <v>3200</v>
      </c>
      <c r="C724" s="11" t="s">
        <v>3193</v>
      </c>
      <c r="D724" s="12" t="n">
        <v>0.1284</v>
      </c>
      <c r="E724" s="12"/>
      <c r="F724" s="12"/>
      <c r="G724" s="10" t="s">
        <v>63</v>
      </c>
      <c r="H724" s="10" t="s">
        <v>83</v>
      </c>
      <c r="I724" s="11" t="s">
        <v>3194</v>
      </c>
      <c r="J724" s="10" t="s">
        <v>66</v>
      </c>
      <c r="K724" s="10" t="s">
        <v>67</v>
      </c>
      <c r="L724" s="10" t="s">
        <v>68</v>
      </c>
      <c r="M724" s="10" t="s">
        <v>69</v>
      </c>
      <c r="N724" s="10"/>
      <c r="O724" s="11" t="s">
        <v>2851</v>
      </c>
      <c r="P724" s="10" t="s">
        <v>71</v>
      </c>
      <c r="Q724" s="11" t="s">
        <v>72</v>
      </c>
      <c r="R724" s="11" t="s">
        <v>73</v>
      </c>
      <c r="S724" s="11" t="s">
        <v>74</v>
      </c>
      <c r="T724" s="11" t="s">
        <v>3201</v>
      </c>
      <c r="U724" s="10" t="n">
        <f aca="false">IF(AND($D724="",$E724="",$F724=""),1,0)</f>
        <v>0</v>
      </c>
      <c r="V724" s="10" t="n">
        <f aca="false">IF(OR($I724="",$I724="—"),1,0)</f>
        <v>0</v>
      </c>
      <c r="W724" s="10" t="n">
        <f aca="false">IF(AND(ISNUMBER($D724),ISNUMBER($E724)),IF($E724&gt;$D724,1,0),0)+IF(AND(ISNUMBER($D724),ISNUMBER($F724)),IF($D724&gt;$F724,1,0),0)+IF(AND(ISNUMBER($E724),ISNUMBER($F724)),IF($E724&gt;$F724,1,0),0)</f>
        <v>0</v>
      </c>
      <c r="X724" s="13" t="s">
        <v>76</v>
      </c>
    </row>
    <row r="725" customFormat="false" ht="15" hidden="false" customHeight="false" outlineLevel="0" collapsed="false">
      <c r="A725" s="10" t="s">
        <v>3202</v>
      </c>
      <c r="B725" s="10" t="s">
        <v>3203</v>
      </c>
      <c r="C725" s="11" t="s">
        <v>3193</v>
      </c>
      <c r="D725" s="12" t="n">
        <v>0.0229</v>
      </c>
      <c r="E725" s="12"/>
      <c r="F725" s="12"/>
      <c r="G725" s="10" t="s">
        <v>63</v>
      </c>
      <c r="H725" s="10" t="s">
        <v>87</v>
      </c>
      <c r="I725" s="11" t="s">
        <v>3194</v>
      </c>
      <c r="J725" s="10" t="s">
        <v>66</v>
      </c>
      <c r="K725" s="10" t="s">
        <v>67</v>
      </c>
      <c r="L725" s="10" t="s">
        <v>68</v>
      </c>
      <c r="M725" s="10" t="s">
        <v>69</v>
      </c>
      <c r="N725" s="10"/>
      <c r="O725" s="11" t="s">
        <v>2861</v>
      </c>
      <c r="P725" s="10" t="s">
        <v>71</v>
      </c>
      <c r="Q725" s="11" t="s">
        <v>72</v>
      </c>
      <c r="R725" s="11" t="s">
        <v>73</v>
      </c>
      <c r="S725" s="11" t="s">
        <v>74</v>
      </c>
      <c r="T725" s="11" t="s">
        <v>3204</v>
      </c>
      <c r="U725" s="10" t="n">
        <f aca="false">IF(AND($D725="",$E725="",$F725=""),1,0)</f>
        <v>0</v>
      </c>
      <c r="V725" s="10" t="n">
        <f aca="false">IF(OR($I725="",$I725="—"),1,0)</f>
        <v>0</v>
      </c>
      <c r="W725" s="10" t="n">
        <f aca="false">IF(AND(ISNUMBER($D725),ISNUMBER($E725)),IF($E725&gt;$D725,1,0),0)+IF(AND(ISNUMBER($D725),ISNUMBER($F725)),IF($D725&gt;$F725,1,0),0)+IF(AND(ISNUMBER($E725),ISNUMBER($F725)),IF($E725&gt;$F725,1,0),0)</f>
        <v>0</v>
      </c>
      <c r="X725" s="13" t="s">
        <v>76</v>
      </c>
    </row>
    <row r="726" customFormat="false" ht="15" hidden="false" customHeight="false" outlineLevel="0" collapsed="false">
      <c r="A726" s="10" t="s">
        <v>3205</v>
      </c>
      <c r="B726" s="10" t="s">
        <v>3206</v>
      </c>
      <c r="C726" s="11" t="s">
        <v>3193</v>
      </c>
      <c r="D726" s="12" t="n">
        <v>0.2056</v>
      </c>
      <c r="E726" s="12"/>
      <c r="F726" s="12"/>
      <c r="G726" s="10" t="s">
        <v>63</v>
      </c>
      <c r="H726" s="10" t="s">
        <v>92</v>
      </c>
      <c r="I726" s="11" t="s">
        <v>3194</v>
      </c>
      <c r="J726" s="10" t="s">
        <v>66</v>
      </c>
      <c r="K726" s="10" t="s">
        <v>67</v>
      </c>
      <c r="L726" s="10" t="s">
        <v>68</v>
      </c>
      <c r="M726" s="10" t="s">
        <v>69</v>
      </c>
      <c r="N726" s="10"/>
      <c r="O726" s="11" t="s">
        <v>2865</v>
      </c>
      <c r="P726" s="10" t="s">
        <v>71</v>
      </c>
      <c r="Q726" s="11" t="s">
        <v>72</v>
      </c>
      <c r="R726" s="11" t="s">
        <v>73</v>
      </c>
      <c r="S726" s="11" t="s">
        <v>74</v>
      </c>
      <c r="T726" s="11" t="s">
        <v>3207</v>
      </c>
      <c r="U726" s="10" t="n">
        <f aca="false">IF(AND($D726="",$E726="",$F726=""),1,0)</f>
        <v>0</v>
      </c>
      <c r="V726" s="10" t="n">
        <f aca="false">IF(OR($I726="",$I726="—"),1,0)</f>
        <v>0</v>
      </c>
      <c r="W726" s="10" t="n">
        <f aca="false">IF(AND(ISNUMBER($D726),ISNUMBER($E726)),IF($E726&gt;$D726,1,0),0)+IF(AND(ISNUMBER($D726),ISNUMBER($F726)),IF($D726&gt;$F726,1,0),0)+IF(AND(ISNUMBER($E726),ISNUMBER($F726)),IF($E726&gt;$F726,1,0),0)</f>
        <v>0</v>
      </c>
      <c r="X726" s="13" t="s">
        <v>76</v>
      </c>
    </row>
    <row r="727" customFormat="false" ht="15" hidden="false" customHeight="false" outlineLevel="0" collapsed="false">
      <c r="A727" s="10" t="s">
        <v>3208</v>
      </c>
      <c r="B727" s="10" t="s">
        <v>3209</v>
      </c>
      <c r="C727" s="11" t="s">
        <v>3210</v>
      </c>
      <c r="D727" s="12" t="n">
        <v>0.1138</v>
      </c>
      <c r="E727" s="12"/>
      <c r="F727" s="12"/>
      <c r="G727" s="10" t="s">
        <v>63</v>
      </c>
      <c r="H727" s="10" t="s">
        <v>64</v>
      </c>
      <c r="I727" s="11" t="s">
        <v>3194</v>
      </c>
      <c r="J727" s="10" t="s">
        <v>66</v>
      </c>
      <c r="K727" s="10" t="s">
        <v>67</v>
      </c>
      <c r="L727" s="10" t="s">
        <v>68</v>
      </c>
      <c r="M727" s="10" t="s">
        <v>69</v>
      </c>
      <c r="N727" s="10"/>
      <c r="O727" s="11" t="s">
        <v>2851</v>
      </c>
      <c r="P727" s="10" t="s">
        <v>71</v>
      </c>
      <c r="Q727" s="11" t="s">
        <v>72</v>
      </c>
      <c r="R727" s="11" t="s">
        <v>73</v>
      </c>
      <c r="S727" s="11" t="s">
        <v>74</v>
      </c>
      <c r="T727" s="11" t="s">
        <v>3211</v>
      </c>
      <c r="U727" s="10" t="n">
        <f aca="false">IF(AND($D727="",$E727="",$F727=""),1,0)</f>
        <v>0</v>
      </c>
      <c r="V727" s="10" t="n">
        <f aca="false">IF(OR($I727="",$I727="—"),1,0)</f>
        <v>0</v>
      </c>
      <c r="W727" s="10" t="n">
        <f aca="false">IF(AND(ISNUMBER($D727),ISNUMBER($E727)),IF($E727&gt;$D727,1,0),0)+IF(AND(ISNUMBER($D727),ISNUMBER($F727)),IF($D727&gt;$F727,1,0),0)+IF(AND(ISNUMBER($E727),ISNUMBER($F727)),IF($E727&gt;$F727,1,0),0)</f>
        <v>0</v>
      </c>
      <c r="X727" s="13" t="s">
        <v>76</v>
      </c>
    </row>
    <row r="728" customFormat="false" ht="15" hidden="false" customHeight="false" outlineLevel="0" collapsed="false">
      <c r="A728" s="10" t="s">
        <v>3212</v>
      </c>
      <c r="B728" s="10" t="s">
        <v>3213</v>
      </c>
      <c r="C728" s="11" t="s">
        <v>3210</v>
      </c>
      <c r="D728" s="12" t="n">
        <v>0.3033</v>
      </c>
      <c r="E728" s="12"/>
      <c r="F728" s="12"/>
      <c r="G728" s="10" t="s">
        <v>63</v>
      </c>
      <c r="H728" s="10" t="s">
        <v>79</v>
      </c>
      <c r="I728" s="11" t="s">
        <v>3194</v>
      </c>
      <c r="J728" s="10" t="s">
        <v>66</v>
      </c>
      <c r="K728" s="10" t="s">
        <v>67</v>
      </c>
      <c r="L728" s="10" t="s">
        <v>68</v>
      </c>
      <c r="M728" s="10" t="s">
        <v>69</v>
      </c>
      <c r="N728" s="10"/>
      <c r="O728" s="11" t="s">
        <v>2851</v>
      </c>
      <c r="P728" s="10" t="s">
        <v>71</v>
      </c>
      <c r="Q728" s="11" t="s">
        <v>72</v>
      </c>
      <c r="R728" s="11" t="s">
        <v>73</v>
      </c>
      <c r="S728" s="11" t="s">
        <v>74</v>
      </c>
      <c r="T728" s="11" t="s">
        <v>3214</v>
      </c>
      <c r="U728" s="10" t="n">
        <f aca="false">IF(AND($D728="",$E728="",$F728=""),1,0)</f>
        <v>0</v>
      </c>
      <c r="V728" s="10" t="n">
        <f aca="false">IF(OR($I728="",$I728="—"),1,0)</f>
        <v>0</v>
      </c>
      <c r="W728" s="10" t="n">
        <f aca="false">IF(AND(ISNUMBER($D728),ISNUMBER($E728)),IF($E728&gt;$D728,1,0),0)+IF(AND(ISNUMBER($D728),ISNUMBER($F728)),IF($D728&gt;$F728,1,0),0)+IF(AND(ISNUMBER($E728),ISNUMBER($F728)),IF($E728&gt;$F728,1,0),0)</f>
        <v>0</v>
      </c>
      <c r="X728" s="13" t="s">
        <v>76</v>
      </c>
    </row>
    <row r="729" customFormat="false" ht="15" hidden="false" customHeight="false" outlineLevel="0" collapsed="false">
      <c r="A729" s="10" t="s">
        <v>3215</v>
      </c>
      <c r="B729" s="10" t="s">
        <v>3216</v>
      </c>
      <c r="C729" s="11" t="s">
        <v>3210</v>
      </c>
      <c r="D729" s="12" t="n">
        <v>0.9369</v>
      </c>
      <c r="E729" s="12"/>
      <c r="F729" s="12"/>
      <c r="G729" s="10" t="s">
        <v>63</v>
      </c>
      <c r="H729" s="10" t="s">
        <v>83</v>
      </c>
      <c r="I729" s="11" t="s">
        <v>3194</v>
      </c>
      <c r="J729" s="10" t="s">
        <v>66</v>
      </c>
      <c r="K729" s="10" t="s">
        <v>67</v>
      </c>
      <c r="L729" s="10" t="s">
        <v>68</v>
      </c>
      <c r="M729" s="10" t="s">
        <v>69</v>
      </c>
      <c r="N729" s="10"/>
      <c r="O729" s="11" t="s">
        <v>2851</v>
      </c>
      <c r="P729" s="10" t="s">
        <v>71</v>
      </c>
      <c r="Q729" s="11" t="s">
        <v>72</v>
      </c>
      <c r="R729" s="11" t="s">
        <v>73</v>
      </c>
      <c r="S729" s="11" t="s">
        <v>74</v>
      </c>
      <c r="T729" s="11" t="s">
        <v>3217</v>
      </c>
      <c r="U729" s="10" t="n">
        <f aca="false">IF(AND($D729="",$E729="",$F729=""),1,0)</f>
        <v>0</v>
      </c>
      <c r="V729" s="10" t="n">
        <f aca="false">IF(OR($I729="",$I729="—"),1,0)</f>
        <v>0</v>
      </c>
      <c r="W729" s="10" t="n">
        <f aca="false">IF(AND(ISNUMBER($D729),ISNUMBER($E729)),IF($E729&gt;$D729,1,0),0)+IF(AND(ISNUMBER($D729),ISNUMBER($F729)),IF($D729&gt;$F729,1,0),0)+IF(AND(ISNUMBER($E729),ISNUMBER($F729)),IF($E729&gt;$F729,1,0),0)</f>
        <v>0</v>
      </c>
      <c r="X729" s="13" t="s">
        <v>76</v>
      </c>
    </row>
    <row r="730" customFormat="false" ht="15" hidden="false" customHeight="false" outlineLevel="0" collapsed="false">
      <c r="A730" s="10" t="s">
        <v>3218</v>
      </c>
      <c r="B730" s="10" t="s">
        <v>3219</v>
      </c>
      <c r="C730" s="11" t="s">
        <v>3210</v>
      </c>
      <c r="D730" s="12" t="n">
        <v>0.4449</v>
      </c>
      <c r="E730" s="12"/>
      <c r="F730" s="12"/>
      <c r="G730" s="10" t="s">
        <v>63</v>
      </c>
      <c r="H730" s="10" t="s">
        <v>87</v>
      </c>
      <c r="I730" s="11" t="s">
        <v>3194</v>
      </c>
      <c r="J730" s="10" t="s">
        <v>66</v>
      </c>
      <c r="K730" s="10" t="s">
        <v>67</v>
      </c>
      <c r="L730" s="10" t="s">
        <v>68</v>
      </c>
      <c r="M730" s="10" t="s">
        <v>69</v>
      </c>
      <c r="N730" s="10"/>
      <c r="O730" s="11" t="s">
        <v>2861</v>
      </c>
      <c r="P730" s="10" t="s">
        <v>71</v>
      </c>
      <c r="Q730" s="11" t="s">
        <v>72</v>
      </c>
      <c r="R730" s="11" t="s">
        <v>73</v>
      </c>
      <c r="S730" s="11" t="s">
        <v>74</v>
      </c>
      <c r="T730" s="11" t="s">
        <v>3220</v>
      </c>
      <c r="U730" s="10" t="n">
        <f aca="false">IF(AND($D730="",$E730="",$F730=""),1,0)</f>
        <v>0</v>
      </c>
      <c r="V730" s="10" t="n">
        <f aca="false">IF(OR($I730="",$I730="—"),1,0)</f>
        <v>0</v>
      </c>
      <c r="W730" s="10" t="n">
        <f aca="false">IF(AND(ISNUMBER($D730),ISNUMBER($E730)),IF($E730&gt;$D730,1,0),0)+IF(AND(ISNUMBER($D730),ISNUMBER($F730)),IF($D730&gt;$F730,1,0),0)+IF(AND(ISNUMBER($E730),ISNUMBER($F730)),IF($E730&gt;$F730,1,0),0)</f>
        <v>0</v>
      </c>
      <c r="X730" s="13" t="s">
        <v>76</v>
      </c>
    </row>
    <row r="731" customFormat="false" ht="15" hidden="false" customHeight="false" outlineLevel="0" collapsed="false">
      <c r="A731" s="10" t="s">
        <v>3221</v>
      </c>
      <c r="B731" s="10" t="s">
        <v>3222</v>
      </c>
      <c r="C731" s="11" t="s">
        <v>3210</v>
      </c>
      <c r="D731" s="12" t="n">
        <v>0.7174</v>
      </c>
      <c r="E731" s="12"/>
      <c r="F731" s="12"/>
      <c r="G731" s="10" t="s">
        <v>63</v>
      </c>
      <c r="H731" s="10" t="s">
        <v>92</v>
      </c>
      <c r="I731" s="11" t="s">
        <v>3194</v>
      </c>
      <c r="J731" s="10" t="s">
        <v>66</v>
      </c>
      <c r="K731" s="10" t="s">
        <v>67</v>
      </c>
      <c r="L731" s="10" t="s">
        <v>68</v>
      </c>
      <c r="M731" s="10" t="s">
        <v>69</v>
      </c>
      <c r="N731" s="10"/>
      <c r="O731" s="11" t="s">
        <v>2865</v>
      </c>
      <c r="P731" s="10" t="s">
        <v>71</v>
      </c>
      <c r="Q731" s="11" t="s">
        <v>72</v>
      </c>
      <c r="R731" s="11" t="s">
        <v>73</v>
      </c>
      <c r="S731" s="11" t="s">
        <v>74</v>
      </c>
      <c r="T731" s="11" t="s">
        <v>3223</v>
      </c>
      <c r="U731" s="10" t="n">
        <f aca="false">IF(AND($D731="",$E731="",$F731=""),1,0)</f>
        <v>0</v>
      </c>
      <c r="V731" s="10" t="n">
        <f aca="false">IF(OR($I731="",$I731="—"),1,0)</f>
        <v>0</v>
      </c>
      <c r="W731" s="10" t="n">
        <f aca="false">IF(AND(ISNUMBER($D731),ISNUMBER($E731)),IF($E731&gt;$D731,1,0),0)+IF(AND(ISNUMBER($D731),ISNUMBER($F731)),IF($D731&gt;$F731,1,0),0)+IF(AND(ISNUMBER($E731),ISNUMBER($F731)),IF($E731&gt;$F731,1,0),0)</f>
        <v>0</v>
      </c>
      <c r="X731" s="13" t="s">
        <v>76</v>
      </c>
    </row>
    <row r="732" customFormat="false" ht="15" hidden="false" customHeight="false" outlineLevel="0" collapsed="false">
      <c r="A732" s="10" t="s">
        <v>3224</v>
      </c>
      <c r="B732" s="10" t="s">
        <v>3225</v>
      </c>
      <c r="C732" s="11" t="s">
        <v>3226</v>
      </c>
      <c r="D732" s="12" t="n">
        <v>0.0117</v>
      </c>
      <c r="E732" s="12"/>
      <c r="F732" s="12"/>
      <c r="G732" s="10" t="s">
        <v>63</v>
      </c>
      <c r="H732" s="10" t="s">
        <v>64</v>
      </c>
      <c r="I732" s="11" t="s">
        <v>3194</v>
      </c>
      <c r="J732" s="10" t="s">
        <v>66</v>
      </c>
      <c r="K732" s="10" t="s">
        <v>67</v>
      </c>
      <c r="L732" s="10" t="s">
        <v>68</v>
      </c>
      <c r="M732" s="10" t="s">
        <v>69</v>
      </c>
      <c r="N732" s="10"/>
      <c r="O732" s="11" t="s">
        <v>2851</v>
      </c>
      <c r="P732" s="10" t="s">
        <v>71</v>
      </c>
      <c r="Q732" s="11" t="s">
        <v>72</v>
      </c>
      <c r="R732" s="11" t="s">
        <v>73</v>
      </c>
      <c r="S732" s="11" t="s">
        <v>74</v>
      </c>
      <c r="T732" s="11" t="s">
        <v>3227</v>
      </c>
      <c r="U732" s="10" t="n">
        <f aca="false">IF(AND($D732="",$E732="",$F732=""),1,0)</f>
        <v>0</v>
      </c>
      <c r="V732" s="10" t="n">
        <f aca="false">IF(OR($I732="",$I732="—"),1,0)</f>
        <v>0</v>
      </c>
      <c r="W732" s="10" t="n">
        <f aca="false">IF(AND(ISNUMBER($D732),ISNUMBER($E732)),IF($E732&gt;$D732,1,0),0)+IF(AND(ISNUMBER($D732),ISNUMBER($F732)),IF($D732&gt;$F732,1,0),0)+IF(AND(ISNUMBER($E732),ISNUMBER($F732)),IF($E732&gt;$F732,1,0),0)</f>
        <v>0</v>
      </c>
      <c r="X732" s="13" t="s">
        <v>76</v>
      </c>
    </row>
    <row r="733" customFormat="false" ht="15" hidden="false" customHeight="false" outlineLevel="0" collapsed="false">
      <c r="A733" s="10" t="s">
        <v>3228</v>
      </c>
      <c r="B733" s="10" t="s">
        <v>3229</v>
      </c>
      <c r="C733" s="11" t="s">
        <v>3226</v>
      </c>
      <c r="D733" s="12" t="n">
        <v>0.5487</v>
      </c>
      <c r="E733" s="12"/>
      <c r="F733" s="12"/>
      <c r="G733" s="10" t="s">
        <v>63</v>
      </c>
      <c r="H733" s="10" t="s">
        <v>79</v>
      </c>
      <c r="I733" s="11" t="s">
        <v>3194</v>
      </c>
      <c r="J733" s="10" t="s">
        <v>66</v>
      </c>
      <c r="K733" s="10" t="s">
        <v>67</v>
      </c>
      <c r="L733" s="10" t="s">
        <v>68</v>
      </c>
      <c r="M733" s="10" t="s">
        <v>69</v>
      </c>
      <c r="N733" s="10"/>
      <c r="O733" s="11" t="s">
        <v>2851</v>
      </c>
      <c r="P733" s="10" t="s">
        <v>71</v>
      </c>
      <c r="Q733" s="11" t="s">
        <v>72</v>
      </c>
      <c r="R733" s="11" t="s">
        <v>73</v>
      </c>
      <c r="S733" s="11" t="s">
        <v>74</v>
      </c>
      <c r="T733" s="11" t="s">
        <v>3230</v>
      </c>
      <c r="U733" s="10" t="n">
        <f aca="false">IF(AND($D733="",$E733="",$F733=""),1,0)</f>
        <v>0</v>
      </c>
      <c r="V733" s="10" t="n">
        <f aca="false">IF(OR($I733="",$I733="—"),1,0)</f>
        <v>0</v>
      </c>
      <c r="W733" s="10" t="n">
        <f aca="false">IF(AND(ISNUMBER($D733),ISNUMBER($E733)),IF($E733&gt;$D733,1,0),0)+IF(AND(ISNUMBER($D733),ISNUMBER($F733)),IF($D733&gt;$F733,1,0),0)+IF(AND(ISNUMBER($E733),ISNUMBER($F733)),IF($E733&gt;$F733,1,0),0)</f>
        <v>0</v>
      </c>
      <c r="X733" s="13" t="s">
        <v>76</v>
      </c>
    </row>
    <row r="734" customFormat="false" ht="15" hidden="false" customHeight="false" outlineLevel="0" collapsed="false">
      <c r="A734" s="10" t="s">
        <v>3231</v>
      </c>
      <c r="B734" s="10" t="s">
        <v>3232</v>
      </c>
      <c r="C734" s="11" t="s">
        <v>3226</v>
      </c>
      <c r="D734" s="12" t="n">
        <v>2.3745</v>
      </c>
      <c r="E734" s="12"/>
      <c r="F734" s="12"/>
      <c r="G734" s="10" t="s">
        <v>63</v>
      </c>
      <c r="H734" s="10" t="s">
        <v>83</v>
      </c>
      <c r="I734" s="11" t="s">
        <v>3194</v>
      </c>
      <c r="J734" s="10" t="s">
        <v>66</v>
      </c>
      <c r="K734" s="10" t="s">
        <v>67</v>
      </c>
      <c r="L734" s="10" t="s">
        <v>68</v>
      </c>
      <c r="M734" s="10" t="s">
        <v>69</v>
      </c>
      <c r="N734" s="10"/>
      <c r="O734" s="11" t="s">
        <v>2851</v>
      </c>
      <c r="P734" s="10" t="s">
        <v>71</v>
      </c>
      <c r="Q734" s="11" t="s">
        <v>72</v>
      </c>
      <c r="R734" s="11" t="s">
        <v>73</v>
      </c>
      <c r="S734" s="11" t="s">
        <v>74</v>
      </c>
      <c r="T734" s="11" t="s">
        <v>3233</v>
      </c>
      <c r="U734" s="10" t="n">
        <f aca="false">IF(AND($D734="",$E734="",$F734=""),1,0)</f>
        <v>0</v>
      </c>
      <c r="V734" s="10" t="n">
        <f aca="false">IF(OR($I734="",$I734="—"),1,0)</f>
        <v>0</v>
      </c>
      <c r="W734" s="10" t="n">
        <f aca="false">IF(AND(ISNUMBER($D734),ISNUMBER($E734)),IF($E734&gt;$D734,1,0),0)+IF(AND(ISNUMBER($D734),ISNUMBER($F734)),IF($D734&gt;$F734,1,0),0)+IF(AND(ISNUMBER($E734),ISNUMBER($F734)),IF($E734&gt;$F734,1,0),0)</f>
        <v>0</v>
      </c>
      <c r="X734" s="13" t="s">
        <v>76</v>
      </c>
    </row>
    <row r="735" customFormat="false" ht="15" hidden="false" customHeight="false" outlineLevel="0" collapsed="false">
      <c r="A735" s="10" t="s">
        <v>3234</v>
      </c>
      <c r="B735" s="10" t="s">
        <v>3235</v>
      </c>
      <c r="C735" s="11" t="s">
        <v>3226</v>
      </c>
      <c r="D735" s="12" t="n">
        <v>0.8071</v>
      </c>
      <c r="E735" s="12"/>
      <c r="F735" s="12"/>
      <c r="G735" s="10" t="s">
        <v>63</v>
      </c>
      <c r="H735" s="10" t="s">
        <v>87</v>
      </c>
      <c r="I735" s="11" t="s">
        <v>3194</v>
      </c>
      <c r="J735" s="10" t="s">
        <v>66</v>
      </c>
      <c r="K735" s="10" t="s">
        <v>67</v>
      </c>
      <c r="L735" s="10" t="s">
        <v>68</v>
      </c>
      <c r="M735" s="10" t="s">
        <v>69</v>
      </c>
      <c r="N735" s="10"/>
      <c r="O735" s="11" t="s">
        <v>2861</v>
      </c>
      <c r="P735" s="10" t="s">
        <v>71</v>
      </c>
      <c r="Q735" s="11" t="s">
        <v>72</v>
      </c>
      <c r="R735" s="11" t="s">
        <v>73</v>
      </c>
      <c r="S735" s="11" t="s">
        <v>74</v>
      </c>
      <c r="T735" s="11" t="s">
        <v>3236</v>
      </c>
      <c r="U735" s="10" t="n">
        <f aca="false">IF(AND($D735="",$E735="",$F735=""),1,0)</f>
        <v>0</v>
      </c>
      <c r="V735" s="10" t="n">
        <f aca="false">IF(OR($I735="",$I735="—"),1,0)</f>
        <v>0</v>
      </c>
      <c r="W735" s="10" t="n">
        <f aca="false">IF(AND(ISNUMBER($D735),ISNUMBER($E735)),IF($E735&gt;$D735,1,0),0)+IF(AND(ISNUMBER($D735),ISNUMBER($F735)),IF($D735&gt;$F735,1,0),0)+IF(AND(ISNUMBER($E735),ISNUMBER($F735)),IF($E735&gt;$F735,1,0),0)</f>
        <v>0</v>
      </c>
      <c r="X735" s="13" t="s">
        <v>76</v>
      </c>
    </row>
    <row r="736" customFormat="false" ht="15" hidden="false" customHeight="false" outlineLevel="0" collapsed="false">
      <c r="A736" s="10" t="s">
        <v>3237</v>
      </c>
      <c r="B736" s="10" t="s">
        <v>3238</v>
      </c>
      <c r="C736" s="11" t="s">
        <v>3226</v>
      </c>
      <c r="D736" s="12" t="n">
        <v>0.9567</v>
      </c>
      <c r="E736" s="12"/>
      <c r="F736" s="12"/>
      <c r="G736" s="10" t="s">
        <v>63</v>
      </c>
      <c r="H736" s="10" t="s">
        <v>92</v>
      </c>
      <c r="I736" s="11" t="s">
        <v>3194</v>
      </c>
      <c r="J736" s="10" t="s">
        <v>66</v>
      </c>
      <c r="K736" s="10" t="s">
        <v>67</v>
      </c>
      <c r="L736" s="10" t="s">
        <v>68</v>
      </c>
      <c r="M736" s="10" t="s">
        <v>69</v>
      </c>
      <c r="N736" s="10"/>
      <c r="O736" s="11" t="s">
        <v>2865</v>
      </c>
      <c r="P736" s="10" t="s">
        <v>71</v>
      </c>
      <c r="Q736" s="11" t="s">
        <v>72</v>
      </c>
      <c r="R736" s="11" t="s">
        <v>73</v>
      </c>
      <c r="S736" s="11" t="s">
        <v>74</v>
      </c>
      <c r="T736" s="11" t="s">
        <v>3239</v>
      </c>
      <c r="U736" s="10" t="n">
        <f aca="false">IF(AND($D736="",$E736="",$F736=""),1,0)</f>
        <v>0</v>
      </c>
      <c r="V736" s="10" t="n">
        <f aca="false">IF(OR($I736="",$I736="—"),1,0)</f>
        <v>0</v>
      </c>
      <c r="W736" s="10" t="n">
        <f aca="false">IF(AND(ISNUMBER($D736),ISNUMBER($E736)),IF($E736&gt;$D736,1,0),0)+IF(AND(ISNUMBER($D736),ISNUMBER($F736)),IF($D736&gt;$F736,1,0),0)+IF(AND(ISNUMBER($E736),ISNUMBER($F736)),IF($E736&gt;$F736,1,0),0)</f>
        <v>0</v>
      </c>
      <c r="X736" s="13" t="s">
        <v>76</v>
      </c>
    </row>
    <row r="737" customFormat="false" ht="15" hidden="false" customHeight="false" outlineLevel="0" collapsed="false">
      <c r="A737" s="10" t="s">
        <v>3240</v>
      </c>
      <c r="B737" s="10" t="s">
        <v>3241</v>
      </c>
      <c r="C737" s="11" t="s">
        <v>3242</v>
      </c>
      <c r="D737" s="12" t="n">
        <v>0.2092</v>
      </c>
      <c r="E737" s="12"/>
      <c r="F737" s="12"/>
      <c r="G737" s="10" t="s">
        <v>63</v>
      </c>
      <c r="H737" s="10" t="s">
        <v>64</v>
      </c>
      <c r="I737" s="11" t="s">
        <v>3194</v>
      </c>
      <c r="J737" s="10" t="s">
        <v>66</v>
      </c>
      <c r="K737" s="10" t="s">
        <v>67</v>
      </c>
      <c r="L737" s="10" t="s">
        <v>68</v>
      </c>
      <c r="M737" s="10" t="s">
        <v>69</v>
      </c>
      <c r="N737" s="10"/>
      <c r="O737" s="11" t="s">
        <v>2851</v>
      </c>
      <c r="P737" s="10" t="s">
        <v>71</v>
      </c>
      <c r="Q737" s="11" t="s">
        <v>72</v>
      </c>
      <c r="R737" s="11" t="s">
        <v>73</v>
      </c>
      <c r="S737" s="11" t="s">
        <v>74</v>
      </c>
      <c r="T737" s="11" t="s">
        <v>3243</v>
      </c>
      <c r="U737" s="10" t="n">
        <f aca="false">IF(AND($D737="",$E737="",$F737=""),1,0)</f>
        <v>0</v>
      </c>
      <c r="V737" s="10" t="n">
        <f aca="false">IF(OR($I737="",$I737="—"),1,0)</f>
        <v>0</v>
      </c>
      <c r="W737" s="10" t="n">
        <f aca="false">IF(AND(ISNUMBER($D737),ISNUMBER($E737)),IF($E737&gt;$D737,1,0),0)+IF(AND(ISNUMBER($D737),ISNUMBER($F737)),IF($D737&gt;$F737,1,0),0)+IF(AND(ISNUMBER($E737),ISNUMBER($F737)),IF($E737&gt;$F737,1,0),0)</f>
        <v>0</v>
      </c>
      <c r="X737" s="13" t="s">
        <v>76</v>
      </c>
    </row>
    <row r="738" customFormat="false" ht="15" hidden="false" customHeight="false" outlineLevel="0" collapsed="false">
      <c r="A738" s="10" t="s">
        <v>3244</v>
      </c>
      <c r="B738" s="10" t="s">
        <v>3245</v>
      </c>
      <c r="C738" s="11" t="s">
        <v>3242</v>
      </c>
      <c r="D738" s="12" t="n">
        <v>0.3396</v>
      </c>
      <c r="E738" s="12"/>
      <c r="F738" s="12"/>
      <c r="G738" s="10" t="s">
        <v>63</v>
      </c>
      <c r="H738" s="10" t="s">
        <v>79</v>
      </c>
      <c r="I738" s="11" t="s">
        <v>3194</v>
      </c>
      <c r="J738" s="10" t="s">
        <v>66</v>
      </c>
      <c r="K738" s="10" t="s">
        <v>67</v>
      </c>
      <c r="L738" s="10" t="s">
        <v>68</v>
      </c>
      <c r="M738" s="10" t="s">
        <v>69</v>
      </c>
      <c r="N738" s="10"/>
      <c r="O738" s="11" t="s">
        <v>2851</v>
      </c>
      <c r="P738" s="10" t="s">
        <v>71</v>
      </c>
      <c r="Q738" s="11" t="s">
        <v>72</v>
      </c>
      <c r="R738" s="11" t="s">
        <v>73</v>
      </c>
      <c r="S738" s="11" t="s">
        <v>74</v>
      </c>
      <c r="T738" s="11" t="s">
        <v>3246</v>
      </c>
      <c r="U738" s="10" t="n">
        <f aca="false">IF(AND($D738="",$E738="",$F738=""),1,0)</f>
        <v>0</v>
      </c>
      <c r="V738" s="10" t="n">
        <f aca="false">IF(OR($I738="",$I738="—"),1,0)</f>
        <v>0</v>
      </c>
      <c r="W738" s="10" t="n">
        <f aca="false">IF(AND(ISNUMBER($D738),ISNUMBER($E738)),IF($E738&gt;$D738,1,0),0)+IF(AND(ISNUMBER($D738),ISNUMBER($F738)),IF($D738&gt;$F738,1,0),0)+IF(AND(ISNUMBER($E738),ISNUMBER($F738)),IF($E738&gt;$F738,1,0),0)</f>
        <v>0</v>
      </c>
      <c r="X738" s="13" t="s">
        <v>76</v>
      </c>
    </row>
    <row r="739" customFormat="false" ht="15" hidden="false" customHeight="false" outlineLevel="0" collapsed="false">
      <c r="A739" s="10" t="s">
        <v>3247</v>
      </c>
      <c r="B739" s="10" t="s">
        <v>3248</v>
      </c>
      <c r="C739" s="11" t="s">
        <v>3242</v>
      </c>
      <c r="D739" s="12" t="n">
        <v>0.7837</v>
      </c>
      <c r="E739" s="12"/>
      <c r="F739" s="12"/>
      <c r="G739" s="10" t="s">
        <v>63</v>
      </c>
      <c r="H739" s="10" t="s">
        <v>83</v>
      </c>
      <c r="I739" s="11" t="s">
        <v>3194</v>
      </c>
      <c r="J739" s="10" t="s">
        <v>66</v>
      </c>
      <c r="K739" s="10" t="s">
        <v>67</v>
      </c>
      <c r="L739" s="10" t="s">
        <v>68</v>
      </c>
      <c r="M739" s="10" t="s">
        <v>69</v>
      </c>
      <c r="N739" s="10"/>
      <c r="O739" s="11" t="s">
        <v>2851</v>
      </c>
      <c r="P739" s="10" t="s">
        <v>71</v>
      </c>
      <c r="Q739" s="11" t="s">
        <v>72</v>
      </c>
      <c r="R739" s="11" t="s">
        <v>73</v>
      </c>
      <c r="S739" s="11" t="s">
        <v>74</v>
      </c>
      <c r="T739" s="11" t="s">
        <v>3249</v>
      </c>
      <c r="U739" s="10" t="n">
        <f aca="false">IF(AND($D739="",$E739="",$F739=""),1,0)</f>
        <v>0</v>
      </c>
      <c r="V739" s="10" t="n">
        <f aca="false">IF(OR($I739="",$I739="—"),1,0)</f>
        <v>0</v>
      </c>
      <c r="W739" s="10" t="n">
        <f aca="false">IF(AND(ISNUMBER($D739),ISNUMBER($E739)),IF($E739&gt;$D739,1,0),0)+IF(AND(ISNUMBER($D739),ISNUMBER($F739)),IF($D739&gt;$F739,1,0),0)+IF(AND(ISNUMBER($E739),ISNUMBER($F739)),IF($E739&gt;$F739,1,0),0)</f>
        <v>0</v>
      </c>
      <c r="X739" s="13" t="s">
        <v>76</v>
      </c>
    </row>
    <row r="740" customFormat="false" ht="15" hidden="false" customHeight="false" outlineLevel="0" collapsed="false">
      <c r="A740" s="10" t="s">
        <v>3250</v>
      </c>
      <c r="B740" s="10" t="s">
        <v>3251</v>
      </c>
      <c r="C740" s="11" t="s">
        <v>3242</v>
      </c>
      <c r="D740" s="12" t="n">
        <v>0.2904</v>
      </c>
      <c r="E740" s="12"/>
      <c r="F740" s="12"/>
      <c r="G740" s="10" t="s">
        <v>63</v>
      </c>
      <c r="H740" s="10" t="s">
        <v>87</v>
      </c>
      <c r="I740" s="11" t="s">
        <v>3194</v>
      </c>
      <c r="J740" s="10" t="s">
        <v>66</v>
      </c>
      <c r="K740" s="10" t="s">
        <v>67</v>
      </c>
      <c r="L740" s="10" t="s">
        <v>68</v>
      </c>
      <c r="M740" s="10" t="s">
        <v>69</v>
      </c>
      <c r="N740" s="10"/>
      <c r="O740" s="11" t="s">
        <v>2861</v>
      </c>
      <c r="P740" s="10" t="s">
        <v>71</v>
      </c>
      <c r="Q740" s="11" t="s">
        <v>72</v>
      </c>
      <c r="R740" s="11" t="s">
        <v>73</v>
      </c>
      <c r="S740" s="11" t="s">
        <v>74</v>
      </c>
      <c r="T740" s="11" t="s">
        <v>3252</v>
      </c>
      <c r="U740" s="10" t="n">
        <f aca="false">IF(AND($D740="",$E740="",$F740=""),1,0)</f>
        <v>0</v>
      </c>
      <c r="V740" s="10" t="n">
        <f aca="false">IF(OR($I740="",$I740="—"),1,0)</f>
        <v>0</v>
      </c>
      <c r="W740" s="10" t="n">
        <f aca="false">IF(AND(ISNUMBER($D740),ISNUMBER($E740)),IF($E740&gt;$D740,1,0),0)+IF(AND(ISNUMBER($D740),ISNUMBER($F740)),IF($D740&gt;$F740,1,0),0)+IF(AND(ISNUMBER($E740),ISNUMBER($F740)),IF($E740&gt;$F740,1,0),0)</f>
        <v>0</v>
      </c>
      <c r="X740" s="13" t="s">
        <v>76</v>
      </c>
    </row>
    <row r="741" customFormat="false" ht="15" hidden="false" customHeight="false" outlineLevel="0" collapsed="false">
      <c r="A741" s="10" t="s">
        <v>3253</v>
      </c>
      <c r="B741" s="10" t="s">
        <v>3254</v>
      </c>
      <c r="C741" s="11" t="s">
        <v>3242</v>
      </c>
      <c r="D741" s="12" t="n">
        <v>1.2466</v>
      </c>
      <c r="E741" s="12"/>
      <c r="F741" s="12"/>
      <c r="G741" s="10" t="s">
        <v>63</v>
      </c>
      <c r="H741" s="10" t="s">
        <v>92</v>
      </c>
      <c r="I741" s="11" t="s">
        <v>3194</v>
      </c>
      <c r="J741" s="10" t="s">
        <v>66</v>
      </c>
      <c r="K741" s="10" t="s">
        <v>67</v>
      </c>
      <c r="L741" s="10" t="s">
        <v>68</v>
      </c>
      <c r="M741" s="10" t="s">
        <v>69</v>
      </c>
      <c r="N741" s="10"/>
      <c r="O741" s="11" t="s">
        <v>2865</v>
      </c>
      <c r="P741" s="10" t="s">
        <v>71</v>
      </c>
      <c r="Q741" s="11" t="s">
        <v>72</v>
      </c>
      <c r="R741" s="11" t="s">
        <v>73</v>
      </c>
      <c r="S741" s="11" t="s">
        <v>74</v>
      </c>
      <c r="T741" s="11" t="s">
        <v>3255</v>
      </c>
      <c r="U741" s="10" t="n">
        <f aca="false">IF(AND($D741="",$E741="",$F741=""),1,0)</f>
        <v>0</v>
      </c>
      <c r="V741" s="10" t="n">
        <f aca="false">IF(OR($I741="",$I741="—"),1,0)</f>
        <v>0</v>
      </c>
      <c r="W741" s="10" t="n">
        <f aca="false">IF(AND(ISNUMBER($D741),ISNUMBER($E741)),IF($E741&gt;$D741,1,0),0)+IF(AND(ISNUMBER($D741),ISNUMBER($F741)),IF($D741&gt;$F741,1,0),0)+IF(AND(ISNUMBER($E741),ISNUMBER($F741)),IF($E741&gt;$F741,1,0),0)</f>
        <v>0</v>
      </c>
      <c r="X741" s="13" t="s">
        <v>76</v>
      </c>
    </row>
    <row r="742" customFormat="false" ht="15" hidden="false" customHeight="false" outlineLevel="0" collapsed="false">
      <c r="A742" s="10" t="s">
        <v>3256</v>
      </c>
      <c r="B742" s="10" t="s">
        <v>3257</v>
      </c>
      <c r="C742" s="11" t="s">
        <v>3258</v>
      </c>
      <c r="D742" s="12" t="n">
        <v>0.1463</v>
      </c>
      <c r="E742" s="12"/>
      <c r="F742" s="12"/>
      <c r="G742" s="10" t="s">
        <v>63</v>
      </c>
      <c r="H742" s="10" t="s">
        <v>64</v>
      </c>
      <c r="I742" s="11" t="s">
        <v>3259</v>
      </c>
      <c r="J742" s="10" t="s">
        <v>66</v>
      </c>
      <c r="K742" s="10" t="s">
        <v>67</v>
      </c>
      <c r="L742" s="10" t="s">
        <v>68</v>
      </c>
      <c r="M742" s="10" t="s">
        <v>636</v>
      </c>
      <c r="N742" s="10"/>
      <c r="O742" s="11" t="s">
        <v>3260</v>
      </c>
      <c r="P742" s="10" t="s">
        <v>637</v>
      </c>
      <c r="Q742" s="11" t="s">
        <v>638</v>
      </c>
      <c r="R742" s="11" t="s">
        <v>639</v>
      </c>
      <c r="S742" s="11" t="s">
        <v>74</v>
      </c>
      <c r="T742" s="10" t="s">
        <v>3261</v>
      </c>
      <c r="U742" s="10" t="n">
        <f aca="false">IF(AND($D742="",$E742="",$F742=""),1,0)</f>
        <v>0</v>
      </c>
      <c r="V742" s="10" t="n">
        <f aca="false">IF(OR($I742="",$I742="—"),1,0)</f>
        <v>0</v>
      </c>
      <c r="W742" s="10" t="n">
        <f aca="false">IF(AND(ISNUMBER($D742),ISNUMBER($E742)),IF($E742&gt;$D742,1,0),0)+IF(AND(ISNUMBER($D742),ISNUMBER($F742)),IF($D742&gt;$F742,1,0),0)+IF(AND(ISNUMBER($E742),ISNUMBER($F742)),IF($E742&gt;$F742,1,0),0)</f>
        <v>0</v>
      </c>
      <c r="X742" s="13" t="s">
        <v>76</v>
      </c>
    </row>
    <row r="743" customFormat="false" ht="15" hidden="false" customHeight="false" outlineLevel="0" collapsed="false">
      <c r="A743" s="10" t="s">
        <v>3262</v>
      </c>
      <c r="B743" s="10" t="s">
        <v>3263</v>
      </c>
      <c r="C743" s="11" t="s">
        <v>3258</v>
      </c>
      <c r="D743" s="12" t="n">
        <v>3.2559</v>
      </c>
      <c r="E743" s="12"/>
      <c r="F743" s="12"/>
      <c r="G743" s="10" t="s">
        <v>63</v>
      </c>
      <c r="H743" s="10" t="s">
        <v>79</v>
      </c>
      <c r="I743" s="11" t="s">
        <v>3259</v>
      </c>
      <c r="J743" s="10" t="s">
        <v>66</v>
      </c>
      <c r="K743" s="10" t="s">
        <v>67</v>
      </c>
      <c r="L743" s="10" t="s">
        <v>68</v>
      </c>
      <c r="M743" s="10" t="s">
        <v>636</v>
      </c>
      <c r="N743" s="10"/>
      <c r="O743" s="11" t="s">
        <v>3260</v>
      </c>
      <c r="P743" s="10" t="s">
        <v>637</v>
      </c>
      <c r="Q743" s="11" t="s">
        <v>638</v>
      </c>
      <c r="R743" s="11" t="s">
        <v>639</v>
      </c>
      <c r="S743" s="11" t="s">
        <v>74</v>
      </c>
      <c r="T743" s="10" t="s">
        <v>3264</v>
      </c>
      <c r="U743" s="10" t="n">
        <f aca="false">IF(AND($D743="",$E743="",$F743=""),1,0)</f>
        <v>0</v>
      </c>
      <c r="V743" s="10" t="n">
        <f aca="false">IF(OR($I743="",$I743="—"),1,0)</f>
        <v>0</v>
      </c>
      <c r="W743" s="10" t="n">
        <f aca="false">IF(AND(ISNUMBER($D743),ISNUMBER($E743)),IF($E743&gt;$D743,1,0),0)+IF(AND(ISNUMBER($D743),ISNUMBER($F743)),IF($D743&gt;$F743,1,0),0)+IF(AND(ISNUMBER($E743),ISNUMBER($F743)),IF($E743&gt;$F743,1,0),0)</f>
        <v>0</v>
      </c>
      <c r="X743" s="13" t="s">
        <v>76</v>
      </c>
    </row>
    <row r="744" customFormat="false" ht="15" hidden="false" customHeight="false" outlineLevel="0" collapsed="false">
      <c r="A744" s="10" t="s">
        <v>3265</v>
      </c>
      <c r="B744" s="10" t="s">
        <v>3266</v>
      </c>
      <c r="C744" s="11" t="s">
        <v>3258</v>
      </c>
      <c r="D744" s="12" t="n">
        <v>15.9584</v>
      </c>
      <c r="E744" s="12"/>
      <c r="F744" s="12"/>
      <c r="G744" s="10" t="s">
        <v>63</v>
      </c>
      <c r="H744" s="10" t="s">
        <v>83</v>
      </c>
      <c r="I744" s="11" t="s">
        <v>3259</v>
      </c>
      <c r="J744" s="10" t="s">
        <v>66</v>
      </c>
      <c r="K744" s="10" t="s">
        <v>67</v>
      </c>
      <c r="L744" s="10" t="s">
        <v>68</v>
      </c>
      <c r="M744" s="10" t="s">
        <v>636</v>
      </c>
      <c r="N744" s="10"/>
      <c r="O744" s="11" t="s">
        <v>3260</v>
      </c>
      <c r="P744" s="10" t="s">
        <v>637</v>
      </c>
      <c r="Q744" s="11" t="s">
        <v>638</v>
      </c>
      <c r="R744" s="11" t="s">
        <v>639</v>
      </c>
      <c r="S744" s="11" t="s">
        <v>74</v>
      </c>
      <c r="T744" s="10" t="s">
        <v>3267</v>
      </c>
      <c r="U744" s="10" t="n">
        <f aca="false">IF(AND($D744="",$E744="",$F744=""),1,0)</f>
        <v>0</v>
      </c>
      <c r="V744" s="10" t="n">
        <f aca="false">IF(OR($I744="",$I744="—"),1,0)</f>
        <v>0</v>
      </c>
      <c r="W744" s="10" t="n">
        <f aca="false">IF(AND(ISNUMBER($D744),ISNUMBER($E744)),IF($E744&gt;$D744,1,0),0)+IF(AND(ISNUMBER($D744),ISNUMBER($F744)),IF($D744&gt;$F744,1,0),0)+IF(AND(ISNUMBER($E744),ISNUMBER($F744)),IF($E744&gt;$F744,1,0),0)</f>
        <v>0</v>
      </c>
      <c r="X744" s="13" t="s">
        <v>76</v>
      </c>
    </row>
    <row r="745" customFormat="false" ht="15" hidden="false" customHeight="false" outlineLevel="0" collapsed="false">
      <c r="A745" s="10" t="s">
        <v>3268</v>
      </c>
      <c r="B745" s="10" t="s">
        <v>3269</v>
      </c>
      <c r="C745" s="11" t="s">
        <v>3258</v>
      </c>
      <c r="D745" s="12" t="n">
        <v>6.1398</v>
      </c>
      <c r="E745" s="12"/>
      <c r="F745" s="12"/>
      <c r="G745" s="10" t="s">
        <v>63</v>
      </c>
      <c r="H745" s="10" t="s">
        <v>87</v>
      </c>
      <c r="I745" s="11" t="s">
        <v>3259</v>
      </c>
      <c r="J745" s="10" t="s">
        <v>66</v>
      </c>
      <c r="K745" s="10" t="s">
        <v>67</v>
      </c>
      <c r="L745" s="10" t="s">
        <v>68</v>
      </c>
      <c r="M745" s="10" t="s">
        <v>636</v>
      </c>
      <c r="N745" s="10"/>
      <c r="O745" s="11" t="s">
        <v>3270</v>
      </c>
      <c r="P745" s="10" t="s">
        <v>637</v>
      </c>
      <c r="Q745" s="11" t="s">
        <v>638</v>
      </c>
      <c r="R745" s="11" t="s">
        <v>639</v>
      </c>
      <c r="S745" s="11" t="s">
        <v>74</v>
      </c>
      <c r="T745" s="10" t="s">
        <v>3271</v>
      </c>
      <c r="U745" s="10" t="n">
        <f aca="false">IF(AND($D745="",$E745="",$F745=""),1,0)</f>
        <v>0</v>
      </c>
      <c r="V745" s="10" t="n">
        <f aca="false">IF(OR($I745="",$I745="—"),1,0)</f>
        <v>0</v>
      </c>
      <c r="W745" s="10" t="n">
        <f aca="false">IF(AND(ISNUMBER($D745),ISNUMBER($E745)),IF($E745&gt;$D745,1,0),0)+IF(AND(ISNUMBER($D745),ISNUMBER($F745)),IF($D745&gt;$F745,1,0),0)+IF(AND(ISNUMBER($E745),ISNUMBER($F745)),IF($E745&gt;$F745,1,0),0)</f>
        <v>0</v>
      </c>
      <c r="X745" s="13" t="s">
        <v>76</v>
      </c>
    </row>
    <row r="746" customFormat="false" ht="15" hidden="false" customHeight="false" outlineLevel="0" collapsed="false">
      <c r="A746" s="10" t="s">
        <v>3272</v>
      </c>
      <c r="B746" s="10" t="s">
        <v>3273</v>
      </c>
      <c r="C746" s="11" t="s">
        <v>3258</v>
      </c>
      <c r="D746" s="12" t="n">
        <v>12.0153</v>
      </c>
      <c r="E746" s="12"/>
      <c r="F746" s="12"/>
      <c r="G746" s="10" t="s">
        <v>63</v>
      </c>
      <c r="H746" s="10" t="s">
        <v>92</v>
      </c>
      <c r="I746" s="11" t="s">
        <v>3259</v>
      </c>
      <c r="J746" s="10" t="s">
        <v>66</v>
      </c>
      <c r="K746" s="10" t="s">
        <v>67</v>
      </c>
      <c r="L746" s="10" t="s">
        <v>68</v>
      </c>
      <c r="M746" s="10" t="s">
        <v>636</v>
      </c>
      <c r="N746" s="10"/>
      <c r="O746" s="11" t="s">
        <v>3260</v>
      </c>
      <c r="P746" s="10" t="s">
        <v>637</v>
      </c>
      <c r="Q746" s="11" t="s">
        <v>638</v>
      </c>
      <c r="R746" s="11" t="s">
        <v>639</v>
      </c>
      <c r="S746" s="11" t="s">
        <v>74</v>
      </c>
      <c r="T746" s="10" t="s">
        <v>3274</v>
      </c>
      <c r="U746" s="10" t="n">
        <f aca="false">IF(AND($D746="",$E746="",$F746=""),1,0)</f>
        <v>0</v>
      </c>
      <c r="V746" s="10" t="n">
        <f aca="false">IF(OR($I746="",$I746="—"),1,0)</f>
        <v>0</v>
      </c>
      <c r="W746" s="10" t="n">
        <f aca="false">IF(AND(ISNUMBER($D746),ISNUMBER($E746)),IF($E746&gt;$D746,1,0),0)+IF(AND(ISNUMBER($D746),ISNUMBER($F746)),IF($D746&gt;$F746,1,0),0)+IF(AND(ISNUMBER($E746),ISNUMBER($F746)),IF($E746&gt;$F746,1,0),0)</f>
        <v>0</v>
      </c>
      <c r="X746" s="13" t="s">
        <v>76</v>
      </c>
    </row>
    <row r="747" customFormat="false" ht="15" hidden="false" customHeight="false" outlineLevel="0" collapsed="false">
      <c r="A747" s="10" t="s">
        <v>3275</v>
      </c>
      <c r="B747" s="10" t="s">
        <v>3276</v>
      </c>
      <c r="C747" s="11" t="s">
        <v>3277</v>
      </c>
      <c r="D747" s="12" t="n">
        <v>100</v>
      </c>
      <c r="E747" s="12"/>
      <c r="F747" s="12"/>
      <c r="G747" s="10" t="s">
        <v>3278</v>
      </c>
      <c r="H747" s="10" t="s">
        <v>64</v>
      </c>
      <c r="I747" s="11" t="s">
        <v>3259</v>
      </c>
      <c r="J747" s="10" t="s">
        <v>66</v>
      </c>
      <c r="K747" s="10" t="s">
        <v>67</v>
      </c>
      <c r="L747" s="10" t="s">
        <v>68</v>
      </c>
      <c r="M747" s="10" t="s">
        <v>636</v>
      </c>
      <c r="N747" s="10"/>
      <c r="O747" s="11" t="s">
        <v>3279</v>
      </c>
      <c r="P747" s="10" t="s">
        <v>637</v>
      </c>
      <c r="Q747" s="11" t="s">
        <v>638</v>
      </c>
      <c r="R747" s="11" t="s">
        <v>639</v>
      </c>
      <c r="S747" s="11" t="s">
        <v>74</v>
      </c>
      <c r="T747" s="10" t="s">
        <v>3280</v>
      </c>
      <c r="U747" s="10" t="n">
        <f aca="false">IF(AND($D747="",$E747="",$F747=""),1,0)</f>
        <v>0</v>
      </c>
      <c r="V747" s="10" t="n">
        <f aca="false">IF(OR($I747="",$I747="—"),1,0)</f>
        <v>0</v>
      </c>
      <c r="W747" s="10" t="n">
        <f aca="false">IF(AND(ISNUMBER($D747),ISNUMBER($E747)),IF($E747&gt;$D747,1,0),0)+IF(AND(ISNUMBER($D747),ISNUMBER($F747)),IF($D747&gt;$F747,1,0),0)+IF(AND(ISNUMBER($E747),ISNUMBER($F747)),IF($E747&gt;$F747,1,0),0)</f>
        <v>0</v>
      </c>
      <c r="X747" s="13" t="s">
        <v>76</v>
      </c>
    </row>
    <row r="748" customFormat="false" ht="15" hidden="false" customHeight="false" outlineLevel="0" collapsed="false">
      <c r="A748" s="10" t="s">
        <v>3281</v>
      </c>
      <c r="B748" s="10" t="s">
        <v>3282</v>
      </c>
      <c r="C748" s="11" t="s">
        <v>3277</v>
      </c>
      <c r="D748" s="12" t="n">
        <v>95.7</v>
      </c>
      <c r="E748" s="12"/>
      <c r="F748" s="12"/>
      <c r="G748" s="10" t="s">
        <v>3278</v>
      </c>
      <c r="H748" s="10" t="s">
        <v>79</v>
      </c>
      <c r="I748" s="11" t="s">
        <v>3259</v>
      </c>
      <c r="J748" s="10" t="s">
        <v>66</v>
      </c>
      <c r="K748" s="10" t="s">
        <v>67</v>
      </c>
      <c r="L748" s="10" t="s">
        <v>68</v>
      </c>
      <c r="M748" s="10" t="s">
        <v>636</v>
      </c>
      <c r="N748" s="10"/>
      <c r="O748" s="11" t="s">
        <v>3279</v>
      </c>
      <c r="P748" s="10" t="s">
        <v>637</v>
      </c>
      <c r="Q748" s="11" t="s">
        <v>638</v>
      </c>
      <c r="R748" s="11" t="s">
        <v>639</v>
      </c>
      <c r="S748" s="11" t="s">
        <v>74</v>
      </c>
      <c r="T748" s="10" t="s">
        <v>3283</v>
      </c>
      <c r="U748" s="10" t="n">
        <f aca="false">IF(AND($D748="",$E748="",$F748=""),1,0)</f>
        <v>0</v>
      </c>
      <c r="V748" s="10" t="n">
        <f aca="false">IF(OR($I748="",$I748="—"),1,0)</f>
        <v>0</v>
      </c>
      <c r="W748" s="10" t="n">
        <f aca="false">IF(AND(ISNUMBER($D748),ISNUMBER($E748)),IF($E748&gt;$D748,1,0),0)+IF(AND(ISNUMBER($D748),ISNUMBER($F748)),IF($D748&gt;$F748,1,0),0)+IF(AND(ISNUMBER($E748),ISNUMBER($F748)),IF($E748&gt;$F748,1,0),0)</f>
        <v>0</v>
      </c>
      <c r="X748" s="13" t="s">
        <v>76</v>
      </c>
    </row>
    <row r="749" customFormat="false" ht="15" hidden="false" customHeight="false" outlineLevel="0" collapsed="false">
      <c r="A749" s="10" t="s">
        <v>3284</v>
      </c>
      <c r="B749" s="10" t="s">
        <v>3285</v>
      </c>
      <c r="C749" s="11" t="s">
        <v>3277</v>
      </c>
      <c r="D749" s="12" t="n">
        <v>97.3</v>
      </c>
      <c r="E749" s="12"/>
      <c r="F749" s="12"/>
      <c r="G749" s="10" t="s">
        <v>3278</v>
      </c>
      <c r="H749" s="10" t="s">
        <v>83</v>
      </c>
      <c r="I749" s="11" t="s">
        <v>3259</v>
      </c>
      <c r="J749" s="10" t="s">
        <v>66</v>
      </c>
      <c r="K749" s="10" t="s">
        <v>67</v>
      </c>
      <c r="L749" s="10" t="s">
        <v>68</v>
      </c>
      <c r="M749" s="10" t="s">
        <v>636</v>
      </c>
      <c r="N749" s="10"/>
      <c r="O749" s="11" t="s">
        <v>3279</v>
      </c>
      <c r="P749" s="10" t="s">
        <v>637</v>
      </c>
      <c r="Q749" s="11" t="s">
        <v>638</v>
      </c>
      <c r="R749" s="11" t="s">
        <v>639</v>
      </c>
      <c r="S749" s="11" t="s">
        <v>74</v>
      </c>
      <c r="T749" s="10" t="s">
        <v>3286</v>
      </c>
      <c r="U749" s="10" t="n">
        <f aca="false">IF(AND($D749="",$E749="",$F749=""),1,0)</f>
        <v>0</v>
      </c>
      <c r="V749" s="10" t="n">
        <f aca="false">IF(OR($I749="",$I749="—"),1,0)</f>
        <v>0</v>
      </c>
      <c r="W749" s="10" t="n">
        <f aca="false">IF(AND(ISNUMBER($D749),ISNUMBER($E749)),IF($E749&gt;$D749,1,0),0)+IF(AND(ISNUMBER($D749),ISNUMBER($F749)),IF($D749&gt;$F749,1,0),0)+IF(AND(ISNUMBER($E749),ISNUMBER($F749)),IF($E749&gt;$F749,1,0),0)</f>
        <v>0</v>
      </c>
      <c r="X749" s="13" t="s">
        <v>76</v>
      </c>
    </row>
    <row r="750" customFormat="false" ht="15" hidden="false" customHeight="false" outlineLevel="0" collapsed="false">
      <c r="A750" s="10" t="s">
        <v>3287</v>
      </c>
      <c r="B750" s="10" t="s">
        <v>3288</v>
      </c>
      <c r="C750" s="11" t="s">
        <v>3277</v>
      </c>
      <c r="D750" s="12" t="n">
        <v>98.3</v>
      </c>
      <c r="E750" s="12"/>
      <c r="F750" s="12"/>
      <c r="G750" s="10" t="s">
        <v>3278</v>
      </c>
      <c r="H750" s="10" t="s">
        <v>87</v>
      </c>
      <c r="I750" s="11" t="s">
        <v>3259</v>
      </c>
      <c r="J750" s="10" t="s">
        <v>66</v>
      </c>
      <c r="K750" s="10" t="s">
        <v>67</v>
      </c>
      <c r="L750" s="10" t="s">
        <v>68</v>
      </c>
      <c r="M750" s="10" t="s">
        <v>636</v>
      </c>
      <c r="N750" s="10"/>
      <c r="O750" s="11" t="s">
        <v>3279</v>
      </c>
      <c r="P750" s="10" t="s">
        <v>637</v>
      </c>
      <c r="Q750" s="11" t="s">
        <v>638</v>
      </c>
      <c r="R750" s="11" t="s">
        <v>639</v>
      </c>
      <c r="S750" s="11" t="s">
        <v>74</v>
      </c>
      <c r="T750" s="10" t="s">
        <v>3289</v>
      </c>
      <c r="U750" s="10" t="n">
        <f aca="false">IF(AND($D750="",$E750="",$F750=""),1,0)</f>
        <v>0</v>
      </c>
      <c r="V750" s="10" t="n">
        <f aca="false">IF(OR($I750="",$I750="—"),1,0)</f>
        <v>0</v>
      </c>
      <c r="W750" s="10" t="n">
        <f aca="false">IF(AND(ISNUMBER($D750),ISNUMBER($E750)),IF($E750&gt;$D750,1,0),0)+IF(AND(ISNUMBER($D750),ISNUMBER($F750)),IF($D750&gt;$F750,1,0),0)+IF(AND(ISNUMBER($E750),ISNUMBER($F750)),IF($E750&gt;$F750,1,0),0)</f>
        <v>0</v>
      </c>
      <c r="X750" s="13" t="s">
        <v>76</v>
      </c>
    </row>
    <row r="751" customFormat="false" ht="15" hidden="false" customHeight="false" outlineLevel="0" collapsed="false">
      <c r="A751" s="10" t="s">
        <v>3290</v>
      </c>
      <c r="B751" s="10" t="s">
        <v>3291</v>
      </c>
      <c r="C751" s="11" t="s">
        <v>3277</v>
      </c>
      <c r="D751" s="12" t="n">
        <v>95.3</v>
      </c>
      <c r="E751" s="12"/>
      <c r="F751" s="12"/>
      <c r="G751" s="10" t="s">
        <v>3278</v>
      </c>
      <c r="H751" s="10" t="s">
        <v>92</v>
      </c>
      <c r="I751" s="11" t="s">
        <v>3259</v>
      </c>
      <c r="J751" s="10" t="s">
        <v>66</v>
      </c>
      <c r="K751" s="10" t="s">
        <v>67</v>
      </c>
      <c r="L751" s="10" t="s">
        <v>68</v>
      </c>
      <c r="M751" s="10" t="s">
        <v>636</v>
      </c>
      <c r="N751" s="10"/>
      <c r="O751" s="11" t="s">
        <v>3279</v>
      </c>
      <c r="P751" s="10" t="s">
        <v>637</v>
      </c>
      <c r="Q751" s="11" t="s">
        <v>638</v>
      </c>
      <c r="R751" s="11" t="s">
        <v>639</v>
      </c>
      <c r="S751" s="11" t="s">
        <v>74</v>
      </c>
      <c r="T751" s="10" t="s">
        <v>3292</v>
      </c>
      <c r="U751" s="10" t="n">
        <f aca="false">IF(AND($D751="",$E751="",$F751=""),1,0)</f>
        <v>0</v>
      </c>
      <c r="V751" s="10" t="n">
        <f aca="false">IF(OR($I751="",$I751="—"),1,0)</f>
        <v>0</v>
      </c>
      <c r="W751" s="10" t="n">
        <f aca="false">IF(AND(ISNUMBER($D751),ISNUMBER($E751)),IF($E751&gt;$D751,1,0),0)+IF(AND(ISNUMBER($D751),ISNUMBER($F751)),IF($D751&gt;$F751,1,0),0)+IF(AND(ISNUMBER($E751),ISNUMBER($F751)),IF($E751&gt;$F751,1,0),0)</f>
        <v>0</v>
      </c>
      <c r="X751" s="13" t="s">
        <v>76</v>
      </c>
    </row>
    <row r="752" customFormat="false" ht="15" hidden="false" customHeight="false" outlineLevel="0" collapsed="false">
      <c r="A752" s="10" t="s">
        <v>3293</v>
      </c>
      <c r="B752" s="10" t="s">
        <v>3294</v>
      </c>
      <c r="C752" s="11" t="s">
        <v>3295</v>
      </c>
      <c r="D752" s="12" t="n">
        <v>2.0792</v>
      </c>
      <c r="E752" s="12"/>
      <c r="F752" s="12"/>
      <c r="G752" s="10" t="s">
        <v>63</v>
      </c>
      <c r="H752" s="10" t="s">
        <v>92</v>
      </c>
      <c r="I752" s="11" t="s">
        <v>3296</v>
      </c>
      <c r="J752" s="10" t="s">
        <v>66</v>
      </c>
      <c r="K752" s="10" t="s">
        <v>67</v>
      </c>
      <c r="L752" s="10" t="s">
        <v>68</v>
      </c>
      <c r="M752" s="10" t="s">
        <v>69</v>
      </c>
      <c r="N752" s="10"/>
      <c r="O752" s="11" t="s">
        <v>2865</v>
      </c>
      <c r="P752" s="10" t="s">
        <v>71</v>
      </c>
      <c r="Q752" s="11" t="s">
        <v>72</v>
      </c>
      <c r="R752" s="11" t="s">
        <v>73</v>
      </c>
      <c r="S752" s="11" t="s">
        <v>74</v>
      </c>
      <c r="T752" s="11" t="s">
        <v>3297</v>
      </c>
      <c r="U752" s="10" t="n">
        <f aca="false">IF(AND($D752="",$E752="",$F752=""),1,0)</f>
        <v>0</v>
      </c>
      <c r="V752" s="10" t="n">
        <f aca="false">IF(OR($I752="",$I752="—"),1,0)</f>
        <v>0</v>
      </c>
      <c r="W752" s="10" t="n">
        <f aca="false">IF(AND(ISNUMBER($D752),ISNUMBER($E752)),IF($E752&gt;$D752,1,0),0)+IF(AND(ISNUMBER($D752),ISNUMBER($F752)),IF($D752&gt;$F752,1,0),0)+IF(AND(ISNUMBER($E752),ISNUMBER($F752)),IF($E752&gt;$F752,1,0),0)</f>
        <v>0</v>
      </c>
      <c r="X752" s="13" t="s">
        <v>76</v>
      </c>
    </row>
    <row r="753" customFormat="false" ht="15" hidden="false" customHeight="false" outlineLevel="0" collapsed="false">
      <c r="A753" s="10" t="s">
        <v>3298</v>
      </c>
      <c r="B753" s="10" t="s">
        <v>3299</v>
      </c>
      <c r="C753" s="11" t="s">
        <v>3300</v>
      </c>
      <c r="D753" s="12" t="n">
        <v>1.5705</v>
      </c>
      <c r="E753" s="12"/>
      <c r="F753" s="12"/>
      <c r="G753" s="10" t="s">
        <v>63</v>
      </c>
      <c r="H753" s="10" t="s">
        <v>92</v>
      </c>
      <c r="I753" s="11" t="s">
        <v>3296</v>
      </c>
      <c r="J753" s="10" t="s">
        <v>66</v>
      </c>
      <c r="K753" s="10" t="s">
        <v>67</v>
      </c>
      <c r="L753" s="10" t="s">
        <v>68</v>
      </c>
      <c r="M753" s="10" t="s">
        <v>69</v>
      </c>
      <c r="N753" s="10"/>
      <c r="O753" s="11" t="s">
        <v>2865</v>
      </c>
      <c r="P753" s="10" t="s">
        <v>71</v>
      </c>
      <c r="Q753" s="11" t="s">
        <v>72</v>
      </c>
      <c r="R753" s="11" t="s">
        <v>73</v>
      </c>
      <c r="S753" s="11" t="s">
        <v>74</v>
      </c>
      <c r="T753" s="11" t="s">
        <v>3301</v>
      </c>
      <c r="U753" s="10" t="n">
        <f aca="false">IF(AND($D753="",$E753="",$F753=""),1,0)</f>
        <v>0</v>
      </c>
      <c r="V753" s="10" t="n">
        <f aca="false">IF(OR($I753="",$I753="—"),1,0)</f>
        <v>0</v>
      </c>
      <c r="W753" s="10" t="n">
        <f aca="false">IF(AND(ISNUMBER($D753),ISNUMBER($E753)),IF($E753&gt;$D753,1,0),0)+IF(AND(ISNUMBER($D753),ISNUMBER($F753)),IF($D753&gt;$F753,1,0),0)+IF(AND(ISNUMBER($E753),ISNUMBER($F753)),IF($E753&gt;$F753,1,0),0)</f>
        <v>0</v>
      </c>
      <c r="X753" s="13" t="s">
        <v>76</v>
      </c>
    </row>
    <row r="754" customFormat="false" ht="15" hidden="false" customHeight="false" outlineLevel="0" collapsed="false">
      <c r="A754" s="10" t="s">
        <v>3302</v>
      </c>
      <c r="B754" s="10" t="s">
        <v>3303</v>
      </c>
      <c r="C754" s="11" t="s">
        <v>3304</v>
      </c>
      <c r="D754" s="12" t="n">
        <v>1.5243</v>
      </c>
      <c r="E754" s="12"/>
      <c r="F754" s="12"/>
      <c r="G754" s="10" t="s">
        <v>63</v>
      </c>
      <c r="H754" s="10" t="s">
        <v>92</v>
      </c>
      <c r="I754" s="11" t="s">
        <v>3296</v>
      </c>
      <c r="J754" s="10" t="s">
        <v>66</v>
      </c>
      <c r="K754" s="10" t="s">
        <v>67</v>
      </c>
      <c r="L754" s="10" t="s">
        <v>68</v>
      </c>
      <c r="M754" s="10" t="s">
        <v>69</v>
      </c>
      <c r="N754" s="10"/>
      <c r="O754" s="11" t="s">
        <v>2865</v>
      </c>
      <c r="P754" s="10" t="s">
        <v>71</v>
      </c>
      <c r="Q754" s="11" t="s">
        <v>72</v>
      </c>
      <c r="R754" s="11" t="s">
        <v>73</v>
      </c>
      <c r="S754" s="11" t="s">
        <v>74</v>
      </c>
      <c r="T754" s="11" t="s">
        <v>3305</v>
      </c>
      <c r="U754" s="10" t="n">
        <f aca="false">IF(AND($D754="",$E754="",$F754=""),1,0)</f>
        <v>0</v>
      </c>
      <c r="V754" s="10" t="n">
        <f aca="false">IF(OR($I754="",$I754="—"),1,0)</f>
        <v>0</v>
      </c>
      <c r="W754" s="10" t="n">
        <f aca="false">IF(AND(ISNUMBER($D754),ISNUMBER($E754)),IF($E754&gt;$D754,1,0),0)+IF(AND(ISNUMBER($D754),ISNUMBER($F754)),IF($D754&gt;$F754,1,0),0)+IF(AND(ISNUMBER($E754),ISNUMBER($F754)),IF($E754&gt;$F754,1,0),0)</f>
        <v>0</v>
      </c>
      <c r="X754" s="13" t="s">
        <v>76</v>
      </c>
    </row>
    <row r="755" customFormat="false" ht="15" hidden="false" customHeight="false" outlineLevel="0" collapsed="false">
      <c r="A755" s="10" t="s">
        <v>3306</v>
      </c>
      <c r="B755" s="10" t="s">
        <v>3307</v>
      </c>
      <c r="C755" s="11" t="s">
        <v>3308</v>
      </c>
      <c r="D755" s="12" t="n">
        <v>1.3944</v>
      </c>
      <c r="E755" s="12"/>
      <c r="F755" s="12"/>
      <c r="G755" s="10" t="s">
        <v>63</v>
      </c>
      <c r="H755" s="10" t="s">
        <v>92</v>
      </c>
      <c r="I755" s="11" t="s">
        <v>3296</v>
      </c>
      <c r="J755" s="10" t="s">
        <v>66</v>
      </c>
      <c r="K755" s="10" t="s">
        <v>67</v>
      </c>
      <c r="L755" s="10" t="s">
        <v>68</v>
      </c>
      <c r="M755" s="10" t="s">
        <v>69</v>
      </c>
      <c r="N755" s="10"/>
      <c r="O755" s="11" t="s">
        <v>2865</v>
      </c>
      <c r="P755" s="10" t="s">
        <v>71</v>
      </c>
      <c r="Q755" s="11" t="s">
        <v>72</v>
      </c>
      <c r="R755" s="11" t="s">
        <v>73</v>
      </c>
      <c r="S755" s="11" t="s">
        <v>74</v>
      </c>
      <c r="T755" s="11" t="s">
        <v>3309</v>
      </c>
      <c r="U755" s="10" t="n">
        <f aca="false">IF(AND($D755="",$E755="",$F755=""),1,0)</f>
        <v>0</v>
      </c>
      <c r="V755" s="10" t="n">
        <f aca="false">IF(OR($I755="",$I755="—"),1,0)</f>
        <v>0</v>
      </c>
      <c r="W755" s="10" t="n">
        <f aca="false">IF(AND(ISNUMBER($D755),ISNUMBER($E755)),IF($E755&gt;$D755,1,0),0)+IF(AND(ISNUMBER($D755),ISNUMBER($F755)),IF($D755&gt;$F755,1,0),0)+IF(AND(ISNUMBER($E755),ISNUMBER($F755)),IF($E755&gt;$F755,1,0),0)</f>
        <v>0</v>
      </c>
      <c r="X755" s="13" t="s">
        <v>76</v>
      </c>
    </row>
    <row r="756" customFormat="false" ht="15" hidden="false" customHeight="false" outlineLevel="0" collapsed="false">
      <c r="A756" s="10" t="s">
        <v>3310</v>
      </c>
      <c r="B756" s="10" t="s">
        <v>3311</v>
      </c>
      <c r="C756" s="11" t="s">
        <v>3312</v>
      </c>
      <c r="D756" s="12" t="n">
        <v>1.2347</v>
      </c>
      <c r="E756" s="12"/>
      <c r="F756" s="12"/>
      <c r="G756" s="10" t="s">
        <v>63</v>
      </c>
      <c r="H756" s="10" t="s">
        <v>92</v>
      </c>
      <c r="I756" s="11" t="s">
        <v>3313</v>
      </c>
      <c r="J756" s="10" t="s">
        <v>66</v>
      </c>
      <c r="K756" s="10" t="s">
        <v>67</v>
      </c>
      <c r="L756" s="10" t="s">
        <v>68</v>
      </c>
      <c r="M756" s="10" t="s">
        <v>69</v>
      </c>
      <c r="N756" s="10"/>
      <c r="O756" s="11" t="s">
        <v>2865</v>
      </c>
      <c r="P756" s="10" t="s">
        <v>71</v>
      </c>
      <c r="Q756" s="11" t="s">
        <v>72</v>
      </c>
      <c r="R756" s="11" t="s">
        <v>73</v>
      </c>
      <c r="S756" s="11" t="s">
        <v>74</v>
      </c>
      <c r="T756" s="11" t="s">
        <v>3314</v>
      </c>
      <c r="U756" s="10" t="n">
        <f aca="false">IF(AND($D756="",$E756="",$F756=""),1,0)</f>
        <v>0</v>
      </c>
      <c r="V756" s="10" t="n">
        <f aca="false">IF(OR($I756="",$I756="—"),1,0)</f>
        <v>0</v>
      </c>
      <c r="W756" s="10" t="n">
        <f aca="false">IF(AND(ISNUMBER($D756),ISNUMBER($E756)),IF($E756&gt;$D756,1,0),0)+IF(AND(ISNUMBER($D756),ISNUMBER($F756)),IF($D756&gt;$F756,1,0),0)+IF(AND(ISNUMBER($E756),ISNUMBER($F756)),IF($E756&gt;$F756,1,0),0)</f>
        <v>0</v>
      </c>
      <c r="X756" s="13" t="s">
        <v>76</v>
      </c>
    </row>
    <row r="757" customFormat="false" ht="15" hidden="false" customHeight="false" outlineLevel="0" collapsed="false">
      <c r="A757" s="10" t="s">
        <v>3315</v>
      </c>
      <c r="B757" s="10" t="s">
        <v>3316</v>
      </c>
      <c r="C757" s="11" t="s">
        <v>3312</v>
      </c>
      <c r="D757" s="12" t="n">
        <v>3.9477</v>
      </c>
      <c r="E757" s="12"/>
      <c r="F757" s="12"/>
      <c r="G757" s="10" t="s">
        <v>63</v>
      </c>
      <c r="H757" s="10" t="s">
        <v>83</v>
      </c>
      <c r="I757" s="11" t="s">
        <v>3313</v>
      </c>
      <c r="J757" s="10" t="s">
        <v>66</v>
      </c>
      <c r="K757" s="10" t="s">
        <v>67</v>
      </c>
      <c r="L757" s="10" t="s">
        <v>68</v>
      </c>
      <c r="M757" s="10" t="s">
        <v>69</v>
      </c>
      <c r="N757" s="10"/>
      <c r="O757" s="11" t="s">
        <v>2851</v>
      </c>
      <c r="P757" s="10" t="s">
        <v>71</v>
      </c>
      <c r="Q757" s="11" t="s">
        <v>72</v>
      </c>
      <c r="R757" s="11" t="s">
        <v>73</v>
      </c>
      <c r="S757" s="11" t="s">
        <v>74</v>
      </c>
      <c r="T757" s="11" t="s">
        <v>3317</v>
      </c>
      <c r="U757" s="10" t="n">
        <f aca="false">IF(AND($D757="",$E757="",$F757=""),1,0)</f>
        <v>0</v>
      </c>
      <c r="V757" s="10" t="n">
        <f aca="false">IF(OR($I757="",$I757="—"),1,0)</f>
        <v>0</v>
      </c>
      <c r="W757" s="10" t="n">
        <f aca="false">IF(AND(ISNUMBER($D757),ISNUMBER($E757)),IF($E757&gt;$D757,1,0),0)+IF(AND(ISNUMBER($D757),ISNUMBER($F757)),IF($D757&gt;$F757,1,0),0)+IF(AND(ISNUMBER($E757),ISNUMBER($F757)),IF($E757&gt;$F757,1,0),0)</f>
        <v>0</v>
      </c>
      <c r="X757" s="13" t="s">
        <v>76</v>
      </c>
    </row>
    <row r="758" customFormat="false" ht="15" hidden="false" customHeight="false" outlineLevel="0" collapsed="false">
      <c r="A758" s="10" t="s">
        <v>3318</v>
      </c>
      <c r="B758" s="10" t="s">
        <v>3319</v>
      </c>
      <c r="C758" s="11" t="s">
        <v>3304</v>
      </c>
      <c r="D758" s="12" t="n">
        <v>3.7983</v>
      </c>
      <c r="E758" s="12"/>
      <c r="F758" s="12"/>
      <c r="G758" s="10" t="s">
        <v>63</v>
      </c>
      <c r="H758" s="10" t="s">
        <v>83</v>
      </c>
      <c r="I758" s="11" t="s">
        <v>3313</v>
      </c>
      <c r="J758" s="10" t="s">
        <v>66</v>
      </c>
      <c r="K758" s="10" t="s">
        <v>67</v>
      </c>
      <c r="L758" s="10" t="s">
        <v>68</v>
      </c>
      <c r="M758" s="10" t="s">
        <v>69</v>
      </c>
      <c r="N758" s="10"/>
      <c r="O758" s="11" t="s">
        <v>2851</v>
      </c>
      <c r="P758" s="10" t="s">
        <v>71</v>
      </c>
      <c r="Q758" s="11" t="s">
        <v>72</v>
      </c>
      <c r="R758" s="11" t="s">
        <v>73</v>
      </c>
      <c r="S758" s="11" t="s">
        <v>74</v>
      </c>
      <c r="T758" s="11" t="s">
        <v>3320</v>
      </c>
      <c r="U758" s="10" t="n">
        <f aca="false">IF(AND($D758="",$E758="",$F758=""),1,0)</f>
        <v>0</v>
      </c>
      <c r="V758" s="10" t="n">
        <f aca="false">IF(OR($I758="",$I758="—"),1,0)</f>
        <v>0</v>
      </c>
      <c r="W758" s="10" t="n">
        <f aca="false">IF(AND(ISNUMBER($D758),ISNUMBER($E758)),IF($E758&gt;$D758,1,0),0)+IF(AND(ISNUMBER($D758),ISNUMBER($F758)),IF($D758&gt;$F758,1,0),0)+IF(AND(ISNUMBER($E758),ISNUMBER($F758)),IF($E758&gt;$F758,1,0),0)</f>
        <v>0</v>
      </c>
      <c r="X758" s="13" t="s">
        <v>76</v>
      </c>
    </row>
    <row r="759" customFormat="false" ht="15" hidden="false" customHeight="false" outlineLevel="0" collapsed="false">
      <c r="A759" s="10" t="s">
        <v>3321</v>
      </c>
      <c r="B759" s="10" t="s">
        <v>3322</v>
      </c>
      <c r="C759" s="11" t="s">
        <v>3323</v>
      </c>
      <c r="D759" s="12" t="n">
        <v>1.9115</v>
      </c>
      <c r="E759" s="12"/>
      <c r="F759" s="12"/>
      <c r="G759" s="10" t="s">
        <v>63</v>
      </c>
      <c r="H759" s="10" t="s">
        <v>83</v>
      </c>
      <c r="I759" s="11" t="s">
        <v>3313</v>
      </c>
      <c r="J759" s="10" t="s">
        <v>66</v>
      </c>
      <c r="K759" s="10" t="s">
        <v>67</v>
      </c>
      <c r="L759" s="10" t="s">
        <v>68</v>
      </c>
      <c r="M759" s="10" t="s">
        <v>69</v>
      </c>
      <c r="N759" s="10"/>
      <c r="O759" s="11" t="s">
        <v>2851</v>
      </c>
      <c r="P759" s="10" t="s">
        <v>71</v>
      </c>
      <c r="Q759" s="11" t="s">
        <v>72</v>
      </c>
      <c r="R759" s="11" t="s">
        <v>73</v>
      </c>
      <c r="S759" s="11" t="s">
        <v>74</v>
      </c>
      <c r="T759" s="11" t="s">
        <v>3324</v>
      </c>
      <c r="U759" s="10" t="n">
        <f aca="false">IF(AND($D759="",$E759="",$F759=""),1,0)</f>
        <v>0</v>
      </c>
      <c r="V759" s="10" t="n">
        <f aca="false">IF(OR($I759="",$I759="—"),1,0)</f>
        <v>0</v>
      </c>
      <c r="W759" s="10" t="n">
        <f aca="false">IF(AND(ISNUMBER($D759),ISNUMBER($E759)),IF($E759&gt;$D759,1,0),0)+IF(AND(ISNUMBER($D759),ISNUMBER($F759)),IF($D759&gt;$F759,1,0),0)+IF(AND(ISNUMBER($E759),ISNUMBER($F759)),IF($E759&gt;$F759,1,0),0)</f>
        <v>0</v>
      </c>
      <c r="X759" s="13" t="s">
        <v>76</v>
      </c>
    </row>
    <row r="760" customFormat="false" ht="15" hidden="false" customHeight="false" outlineLevel="0" collapsed="false">
      <c r="A760" s="10" t="s">
        <v>3325</v>
      </c>
      <c r="B760" s="10" t="s">
        <v>3326</v>
      </c>
      <c r="C760" s="11" t="s">
        <v>3327</v>
      </c>
      <c r="D760" s="12" t="n">
        <v>1.1983</v>
      </c>
      <c r="E760" s="12"/>
      <c r="F760" s="12"/>
      <c r="G760" s="10" t="s">
        <v>63</v>
      </c>
      <c r="H760" s="10" t="s">
        <v>83</v>
      </c>
      <c r="I760" s="11" t="s">
        <v>3313</v>
      </c>
      <c r="J760" s="10" t="s">
        <v>66</v>
      </c>
      <c r="K760" s="10" t="s">
        <v>67</v>
      </c>
      <c r="L760" s="10" t="s">
        <v>68</v>
      </c>
      <c r="M760" s="10" t="s">
        <v>69</v>
      </c>
      <c r="N760" s="10"/>
      <c r="O760" s="11" t="s">
        <v>2851</v>
      </c>
      <c r="P760" s="10" t="s">
        <v>71</v>
      </c>
      <c r="Q760" s="11" t="s">
        <v>72</v>
      </c>
      <c r="R760" s="11" t="s">
        <v>73</v>
      </c>
      <c r="S760" s="11" t="s">
        <v>74</v>
      </c>
      <c r="T760" s="11" t="s">
        <v>3328</v>
      </c>
      <c r="U760" s="10" t="n">
        <f aca="false">IF(AND($D760="",$E760="",$F760=""),1,0)</f>
        <v>0</v>
      </c>
      <c r="V760" s="10" t="n">
        <f aca="false">IF(OR($I760="",$I760="—"),1,0)</f>
        <v>0</v>
      </c>
      <c r="W760" s="10" t="n">
        <f aca="false">IF(AND(ISNUMBER($D760),ISNUMBER($E760)),IF($E760&gt;$D760,1,0),0)+IF(AND(ISNUMBER($D760),ISNUMBER($F760)),IF($D760&gt;$F760,1,0),0)+IF(AND(ISNUMBER($E760),ISNUMBER($F760)),IF($E760&gt;$F760,1,0),0)</f>
        <v>0</v>
      </c>
      <c r="X760" s="13" t="s">
        <v>76</v>
      </c>
    </row>
    <row r="761" customFormat="false" ht="15" hidden="false" customHeight="false" outlineLevel="0" collapsed="false">
      <c r="A761" s="10" t="s">
        <v>3329</v>
      </c>
      <c r="B761" s="10" t="s">
        <v>3330</v>
      </c>
      <c r="C761" s="11" t="s">
        <v>3308</v>
      </c>
      <c r="D761" s="12" t="n">
        <v>1.1239</v>
      </c>
      <c r="E761" s="12"/>
      <c r="F761" s="12"/>
      <c r="G761" s="10" t="s">
        <v>63</v>
      </c>
      <c r="H761" s="10" t="s">
        <v>83</v>
      </c>
      <c r="I761" s="11" t="s">
        <v>3313</v>
      </c>
      <c r="J761" s="10" t="s">
        <v>66</v>
      </c>
      <c r="K761" s="10" t="s">
        <v>67</v>
      </c>
      <c r="L761" s="10" t="s">
        <v>68</v>
      </c>
      <c r="M761" s="10" t="s">
        <v>69</v>
      </c>
      <c r="N761" s="10"/>
      <c r="O761" s="11" t="s">
        <v>2851</v>
      </c>
      <c r="P761" s="10" t="s">
        <v>71</v>
      </c>
      <c r="Q761" s="11" t="s">
        <v>72</v>
      </c>
      <c r="R761" s="11" t="s">
        <v>73</v>
      </c>
      <c r="S761" s="11" t="s">
        <v>74</v>
      </c>
      <c r="T761" s="11" t="s">
        <v>3331</v>
      </c>
      <c r="U761" s="10" t="n">
        <f aca="false">IF(AND($D761="",$E761="",$F761=""),1,0)</f>
        <v>0</v>
      </c>
      <c r="V761" s="10" t="n">
        <f aca="false">IF(OR($I761="",$I761="—"),1,0)</f>
        <v>0</v>
      </c>
      <c r="W761" s="10" t="n">
        <f aca="false">IF(AND(ISNUMBER($D761),ISNUMBER($E761)),IF($E761&gt;$D761,1,0),0)+IF(AND(ISNUMBER($D761),ISNUMBER($F761)),IF($D761&gt;$F761,1,0),0)+IF(AND(ISNUMBER($E761),ISNUMBER($F761)),IF($E761&gt;$F761,1,0),0)</f>
        <v>0</v>
      </c>
      <c r="X761" s="13" t="s">
        <v>76</v>
      </c>
    </row>
    <row r="762" customFormat="false" ht="15" hidden="false" customHeight="false" outlineLevel="0" collapsed="false">
      <c r="A762" s="10" t="s">
        <v>3332</v>
      </c>
      <c r="B762" s="10" t="s">
        <v>3333</v>
      </c>
      <c r="C762" s="11" t="s">
        <v>3312</v>
      </c>
      <c r="D762" s="12" t="n">
        <v>1.5889</v>
      </c>
      <c r="E762" s="12"/>
      <c r="F762" s="12"/>
      <c r="G762" s="10" t="s">
        <v>63</v>
      </c>
      <c r="H762" s="10" t="s">
        <v>79</v>
      </c>
      <c r="I762" s="11" t="s">
        <v>3313</v>
      </c>
      <c r="J762" s="10" t="s">
        <v>66</v>
      </c>
      <c r="K762" s="10" t="s">
        <v>67</v>
      </c>
      <c r="L762" s="10" t="s">
        <v>68</v>
      </c>
      <c r="M762" s="10" t="s">
        <v>69</v>
      </c>
      <c r="N762" s="10"/>
      <c r="O762" s="11" t="s">
        <v>2851</v>
      </c>
      <c r="P762" s="10" t="s">
        <v>71</v>
      </c>
      <c r="Q762" s="11" t="s">
        <v>72</v>
      </c>
      <c r="R762" s="11" t="s">
        <v>73</v>
      </c>
      <c r="S762" s="11" t="s">
        <v>74</v>
      </c>
      <c r="T762" s="11" t="s">
        <v>3334</v>
      </c>
      <c r="U762" s="10" t="n">
        <f aca="false">IF(AND($D762="",$E762="",$F762=""),1,0)</f>
        <v>0</v>
      </c>
      <c r="V762" s="10" t="n">
        <f aca="false">IF(OR($I762="",$I762="—"),1,0)</f>
        <v>0</v>
      </c>
      <c r="W762" s="10" t="n">
        <f aca="false">IF(AND(ISNUMBER($D762),ISNUMBER($E762)),IF($E762&gt;$D762,1,0),0)+IF(AND(ISNUMBER($D762),ISNUMBER($F762)),IF($D762&gt;$F762,1,0),0)+IF(AND(ISNUMBER($E762),ISNUMBER($F762)),IF($E762&gt;$F762,1,0),0)</f>
        <v>0</v>
      </c>
      <c r="X762" s="13" t="s">
        <v>76</v>
      </c>
    </row>
    <row r="763" customFormat="false" ht="15" hidden="false" customHeight="false" outlineLevel="0" collapsed="false">
      <c r="A763" s="10" t="s">
        <v>3335</v>
      </c>
      <c r="B763" s="10" t="s">
        <v>3336</v>
      </c>
      <c r="C763" s="11" t="s">
        <v>3337</v>
      </c>
      <c r="D763" s="12" t="n">
        <v>1.2447</v>
      </c>
      <c r="E763" s="12"/>
      <c r="F763" s="12"/>
      <c r="G763" s="10" t="s">
        <v>63</v>
      </c>
      <c r="H763" s="10" t="s">
        <v>79</v>
      </c>
      <c r="I763" s="11" t="s">
        <v>3313</v>
      </c>
      <c r="J763" s="10" t="s">
        <v>66</v>
      </c>
      <c r="K763" s="10" t="s">
        <v>67</v>
      </c>
      <c r="L763" s="10" t="s">
        <v>68</v>
      </c>
      <c r="M763" s="10" t="s">
        <v>69</v>
      </c>
      <c r="N763" s="10"/>
      <c r="O763" s="11" t="s">
        <v>2851</v>
      </c>
      <c r="P763" s="10" t="s">
        <v>71</v>
      </c>
      <c r="Q763" s="11" t="s">
        <v>72</v>
      </c>
      <c r="R763" s="11" t="s">
        <v>73</v>
      </c>
      <c r="S763" s="11" t="s">
        <v>74</v>
      </c>
      <c r="T763" s="11" t="s">
        <v>3338</v>
      </c>
      <c r="U763" s="10" t="n">
        <f aca="false">IF(AND($D763="",$E763="",$F763=""),1,0)</f>
        <v>0</v>
      </c>
      <c r="V763" s="10" t="n">
        <f aca="false">IF(OR($I763="",$I763="—"),1,0)</f>
        <v>0</v>
      </c>
      <c r="W763" s="10" t="n">
        <f aca="false">IF(AND(ISNUMBER($D763),ISNUMBER($E763)),IF($E763&gt;$D763,1,0),0)+IF(AND(ISNUMBER($D763),ISNUMBER($F763)),IF($D763&gt;$F763,1,0),0)+IF(AND(ISNUMBER($E763),ISNUMBER($F763)),IF($E763&gt;$F763,1,0),0)</f>
        <v>0</v>
      </c>
      <c r="X763" s="13" t="s">
        <v>76</v>
      </c>
    </row>
    <row r="764" customFormat="false" ht="15" hidden="false" customHeight="false" outlineLevel="0" collapsed="false">
      <c r="A764" s="10" t="s">
        <v>3339</v>
      </c>
      <c r="B764" s="10" t="s">
        <v>3340</v>
      </c>
      <c r="C764" s="11" t="s">
        <v>3341</v>
      </c>
      <c r="D764" s="12" t="n">
        <v>0.9584</v>
      </c>
      <c r="E764" s="12"/>
      <c r="F764" s="12"/>
      <c r="G764" s="10" t="s">
        <v>63</v>
      </c>
      <c r="H764" s="10" t="s">
        <v>79</v>
      </c>
      <c r="I764" s="11" t="s">
        <v>3313</v>
      </c>
      <c r="J764" s="10" t="s">
        <v>66</v>
      </c>
      <c r="K764" s="10" t="s">
        <v>67</v>
      </c>
      <c r="L764" s="10" t="s">
        <v>68</v>
      </c>
      <c r="M764" s="10" t="s">
        <v>69</v>
      </c>
      <c r="N764" s="10"/>
      <c r="O764" s="11" t="s">
        <v>2851</v>
      </c>
      <c r="P764" s="10" t="s">
        <v>71</v>
      </c>
      <c r="Q764" s="11" t="s">
        <v>72</v>
      </c>
      <c r="R764" s="11" t="s">
        <v>73</v>
      </c>
      <c r="S764" s="11" t="s">
        <v>74</v>
      </c>
      <c r="T764" s="11" t="s">
        <v>3342</v>
      </c>
      <c r="U764" s="10" t="n">
        <f aca="false">IF(AND($D764="",$E764="",$F764=""),1,0)</f>
        <v>0</v>
      </c>
      <c r="V764" s="10" t="n">
        <f aca="false">IF(OR($I764="",$I764="—"),1,0)</f>
        <v>0</v>
      </c>
      <c r="W764" s="10" t="n">
        <f aca="false">IF(AND(ISNUMBER($D764),ISNUMBER($E764)),IF($E764&gt;$D764,1,0),0)+IF(AND(ISNUMBER($D764),ISNUMBER($F764)),IF($D764&gt;$F764,1,0),0)+IF(AND(ISNUMBER($E764),ISNUMBER($F764)),IF($E764&gt;$F764,1,0),0)</f>
        <v>0</v>
      </c>
      <c r="X764" s="13" t="s">
        <v>76</v>
      </c>
    </row>
    <row r="765" customFormat="false" ht="15" hidden="false" customHeight="false" outlineLevel="0" collapsed="false">
      <c r="A765" s="10" t="s">
        <v>3343</v>
      </c>
      <c r="B765" s="10" t="s">
        <v>3344</v>
      </c>
      <c r="C765" s="11" t="s">
        <v>3345</v>
      </c>
      <c r="D765" s="12" t="n">
        <v>0.8387</v>
      </c>
      <c r="E765" s="12"/>
      <c r="F765" s="12"/>
      <c r="G765" s="10" t="s">
        <v>63</v>
      </c>
      <c r="H765" s="10" t="s">
        <v>79</v>
      </c>
      <c r="I765" s="11" t="s">
        <v>3313</v>
      </c>
      <c r="J765" s="10" t="s">
        <v>66</v>
      </c>
      <c r="K765" s="10" t="s">
        <v>67</v>
      </c>
      <c r="L765" s="10" t="s">
        <v>68</v>
      </c>
      <c r="M765" s="10" t="s">
        <v>69</v>
      </c>
      <c r="N765" s="10"/>
      <c r="O765" s="11" t="s">
        <v>2851</v>
      </c>
      <c r="P765" s="10" t="s">
        <v>71</v>
      </c>
      <c r="Q765" s="11" t="s">
        <v>72</v>
      </c>
      <c r="R765" s="11" t="s">
        <v>73</v>
      </c>
      <c r="S765" s="11" t="s">
        <v>74</v>
      </c>
      <c r="T765" s="11" t="s">
        <v>3346</v>
      </c>
      <c r="U765" s="10" t="n">
        <f aca="false">IF(AND($D765="",$E765="",$F765=""),1,0)</f>
        <v>0</v>
      </c>
      <c r="V765" s="10" t="n">
        <f aca="false">IF(OR($I765="",$I765="—"),1,0)</f>
        <v>0</v>
      </c>
      <c r="W765" s="10" t="n">
        <f aca="false">IF(AND(ISNUMBER($D765),ISNUMBER($E765)),IF($E765&gt;$D765,1,0),0)+IF(AND(ISNUMBER($D765),ISNUMBER($F765)),IF($D765&gt;$F765,1,0),0)+IF(AND(ISNUMBER($E765),ISNUMBER($F765)),IF($E765&gt;$F765,1,0),0)</f>
        <v>0</v>
      </c>
      <c r="X765" s="13" t="s">
        <v>76</v>
      </c>
    </row>
    <row r="766" customFormat="false" ht="15" hidden="false" customHeight="false" outlineLevel="0" collapsed="false">
      <c r="A766" s="10" t="s">
        <v>3347</v>
      </c>
      <c r="B766" s="10" t="s">
        <v>3348</v>
      </c>
      <c r="C766" s="11" t="s">
        <v>3349</v>
      </c>
      <c r="D766" s="12" t="n">
        <v>0.5735</v>
      </c>
      <c r="E766" s="12"/>
      <c r="F766" s="12"/>
      <c r="G766" s="10" t="s">
        <v>63</v>
      </c>
      <c r="H766" s="10" t="s">
        <v>79</v>
      </c>
      <c r="I766" s="11" t="s">
        <v>3313</v>
      </c>
      <c r="J766" s="10" t="s">
        <v>66</v>
      </c>
      <c r="K766" s="10" t="s">
        <v>67</v>
      </c>
      <c r="L766" s="10" t="s">
        <v>68</v>
      </c>
      <c r="M766" s="10" t="s">
        <v>69</v>
      </c>
      <c r="N766" s="10"/>
      <c r="O766" s="11" t="s">
        <v>2851</v>
      </c>
      <c r="P766" s="10" t="s">
        <v>71</v>
      </c>
      <c r="Q766" s="11" t="s">
        <v>72</v>
      </c>
      <c r="R766" s="11" t="s">
        <v>73</v>
      </c>
      <c r="S766" s="11" t="s">
        <v>74</v>
      </c>
      <c r="T766" s="11" t="s">
        <v>3350</v>
      </c>
      <c r="U766" s="10" t="n">
        <f aca="false">IF(AND($D766="",$E766="",$F766=""),1,0)</f>
        <v>0</v>
      </c>
      <c r="V766" s="10" t="n">
        <f aca="false">IF(OR($I766="",$I766="—"),1,0)</f>
        <v>0</v>
      </c>
      <c r="W766" s="10" t="n">
        <f aca="false">IF(AND(ISNUMBER($D766),ISNUMBER($E766)),IF($E766&gt;$D766,1,0),0)+IF(AND(ISNUMBER($D766),ISNUMBER($F766)),IF($D766&gt;$F766,1,0),0)+IF(AND(ISNUMBER($E766),ISNUMBER($F766)),IF($E766&gt;$F766,1,0),0)</f>
        <v>0</v>
      </c>
      <c r="X766" s="13" t="s">
        <v>76</v>
      </c>
    </row>
    <row r="767" customFormat="false" ht="15" hidden="false" customHeight="false" outlineLevel="0" collapsed="false">
      <c r="A767" s="10" t="s">
        <v>3351</v>
      </c>
      <c r="B767" s="10" t="s">
        <v>3352</v>
      </c>
      <c r="C767" s="11" t="s">
        <v>3345</v>
      </c>
      <c r="D767" s="12" t="n">
        <v>0.252</v>
      </c>
      <c r="E767" s="12"/>
      <c r="F767" s="12"/>
      <c r="G767" s="10" t="s">
        <v>63</v>
      </c>
      <c r="H767" s="10" t="s">
        <v>64</v>
      </c>
      <c r="I767" s="11" t="s">
        <v>3313</v>
      </c>
      <c r="J767" s="10" t="s">
        <v>66</v>
      </c>
      <c r="K767" s="10" t="s">
        <v>67</v>
      </c>
      <c r="L767" s="10" t="s">
        <v>68</v>
      </c>
      <c r="M767" s="10" t="s">
        <v>69</v>
      </c>
      <c r="N767" s="10"/>
      <c r="O767" s="11" t="s">
        <v>2851</v>
      </c>
      <c r="P767" s="10" t="s">
        <v>71</v>
      </c>
      <c r="Q767" s="11" t="s">
        <v>72</v>
      </c>
      <c r="R767" s="11" t="s">
        <v>73</v>
      </c>
      <c r="S767" s="11" t="s">
        <v>74</v>
      </c>
      <c r="T767" s="11" t="s">
        <v>3353</v>
      </c>
      <c r="U767" s="10" t="n">
        <f aca="false">IF(AND($D767="",$E767="",$F767=""),1,0)</f>
        <v>0</v>
      </c>
      <c r="V767" s="10" t="n">
        <f aca="false">IF(OR($I767="",$I767="—"),1,0)</f>
        <v>0</v>
      </c>
      <c r="W767" s="10" t="n">
        <f aca="false">IF(AND(ISNUMBER($D767),ISNUMBER($E767)),IF($E767&gt;$D767,1,0),0)+IF(AND(ISNUMBER($D767),ISNUMBER($F767)),IF($D767&gt;$F767,1,0),0)+IF(AND(ISNUMBER($E767),ISNUMBER($F767)),IF($E767&gt;$F767,1,0),0)</f>
        <v>0</v>
      </c>
      <c r="X767" s="13" t="s">
        <v>76</v>
      </c>
    </row>
    <row r="768" customFormat="false" ht="15" hidden="false" customHeight="false" outlineLevel="0" collapsed="false">
      <c r="A768" s="10" t="s">
        <v>3354</v>
      </c>
      <c r="B768" s="10" t="s">
        <v>3355</v>
      </c>
      <c r="C768" s="11" t="s">
        <v>3356</v>
      </c>
      <c r="D768" s="12" t="n">
        <v>0.0583</v>
      </c>
      <c r="E768" s="12"/>
      <c r="F768" s="12"/>
      <c r="G768" s="10" t="s">
        <v>63</v>
      </c>
      <c r="H768" s="10" t="s">
        <v>64</v>
      </c>
      <c r="I768" s="11" t="s">
        <v>3313</v>
      </c>
      <c r="J768" s="10" t="s">
        <v>66</v>
      </c>
      <c r="K768" s="10" t="s">
        <v>67</v>
      </c>
      <c r="L768" s="10" t="s">
        <v>68</v>
      </c>
      <c r="M768" s="10" t="s">
        <v>69</v>
      </c>
      <c r="N768" s="10"/>
      <c r="O768" s="11" t="s">
        <v>2851</v>
      </c>
      <c r="P768" s="10" t="s">
        <v>71</v>
      </c>
      <c r="Q768" s="11" t="s">
        <v>72</v>
      </c>
      <c r="R768" s="11" t="s">
        <v>73</v>
      </c>
      <c r="S768" s="11" t="s">
        <v>74</v>
      </c>
      <c r="T768" s="11" t="s">
        <v>3357</v>
      </c>
      <c r="U768" s="10" t="n">
        <f aca="false">IF(AND($D768="",$E768="",$F768=""),1,0)</f>
        <v>0</v>
      </c>
      <c r="V768" s="10" t="n">
        <f aca="false">IF(OR($I768="",$I768="—"),1,0)</f>
        <v>0</v>
      </c>
      <c r="W768" s="10" t="n">
        <f aca="false">IF(AND(ISNUMBER($D768),ISNUMBER($E768)),IF($E768&gt;$D768,1,0),0)+IF(AND(ISNUMBER($D768),ISNUMBER($F768)),IF($D768&gt;$F768,1,0),0)+IF(AND(ISNUMBER($E768),ISNUMBER($F768)),IF($E768&gt;$F768,1,0),0)</f>
        <v>0</v>
      </c>
      <c r="X768" s="13" t="s">
        <v>76</v>
      </c>
    </row>
    <row r="769" customFormat="false" ht="15" hidden="false" customHeight="false" outlineLevel="0" collapsed="false">
      <c r="A769" s="10" t="s">
        <v>3358</v>
      </c>
      <c r="B769" s="10" t="s">
        <v>3359</v>
      </c>
      <c r="C769" s="11" t="s">
        <v>3308</v>
      </c>
      <c r="D769" s="12" t="n">
        <v>0.0503</v>
      </c>
      <c r="E769" s="12"/>
      <c r="F769" s="12"/>
      <c r="G769" s="10" t="s">
        <v>63</v>
      </c>
      <c r="H769" s="10" t="s">
        <v>64</v>
      </c>
      <c r="I769" s="11" t="s">
        <v>3313</v>
      </c>
      <c r="J769" s="10" t="s">
        <v>66</v>
      </c>
      <c r="K769" s="10" t="s">
        <v>67</v>
      </c>
      <c r="L769" s="10" t="s">
        <v>68</v>
      </c>
      <c r="M769" s="10" t="s">
        <v>69</v>
      </c>
      <c r="N769" s="10"/>
      <c r="O769" s="11" t="s">
        <v>2851</v>
      </c>
      <c r="P769" s="10" t="s">
        <v>71</v>
      </c>
      <c r="Q769" s="11" t="s">
        <v>72</v>
      </c>
      <c r="R769" s="11" t="s">
        <v>73</v>
      </c>
      <c r="S769" s="11" t="s">
        <v>74</v>
      </c>
      <c r="T769" s="11" t="s">
        <v>3360</v>
      </c>
      <c r="U769" s="10" t="n">
        <f aca="false">IF(AND($D769="",$E769="",$F769=""),1,0)</f>
        <v>0</v>
      </c>
      <c r="V769" s="10" t="n">
        <f aca="false">IF(OR($I769="",$I769="—"),1,0)</f>
        <v>0</v>
      </c>
      <c r="W769" s="10" t="n">
        <f aca="false">IF(AND(ISNUMBER($D769),ISNUMBER($E769)),IF($E769&gt;$D769,1,0),0)+IF(AND(ISNUMBER($D769),ISNUMBER($F769)),IF($D769&gt;$F769,1,0),0)+IF(AND(ISNUMBER($E769),ISNUMBER($F769)),IF($E769&gt;$F769,1,0),0)</f>
        <v>0</v>
      </c>
      <c r="X769" s="13" t="s">
        <v>76</v>
      </c>
    </row>
    <row r="770" customFormat="false" ht="15" hidden="false" customHeight="false" outlineLevel="0" collapsed="false">
      <c r="A770" s="10" t="s">
        <v>3361</v>
      </c>
      <c r="B770" s="10" t="s">
        <v>3362</v>
      </c>
      <c r="C770" s="11" t="s">
        <v>3312</v>
      </c>
      <c r="D770" s="12" t="n">
        <v>0.028</v>
      </c>
      <c r="E770" s="12"/>
      <c r="F770" s="12"/>
      <c r="G770" s="10" t="s">
        <v>63</v>
      </c>
      <c r="H770" s="10" t="s">
        <v>64</v>
      </c>
      <c r="I770" s="11" t="s">
        <v>3313</v>
      </c>
      <c r="J770" s="10" t="s">
        <v>66</v>
      </c>
      <c r="K770" s="10" t="s">
        <v>67</v>
      </c>
      <c r="L770" s="10" t="s">
        <v>68</v>
      </c>
      <c r="M770" s="10" t="s">
        <v>69</v>
      </c>
      <c r="N770" s="10"/>
      <c r="O770" s="11" t="s">
        <v>2851</v>
      </c>
      <c r="P770" s="10" t="s">
        <v>71</v>
      </c>
      <c r="Q770" s="11" t="s">
        <v>72</v>
      </c>
      <c r="R770" s="11" t="s">
        <v>73</v>
      </c>
      <c r="S770" s="11" t="s">
        <v>74</v>
      </c>
      <c r="T770" s="11" t="s">
        <v>3363</v>
      </c>
      <c r="U770" s="10" t="n">
        <f aca="false">IF(AND($D770="",$E770="",$F770=""),1,0)</f>
        <v>0</v>
      </c>
      <c r="V770" s="10" t="n">
        <f aca="false">IF(OR($I770="",$I770="—"),1,0)</f>
        <v>0</v>
      </c>
      <c r="W770" s="10" t="n">
        <f aca="false">IF(AND(ISNUMBER($D770),ISNUMBER($E770)),IF($E770&gt;$D770,1,0),0)+IF(AND(ISNUMBER($D770),ISNUMBER($F770)),IF($D770&gt;$F770,1,0),0)+IF(AND(ISNUMBER($E770),ISNUMBER($F770)),IF($E770&gt;$F770,1,0),0)</f>
        <v>0</v>
      </c>
      <c r="X770" s="13" t="s">
        <v>76</v>
      </c>
    </row>
    <row r="771" customFormat="false" ht="15" hidden="false" customHeight="false" outlineLevel="0" collapsed="false">
      <c r="A771" s="10" t="s">
        <v>3364</v>
      </c>
      <c r="B771" s="10" t="s">
        <v>3365</v>
      </c>
      <c r="C771" s="11" t="s">
        <v>3366</v>
      </c>
      <c r="D771" s="12" t="n">
        <v>0.0255</v>
      </c>
      <c r="E771" s="12"/>
      <c r="F771" s="12"/>
      <c r="G771" s="10" t="s">
        <v>63</v>
      </c>
      <c r="H771" s="10" t="s">
        <v>64</v>
      </c>
      <c r="I771" s="11" t="s">
        <v>3313</v>
      </c>
      <c r="J771" s="10" t="s">
        <v>66</v>
      </c>
      <c r="K771" s="10" t="s">
        <v>67</v>
      </c>
      <c r="L771" s="10" t="s">
        <v>68</v>
      </c>
      <c r="M771" s="10" t="s">
        <v>69</v>
      </c>
      <c r="N771" s="10"/>
      <c r="O771" s="11" t="s">
        <v>2851</v>
      </c>
      <c r="P771" s="10" t="s">
        <v>71</v>
      </c>
      <c r="Q771" s="11" t="s">
        <v>72</v>
      </c>
      <c r="R771" s="11" t="s">
        <v>73</v>
      </c>
      <c r="S771" s="11" t="s">
        <v>74</v>
      </c>
      <c r="T771" s="11" t="s">
        <v>3367</v>
      </c>
      <c r="U771" s="10" t="n">
        <f aca="false">IF(AND($D771="",$E771="",$F771=""),1,0)</f>
        <v>0</v>
      </c>
      <c r="V771" s="10" t="n">
        <f aca="false">IF(OR($I771="",$I771="—"),1,0)</f>
        <v>0</v>
      </c>
      <c r="W771" s="10" t="n">
        <f aca="false">IF(AND(ISNUMBER($D771),ISNUMBER($E771)),IF($E771&gt;$D771,1,0),0)+IF(AND(ISNUMBER($D771),ISNUMBER($F771)),IF($D771&gt;$F771,1,0),0)+IF(AND(ISNUMBER($E771),ISNUMBER($F771)),IF($E771&gt;$F771,1,0),0)</f>
        <v>0</v>
      </c>
      <c r="X771" s="13" t="s">
        <v>76</v>
      </c>
    </row>
    <row r="772" customFormat="false" ht="15" hidden="false" customHeight="false" outlineLevel="0" collapsed="false">
      <c r="A772" s="10" t="s">
        <v>3368</v>
      </c>
      <c r="B772" s="10" t="s">
        <v>3369</v>
      </c>
      <c r="C772" s="11" t="s">
        <v>3370</v>
      </c>
      <c r="D772" s="12" t="n">
        <v>7.8032</v>
      </c>
      <c r="E772" s="12"/>
      <c r="F772" s="12"/>
      <c r="G772" s="10" t="s">
        <v>63</v>
      </c>
      <c r="H772" s="10" t="s">
        <v>92</v>
      </c>
      <c r="I772" s="11" t="s">
        <v>3371</v>
      </c>
      <c r="J772" s="10" t="s">
        <v>66</v>
      </c>
      <c r="K772" s="10" t="s">
        <v>67</v>
      </c>
      <c r="L772" s="10" t="s">
        <v>68</v>
      </c>
      <c r="M772" s="10" t="s">
        <v>69</v>
      </c>
      <c r="N772" s="10"/>
      <c r="O772" s="11" t="s">
        <v>2865</v>
      </c>
      <c r="P772" s="10" t="s">
        <v>71</v>
      </c>
      <c r="Q772" s="11" t="s">
        <v>72</v>
      </c>
      <c r="R772" s="11" t="s">
        <v>73</v>
      </c>
      <c r="S772" s="11" t="s">
        <v>74</v>
      </c>
      <c r="T772" s="11" t="s">
        <v>3372</v>
      </c>
      <c r="U772" s="10" t="n">
        <f aca="false">IF(AND($D772="",$E772="",$F772=""),1,0)</f>
        <v>0</v>
      </c>
      <c r="V772" s="10" t="n">
        <f aca="false">IF(OR($I772="",$I772="—"),1,0)</f>
        <v>0</v>
      </c>
      <c r="W772" s="10" t="n">
        <f aca="false">IF(AND(ISNUMBER($D772),ISNUMBER($E772)),IF($E772&gt;$D772,1,0),0)+IF(AND(ISNUMBER($D772),ISNUMBER($F772)),IF($D772&gt;$F772,1,0),0)+IF(AND(ISNUMBER($E772),ISNUMBER($F772)),IF($E772&gt;$F772,1,0),0)</f>
        <v>0</v>
      </c>
      <c r="X772" s="13" t="s">
        <v>76</v>
      </c>
    </row>
    <row r="773" customFormat="false" ht="15" hidden="false" customHeight="false" outlineLevel="0" collapsed="false">
      <c r="A773" s="10" t="s">
        <v>3373</v>
      </c>
      <c r="B773" s="10" t="s">
        <v>3374</v>
      </c>
      <c r="C773" s="11" t="s">
        <v>3375</v>
      </c>
      <c r="D773" s="12" t="n">
        <v>15.54</v>
      </c>
      <c r="E773" s="12"/>
      <c r="F773" s="12"/>
      <c r="G773" s="10" t="s">
        <v>63</v>
      </c>
      <c r="H773" s="10" t="s">
        <v>92</v>
      </c>
      <c r="I773" s="11" t="s">
        <v>3371</v>
      </c>
      <c r="J773" s="10" t="s">
        <v>66</v>
      </c>
      <c r="K773" s="10" t="s">
        <v>67</v>
      </c>
      <c r="L773" s="10" t="s">
        <v>68</v>
      </c>
      <c r="M773" s="10" t="s">
        <v>636</v>
      </c>
      <c r="N773" s="10"/>
      <c r="O773" s="11" t="s">
        <v>3376</v>
      </c>
      <c r="P773" s="10" t="s">
        <v>637</v>
      </c>
      <c r="Q773" s="11" t="s">
        <v>638</v>
      </c>
      <c r="R773" s="11" t="s">
        <v>639</v>
      </c>
      <c r="S773" s="11" t="s">
        <v>74</v>
      </c>
      <c r="T773" s="10" t="s">
        <v>3377</v>
      </c>
      <c r="U773" s="10" t="n">
        <f aca="false">IF(AND($D773="",$E773="",$F773=""),1,0)</f>
        <v>0</v>
      </c>
      <c r="V773" s="10" t="n">
        <f aca="false">IF(OR($I773="",$I773="—"),1,0)</f>
        <v>0</v>
      </c>
      <c r="W773" s="10" t="n">
        <f aca="false">IF(AND(ISNUMBER($D773),ISNUMBER($E773)),IF($E773&gt;$D773,1,0),0)+IF(AND(ISNUMBER($D773),ISNUMBER($F773)),IF($D773&gt;$F773,1,0),0)+IF(AND(ISNUMBER($E773),ISNUMBER($F773)),IF($E773&gt;$F773,1,0),0)</f>
        <v>0</v>
      </c>
      <c r="X773" s="13" t="s">
        <v>76</v>
      </c>
    </row>
    <row r="774" customFormat="false" ht="15" hidden="false" customHeight="false" outlineLevel="0" collapsed="false">
      <c r="A774" s="10" t="s">
        <v>3378</v>
      </c>
      <c r="B774" s="10" t="s">
        <v>3379</v>
      </c>
      <c r="C774" s="11" t="s">
        <v>3370</v>
      </c>
      <c r="D774" s="12" t="n">
        <v>11.9798</v>
      </c>
      <c r="E774" s="12"/>
      <c r="F774" s="12"/>
      <c r="G774" s="10" t="s">
        <v>63</v>
      </c>
      <c r="H774" s="10" t="s">
        <v>83</v>
      </c>
      <c r="I774" s="11" t="s">
        <v>3371</v>
      </c>
      <c r="J774" s="10" t="s">
        <v>66</v>
      </c>
      <c r="K774" s="10" t="s">
        <v>67</v>
      </c>
      <c r="L774" s="10" t="s">
        <v>68</v>
      </c>
      <c r="M774" s="10" t="s">
        <v>69</v>
      </c>
      <c r="N774" s="10"/>
      <c r="O774" s="11" t="s">
        <v>2851</v>
      </c>
      <c r="P774" s="10" t="s">
        <v>71</v>
      </c>
      <c r="Q774" s="11" t="s">
        <v>72</v>
      </c>
      <c r="R774" s="11" t="s">
        <v>73</v>
      </c>
      <c r="S774" s="11" t="s">
        <v>74</v>
      </c>
      <c r="T774" s="11" t="s">
        <v>3380</v>
      </c>
      <c r="U774" s="10" t="n">
        <f aca="false">IF(AND($D774="",$E774="",$F774=""),1,0)</f>
        <v>0</v>
      </c>
      <c r="V774" s="10" t="n">
        <f aca="false">IF(OR($I774="",$I774="—"),1,0)</f>
        <v>0</v>
      </c>
      <c r="W774" s="10" t="n">
        <f aca="false">IF(AND(ISNUMBER($D774),ISNUMBER($E774)),IF($E774&gt;$D774,1,0),0)+IF(AND(ISNUMBER($D774),ISNUMBER($F774)),IF($D774&gt;$F774,1,0),0)+IF(AND(ISNUMBER($E774),ISNUMBER($F774)),IF($E774&gt;$F774,1,0),0)</f>
        <v>0</v>
      </c>
      <c r="X774" s="13" t="s">
        <v>76</v>
      </c>
    </row>
    <row r="775" customFormat="false" ht="15" hidden="false" customHeight="false" outlineLevel="0" collapsed="false">
      <c r="A775" s="10" t="s">
        <v>3381</v>
      </c>
      <c r="B775" s="10" t="s">
        <v>3382</v>
      </c>
      <c r="C775" s="11" t="s">
        <v>3375</v>
      </c>
      <c r="D775" s="12" t="n">
        <v>25.33</v>
      </c>
      <c r="E775" s="12"/>
      <c r="F775" s="12"/>
      <c r="G775" s="10" t="s">
        <v>63</v>
      </c>
      <c r="H775" s="10" t="s">
        <v>83</v>
      </c>
      <c r="I775" s="11" t="s">
        <v>3371</v>
      </c>
      <c r="J775" s="10" t="s">
        <v>66</v>
      </c>
      <c r="K775" s="10" t="s">
        <v>67</v>
      </c>
      <c r="L775" s="10" t="s">
        <v>68</v>
      </c>
      <c r="M775" s="10" t="s">
        <v>636</v>
      </c>
      <c r="N775" s="10"/>
      <c r="O775" s="11" t="s">
        <v>3376</v>
      </c>
      <c r="P775" s="10" t="s">
        <v>637</v>
      </c>
      <c r="Q775" s="11" t="s">
        <v>638</v>
      </c>
      <c r="R775" s="11" t="s">
        <v>639</v>
      </c>
      <c r="S775" s="11" t="s">
        <v>74</v>
      </c>
      <c r="T775" s="10" t="s">
        <v>3383</v>
      </c>
      <c r="U775" s="10" t="n">
        <f aca="false">IF(AND($D775="",$E775="",$F775=""),1,0)</f>
        <v>0</v>
      </c>
      <c r="V775" s="10" t="n">
        <f aca="false">IF(OR($I775="",$I775="—"),1,0)</f>
        <v>0</v>
      </c>
      <c r="W775" s="10" t="n">
        <f aca="false">IF(AND(ISNUMBER($D775),ISNUMBER($E775)),IF($E775&gt;$D775,1,0),0)+IF(AND(ISNUMBER($D775),ISNUMBER($F775)),IF($D775&gt;$F775,1,0),0)+IF(AND(ISNUMBER($E775),ISNUMBER($F775)),IF($E775&gt;$F775,1,0),0)</f>
        <v>0</v>
      </c>
      <c r="X775" s="13" t="s">
        <v>76</v>
      </c>
    </row>
    <row r="776" customFormat="false" ht="15" hidden="false" customHeight="false" outlineLevel="0" collapsed="false">
      <c r="A776" s="10" t="s">
        <v>3384</v>
      </c>
      <c r="B776" s="10" t="s">
        <v>3385</v>
      </c>
      <c r="C776" s="11" t="s">
        <v>3370</v>
      </c>
      <c r="D776" s="12" t="n">
        <v>5.2042</v>
      </c>
      <c r="E776" s="12"/>
      <c r="F776" s="12"/>
      <c r="G776" s="10" t="s">
        <v>63</v>
      </c>
      <c r="H776" s="10" t="s">
        <v>79</v>
      </c>
      <c r="I776" s="11" t="s">
        <v>3371</v>
      </c>
      <c r="J776" s="10" t="s">
        <v>66</v>
      </c>
      <c r="K776" s="10" t="s">
        <v>67</v>
      </c>
      <c r="L776" s="10" t="s">
        <v>68</v>
      </c>
      <c r="M776" s="10" t="s">
        <v>69</v>
      </c>
      <c r="N776" s="10"/>
      <c r="O776" s="11" t="s">
        <v>2851</v>
      </c>
      <c r="P776" s="10" t="s">
        <v>71</v>
      </c>
      <c r="Q776" s="11" t="s">
        <v>72</v>
      </c>
      <c r="R776" s="11" t="s">
        <v>73</v>
      </c>
      <c r="S776" s="11" t="s">
        <v>74</v>
      </c>
      <c r="T776" s="11" t="s">
        <v>3386</v>
      </c>
      <c r="U776" s="10" t="n">
        <f aca="false">IF(AND($D776="",$E776="",$F776=""),1,0)</f>
        <v>0</v>
      </c>
      <c r="V776" s="10" t="n">
        <f aca="false">IF(OR($I776="",$I776="—"),1,0)</f>
        <v>0</v>
      </c>
      <c r="W776" s="10" t="n">
        <f aca="false">IF(AND(ISNUMBER($D776),ISNUMBER($E776)),IF($E776&gt;$D776,1,0),0)+IF(AND(ISNUMBER($D776),ISNUMBER($F776)),IF($D776&gt;$F776,1,0),0)+IF(AND(ISNUMBER($E776),ISNUMBER($F776)),IF($E776&gt;$F776,1,0),0)</f>
        <v>0</v>
      </c>
      <c r="X776" s="13" t="s">
        <v>76</v>
      </c>
    </row>
    <row r="777" customFormat="false" ht="15" hidden="false" customHeight="false" outlineLevel="0" collapsed="false">
      <c r="A777" s="10" t="s">
        <v>3387</v>
      </c>
      <c r="B777" s="10" t="s">
        <v>3388</v>
      </c>
      <c r="C777" s="11" t="s">
        <v>3375</v>
      </c>
      <c r="D777" s="12" t="n">
        <v>9.71</v>
      </c>
      <c r="E777" s="12"/>
      <c r="F777" s="12"/>
      <c r="G777" s="10" t="s">
        <v>63</v>
      </c>
      <c r="H777" s="10" t="s">
        <v>79</v>
      </c>
      <c r="I777" s="11" t="s">
        <v>3371</v>
      </c>
      <c r="J777" s="10" t="s">
        <v>66</v>
      </c>
      <c r="K777" s="10" t="s">
        <v>67</v>
      </c>
      <c r="L777" s="10" t="s">
        <v>68</v>
      </c>
      <c r="M777" s="10" t="s">
        <v>636</v>
      </c>
      <c r="N777" s="10"/>
      <c r="O777" s="11" t="s">
        <v>3376</v>
      </c>
      <c r="P777" s="10" t="s">
        <v>637</v>
      </c>
      <c r="Q777" s="11" t="s">
        <v>638</v>
      </c>
      <c r="R777" s="11" t="s">
        <v>639</v>
      </c>
      <c r="S777" s="11" t="s">
        <v>74</v>
      </c>
      <c r="T777" s="10" t="s">
        <v>3389</v>
      </c>
      <c r="U777" s="10" t="n">
        <f aca="false">IF(AND($D777="",$E777="",$F777=""),1,0)</f>
        <v>0</v>
      </c>
      <c r="V777" s="10" t="n">
        <f aca="false">IF(OR($I777="",$I777="—"),1,0)</f>
        <v>0</v>
      </c>
      <c r="W777" s="10" t="n">
        <f aca="false">IF(AND(ISNUMBER($D777),ISNUMBER($E777)),IF($E777&gt;$D777,1,0),0)+IF(AND(ISNUMBER($D777),ISNUMBER($F777)),IF($D777&gt;$F777,1,0),0)+IF(AND(ISNUMBER($E777),ISNUMBER($F777)),IF($E777&gt;$F777,1,0),0)</f>
        <v>0</v>
      </c>
      <c r="X777" s="13" t="s">
        <v>76</v>
      </c>
    </row>
    <row r="778" customFormat="false" ht="15" hidden="false" customHeight="false" outlineLevel="0" collapsed="false">
      <c r="A778" s="10" t="s">
        <v>3390</v>
      </c>
      <c r="B778" s="10" t="s">
        <v>3391</v>
      </c>
      <c r="C778" s="11" t="s">
        <v>3370</v>
      </c>
      <c r="D778" s="12" t="n">
        <v>0.4142</v>
      </c>
      <c r="E778" s="12"/>
      <c r="F778" s="12"/>
      <c r="G778" s="10" t="s">
        <v>63</v>
      </c>
      <c r="H778" s="10" t="s">
        <v>64</v>
      </c>
      <c r="I778" s="11" t="s">
        <v>3371</v>
      </c>
      <c r="J778" s="10" t="s">
        <v>66</v>
      </c>
      <c r="K778" s="10" t="s">
        <v>67</v>
      </c>
      <c r="L778" s="10" t="s">
        <v>68</v>
      </c>
      <c r="M778" s="10" t="s">
        <v>69</v>
      </c>
      <c r="N778" s="10"/>
      <c r="O778" s="11" t="s">
        <v>2851</v>
      </c>
      <c r="P778" s="10" t="s">
        <v>71</v>
      </c>
      <c r="Q778" s="11" t="s">
        <v>72</v>
      </c>
      <c r="R778" s="11" t="s">
        <v>73</v>
      </c>
      <c r="S778" s="11" t="s">
        <v>74</v>
      </c>
      <c r="T778" s="11" t="s">
        <v>3392</v>
      </c>
      <c r="U778" s="10" t="n">
        <f aca="false">IF(AND($D778="",$E778="",$F778=""),1,0)</f>
        <v>0</v>
      </c>
      <c r="V778" s="10" t="n">
        <f aca="false">IF(OR($I778="",$I778="—"),1,0)</f>
        <v>0</v>
      </c>
      <c r="W778" s="10" t="n">
        <f aca="false">IF(AND(ISNUMBER($D778),ISNUMBER($E778)),IF($E778&gt;$D778,1,0),0)+IF(AND(ISNUMBER($D778),ISNUMBER($F778)),IF($D778&gt;$F778,1,0),0)+IF(AND(ISNUMBER($E778),ISNUMBER($F778)),IF($E778&gt;$F778,1,0),0)</f>
        <v>0</v>
      </c>
      <c r="X778" s="13" t="s">
        <v>76</v>
      </c>
    </row>
    <row r="779" customFormat="false" ht="15" hidden="false" customHeight="false" outlineLevel="0" collapsed="false">
      <c r="A779" s="10" t="s">
        <v>3393</v>
      </c>
      <c r="B779" s="10" t="s">
        <v>3394</v>
      </c>
      <c r="C779" s="11" t="s">
        <v>3375</v>
      </c>
      <c r="D779" s="12" t="n">
        <v>0.76</v>
      </c>
      <c r="E779" s="12"/>
      <c r="F779" s="12"/>
      <c r="G779" s="10" t="s">
        <v>63</v>
      </c>
      <c r="H779" s="10" t="s">
        <v>64</v>
      </c>
      <c r="I779" s="11" t="s">
        <v>3371</v>
      </c>
      <c r="J779" s="10" t="s">
        <v>66</v>
      </c>
      <c r="K779" s="10" t="s">
        <v>67</v>
      </c>
      <c r="L779" s="10" t="s">
        <v>68</v>
      </c>
      <c r="M779" s="10" t="s">
        <v>636</v>
      </c>
      <c r="N779" s="10"/>
      <c r="O779" s="11" t="s">
        <v>3376</v>
      </c>
      <c r="P779" s="10" t="s">
        <v>637</v>
      </c>
      <c r="Q779" s="11" t="s">
        <v>638</v>
      </c>
      <c r="R779" s="11" t="s">
        <v>639</v>
      </c>
      <c r="S779" s="11" t="s">
        <v>74</v>
      </c>
      <c r="T779" s="10" t="s">
        <v>3395</v>
      </c>
      <c r="U779" s="10" t="n">
        <f aca="false">IF(AND($D779="",$E779="",$F779=""),1,0)</f>
        <v>0</v>
      </c>
      <c r="V779" s="10" t="n">
        <f aca="false">IF(OR($I779="",$I779="—"),1,0)</f>
        <v>0</v>
      </c>
      <c r="W779" s="10" t="n">
        <f aca="false">IF(AND(ISNUMBER($D779),ISNUMBER($E779)),IF($E779&gt;$D779,1,0),0)+IF(AND(ISNUMBER($D779),ISNUMBER($F779)),IF($D779&gt;$F779,1,0),0)+IF(AND(ISNUMBER($E779),ISNUMBER($F779)),IF($E779&gt;$F779,1,0),0)</f>
        <v>0</v>
      </c>
      <c r="X779" s="13" t="s">
        <v>76</v>
      </c>
    </row>
    <row r="780" customFormat="false" ht="15" hidden="false" customHeight="false" outlineLevel="0" collapsed="false">
      <c r="A780" s="10" t="s">
        <v>3396</v>
      </c>
      <c r="B780" s="10" t="s">
        <v>3397</v>
      </c>
      <c r="C780" s="11" t="s">
        <v>1865</v>
      </c>
      <c r="D780" s="12" t="n">
        <v>13.4</v>
      </c>
      <c r="E780" s="12"/>
      <c r="F780" s="12"/>
      <c r="G780" s="10" t="s">
        <v>401</v>
      </c>
      <c r="H780" s="10" t="s">
        <v>92</v>
      </c>
      <c r="I780" s="11" t="s">
        <v>3296</v>
      </c>
      <c r="J780" s="10" t="s">
        <v>66</v>
      </c>
      <c r="K780" s="10" t="s">
        <v>67</v>
      </c>
      <c r="L780" s="10" t="s">
        <v>68</v>
      </c>
      <c r="M780" s="10" t="s">
        <v>69</v>
      </c>
      <c r="N780" s="10"/>
      <c r="O780" s="11" t="s">
        <v>2865</v>
      </c>
      <c r="P780" s="10" t="s">
        <v>71</v>
      </c>
      <c r="Q780" s="11" t="s">
        <v>72</v>
      </c>
      <c r="R780" s="11" t="s">
        <v>73</v>
      </c>
      <c r="S780" s="11" t="s">
        <v>74</v>
      </c>
      <c r="T780" s="11" t="s">
        <v>3398</v>
      </c>
      <c r="U780" s="10" t="n">
        <f aca="false">IF(AND($D780="",$E780="",$F780=""),1,0)</f>
        <v>0</v>
      </c>
      <c r="V780" s="10" t="n">
        <f aca="false">IF(OR($I780="",$I780="—"),1,0)</f>
        <v>0</v>
      </c>
      <c r="W780" s="10" t="n">
        <f aca="false">IF(AND(ISNUMBER($D780),ISNUMBER($E780)),IF($E780&gt;$D780,1,0),0)+IF(AND(ISNUMBER($D780),ISNUMBER($F780)),IF($D780&gt;$F780,1,0),0)+IF(AND(ISNUMBER($E780),ISNUMBER($F780)),IF($E780&gt;$F780,1,0),0)</f>
        <v>0</v>
      </c>
      <c r="X780" s="13" t="s">
        <v>76</v>
      </c>
    </row>
    <row r="781" customFormat="false" ht="15" hidden="false" customHeight="false" outlineLevel="0" collapsed="false">
      <c r="A781" s="10" t="s">
        <v>3399</v>
      </c>
      <c r="B781" s="10" t="s">
        <v>3400</v>
      </c>
      <c r="C781" s="11" t="s">
        <v>1865</v>
      </c>
      <c r="D781" s="12" t="n">
        <v>15.6</v>
      </c>
      <c r="E781" s="12"/>
      <c r="F781" s="12"/>
      <c r="G781" s="10" t="s">
        <v>401</v>
      </c>
      <c r="H781" s="10" t="s">
        <v>83</v>
      </c>
      <c r="I781" s="11" t="s">
        <v>3296</v>
      </c>
      <c r="J781" s="10" t="s">
        <v>66</v>
      </c>
      <c r="K781" s="10" t="s">
        <v>67</v>
      </c>
      <c r="L781" s="10" t="s">
        <v>68</v>
      </c>
      <c r="M781" s="10" t="s">
        <v>69</v>
      </c>
      <c r="N781" s="10"/>
      <c r="O781" s="11" t="s">
        <v>2851</v>
      </c>
      <c r="P781" s="10" t="s">
        <v>71</v>
      </c>
      <c r="Q781" s="11" t="s">
        <v>72</v>
      </c>
      <c r="R781" s="11" t="s">
        <v>73</v>
      </c>
      <c r="S781" s="11" t="s">
        <v>74</v>
      </c>
      <c r="T781" s="11" t="s">
        <v>3398</v>
      </c>
      <c r="U781" s="10" t="n">
        <f aca="false">IF(AND($D781="",$E781="",$F781=""),1,0)</f>
        <v>0</v>
      </c>
      <c r="V781" s="10" t="n">
        <f aca="false">IF(OR($I781="",$I781="—"),1,0)</f>
        <v>0</v>
      </c>
      <c r="W781" s="10" t="n">
        <f aca="false">IF(AND(ISNUMBER($D781),ISNUMBER($E781)),IF($E781&gt;$D781,1,0),0)+IF(AND(ISNUMBER($D781),ISNUMBER($F781)),IF($D781&gt;$F781,1,0),0)+IF(AND(ISNUMBER($E781),ISNUMBER($F781)),IF($E781&gt;$F781,1,0),0)</f>
        <v>0</v>
      </c>
      <c r="X781" s="13" t="s">
        <v>76</v>
      </c>
    </row>
    <row r="782" customFormat="false" ht="15" hidden="false" customHeight="false" outlineLevel="0" collapsed="false">
      <c r="A782" s="10" t="s">
        <v>3401</v>
      </c>
      <c r="B782" s="10" t="s">
        <v>3402</v>
      </c>
      <c r="C782" s="11" t="s">
        <v>1865</v>
      </c>
      <c r="D782" s="12" t="n">
        <v>16.4</v>
      </c>
      <c r="E782" s="12"/>
      <c r="F782" s="12"/>
      <c r="G782" s="10" t="s">
        <v>401</v>
      </c>
      <c r="H782" s="10" t="s">
        <v>79</v>
      </c>
      <c r="I782" s="11" t="s">
        <v>3296</v>
      </c>
      <c r="J782" s="10" t="s">
        <v>66</v>
      </c>
      <c r="K782" s="10" t="s">
        <v>67</v>
      </c>
      <c r="L782" s="10" t="s">
        <v>68</v>
      </c>
      <c r="M782" s="10" t="s">
        <v>69</v>
      </c>
      <c r="N782" s="10"/>
      <c r="O782" s="11" t="s">
        <v>2851</v>
      </c>
      <c r="P782" s="10" t="s">
        <v>71</v>
      </c>
      <c r="Q782" s="11" t="s">
        <v>72</v>
      </c>
      <c r="R782" s="11" t="s">
        <v>73</v>
      </c>
      <c r="S782" s="11" t="s">
        <v>74</v>
      </c>
      <c r="T782" s="11" t="s">
        <v>3398</v>
      </c>
      <c r="U782" s="10" t="n">
        <f aca="false">IF(AND($D782="",$E782="",$F782=""),1,0)</f>
        <v>0</v>
      </c>
      <c r="V782" s="10" t="n">
        <f aca="false">IF(OR($I782="",$I782="—"),1,0)</f>
        <v>0</v>
      </c>
      <c r="W782" s="10" t="n">
        <f aca="false">IF(AND(ISNUMBER($D782),ISNUMBER($E782)),IF($E782&gt;$D782,1,0),0)+IF(AND(ISNUMBER($D782),ISNUMBER($F782)),IF($D782&gt;$F782,1,0),0)+IF(AND(ISNUMBER($E782),ISNUMBER($F782)),IF($E782&gt;$F782,1,0),0)</f>
        <v>0</v>
      </c>
      <c r="X782" s="13" t="s">
        <v>76</v>
      </c>
    </row>
    <row r="783" customFormat="false" ht="15" hidden="false" customHeight="false" outlineLevel="0" collapsed="false">
      <c r="A783" s="10" t="s">
        <v>3403</v>
      </c>
      <c r="B783" s="10" t="s">
        <v>3404</v>
      </c>
      <c r="C783" s="11" t="s">
        <v>1865</v>
      </c>
      <c r="D783" s="12" t="n">
        <v>33.1</v>
      </c>
      <c r="E783" s="12"/>
      <c r="F783" s="12"/>
      <c r="G783" s="10" t="s">
        <v>401</v>
      </c>
      <c r="H783" s="10" t="s">
        <v>64</v>
      </c>
      <c r="I783" s="11" t="s">
        <v>3296</v>
      </c>
      <c r="J783" s="10" t="s">
        <v>66</v>
      </c>
      <c r="K783" s="10" t="s">
        <v>67</v>
      </c>
      <c r="L783" s="10" t="s">
        <v>68</v>
      </c>
      <c r="M783" s="10" t="s">
        <v>69</v>
      </c>
      <c r="N783" s="10"/>
      <c r="O783" s="11" t="s">
        <v>2851</v>
      </c>
      <c r="P783" s="10" t="s">
        <v>71</v>
      </c>
      <c r="Q783" s="11" t="s">
        <v>72</v>
      </c>
      <c r="R783" s="11" t="s">
        <v>73</v>
      </c>
      <c r="S783" s="11" t="s">
        <v>74</v>
      </c>
      <c r="T783" s="11" t="s">
        <v>3398</v>
      </c>
      <c r="U783" s="10" t="n">
        <f aca="false">IF(AND($D783="",$E783="",$F783=""),1,0)</f>
        <v>0</v>
      </c>
      <c r="V783" s="10" t="n">
        <f aca="false">IF(OR($I783="",$I783="—"),1,0)</f>
        <v>0</v>
      </c>
      <c r="W783" s="10" t="n">
        <f aca="false">IF(AND(ISNUMBER($D783),ISNUMBER($E783)),IF($E783&gt;$D783,1,0),0)+IF(AND(ISNUMBER($D783),ISNUMBER($F783)),IF($D783&gt;$F783,1,0),0)+IF(AND(ISNUMBER($E783),ISNUMBER($F783)),IF($E783&gt;$F783,1,0),0)</f>
        <v>0</v>
      </c>
      <c r="X783" s="13" t="s">
        <v>76</v>
      </c>
    </row>
    <row r="784" customFormat="false" ht="15" hidden="false" customHeight="false" outlineLevel="0" collapsed="false">
      <c r="A784" s="10" t="s">
        <v>3405</v>
      </c>
      <c r="B784" s="10" t="s">
        <v>3406</v>
      </c>
      <c r="C784" s="11" t="s">
        <v>3407</v>
      </c>
      <c r="D784" s="12"/>
      <c r="E784" s="12"/>
      <c r="F784" s="12"/>
      <c r="G784" s="11" t="s">
        <v>2957</v>
      </c>
      <c r="H784" s="10" t="s">
        <v>2958</v>
      </c>
      <c r="I784" s="11" t="s">
        <v>3296</v>
      </c>
      <c r="J784" s="10" t="s">
        <v>66</v>
      </c>
      <c r="K784" s="10" t="s">
        <v>67</v>
      </c>
      <c r="L784" s="10" t="s">
        <v>68</v>
      </c>
      <c r="M784" s="10" t="s">
        <v>69</v>
      </c>
      <c r="N784" s="10"/>
      <c r="O784" s="11" t="s">
        <v>2960</v>
      </c>
      <c r="P784" s="10" t="s">
        <v>71</v>
      </c>
      <c r="Q784" s="11" t="s">
        <v>72</v>
      </c>
      <c r="R784" s="11" t="s">
        <v>73</v>
      </c>
      <c r="S784" s="11" t="s">
        <v>74</v>
      </c>
      <c r="T784" s="11" t="s">
        <v>3408</v>
      </c>
      <c r="U784" s="10" t="n">
        <f aca="false">IF(AND($D784="",$E784="",$F784=""),1,0)</f>
        <v>1</v>
      </c>
      <c r="V784" s="10" t="n">
        <f aca="false">IF(OR($I784="",$I784="—"),1,0)</f>
        <v>0</v>
      </c>
      <c r="W784" s="10" t="n">
        <f aca="false">IF(AND(ISNUMBER($D784),ISNUMBER($E784)),IF($E784&gt;$D784,1,0),0)+IF(AND(ISNUMBER($D784),ISNUMBER($F784)),IF($D784&gt;$F784,1,0),0)+IF(AND(ISNUMBER($E784),ISNUMBER($F784)),IF($E784&gt;$F784,1,0),0)</f>
        <v>0</v>
      </c>
      <c r="X784" s="13" t="s">
        <v>76</v>
      </c>
    </row>
    <row r="785" customFormat="false" ht="15" hidden="false" customHeight="false" outlineLevel="0" collapsed="false">
      <c r="A785" s="10" t="s">
        <v>3409</v>
      </c>
      <c r="B785" s="10" t="s">
        <v>3410</v>
      </c>
      <c r="C785" s="11" t="s">
        <v>3411</v>
      </c>
      <c r="D785" s="12" t="n">
        <v>40</v>
      </c>
      <c r="E785" s="12" t="n">
        <v>0</v>
      </c>
      <c r="F785" s="12" t="n">
        <v>40</v>
      </c>
      <c r="G785" s="11" t="s">
        <v>3412</v>
      </c>
      <c r="H785" s="10" t="s">
        <v>2958</v>
      </c>
      <c r="I785" s="11" t="s">
        <v>3296</v>
      </c>
      <c r="J785" s="10" t="s">
        <v>66</v>
      </c>
      <c r="K785" s="10" t="s">
        <v>67</v>
      </c>
      <c r="L785" s="10" t="s">
        <v>68</v>
      </c>
      <c r="M785" s="10" t="s">
        <v>69</v>
      </c>
      <c r="N785" s="10"/>
      <c r="O785" s="11" t="s">
        <v>2851</v>
      </c>
      <c r="P785" s="10" t="s">
        <v>71</v>
      </c>
      <c r="Q785" s="11" t="s">
        <v>72</v>
      </c>
      <c r="R785" s="11" t="s">
        <v>73</v>
      </c>
      <c r="S785" s="11" t="s">
        <v>74</v>
      </c>
      <c r="T785" s="11" t="s">
        <v>3413</v>
      </c>
      <c r="U785" s="10" t="n">
        <f aca="false">IF(AND($D785="",$E785="",$F785=""),1,0)</f>
        <v>0</v>
      </c>
      <c r="V785" s="10" t="n">
        <f aca="false">IF(OR($I785="",$I785="—"),1,0)</f>
        <v>0</v>
      </c>
      <c r="W785" s="10" t="n">
        <f aca="false">IF(AND(ISNUMBER($D785),ISNUMBER($E785)),IF($E785&gt;$D785,1,0),0)+IF(AND(ISNUMBER($D785),ISNUMBER($F785)),IF($D785&gt;$F785,1,0),0)+IF(AND(ISNUMBER($E785),ISNUMBER($F785)),IF($E785&gt;$F785,1,0),0)</f>
        <v>0</v>
      </c>
      <c r="X785" s="13" t="s">
        <v>76</v>
      </c>
    </row>
    <row r="786" customFormat="false" ht="15" hidden="false" customHeight="false" outlineLevel="0" collapsed="false">
      <c r="A786" s="10" t="s">
        <v>3414</v>
      </c>
      <c r="B786" s="10" t="s">
        <v>3415</v>
      </c>
      <c r="C786" s="11" t="s">
        <v>3416</v>
      </c>
      <c r="D786" s="12" t="n">
        <v>3.7983</v>
      </c>
      <c r="E786" s="12"/>
      <c r="F786" s="12"/>
      <c r="G786" s="10" t="s">
        <v>63</v>
      </c>
      <c r="H786" s="10" t="s">
        <v>83</v>
      </c>
      <c r="I786" s="11" t="s">
        <v>3313</v>
      </c>
      <c r="J786" s="10" t="s">
        <v>66</v>
      </c>
      <c r="K786" s="10" t="s">
        <v>67</v>
      </c>
      <c r="L786" s="10" t="s">
        <v>68</v>
      </c>
      <c r="M786" s="10" t="s">
        <v>69</v>
      </c>
      <c r="N786" s="10"/>
      <c r="O786" s="11" t="s">
        <v>2851</v>
      </c>
      <c r="P786" s="10" t="s">
        <v>71</v>
      </c>
      <c r="Q786" s="11" t="s">
        <v>72</v>
      </c>
      <c r="R786" s="11" t="s">
        <v>73</v>
      </c>
      <c r="S786" s="11" t="s">
        <v>74</v>
      </c>
      <c r="T786" s="10" t="s">
        <v>3417</v>
      </c>
      <c r="U786" s="10" t="n">
        <f aca="false">IF(AND($D786="",$E786="",$F786=""),1,0)</f>
        <v>0</v>
      </c>
      <c r="V786" s="10" t="n">
        <f aca="false">IF(OR($I786="",$I786="—"),1,0)</f>
        <v>0</v>
      </c>
      <c r="W786" s="10" t="n">
        <f aca="false">IF(AND(ISNUMBER($D786),ISNUMBER($E786)),IF($E786&gt;$D786,1,0),0)+IF(AND(ISNUMBER($D786),ISNUMBER($F786)),IF($D786&gt;$F786,1,0),0)+IF(AND(ISNUMBER($E786),ISNUMBER($F786)),IF($E786&gt;$F786,1,0),0)</f>
        <v>0</v>
      </c>
      <c r="X786" s="13" t="s">
        <v>76</v>
      </c>
    </row>
    <row r="787" customFormat="false" ht="15" hidden="false" customHeight="false" outlineLevel="0" collapsed="false">
      <c r="A787" s="10" t="s">
        <v>3418</v>
      </c>
      <c r="B787" s="10" t="s">
        <v>3419</v>
      </c>
      <c r="C787" s="11" t="s">
        <v>3420</v>
      </c>
      <c r="D787" s="12" t="n">
        <v>3.9477</v>
      </c>
      <c r="E787" s="12"/>
      <c r="F787" s="12"/>
      <c r="G787" s="10" t="s">
        <v>63</v>
      </c>
      <c r="H787" s="10" t="s">
        <v>83</v>
      </c>
      <c r="I787" s="11" t="s">
        <v>3421</v>
      </c>
      <c r="J787" s="10" t="s">
        <v>66</v>
      </c>
      <c r="K787" s="10" t="s">
        <v>67</v>
      </c>
      <c r="L787" s="10" t="s">
        <v>68</v>
      </c>
      <c r="M787" s="10" t="s">
        <v>69</v>
      </c>
      <c r="N787" s="10"/>
      <c r="O787" s="11" t="s">
        <v>3422</v>
      </c>
      <c r="P787" s="10" t="s">
        <v>71</v>
      </c>
      <c r="Q787" s="11" t="s">
        <v>72</v>
      </c>
      <c r="R787" s="11" t="s">
        <v>73</v>
      </c>
      <c r="S787" s="11" t="s">
        <v>74</v>
      </c>
      <c r="T787" s="11" t="s">
        <v>3423</v>
      </c>
      <c r="U787" s="10" t="n">
        <f aca="false">IF(AND($D787="",$E787="",$F787=""),1,0)</f>
        <v>0</v>
      </c>
      <c r="V787" s="10" t="n">
        <f aca="false">IF(OR($I787="",$I787="—"),1,0)</f>
        <v>0</v>
      </c>
      <c r="W787" s="10" t="n">
        <f aca="false">IF(AND(ISNUMBER($D787),ISNUMBER($E787)),IF($E787&gt;$D787,1,0),0)+IF(AND(ISNUMBER($D787),ISNUMBER($F787)),IF($D787&gt;$F787,1,0),0)+IF(AND(ISNUMBER($E787),ISNUMBER($F787)),IF($E787&gt;$F787,1,0),0)</f>
        <v>0</v>
      </c>
      <c r="X787" s="13" t="s">
        <v>76</v>
      </c>
    </row>
    <row r="788" customFormat="false" ht="15" hidden="false" customHeight="false" outlineLevel="0" collapsed="false">
      <c r="A788" s="10" t="s">
        <v>3424</v>
      </c>
      <c r="B788" s="10" t="s">
        <v>3425</v>
      </c>
      <c r="C788" s="11" t="s">
        <v>3426</v>
      </c>
      <c r="D788" s="12" t="n">
        <v>0.945</v>
      </c>
      <c r="E788" s="12"/>
      <c r="F788" s="12"/>
      <c r="G788" s="10" t="s">
        <v>63</v>
      </c>
      <c r="H788" s="10" t="s">
        <v>92</v>
      </c>
      <c r="I788" s="11" t="s">
        <v>3427</v>
      </c>
      <c r="J788" s="10" t="s">
        <v>66</v>
      </c>
      <c r="K788" s="10" t="s">
        <v>67</v>
      </c>
      <c r="L788" s="10" t="s">
        <v>68</v>
      </c>
      <c r="M788" s="10" t="s">
        <v>69</v>
      </c>
      <c r="N788" s="10"/>
      <c r="O788" s="11" t="s">
        <v>3428</v>
      </c>
      <c r="P788" s="10" t="s">
        <v>71</v>
      </c>
      <c r="Q788" s="11" t="s">
        <v>72</v>
      </c>
      <c r="R788" s="11" t="s">
        <v>73</v>
      </c>
      <c r="S788" s="11" t="s">
        <v>74</v>
      </c>
      <c r="T788" s="11" t="s">
        <v>3429</v>
      </c>
      <c r="U788" s="10" t="n">
        <f aca="false">IF(AND($D788="",$E788="",$F788=""),1,0)</f>
        <v>0</v>
      </c>
      <c r="V788" s="10" t="n">
        <f aca="false">IF(OR($I788="",$I788="—"),1,0)</f>
        <v>0</v>
      </c>
      <c r="W788" s="10" t="n">
        <f aca="false">IF(AND(ISNUMBER($D788),ISNUMBER($E788)),IF($E788&gt;$D788,1,0),0)+IF(AND(ISNUMBER($D788),ISNUMBER($F788)),IF($D788&gt;$F788,1,0),0)+IF(AND(ISNUMBER($E788),ISNUMBER($F788)),IF($E788&gt;$F788,1,0),0)</f>
        <v>0</v>
      </c>
      <c r="X788" s="13" t="s">
        <v>76</v>
      </c>
    </row>
    <row r="789" customFormat="false" ht="15" hidden="false" customHeight="false" outlineLevel="0" collapsed="false">
      <c r="A789" s="10" t="s">
        <v>3430</v>
      </c>
      <c r="B789" s="10" t="s">
        <v>3431</v>
      </c>
      <c r="C789" s="11" t="s">
        <v>3432</v>
      </c>
      <c r="D789" s="12" t="n">
        <v>0.242</v>
      </c>
      <c r="E789" s="12"/>
      <c r="F789" s="12"/>
      <c r="G789" s="10" t="s">
        <v>3433</v>
      </c>
      <c r="H789" s="10" t="s">
        <v>3434</v>
      </c>
      <c r="I789" s="11" t="s">
        <v>3421</v>
      </c>
      <c r="J789" s="10" t="s">
        <v>66</v>
      </c>
      <c r="K789" s="10" t="s">
        <v>67</v>
      </c>
      <c r="L789" s="10" t="s">
        <v>68</v>
      </c>
      <c r="M789" s="10" t="s">
        <v>69</v>
      </c>
      <c r="N789" s="10"/>
      <c r="O789" s="11" t="s">
        <v>3422</v>
      </c>
      <c r="P789" s="10" t="s">
        <v>71</v>
      </c>
      <c r="Q789" s="11" t="s">
        <v>72</v>
      </c>
      <c r="R789" s="11" t="s">
        <v>73</v>
      </c>
      <c r="S789" s="11" t="s">
        <v>74</v>
      </c>
      <c r="T789" s="11" t="s">
        <v>3435</v>
      </c>
      <c r="U789" s="10" t="n">
        <f aca="false">IF(AND($D789="",$E789="",$F789=""),1,0)</f>
        <v>0</v>
      </c>
      <c r="V789" s="10" t="n">
        <f aca="false">IF(OR($I789="",$I789="—"),1,0)</f>
        <v>0</v>
      </c>
      <c r="W789" s="10" t="n">
        <f aca="false">IF(AND(ISNUMBER($D789),ISNUMBER($E789)),IF($E789&gt;$D789,1,0),0)+IF(AND(ISNUMBER($D789),ISNUMBER($F789)),IF($D789&gt;$F789,1,0),0)+IF(AND(ISNUMBER($E789),ISNUMBER($F789)),IF($E789&gt;$F789,1,0),0)</f>
        <v>0</v>
      </c>
      <c r="X789" s="13" t="s">
        <v>76</v>
      </c>
    </row>
    <row r="790" customFormat="false" ht="15" hidden="false" customHeight="false" outlineLevel="0" collapsed="false">
      <c r="A790" s="10" t="s">
        <v>3436</v>
      </c>
      <c r="B790" s="10" t="s">
        <v>3437</v>
      </c>
      <c r="C790" s="11" t="s">
        <v>3438</v>
      </c>
      <c r="D790" s="12" t="n">
        <v>0.247</v>
      </c>
      <c r="E790" s="12"/>
      <c r="F790" s="12"/>
      <c r="G790" s="10" t="s">
        <v>63</v>
      </c>
      <c r="H790" s="10" t="s">
        <v>3434</v>
      </c>
      <c r="I790" s="11" t="s">
        <v>3421</v>
      </c>
      <c r="J790" s="10" t="s">
        <v>66</v>
      </c>
      <c r="K790" s="10" t="s">
        <v>67</v>
      </c>
      <c r="L790" s="10" t="s">
        <v>68</v>
      </c>
      <c r="M790" s="10" t="s">
        <v>69</v>
      </c>
      <c r="N790" s="10"/>
      <c r="O790" s="11" t="s">
        <v>3422</v>
      </c>
      <c r="P790" s="10" t="s">
        <v>71</v>
      </c>
      <c r="Q790" s="11" t="s">
        <v>72</v>
      </c>
      <c r="R790" s="11" t="s">
        <v>73</v>
      </c>
      <c r="S790" s="11" t="s">
        <v>74</v>
      </c>
      <c r="T790" s="11" t="s">
        <v>3439</v>
      </c>
      <c r="U790" s="10" t="n">
        <f aca="false">IF(AND($D790="",$E790="",$F790=""),1,0)</f>
        <v>0</v>
      </c>
      <c r="V790" s="10" t="n">
        <f aca="false">IF(OR($I790="",$I790="—"),1,0)</f>
        <v>0</v>
      </c>
      <c r="W790" s="10" t="n">
        <f aca="false">IF(AND(ISNUMBER($D790),ISNUMBER($E790)),IF($E790&gt;$D790,1,0),0)+IF(AND(ISNUMBER($D790),ISNUMBER($F790)),IF($D790&gt;$F790,1,0),0)+IF(AND(ISNUMBER($E790),ISNUMBER($F790)),IF($E790&gt;$F790,1,0),0)</f>
        <v>0</v>
      </c>
      <c r="X790" s="13" t="s">
        <v>76</v>
      </c>
    </row>
    <row r="791" customFormat="false" ht="15" hidden="false" customHeight="false" outlineLevel="0" collapsed="false">
      <c r="A791" s="10" t="s">
        <v>3440</v>
      </c>
      <c r="B791" s="10" t="s">
        <v>3441</v>
      </c>
      <c r="C791" s="11" t="s">
        <v>3442</v>
      </c>
      <c r="D791" s="12" t="n">
        <v>0.1163</v>
      </c>
      <c r="E791" s="12"/>
      <c r="F791" s="12"/>
      <c r="G791" s="10" t="s">
        <v>63</v>
      </c>
      <c r="H791" s="10" t="s">
        <v>3443</v>
      </c>
      <c r="I791" s="11" t="s">
        <v>3444</v>
      </c>
      <c r="J791" s="10" t="s">
        <v>66</v>
      </c>
      <c r="K791" s="10" t="s">
        <v>67</v>
      </c>
      <c r="L791" s="10" t="s">
        <v>68</v>
      </c>
      <c r="M791" s="10" t="s">
        <v>69</v>
      </c>
      <c r="N791" s="10"/>
      <c r="O791" s="11" t="s">
        <v>3422</v>
      </c>
      <c r="P791" s="10" t="s">
        <v>71</v>
      </c>
      <c r="Q791" s="11" t="s">
        <v>72</v>
      </c>
      <c r="R791" s="11" t="s">
        <v>73</v>
      </c>
      <c r="S791" s="11" t="s">
        <v>74</v>
      </c>
      <c r="T791" s="11" t="s">
        <v>3445</v>
      </c>
      <c r="U791" s="10" t="n">
        <f aca="false">IF(AND($D791="",$E791="",$F791=""),1,0)</f>
        <v>0</v>
      </c>
      <c r="V791" s="10" t="n">
        <f aca="false">IF(OR($I791="",$I791="—"),1,0)</f>
        <v>0</v>
      </c>
      <c r="W791" s="10" t="n">
        <f aca="false">IF(AND(ISNUMBER($D791),ISNUMBER($E791)),IF($E791&gt;$D791,1,0),0)+IF(AND(ISNUMBER($D791),ISNUMBER($F791)),IF($D791&gt;$F791,1,0),0)+IF(AND(ISNUMBER($E791),ISNUMBER($F791)),IF($E791&gt;$F791,1,0),0)</f>
        <v>0</v>
      </c>
      <c r="X791" s="13" t="s">
        <v>76</v>
      </c>
    </row>
    <row r="792" customFormat="false" ht="15" hidden="false" customHeight="false" outlineLevel="0" collapsed="false">
      <c r="A792" s="10" t="s">
        <v>3446</v>
      </c>
      <c r="B792" s="10" t="s">
        <v>3447</v>
      </c>
      <c r="C792" s="11" t="s">
        <v>3442</v>
      </c>
      <c r="D792" s="12" t="n">
        <v>0.883</v>
      </c>
      <c r="E792" s="12"/>
      <c r="F792" s="12"/>
      <c r="G792" s="10" t="s">
        <v>63</v>
      </c>
      <c r="H792" s="10" t="s">
        <v>3448</v>
      </c>
      <c r="I792" s="11" t="s">
        <v>3444</v>
      </c>
      <c r="J792" s="10" t="s">
        <v>66</v>
      </c>
      <c r="K792" s="10" t="s">
        <v>67</v>
      </c>
      <c r="L792" s="10" t="s">
        <v>68</v>
      </c>
      <c r="M792" s="10" t="s">
        <v>69</v>
      </c>
      <c r="N792" s="10"/>
      <c r="O792" s="11" t="s">
        <v>3422</v>
      </c>
      <c r="P792" s="10" t="s">
        <v>71</v>
      </c>
      <c r="Q792" s="11" t="s">
        <v>72</v>
      </c>
      <c r="R792" s="11" t="s">
        <v>73</v>
      </c>
      <c r="S792" s="11" t="s">
        <v>74</v>
      </c>
      <c r="T792" s="11" t="s">
        <v>3449</v>
      </c>
      <c r="U792" s="10" t="n">
        <f aca="false">IF(AND($D792="",$E792="",$F792=""),1,0)</f>
        <v>0</v>
      </c>
      <c r="V792" s="10" t="n">
        <f aca="false">IF(OR($I792="",$I792="—"),1,0)</f>
        <v>0</v>
      </c>
      <c r="W792" s="10" t="n">
        <f aca="false">IF(AND(ISNUMBER($D792),ISNUMBER($E792)),IF($E792&gt;$D792,1,0),0)+IF(AND(ISNUMBER($D792),ISNUMBER($F792)),IF($D792&gt;$F792,1,0),0)+IF(AND(ISNUMBER($E792),ISNUMBER($F792)),IF($E792&gt;$F792,1,0),0)</f>
        <v>0</v>
      </c>
      <c r="X792" s="13" t="s">
        <v>76</v>
      </c>
    </row>
    <row r="793" customFormat="false" ht="15" hidden="false" customHeight="false" outlineLevel="0" collapsed="false">
      <c r="A793" s="10" t="s">
        <v>3450</v>
      </c>
      <c r="B793" s="10" t="s">
        <v>3451</v>
      </c>
      <c r="C793" s="11" t="s">
        <v>3442</v>
      </c>
      <c r="D793" s="12" t="n">
        <v>1.6689</v>
      </c>
      <c r="E793" s="12"/>
      <c r="F793" s="12"/>
      <c r="G793" s="10" t="s">
        <v>63</v>
      </c>
      <c r="H793" s="10" t="s">
        <v>3452</v>
      </c>
      <c r="I793" s="11" t="s">
        <v>3444</v>
      </c>
      <c r="J793" s="10" t="s">
        <v>66</v>
      </c>
      <c r="K793" s="10" t="s">
        <v>67</v>
      </c>
      <c r="L793" s="10" t="s">
        <v>68</v>
      </c>
      <c r="M793" s="10" t="s">
        <v>69</v>
      </c>
      <c r="N793" s="10"/>
      <c r="O793" s="11" t="s">
        <v>3422</v>
      </c>
      <c r="P793" s="10" t="s">
        <v>71</v>
      </c>
      <c r="Q793" s="11" t="s">
        <v>72</v>
      </c>
      <c r="R793" s="11" t="s">
        <v>73</v>
      </c>
      <c r="S793" s="11" t="s">
        <v>74</v>
      </c>
      <c r="T793" s="11" t="s">
        <v>3453</v>
      </c>
      <c r="U793" s="10" t="n">
        <f aca="false">IF(AND($D793="",$E793="",$F793=""),1,0)</f>
        <v>0</v>
      </c>
      <c r="V793" s="10" t="n">
        <f aca="false">IF(OR($I793="",$I793="—"),1,0)</f>
        <v>0</v>
      </c>
      <c r="W793" s="10" t="n">
        <f aca="false">IF(AND(ISNUMBER($D793),ISNUMBER($E793)),IF($E793&gt;$D793,1,0),0)+IF(AND(ISNUMBER($D793),ISNUMBER($F793)),IF($D793&gt;$F793,1,0),0)+IF(AND(ISNUMBER($E793),ISNUMBER($F793)),IF($E793&gt;$F793,1,0),0)</f>
        <v>0</v>
      </c>
      <c r="X793" s="13" t="s">
        <v>76</v>
      </c>
    </row>
    <row r="794" customFormat="false" ht="15" hidden="false" customHeight="false" outlineLevel="0" collapsed="false">
      <c r="A794" s="10" t="s">
        <v>3454</v>
      </c>
      <c r="B794" s="10" t="s">
        <v>3455</v>
      </c>
      <c r="C794" s="11" t="s">
        <v>3442</v>
      </c>
      <c r="D794" s="12" t="n">
        <v>1.3403</v>
      </c>
      <c r="E794" s="12"/>
      <c r="F794" s="12"/>
      <c r="G794" s="10" t="s">
        <v>63</v>
      </c>
      <c r="H794" s="10" t="s">
        <v>440</v>
      </c>
      <c r="I794" s="11" t="s">
        <v>3444</v>
      </c>
      <c r="J794" s="10" t="s">
        <v>66</v>
      </c>
      <c r="K794" s="10" t="s">
        <v>67</v>
      </c>
      <c r="L794" s="10" t="s">
        <v>68</v>
      </c>
      <c r="M794" s="10" t="s">
        <v>69</v>
      </c>
      <c r="N794" s="10"/>
      <c r="O794" s="11" t="s">
        <v>3428</v>
      </c>
      <c r="P794" s="10" t="s">
        <v>71</v>
      </c>
      <c r="Q794" s="11" t="s">
        <v>72</v>
      </c>
      <c r="R794" s="11" t="s">
        <v>73</v>
      </c>
      <c r="S794" s="11" t="s">
        <v>74</v>
      </c>
      <c r="T794" s="11" t="s">
        <v>3456</v>
      </c>
      <c r="U794" s="10" t="n">
        <f aca="false">IF(AND($D794="",$E794="",$F794=""),1,0)</f>
        <v>0</v>
      </c>
      <c r="V794" s="10" t="n">
        <f aca="false">IF(OR($I794="",$I794="—"),1,0)</f>
        <v>0</v>
      </c>
      <c r="W794" s="10" t="n">
        <f aca="false">IF(AND(ISNUMBER($D794),ISNUMBER($E794)),IF($E794&gt;$D794,1,0),0)+IF(AND(ISNUMBER($D794),ISNUMBER($F794)),IF($D794&gt;$F794,1,0),0)+IF(AND(ISNUMBER($E794),ISNUMBER($F794)),IF($E794&gt;$F794,1,0),0)</f>
        <v>0</v>
      </c>
      <c r="X794" s="13" t="s">
        <v>76</v>
      </c>
    </row>
    <row r="795" customFormat="false" ht="15" hidden="false" customHeight="false" outlineLevel="0" collapsed="false">
      <c r="A795" s="10" t="s">
        <v>3457</v>
      </c>
      <c r="B795" s="10" t="s">
        <v>3458</v>
      </c>
      <c r="C795" s="11" t="s">
        <v>3459</v>
      </c>
      <c r="D795" s="12" t="n">
        <v>0.1163</v>
      </c>
      <c r="E795" s="12"/>
      <c r="F795" s="12"/>
      <c r="G795" s="10" t="s">
        <v>63</v>
      </c>
      <c r="H795" s="10" t="s">
        <v>3443</v>
      </c>
      <c r="I795" s="11" t="s">
        <v>3460</v>
      </c>
      <c r="J795" s="10" t="s">
        <v>66</v>
      </c>
      <c r="K795" s="10" t="s">
        <v>67</v>
      </c>
      <c r="L795" s="10" t="s">
        <v>68</v>
      </c>
      <c r="M795" s="10" t="s">
        <v>69</v>
      </c>
      <c r="N795" s="10"/>
      <c r="O795" s="11" t="s">
        <v>3422</v>
      </c>
      <c r="P795" s="10" t="s">
        <v>71</v>
      </c>
      <c r="Q795" s="11" t="s">
        <v>72</v>
      </c>
      <c r="R795" s="11" t="s">
        <v>73</v>
      </c>
      <c r="S795" s="11" t="s">
        <v>74</v>
      </c>
      <c r="T795" s="11" t="s">
        <v>3461</v>
      </c>
      <c r="U795" s="10" t="n">
        <f aca="false">IF(AND($D795="",$E795="",$F795=""),1,0)</f>
        <v>0</v>
      </c>
      <c r="V795" s="10" t="n">
        <f aca="false">IF(OR($I795="",$I795="—"),1,0)</f>
        <v>0</v>
      </c>
      <c r="W795" s="10" t="n">
        <f aca="false">IF(AND(ISNUMBER($D795),ISNUMBER($E795)),IF($E795&gt;$D795,1,0),0)+IF(AND(ISNUMBER($D795),ISNUMBER($F795)),IF($D795&gt;$F795,1,0),0)+IF(AND(ISNUMBER($E795),ISNUMBER($F795)),IF($E795&gt;$F795,1,0),0)</f>
        <v>0</v>
      </c>
      <c r="X795" s="13" t="s">
        <v>76</v>
      </c>
    </row>
    <row r="796" customFormat="false" ht="15" hidden="false" customHeight="false" outlineLevel="0" collapsed="false">
      <c r="A796" s="10" t="s">
        <v>3462</v>
      </c>
      <c r="B796" s="10" t="s">
        <v>3463</v>
      </c>
      <c r="C796" s="11" t="s">
        <v>3459</v>
      </c>
      <c r="D796" s="12" t="n">
        <v>0.883</v>
      </c>
      <c r="E796" s="12"/>
      <c r="F796" s="12"/>
      <c r="G796" s="10" t="s">
        <v>63</v>
      </c>
      <c r="H796" s="10" t="s">
        <v>3448</v>
      </c>
      <c r="I796" s="11" t="s">
        <v>3460</v>
      </c>
      <c r="J796" s="10" t="s">
        <v>66</v>
      </c>
      <c r="K796" s="10" t="s">
        <v>67</v>
      </c>
      <c r="L796" s="10" t="s">
        <v>68</v>
      </c>
      <c r="M796" s="10" t="s">
        <v>69</v>
      </c>
      <c r="N796" s="10"/>
      <c r="O796" s="11" t="s">
        <v>3422</v>
      </c>
      <c r="P796" s="10" t="s">
        <v>71</v>
      </c>
      <c r="Q796" s="11" t="s">
        <v>72</v>
      </c>
      <c r="R796" s="11" t="s">
        <v>73</v>
      </c>
      <c r="S796" s="11" t="s">
        <v>74</v>
      </c>
      <c r="T796" s="11" t="s">
        <v>3464</v>
      </c>
      <c r="U796" s="10" t="n">
        <f aca="false">IF(AND($D796="",$E796="",$F796=""),1,0)</f>
        <v>0</v>
      </c>
      <c r="V796" s="10" t="n">
        <f aca="false">IF(OR($I796="",$I796="—"),1,0)</f>
        <v>0</v>
      </c>
      <c r="W796" s="10" t="n">
        <f aca="false">IF(AND(ISNUMBER($D796),ISNUMBER($E796)),IF($E796&gt;$D796,1,0),0)+IF(AND(ISNUMBER($D796),ISNUMBER($F796)),IF($D796&gt;$F796,1,0),0)+IF(AND(ISNUMBER($E796),ISNUMBER($F796)),IF($E796&gt;$F796,1,0),0)</f>
        <v>0</v>
      </c>
      <c r="X796" s="13" t="s">
        <v>76</v>
      </c>
    </row>
    <row r="797" customFormat="false" ht="15" hidden="false" customHeight="false" outlineLevel="0" collapsed="false">
      <c r="A797" s="10" t="s">
        <v>3465</v>
      </c>
      <c r="B797" s="10" t="s">
        <v>3466</v>
      </c>
      <c r="C797" s="11" t="s">
        <v>3459</v>
      </c>
      <c r="D797" s="12" t="n">
        <v>1.2737</v>
      </c>
      <c r="E797" s="12"/>
      <c r="F797" s="12"/>
      <c r="G797" s="10" t="s">
        <v>63</v>
      </c>
      <c r="H797" s="10" t="s">
        <v>3452</v>
      </c>
      <c r="I797" s="11" t="s">
        <v>3460</v>
      </c>
      <c r="J797" s="10" t="s">
        <v>66</v>
      </c>
      <c r="K797" s="10" t="s">
        <v>67</v>
      </c>
      <c r="L797" s="10" t="s">
        <v>68</v>
      </c>
      <c r="M797" s="10" t="s">
        <v>69</v>
      </c>
      <c r="N797" s="10"/>
      <c r="O797" s="11" t="s">
        <v>3422</v>
      </c>
      <c r="P797" s="10" t="s">
        <v>71</v>
      </c>
      <c r="Q797" s="11" t="s">
        <v>72</v>
      </c>
      <c r="R797" s="11" t="s">
        <v>73</v>
      </c>
      <c r="S797" s="11" t="s">
        <v>74</v>
      </c>
      <c r="T797" s="11" t="s">
        <v>3467</v>
      </c>
      <c r="U797" s="10" t="n">
        <f aca="false">IF(AND($D797="",$E797="",$F797=""),1,0)</f>
        <v>0</v>
      </c>
      <c r="V797" s="10" t="n">
        <f aca="false">IF(OR($I797="",$I797="—"),1,0)</f>
        <v>0</v>
      </c>
      <c r="W797" s="10" t="n">
        <f aca="false">IF(AND(ISNUMBER($D797),ISNUMBER($E797)),IF($E797&gt;$D797,1,0),0)+IF(AND(ISNUMBER($D797),ISNUMBER($F797)),IF($D797&gt;$F797,1,0),0)+IF(AND(ISNUMBER($E797),ISNUMBER($F797)),IF($E797&gt;$F797,1,0),0)</f>
        <v>0</v>
      </c>
      <c r="X797" s="13" t="s">
        <v>76</v>
      </c>
    </row>
    <row r="798" customFormat="false" ht="15" hidden="false" customHeight="false" outlineLevel="0" collapsed="false">
      <c r="A798" s="10" t="s">
        <v>3468</v>
      </c>
      <c r="B798" s="10" t="s">
        <v>3469</v>
      </c>
      <c r="C798" s="11" t="s">
        <v>3459</v>
      </c>
      <c r="D798" s="12" t="n">
        <v>0.7291</v>
      </c>
      <c r="E798" s="12"/>
      <c r="F798" s="12"/>
      <c r="G798" s="10" t="s">
        <v>63</v>
      </c>
      <c r="H798" s="10" t="s">
        <v>440</v>
      </c>
      <c r="I798" s="11" t="s">
        <v>3460</v>
      </c>
      <c r="J798" s="10" t="s">
        <v>66</v>
      </c>
      <c r="K798" s="10" t="s">
        <v>67</v>
      </c>
      <c r="L798" s="10" t="s">
        <v>68</v>
      </c>
      <c r="M798" s="10" t="s">
        <v>69</v>
      </c>
      <c r="N798" s="10"/>
      <c r="O798" s="11" t="s">
        <v>3428</v>
      </c>
      <c r="P798" s="10" t="s">
        <v>71</v>
      </c>
      <c r="Q798" s="11" t="s">
        <v>72</v>
      </c>
      <c r="R798" s="11" t="s">
        <v>73</v>
      </c>
      <c r="S798" s="11" t="s">
        <v>74</v>
      </c>
      <c r="T798" s="11" t="s">
        <v>3470</v>
      </c>
      <c r="U798" s="10" t="n">
        <f aca="false">IF(AND($D798="",$E798="",$F798=""),1,0)</f>
        <v>0</v>
      </c>
      <c r="V798" s="10" t="n">
        <f aca="false">IF(OR($I798="",$I798="—"),1,0)</f>
        <v>0</v>
      </c>
      <c r="W798" s="10" t="n">
        <f aca="false">IF(AND(ISNUMBER($D798),ISNUMBER($E798)),IF($E798&gt;$D798,1,0),0)+IF(AND(ISNUMBER($D798),ISNUMBER($F798)),IF($D798&gt;$F798,1,0),0)+IF(AND(ISNUMBER($E798),ISNUMBER($F798)),IF($E798&gt;$F798,1,0),0)</f>
        <v>0</v>
      </c>
      <c r="X798" s="13" t="s">
        <v>76</v>
      </c>
    </row>
    <row r="799" customFormat="false" ht="15" hidden="false" customHeight="false" outlineLevel="0" collapsed="false">
      <c r="A799" s="10" t="s">
        <v>3471</v>
      </c>
      <c r="B799" s="10" t="s">
        <v>3472</v>
      </c>
      <c r="C799" s="11" t="s">
        <v>3473</v>
      </c>
      <c r="D799" s="12" t="n">
        <v>0</v>
      </c>
      <c r="E799" s="12"/>
      <c r="F799" s="12"/>
      <c r="G799" s="10" t="s">
        <v>63</v>
      </c>
      <c r="H799" s="10" t="s">
        <v>3443</v>
      </c>
      <c r="I799" s="11" t="s">
        <v>3474</v>
      </c>
      <c r="J799" s="10" t="s">
        <v>66</v>
      </c>
      <c r="K799" s="10" t="s">
        <v>67</v>
      </c>
      <c r="L799" s="10" t="s">
        <v>68</v>
      </c>
      <c r="M799" s="10" t="s">
        <v>69</v>
      </c>
      <c r="N799" s="10"/>
      <c r="O799" s="11" t="s">
        <v>3422</v>
      </c>
      <c r="P799" s="10" t="s">
        <v>71</v>
      </c>
      <c r="Q799" s="11" t="s">
        <v>72</v>
      </c>
      <c r="R799" s="11" t="s">
        <v>73</v>
      </c>
      <c r="S799" s="11" t="s">
        <v>74</v>
      </c>
      <c r="T799" s="11" t="s">
        <v>3475</v>
      </c>
      <c r="U799" s="10" t="n">
        <f aca="false">IF(AND($D799="",$E799="",$F799=""),1,0)</f>
        <v>0</v>
      </c>
      <c r="V799" s="10" t="n">
        <f aca="false">IF(OR($I799="",$I799="—"),1,0)</f>
        <v>0</v>
      </c>
      <c r="W799" s="10" t="n">
        <f aca="false">IF(AND(ISNUMBER($D799),ISNUMBER($E799)),IF($E799&gt;$D799,1,0),0)+IF(AND(ISNUMBER($D799),ISNUMBER($F799)),IF($D799&gt;$F799,1,0),0)+IF(AND(ISNUMBER($E799),ISNUMBER($F799)),IF($E799&gt;$F799,1,0),0)</f>
        <v>0</v>
      </c>
      <c r="X799" s="13" t="s">
        <v>76</v>
      </c>
    </row>
    <row r="800" customFormat="false" ht="15" hidden="false" customHeight="false" outlineLevel="0" collapsed="false">
      <c r="A800" s="10" t="s">
        <v>3476</v>
      </c>
      <c r="B800" s="10" t="s">
        <v>3477</v>
      </c>
      <c r="C800" s="11" t="s">
        <v>3473</v>
      </c>
      <c r="D800" s="12" t="n">
        <v>0</v>
      </c>
      <c r="E800" s="12"/>
      <c r="F800" s="12"/>
      <c r="G800" s="10" t="s">
        <v>63</v>
      </c>
      <c r="H800" s="10" t="s">
        <v>3448</v>
      </c>
      <c r="I800" s="11" t="s">
        <v>3474</v>
      </c>
      <c r="J800" s="10" t="s">
        <v>66</v>
      </c>
      <c r="K800" s="10" t="s">
        <v>67</v>
      </c>
      <c r="L800" s="10" t="s">
        <v>68</v>
      </c>
      <c r="M800" s="10" t="s">
        <v>69</v>
      </c>
      <c r="N800" s="10"/>
      <c r="O800" s="11" t="s">
        <v>3422</v>
      </c>
      <c r="P800" s="10" t="s">
        <v>71</v>
      </c>
      <c r="Q800" s="11" t="s">
        <v>72</v>
      </c>
      <c r="R800" s="11" t="s">
        <v>73</v>
      </c>
      <c r="S800" s="11" t="s">
        <v>74</v>
      </c>
      <c r="T800" s="11" t="s">
        <v>3475</v>
      </c>
      <c r="U800" s="10" t="n">
        <f aca="false">IF(AND($D800="",$E800="",$F800=""),1,0)</f>
        <v>0</v>
      </c>
      <c r="V800" s="10" t="n">
        <f aca="false">IF(OR($I800="",$I800="—"),1,0)</f>
        <v>0</v>
      </c>
      <c r="W800" s="10" t="n">
        <f aca="false">IF(AND(ISNUMBER($D800),ISNUMBER($E800)),IF($E800&gt;$D800,1,0),0)+IF(AND(ISNUMBER($D800),ISNUMBER($F800)),IF($D800&gt;$F800,1,0),0)+IF(AND(ISNUMBER($E800),ISNUMBER($F800)),IF($E800&gt;$F800,1,0),0)</f>
        <v>0</v>
      </c>
      <c r="X800" s="13" t="s">
        <v>76</v>
      </c>
    </row>
    <row r="801" customFormat="false" ht="15" hidden="false" customHeight="false" outlineLevel="0" collapsed="false">
      <c r="A801" s="10" t="s">
        <v>3478</v>
      </c>
      <c r="B801" s="10" t="s">
        <v>3479</v>
      </c>
      <c r="C801" s="11" t="s">
        <v>3473</v>
      </c>
      <c r="D801" s="12" t="n">
        <v>0.3952</v>
      </c>
      <c r="E801" s="12"/>
      <c r="F801" s="12"/>
      <c r="G801" s="10" t="s">
        <v>63</v>
      </c>
      <c r="H801" s="10" t="s">
        <v>3452</v>
      </c>
      <c r="I801" s="11" t="s">
        <v>3474</v>
      </c>
      <c r="J801" s="10" t="s">
        <v>66</v>
      </c>
      <c r="K801" s="10" t="s">
        <v>67</v>
      </c>
      <c r="L801" s="10" t="s">
        <v>68</v>
      </c>
      <c r="M801" s="10" t="s">
        <v>69</v>
      </c>
      <c r="N801" s="10"/>
      <c r="O801" s="11" t="s">
        <v>3422</v>
      </c>
      <c r="P801" s="10" t="s">
        <v>71</v>
      </c>
      <c r="Q801" s="11" t="s">
        <v>72</v>
      </c>
      <c r="R801" s="11" t="s">
        <v>73</v>
      </c>
      <c r="S801" s="11" t="s">
        <v>74</v>
      </c>
      <c r="T801" s="11" t="s">
        <v>3480</v>
      </c>
      <c r="U801" s="10" t="n">
        <f aca="false">IF(AND($D801="",$E801="",$F801=""),1,0)</f>
        <v>0</v>
      </c>
      <c r="V801" s="10" t="n">
        <f aca="false">IF(OR($I801="",$I801="—"),1,0)</f>
        <v>0</v>
      </c>
      <c r="W801" s="10" t="n">
        <f aca="false">IF(AND(ISNUMBER($D801),ISNUMBER($E801)),IF($E801&gt;$D801,1,0),0)+IF(AND(ISNUMBER($D801),ISNUMBER($F801)),IF($D801&gt;$F801,1,0),0)+IF(AND(ISNUMBER($E801),ISNUMBER($F801)),IF($E801&gt;$F801,1,0),0)</f>
        <v>0</v>
      </c>
      <c r="X801" s="13" t="s">
        <v>76</v>
      </c>
    </row>
    <row r="802" customFormat="false" ht="15" hidden="false" customHeight="false" outlineLevel="0" collapsed="false">
      <c r="A802" s="10" t="s">
        <v>3481</v>
      </c>
      <c r="B802" s="10" t="s">
        <v>3482</v>
      </c>
      <c r="C802" s="11" t="s">
        <v>3473</v>
      </c>
      <c r="D802" s="12" t="n">
        <v>0.6112</v>
      </c>
      <c r="E802" s="12"/>
      <c r="F802" s="12"/>
      <c r="G802" s="10" t="s">
        <v>63</v>
      </c>
      <c r="H802" s="10" t="s">
        <v>440</v>
      </c>
      <c r="I802" s="11" t="s">
        <v>3474</v>
      </c>
      <c r="J802" s="10" t="s">
        <v>66</v>
      </c>
      <c r="K802" s="10" t="s">
        <v>67</v>
      </c>
      <c r="L802" s="10" t="s">
        <v>68</v>
      </c>
      <c r="M802" s="10" t="s">
        <v>69</v>
      </c>
      <c r="N802" s="10"/>
      <c r="O802" s="11" t="s">
        <v>3428</v>
      </c>
      <c r="P802" s="10" t="s">
        <v>71</v>
      </c>
      <c r="Q802" s="11" t="s">
        <v>72</v>
      </c>
      <c r="R802" s="11" t="s">
        <v>73</v>
      </c>
      <c r="S802" s="11" t="s">
        <v>74</v>
      </c>
      <c r="T802" s="11" t="s">
        <v>3483</v>
      </c>
      <c r="U802" s="10" t="n">
        <f aca="false">IF(AND($D802="",$E802="",$F802=""),1,0)</f>
        <v>0</v>
      </c>
      <c r="V802" s="10" t="n">
        <f aca="false">IF(OR($I802="",$I802="—"),1,0)</f>
        <v>0</v>
      </c>
      <c r="W802" s="10" t="n">
        <f aca="false">IF(AND(ISNUMBER($D802),ISNUMBER($E802)),IF($E802&gt;$D802,1,0),0)+IF(AND(ISNUMBER($D802),ISNUMBER($F802)),IF($D802&gt;$F802,1,0),0)+IF(AND(ISNUMBER($E802),ISNUMBER($F802)),IF($E802&gt;$F802,1,0),0)</f>
        <v>0</v>
      </c>
      <c r="X802" s="13" t="s">
        <v>76</v>
      </c>
    </row>
    <row r="803" customFormat="false" ht="15" hidden="false" customHeight="false" outlineLevel="0" collapsed="false">
      <c r="A803" s="10" t="s">
        <v>3484</v>
      </c>
      <c r="B803" s="10" t="s">
        <v>3485</v>
      </c>
      <c r="C803" s="11" t="s">
        <v>850</v>
      </c>
      <c r="D803" s="12" t="n">
        <v>0.0151</v>
      </c>
      <c r="E803" s="12"/>
      <c r="F803" s="12"/>
      <c r="G803" s="10" t="s">
        <v>63</v>
      </c>
      <c r="H803" s="10" t="s">
        <v>3443</v>
      </c>
      <c r="I803" s="11" t="s">
        <v>3486</v>
      </c>
      <c r="J803" s="10" t="s">
        <v>66</v>
      </c>
      <c r="K803" s="10" t="s">
        <v>67</v>
      </c>
      <c r="L803" s="10" t="s">
        <v>68</v>
      </c>
      <c r="M803" s="10" t="s">
        <v>69</v>
      </c>
      <c r="N803" s="10"/>
      <c r="O803" s="11" t="s">
        <v>3422</v>
      </c>
      <c r="P803" s="10" t="s">
        <v>71</v>
      </c>
      <c r="Q803" s="11" t="s">
        <v>72</v>
      </c>
      <c r="R803" s="11" t="s">
        <v>73</v>
      </c>
      <c r="S803" s="11" t="s">
        <v>74</v>
      </c>
      <c r="T803" s="11" t="s">
        <v>3487</v>
      </c>
      <c r="U803" s="10" t="n">
        <f aca="false">IF(AND($D803="",$E803="",$F803=""),1,0)</f>
        <v>0</v>
      </c>
      <c r="V803" s="10" t="n">
        <f aca="false">IF(OR($I803="",$I803="—"),1,0)</f>
        <v>0</v>
      </c>
      <c r="W803" s="10" t="n">
        <f aca="false">IF(AND(ISNUMBER($D803),ISNUMBER($E803)),IF($E803&gt;$D803,1,0),0)+IF(AND(ISNUMBER($D803),ISNUMBER($F803)),IF($D803&gt;$F803,1,0),0)+IF(AND(ISNUMBER($E803),ISNUMBER($F803)),IF($E803&gt;$F803,1,0),0)</f>
        <v>0</v>
      </c>
      <c r="X803" s="13" t="s">
        <v>76</v>
      </c>
    </row>
    <row r="804" customFormat="false" ht="15" hidden="false" customHeight="false" outlineLevel="0" collapsed="false">
      <c r="A804" s="10" t="s">
        <v>3488</v>
      </c>
      <c r="B804" s="10" t="s">
        <v>3489</v>
      </c>
      <c r="C804" s="11" t="s">
        <v>850</v>
      </c>
      <c r="D804" s="12" t="n">
        <v>1.0454</v>
      </c>
      <c r="E804" s="12"/>
      <c r="F804" s="12"/>
      <c r="G804" s="10" t="s">
        <v>63</v>
      </c>
      <c r="H804" s="10" t="s">
        <v>3448</v>
      </c>
      <c r="I804" s="11" t="s">
        <v>3486</v>
      </c>
      <c r="J804" s="10" t="s">
        <v>66</v>
      </c>
      <c r="K804" s="10" t="s">
        <v>67</v>
      </c>
      <c r="L804" s="10" t="s">
        <v>68</v>
      </c>
      <c r="M804" s="10" t="s">
        <v>69</v>
      </c>
      <c r="N804" s="10"/>
      <c r="O804" s="11" t="s">
        <v>3422</v>
      </c>
      <c r="P804" s="10" t="s">
        <v>71</v>
      </c>
      <c r="Q804" s="11" t="s">
        <v>72</v>
      </c>
      <c r="R804" s="11" t="s">
        <v>73</v>
      </c>
      <c r="S804" s="11" t="s">
        <v>74</v>
      </c>
      <c r="T804" s="11" t="s">
        <v>3490</v>
      </c>
      <c r="U804" s="10" t="n">
        <f aca="false">IF(AND($D804="",$E804="",$F804=""),1,0)</f>
        <v>0</v>
      </c>
      <c r="V804" s="10" t="n">
        <f aca="false">IF(OR($I804="",$I804="—"),1,0)</f>
        <v>0</v>
      </c>
      <c r="W804" s="10" t="n">
        <f aca="false">IF(AND(ISNUMBER($D804),ISNUMBER($E804)),IF($E804&gt;$D804,1,0),0)+IF(AND(ISNUMBER($D804),ISNUMBER($F804)),IF($D804&gt;$F804,1,0),0)+IF(AND(ISNUMBER($E804),ISNUMBER($F804)),IF($E804&gt;$F804,1,0),0)</f>
        <v>0</v>
      </c>
      <c r="X804" s="13" t="s">
        <v>76</v>
      </c>
    </row>
    <row r="805" customFormat="false" ht="15" hidden="false" customHeight="false" outlineLevel="0" collapsed="false">
      <c r="A805" s="10" t="s">
        <v>3491</v>
      </c>
      <c r="B805" s="10" t="s">
        <v>3492</v>
      </c>
      <c r="C805" s="11" t="s">
        <v>850</v>
      </c>
      <c r="D805" s="12" t="n">
        <v>2.6947</v>
      </c>
      <c r="E805" s="12"/>
      <c r="F805" s="12"/>
      <c r="G805" s="10" t="s">
        <v>63</v>
      </c>
      <c r="H805" s="10" t="s">
        <v>3452</v>
      </c>
      <c r="I805" s="11" t="s">
        <v>3486</v>
      </c>
      <c r="J805" s="10" t="s">
        <v>66</v>
      </c>
      <c r="K805" s="10" t="s">
        <v>67</v>
      </c>
      <c r="L805" s="10" t="s">
        <v>68</v>
      </c>
      <c r="M805" s="10" t="s">
        <v>69</v>
      </c>
      <c r="N805" s="10"/>
      <c r="O805" s="11" t="s">
        <v>3422</v>
      </c>
      <c r="P805" s="10" t="s">
        <v>71</v>
      </c>
      <c r="Q805" s="11" t="s">
        <v>72</v>
      </c>
      <c r="R805" s="11" t="s">
        <v>73</v>
      </c>
      <c r="S805" s="11" t="s">
        <v>74</v>
      </c>
      <c r="T805" s="11" t="s">
        <v>3493</v>
      </c>
      <c r="U805" s="10" t="n">
        <f aca="false">IF(AND($D805="",$E805="",$F805=""),1,0)</f>
        <v>0</v>
      </c>
      <c r="V805" s="10" t="n">
        <f aca="false">IF(OR($I805="",$I805="—"),1,0)</f>
        <v>0</v>
      </c>
      <c r="W805" s="10" t="n">
        <f aca="false">IF(AND(ISNUMBER($D805),ISNUMBER($E805)),IF($E805&gt;$D805,1,0),0)+IF(AND(ISNUMBER($D805),ISNUMBER($F805)),IF($D805&gt;$F805,1,0),0)+IF(AND(ISNUMBER($E805),ISNUMBER($F805)),IF($E805&gt;$F805,1,0),0)</f>
        <v>0</v>
      </c>
      <c r="X805" s="13" t="s">
        <v>76</v>
      </c>
    </row>
    <row r="806" customFormat="false" ht="15" hidden="false" customHeight="false" outlineLevel="0" collapsed="false">
      <c r="A806" s="10" t="s">
        <v>3494</v>
      </c>
      <c r="B806" s="10" t="s">
        <v>3495</v>
      </c>
      <c r="C806" s="11" t="s">
        <v>850</v>
      </c>
      <c r="D806" s="12" t="n">
        <v>4.9535</v>
      </c>
      <c r="E806" s="12"/>
      <c r="F806" s="12"/>
      <c r="G806" s="10" t="s">
        <v>63</v>
      </c>
      <c r="H806" s="10" t="s">
        <v>440</v>
      </c>
      <c r="I806" s="11" t="s">
        <v>3486</v>
      </c>
      <c r="J806" s="10" t="s">
        <v>66</v>
      </c>
      <c r="K806" s="10" t="s">
        <v>67</v>
      </c>
      <c r="L806" s="10" t="s">
        <v>68</v>
      </c>
      <c r="M806" s="10" t="s">
        <v>69</v>
      </c>
      <c r="N806" s="10"/>
      <c r="O806" s="11" t="s">
        <v>3428</v>
      </c>
      <c r="P806" s="10" t="s">
        <v>71</v>
      </c>
      <c r="Q806" s="11" t="s">
        <v>72</v>
      </c>
      <c r="R806" s="11" t="s">
        <v>73</v>
      </c>
      <c r="S806" s="11" t="s">
        <v>74</v>
      </c>
      <c r="T806" s="11" t="s">
        <v>3496</v>
      </c>
      <c r="U806" s="10" t="n">
        <f aca="false">IF(AND($D806="",$E806="",$F806=""),1,0)</f>
        <v>0</v>
      </c>
      <c r="V806" s="10" t="n">
        <f aca="false">IF(OR($I806="",$I806="—"),1,0)</f>
        <v>0</v>
      </c>
      <c r="W806" s="10" t="n">
        <f aca="false">IF(AND(ISNUMBER($D806),ISNUMBER($E806)),IF($E806&gt;$D806,1,0),0)+IF(AND(ISNUMBER($D806),ISNUMBER($F806)),IF($D806&gt;$F806,1,0),0)+IF(AND(ISNUMBER($E806),ISNUMBER($F806)),IF($E806&gt;$F806,1,0),0)</f>
        <v>0</v>
      </c>
      <c r="X806" s="13" t="s">
        <v>76</v>
      </c>
    </row>
    <row r="807" customFormat="false" ht="15" hidden="false" customHeight="false" outlineLevel="0" collapsed="false">
      <c r="A807" s="10" t="s">
        <v>3497</v>
      </c>
      <c r="B807" s="10" t="s">
        <v>3498</v>
      </c>
      <c r="C807" s="11" t="s">
        <v>3499</v>
      </c>
      <c r="D807" s="12" t="n">
        <v>0.2583</v>
      </c>
      <c r="E807" s="12"/>
      <c r="F807" s="12"/>
      <c r="G807" s="10" t="s">
        <v>63</v>
      </c>
      <c r="H807" s="10" t="s">
        <v>3443</v>
      </c>
      <c r="I807" s="11" t="s">
        <v>3500</v>
      </c>
      <c r="J807" s="10" t="s">
        <v>66</v>
      </c>
      <c r="K807" s="10" t="s">
        <v>67</v>
      </c>
      <c r="L807" s="10" t="s">
        <v>68</v>
      </c>
      <c r="M807" s="10" t="s">
        <v>69</v>
      </c>
      <c r="N807" s="10"/>
      <c r="O807" s="11" t="s">
        <v>3422</v>
      </c>
      <c r="P807" s="10" t="s">
        <v>71</v>
      </c>
      <c r="Q807" s="11" t="s">
        <v>72</v>
      </c>
      <c r="R807" s="11" t="s">
        <v>73</v>
      </c>
      <c r="S807" s="11" t="s">
        <v>74</v>
      </c>
      <c r="T807" s="11" t="s">
        <v>3501</v>
      </c>
      <c r="U807" s="10" t="n">
        <f aca="false">IF(AND($D807="",$E807="",$F807=""),1,0)</f>
        <v>0</v>
      </c>
      <c r="V807" s="10" t="n">
        <f aca="false">IF(OR($I807="",$I807="—"),1,0)</f>
        <v>0</v>
      </c>
      <c r="W807" s="10" t="n">
        <f aca="false">IF(AND(ISNUMBER($D807),ISNUMBER($E807)),IF($E807&gt;$D807,1,0),0)+IF(AND(ISNUMBER($D807),ISNUMBER($F807)),IF($D807&gt;$F807,1,0),0)+IF(AND(ISNUMBER($E807),ISNUMBER($F807)),IF($E807&gt;$F807,1,0),0)</f>
        <v>0</v>
      </c>
      <c r="X807" s="13" t="s">
        <v>76</v>
      </c>
    </row>
    <row r="808" customFormat="false" ht="15" hidden="false" customHeight="false" outlineLevel="0" collapsed="false">
      <c r="A808" s="10" t="s">
        <v>3502</v>
      </c>
      <c r="B808" s="10" t="s">
        <v>3503</v>
      </c>
      <c r="C808" s="11" t="s">
        <v>3499</v>
      </c>
      <c r="D808" s="12" t="n">
        <v>2.882</v>
      </c>
      <c r="E808" s="12"/>
      <c r="F808" s="12"/>
      <c r="G808" s="10" t="s">
        <v>63</v>
      </c>
      <c r="H808" s="10" t="s">
        <v>3448</v>
      </c>
      <c r="I808" s="11" t="s">
        <v>3500</v>
      </c>
      <c r="J808" s="10" t="s">
        <v>66</v>
      </c>
      <c r="K808" s="10" t="s">
        <v>67</v>
      </c>
      <c r="L808" s="10" t="s">
        <v>68</v>
      </c>
      <c r="M808" s="10" t="s">
        <v>69</v>
      </c>
      <c r="N808" s="10"/>
      <c r="O808" s="11" t="s">
        <v>3422</v>
      </c>
      <c r="P808" s="10" t="s">
        <v>71</v>
      </c>
      <c r="Q808" s="11" t="s">
        <v>72</v>
      </c>
      <c r="R808" s="11" t="s">
        <v>73</v>
      </c>
      <c r="S808" s="11" t="s">
        <v>74</v>
      </c>
      <c r="T808" s="11" t="s">
        <v>3504</v>
      </c>
      <c r="U808" s="10" t="n">
        <f aca="false">IF(AND($D808="",$E808="",$F808=""),1,0)</f>
        <v>0</v>
      </c>
      <c r="V808" s="10" t="n">
        <f aca="false">IF(OR($I808="",$I808="—"),1,0)</f>
        <v>0</v>
      </c>
      <c r="W808" s="10" t="n">
        <f aca="false">IF(AND(ISNUMBER($D808),ISNUMBER($E808)),IF($E808&gt;$D808,1,0),0)+IF(AND(ISNUMBER($D808),ISNUMBER($F808)),IF($D808&gt;$F808,1,0),0)+IF(AND(ISNUMBER($E808),ISNUMBER($F808)),IF($E808&gt;$F808,1,0),0)</f>
        <v>0</v>
      </c>
      <c r="X808" s="13" t="s">
        <v>76</v>
      </c>
    </row>
    <row r="809" customFormat="false" ht="15" hidden="false" customHeight="false" outlineLevel="0" collapsed="false">
      <c r="A809" s="10" t="s">
        <v>3505</v>
      </c>
      <c r="B809" s="10" t="s">
        <v>3506</v>
      </c>
      <c r="C809" s="11" t="s">
        <v>3499</v>
      </c>
      <c r="D809" s="12" t="n">
        <v>6.0349</v>
      </c>
      <c r="E809" s="12"/>
      <c r="F809" s="12"/>
      <c r="G809" s="10" t="s">
        <v>63</v>
      </c>
      <c r="H809" s="10" t="s">
        <v>3452</v>
      </c>
      <c r="I809" s="11" t="s">
        <v>3500</v>
      </c>
      <c r="J809" s="10" t="s">
        <v>66</v>
      </c>
      <c r="K809" s="10" t="s">
        <v>67</v>
      </c>
      <c r="L809" s="10" t="s">
        <v>68</v>
      </c>
      <c r="M809" s="10" t="s">
        <v>69</v>
      </c>
      <c r="N809" s="10"/>
      <c r="O809" s="11" t="s">
        <v>3422</v>
      </c>
      <c r="P809" s="10" t="s">
        <v>71</v>
      </c>
      <c r="Q809" s="11" t="s">
        <v>72</v>
      </c>
      <c r="R809" s="11" t="s">
        <v>73</v>
      </c>
      <c r="S809" s="11" t="s">
        <v>74</v>
      </c>
      <c r="T809" s="11" t="s">
        <v>3507</v>
      </c>
      <c r="U809" s="10" t="n">
        <f aca="false">IF(AND($D809="",$E809="",$F809=""),1,0)</f>
        <v>0</v>
      </c>
      <c r="V809" s="10" t="n">
        <f aca="false">IF(OR($I809="",$I809="—"),1,0)</f>
        <v>0</v>
      </c>
      <c r="W809" s="10" t="n">
        <f aca="false">IF(AND(ISNUMBER($D809),ISNUMBER($E809)),IF($E809&gt;$D809,1,0),0)+IF(AND(ISNUMBER($D809),ISNUMBER($F809)),IF($D809&gt;$F809,1,0),0)+IF(AND(ISNUMBER($E809),ISNUMBER($F809)),IF($E809&gt;$F809,1,0),0)</f>
        <v>0</v>
      </c>
      <c r="X809" s="13" t="s">
        <v>76</v>
      </c>
    </row>
    <row r="810" customFormat="false" ht="15" hidden="false" customHeight="false" outlineLevel="0" collapsed="false">
      <c r="A810" s="10" t="s">
        <v>3508</v>
      </c>
      <c r="B810" s="10" t="s">
        <v>3509</v>
      </c>
      <c r="C810" s="11" t="s">
        <v>3499</v>
      </c>
      <c r="D810" s="12" t="n">
        <v>8.3842</v>
      </c>
      <c r="E810" s="12"/>
      <c r="F810" s="12"/>
      <c r="G810" s="10" t="s">
        <v>63</v>
      </c>
      <c r="H810" s="10" t="s">
        <v>440</v>
      </c>
      <c r="I810" s="11" t="s">
        <v>3500</v>
      </c>
      <c r="J810" s="10" t="s">
        <v>66</v>
      </c>
      <c r="K810" s="10" t="s">
        <v>67</v>
      </c>
      <c r="L810" s="10" t="s">
        <v>68</v>
      </c>
      <c r="M810" s="10" t="s">
        <v>69</v>
      </c>
      <c r="N810" s="10"/>
      <c r="O810" s="11" t="s">
        <v>3428</v>
      </c>
      <c r="P810" s="10" t="s">
        <v>71</v>
      </c>
      <c r="Q810" s="11" t="s">
        <v>72</v>
      </c>
      <c r="R810" s="11" t="s">
        <v>73</v>
      </c>
      <c r="S810" s="11" t="s">
        <v>74</v>
      </c>
      <c r="T810" s="11" t="s">
        <v>3510</v>
      </c>
      <c r="U810" s="10" t="n">
        <f aca="false">IF(AND($D810="",$E810="",$F810=""),1,0)</f>
        <v>0</v>
      </c>
      <c r="V810" s="10" t="n">
        <f aca="false">IF(OR($I810="",$I810="—"),1,0)</f>
        <v>0</v>
      </c>
      <c r="W810" s="10" t="n">
        <f aca="false">IF(AND(ISNUMBER($D810),ISNUMBER($E810)),IF($E810&gt;$D810,1,0),0)+IF(AND(ISNUMBER($D810),ISNUMBER($F810)),IF($D810&gt;$F810,1,0),0)+IF(AND(ISNUMBER($E810),ISNUMBER($F810)),IF($E810&gt;$F810,1,0),0)</f>
        <v>0</v>
      </c>
      <c r="X810" s="13" t="s">
        <v>76</v>
      </c>
    </row>
    <row r="811" customFormat="false" ht="15" hidden="false" customHeight="false" outlineLevel="0" collapsed="false">
      <c r="A811" s="10" t="s">
        <v>3511</v>
      </c>
      <c r="B811" s="10" t="s">
        <v>3512</v>
      </c>
      <c r="C811" s="11" t="s">
        <v>3499</v>
      </c>
      <c r="D811" s="12" t="n">
        <v>12.0935</v>
      </c>
      <c r="E811" s="12"/>
      <c r="F811" s="12"/>
      <c r="G811" s="10" t="s">
        <v>63</v>
      </c>
      <c r="H811" s="10" t="s">
        <v>432</v>
      </c>
      <c r="I811" s="11" t="s">
        <v>3500</v>
      </c>
      <c r="J811" s="10" t="s">
        <v>66</v>
      </c>
      <c r="K811" s="10" t="s">
        <v>67</v>
      </c>
      <c r="L811" s="10" t="s">
        <v>68</v>
      </c>
      <c r="M811" s="10" t="s">
        <v>69</v>
      </c>
      <c r="N811" s="10"/>
      <c r="O811" s="11" t="s">
        <v>3513</v>
      </c>
      <c r="P811" s="10" t="s">
        <v>71</v>
      </c>
      <c r="Q811" s="11" t="s">
        <v>72</v>
      </c>
      <c r="R811" s="11" t="s">
        <v>73</v>
      </c>
      <c r="S811" s="11" t="s">
        <v>74</v>
      </c>
      <c r="T811" s="11" t="s">
        <v>3514</v>
      </c>
      <c r="U811" s="10" t="n">
        <f aca="false">IF(AND($D811="",$E811="",$F811=""),1,0)</f>
        <v>0</v>
      </c>
      <c r="V811" s="10" t="n">
        <f aca="false">IF(OR($I811="",$I811="—"),1,0)</f>
        <v>0</v>
      </c>
      <c r="W811" s="10" t="n">
        <f aca="false">IF(AND(ISNUMBER($D811),ISNUMBER($E811)),IF($E811&gt;$D811,1,0),0)+IF(AND(ISNUMBER($D811),ISNUMBER($F811)),IF($D811&gt;$F811,1,0),0)+IF(AND(ISNUMBER($E811),ISNUMBER($F811)),IF($E811&gt;$F811,1,0),0)</f>
        <v>0</v>
      </c>
      <c r="X811" s="13" t="s">
        <v>76</v>
      </c>
    </row>
    <row r="812" customFormat="false" ht="15" hidden="false" customHeight="false" outlineLevel="0" collapsed="false">
      <c r="A812" s="10" t="s">
        <v>3515</v>
      </c>
      <c r="B812" s="10" t="s">
        <v>3516</v>
      </c>
      <c r="C812" s="11" t="s">
        <v>3517</v>
      </c>
      <c r="D812" s="12" t="n">
        <v>0</v>
      </c>
      <c r="E812" s="12"/>
      <c r="F812" s="12"/>
      <c r="G812" s="10" t="s">
        <v>63</v>
      </c>
      <c r="H812" s="10" t="s">
        <v>3518</v>
      </c>
      <c r="I812" s="11" t="s">
        <v>3519</v>
      </c>
      <c r="J812" s="10" t="s">
        <v>66</v>
      </c>
      <c r="K812" s="10" t="s">
        <v>67</v>
      </c>
      <c r="L812" s="10" t="s">
        <v>68</v>
      </c>
      <c r="M812" s="10" t="s">
        <v>69</v>
      </c>
      <c r="N812" s="10"/>
      <c r="O812" s="11" t="s">
        <v>3422</v>
      </c>
      <c r="P812" s="10" t="s">
        <v>71</v>
      </c>
      <c r="Q812" s="11" t="s">
        <v>72</v>
      </c>
      <c r="R812" s="11" t="s">
        <v>73</v>
      </c>
      <c r="S812" s="11" t="s">
        <v>74</v>
      </c>
      <c r="T812" s="11" t="s">
        <v>3520</v>
      </c>
      <c r="U812" s="10" t="n">
        <f aca="false">IF(AND($D812="",$E812="",$F812=""),1,0)</f>
        <v>0</v>
      </c>
      <c r="V812" s="10" t="n">
        <f aca="false">IF(OR($I812="",$I812="—"),1,0)</f>
        <v>0</v>
      </c>
      <c r="W812" s="10" t="n">
        <f aca="false">IF(AND(ISNUMBER($D812),ISNUMBER($E812)),IF($E812&gt;$D812,1,0),0)+IF(AND(ISNUMBER($D812),ISNUMBER($F812)),IF($D812&gt;$F812,1,0),0)+IF(AND(ISNUMBER($E812),ISNUMBER($F812)),IF($E812&gt;$F812,1,0),0)</f>
        <v>0</v>
      </c>
      <c r="X812" s="13" t="s">
        <v>76</v>
      </c>
    </row>
    <row r="813" customFormat="false" ht="15" hidden="false" customHeight="false" outlineLevel="0" collapsed="false">
      <c r="A813" s="10" t="s">
        <v>3521</v>
      </c>
      <c r="B813" s="10" t="s">
        <v>3522</v>
      </c>
      <c r="C813" s="11" t="s">
        <v>3523</v>
      </c>
      <c r="D813" s="12" t="n">
        <v>0</v>
      </c>
      <c r="E813" s="12"/>
      <c r="F813" s="12"/>
      <c r="G813" s="10" t="s">
        <v>63</v>
      </c>
      <c r="H813" s="11" t="s">
        <v>3524</v>
      </c>
      <c r="I813" s="11" t="s">
        <v>3525</v>
      </c>
      <c r="J813" s="10" t="s">
        <v>66</v>
      </c>
      <c r="K813" s="10" t="s">
        <v>67</v>
      </c>
      <c r="L813" s="10" t="s">
        <v>68</v>
      </c>
      <c r="M813" s="10" t="s">
        <v>69</v>
      </c>
      <c r="N813" s="10"/>
      <c r="O813" s="11" t="s">
        <v>441</v>
      </c>
      <c r="P813" s="10" t="s">
        <v>71</v>
      </c>
      <c r="Q813" s="11" t="s">
        <v>72</v>
      </c>
      <c r="R813" s="11" t="s">
        <v>73</v>
      </c>
      <c r="S813" s="11" t="s">
        <v>74</v>
      </c>
      <c r="T813" s="11" t="s">
        <v>3526</v>
      </c>
      <c r="U813" s="10" t="n">
        <f aca="false">IF(AND($D813="",$E813="",$F813=""),1,0)</f>
        <v>0</v>
      </c>
      <c r="V813" s="10" t="n">
        <f aca="false">IF(OR($I813="",$I813="—"),1,0)</f>
        <v>0</v>
      </c>
      <c r="W813" s="10" t="n">
        <f aca="false">IF(AND(ISNUMBER($D813),ISNUMBER($E813)),IF($E813&gt;$D813,1,0),0)+IF(AND(ISNUMBER($D813),ISNUMBER($F813)),IF($D813&gt;$F813,1,0),0)+IF(AND(ISNUMBER($E813),ISNUMBER($F813)),IF($E813&gt;$F813,1,0),0)</f>
        <v>0</v>
      </c>
      <c r="X813" s="13" t="s">
        <v>76</v>
      </c>
    </row>
    <row r="814" customFormat="false" ht="15" hidden="false" customHeight="false" outlineLevel="0" collapsed="false">
      <c r="A814" s="10" t="s">
        <v>3527</v>
      </c>
      <c r="B814" s="10" t="s">
        <v>3528</v>
      </c>
      <c r="C814" s="11" t="s">
        <v>3529</v>
      </c>
      <c r="D814" s="12" t="n">
        <v>0</v>
      </c>
      <c r="E814" s="12"/>
      <c r="F814" s="12"/>
      <c r="G814" s="11" t="s">
        <v>3530</v>
      </c>
      <c r="H814" s="11" t="s">
        <v>1681</v>
      </c>
      <c r="I814" s="11" t="s">
        <v>3531</v>
      </c>
      <c r="J814" s="10" t="s">
        <v>66</v>
      </c>
      <c r="K814" s="10" t="s">
        <v>67</v>
      </c>
      <c r="L814" s="10" t="s">
        <v>68</v>
      </c>
      <c r="M814" s="10" t="s">
        <v>69</v>
      </c>
      <c r="N814" s="10"/>
      <c r="O814" s="11" t="s">
        <v>441</v>
      </c>
      <c r="P814" s="10" t="s">
        <v>71</v>
      </c>
      <c r="Q814" s="11" t="s">
        <v>72</v>
      </c>
      <c r="R814" s="11" t="s">
        <v>73</v>
      </c>
      <c r="S814" s="11" t="s">
        <v>74</v>
      </c>
      <c r="T814" s="11" t="s">
        <v>3532</v>
      </c>
      <c r="U814" s="10" t="n">
        <f aca="false">IF(AND($D814="",$E814="",$F814=""),1,0)</f>
        <v>0</v>
      </c>
      <c r="V814" s="10" t="n">
        <f aca="false">IF(OR($I814="",$I814="—"),1,0)</f>
        <v>0</v>
      </c>
      <c r="W814" s="10" t="n">
        <f aca="false">IF(AND(ISNUMBER($D814),ISNUMBER($E814)),IF($E814&gt;$D814,1,0),0)+IF(AND(ISNUMBER($D814),ISNUMBER($F814)),IF($D814&gt;$F814,1,0),0)+IF(AND(ISNUMBER($E814),ISNUMBER($F814)),IF($E814&gt;$F814,1,0),0)</f>
        <v>0</v>
      </c>
      <c r="X814" s="13" t="s">
        <v>76</v>
      </c>
    </row>
    <row r="815" customFormat="false" ht="15" hidden="false" customHeight="false" outlineLevel="0" collapsed="false">
      <c r="A815" s="10" t="s">
        <v>3533</v>
      </c>
      <c r="B815" s="10" t="s">
        <v>3534</v>
      </c>
      <c r="C815" s="11" t="s">
        <v>3535</v>
      </c>
      <c r="D815" s="12" t="n">
        <v>0.1283</v>
      </c>
      <c r="E815" s="12"/>
      <c r="F815" s="12"/>
      <c r="G815" s="10" t="s">
        <v>63</v>
      </c>
      <c r="H815" s="10" t="s">
        <v>3443</v>
      </c>
      <c r="I815" s="11" t="s">
        <v>3536</v>
      </c>
      <c r="J815" s="10" t="s">
        <v>66</v>
      </c>
      <c r="K815" s="10" t="s">
        <v>67</v>
      </c>
      <c r="L815" s="10" t="s">
        <v>68</v>
      </c>
      <c r="M815" s="10" t="s">
        <v>69</v>
      </c>
      <c r="N815" s="10"/>
      <c r="O815" s="11" t="s">
        <v>3422</v>
      </c>
      <c r="P815" s="10" t="s">
        <v>71</v>
      </c>
      <c r="Q815" s="11" t="s">
        <v>72</v>
      </c>
      <c r="R815" s="11" t="s">
        <v>73</v>
      </c>
      <c r="S815" s="11" t="s">
        <v>74</v>
      </c>
      <c r="T815" s="11" t="s">
        <v>3537</v>
      </c>
      <c r="U815" s="10" t="n">
        <f aca="false">IF(AND($D815="",$E815="",$F815=""),1,0)</f>
        <v>0</v>
      </c>
      <c r="V815" s="10" t="n">
        <f aca="false">IF(OR($I815="",$I815="—"),1,0)</f>
        <v>0</v>
      </c>
      <c r="W815" s="10" t="n">
        <f aca="false">IF(AND(ISNUMBER($D815),ISNUMBER($E815)),IF($E815&gt;$D815,1,0),0)+IF(AND(ISNUMBER($D815),ISNUMBER($F815)),IF($D815&gt;$F815,1,0),0)+IF(AND(ISNUMBER($E815),ISNUMBER($F815)),IF($E815&gt;$F815,1,0),0)</f>
        <v>0</v>
      </c>
      <c r="X815" s="13" t="s">
        <v>76</v>
      </c>
    </row>
    <row r="816" customFormat="false" ht="15" hidden="false" customHeight="false" outlineLevel="0" collapsed="false">
      <c r="A816" s="10" t="s">
        <v>3538</v>
      </c>
      <c r="B816" s="10" t="s">
        <v>3539</v>
      </c>
      <c r="C816" s="11" t="s">
        <v>3535</v>
      </c>
      <c r="D816" s="12" t="n">
        <v>2.7088</v>
      </c>
      <c r="E816" s="12"/>
      <c r="F816" s="12"/>
      <c r="G816" s="10" t="s">
        <v>63</v>
      </c>
      <c r="H816" s="10" t="s">
        <v>3448</v>
      </c>
      <c r="I816" s="11" t="s">
        <v>3536</v>
      </c>
      <c r="J816" s="10" t="s">
        <v>66</v>
      </c>
      <c r="K816" s="10" t="s">
        <v>67</v>
      </c>
      <c r="L816" s="10" t="s">
        <v>68</v>
      </c>
      <c r="M816" s="10" t="s">
        <v>69</v>
      </c>
      <c r="N816" s="10"/>
      <c r="O816" s="11" t="s">
        <v>3422</v>
      </c>
      <c r="P816" s="10" t="s">
        <v>71</v>
      </c>
      <c r="Q816" s="11" t="s">
        <v>72</v>
      </c>
      <c r="R816" s="11" t="s">
        <v>73</v>
      </c>
      <c r="S816" s="11" t="s">
        <v>74</v>
      </c>
      <c r="T816" s="11" t="s">
        <v>3540</v>
      </c>
      <c r="U816" s="10" t="n">
        <f aca="false">IF(AND($D816="",$E816="",$F816=""),1,0)</f>
        <v>0</v>
      </c>
      <c r="V816" s="10" t="n">
        <f aca="false">IF(OR($I816="",$I816="—"),1,0)</f>
        <v>0</v>
      </c>
      <c r="W816" s="10" t="n">
        <f aca="false">IF(AND(ISNUMBER($D816),ISNUMBER($E816)),IF($E816&gt;$D816,1,0),0)+IF(AND(ISNUMBER($D816),ISNUMBER($F816)),IF($D816&gt;$F816,1,0),0)+IF(AND(ISNUMBER($E816),ISNUMBER($F816)),IF($E816&gt;$F816,1,0),0)</f>
        <v>0</v>
      </c>
      <c r="X816" s="13" t="s">
        <v>76</v>
      </c>
    </row>
    <row r="817" customFormat="false" ht="15" hidden="false" customHeight="false" outlineLevel="0" collapsed="false">
      <c r="A817" s="10" t="s">
        <v>3541</v>
      </c>
      <c r="B817" s="10" t="s">
        <v>3542</v>
      </c>
      <c r="C817" s="11" t="s">
        <v>3535</v>
      </c>
      <c r="D817" s="12" t="n">
        <v>6.7127</v>
      </c>
      <c r="E817" s="12"/>
      <c r="F817" s="12"/>
      <c r="G817" s="10" t="s">
        <v>63</v>
      </c>
      <c r="H817" s="10" t="s">
        <v>3452</v>
      </c>
      <c r="I817" s="11" t="s">
        <v>3536</v>
      </c>
      <c r="J817" s="10" t="s">
        <v>66</v>
      </c>
      <c r="K817" s="10" t="s">
        <v>67</v>
      </c>
      <c r="L817" s="10" t="s">
        <v>68</v>
      </c>
      <c r="M817" s="10" t="s">
        <v>69</v>
      </c>
      <c r="N817" s="10"/>
      <c r="O817" s="11" t="s">
        <v>3422</v>
      </c>
      <c r="P817" s="10" t="s">
        <v>71</v>
      </c>
      <c r="Q817" s="11" t="s">
        <v>72</v>
      </c>
      <c r="R817" s="11" t="s">
        <v>73</v>
      </c>
      <c r="S817" s="11" t="s">
        <v>74</v>
      </c>
      <c r="T817" s="11" t="s">
        <v>3543</v>
      </c>
      <c r="U817" s="10" t="n">
        <f aca="false">IF(AND($D817="",$E817="",$F817=""),1,0)</f>
        <v>0</v>
      </c>
      <c r="V817" s="10" t="n">
        <f aca="false">IF(OR($I817="",$I817="—"),1,0)</f>
        <v>0</v>
      </c>
      <c r="W817" s="10" t="n">
        <f aca="false">IF(AND(ISNUMBER($D817),ISNUMBER($E817)),IF($E817&gt;$D817,1,0),0)+IF(AND(ISNUMBER($D817),ISNUMBER($F817)),IF($D817&gt;$F817,1,0),0)+IF(AND(ISNUMBER($E817),ISNUMBER($F817)),IF($E817&gt;$F817,1,0),0)</f>
        <v>0</v>
      </c>
      <c r="X817" s="13" t="s">
        <v>76</v>
      </c>
    </row>
    <row r="818" customFormat="false" ht="15" hidden="false" customHeight="false" outlineLevel="0" collapsed="false">
      <c r="A818" s="10" t="s">
        <v>3544</v>
      </c>
      <c r="B818" s="10" t="s">
        <v>3545</v>
      </c>
      <c r="C818" s="11" t="s">
        <v>3535</v>
      </c>
      <c r="D818" s="12" t="n">
        <v>5.9959</v>
      </c>
      <c r="E818" s="12"/>
      <c r="F818" s="12"/>
      <c r="G818" s="10" t="s">
        <v>63</v>
      </c>
      <c r="H818" s="10" t="s">
        <v>440</v>
      </c>
      <c r="I818" s="11" t="s">
        <v>3536</v>
      </c>
      <c r="J818" s="10" t="s">
        <v>66</v>
      </c>
      <c r="K818" s="10" t="s">
        <v>67</v>
      </c>
      <c r="L818" s="10" t="s">
        <v>68</v>
      </c>
      <c r="M818" s="10" t="s">
        <v>69</v>
      </c>
      <c r="N818" s="10"/>
      <c r="O818" s="11" t="s">
        <v>3428</v>
      </c>
      <c r="P818" s="10" t="s">
        <v>71</v>
      </c>
      <c r="Q818" s="11" t="s">
        <v>72</v>
      </c>
      <c r="R818" s="11" t="s">
        <v>73</v>
      </c>
      <c r="S818" s="11" t="s">
        <v>74</v>
      </c>
      <c r="T818" s="11" t="s">
        <v>3546</v>
      </c>
      <c r="U818" s="10" t="n">
        <f aca="false">IF(AND($D818="",$E818="",$F818=""),1,0)</f>
        <v>0</v>
      </c>
      <c r="V818" s="10" t="n">
        <f aca="false">IF(OR($I818="",$I818="—"),1,0)</f>
        <v>0</v>
      </c>
      <c r="W818" s="10" t="n">
        <f aca="false">IF(AND(ISNUMBER($D818),ISNUMBER($E818)),IF($E818&gt;$D818,1,0),0)+IF(AND(ISNUMBER($D818),ISNUMBER($F818)),IF($D818&gt;$F818,1,0),0)+IF(AND(ISNUMBER($E818),ISNUMBER($F818)),IF($E818&gt;$F818,1,0),0)</f>
        <v>0</v>
      </c>
      <c r="X818" s="13" t="s">
        <v>76</v>
      </c>
    </row>
    <row r="819" customFormat="false" ht="15" hidden="false" customHeight="false" outlineLevel="0" collapsed="false">
      <c r="A819" s="10" t="s">
        <v>3547</v>
      </c>
      <c r="B819" s="10" t="s">
        <v>3548</v>
      </c>
      <c r="C819" s="11" t="s">
        <v>3535</v>
      </c>
      <c r="D819" s="12" t="n">
        <v>5.6541</v>
      </c>
      <c r="E819" s="12"/>
      <c r="F819" s="12"/>
      <c r="G819" s="10" t="s">
        <v>63</v>
      </c>
      <c r="H819" s="10" t="s">
        <v>432</v>
      </c>
      <c r="I819" s="11" t="s">
        <v>3536</v>
      </c>
      <c r="J819" s="10" t="s">
        <v>66</v>
      </c>
      <c r="K819" s="10" t="s">
        <v>67</v>
      </c>
      <c r="L819" s="10" t="s">
        <v>68</v>
      </c>
      <c r="M819" s="10" t="s">
        <v>69</v>
      </c>
      <c r="N819" s="10"/>
      <c r="O819" s="11" t="s">
        <v>3513</v>
      </c>
      <c r="P819" s="10" t="s">
        <v>71</v>
      </c>
      <c r="Q819" s="11" t="s">
        <v>72</v>
      </c>
      <c r="R819" s="11" t="s">
        <v>73</v>
      </c>
      <c r="S819" s="11" t="s">
        <v>74</v>
      </c>
      <c r="T819" s="11" t="s">
        <v>3549</v>
      </c>
      <c r="U819" s="10" t="n">
        <f aca="false">IF(AND($D819="",$E819="",$F819=""),1,0)</f>
        <v>0</v>
      </c>
      <c r="V819" s="10" t="n">
        <f aca="false">IF(OR($I819="",$I819="—"),1,0)</f>
        <v>0</v>
      </c>
      <c r="W819" s="10" t="n">
        <f aca="false">IF(AND(ISNUMBER($D819),ISNUMBER($E819)),IF($E819&gt;$D819,1,0),0)+IF(AND(ISNUMBER($D819),ISNUMBER($F819)),IF($D819&gt;$F819,1,0),0)+IF(AND(ISNUMBER($E819),ISNUMBER($F819)),IF($E819&gt;$F819,1,0),0)</f>
        <v>0</v>
      </c>
      <c r="X819" s="13" t="s">
        <v>76</v>
      </c>
    </row>
    <row r="820" customFormat="false" ht="15" hidden="false" customHeight="false" outlineLevel="0" collapsed="false">
      <c r="A820" s="10" t="s">
        <v>3550</v>
      </c>
      <c r="B820" s="10" t="s">
        <v>3551</v>
      </c>
      <c r="C820" s="11" t="s">
        <v>3552</v>
      </c>
      <c r="D820" s="12" t="n">
        <v>0.1283</v>
      </c>
      <c r="E820" s="12"/>
      <c r="F820" s="12"/>
      <c r="G820" s="10" t="s">
        <v>63</v>
      </c>
      <c r="H820" s="10" t="s">
        <v>3443</v>
      </c>
      <c r="I820" s="11" t="s">
        <v>3553</v>
      </c>
      <c r="J820" s="10" t="s">
        <v>66</v>
      </c>
      <c r="K820" s="10" t="s">
        <v>67</v>
      </c>
      <c r="L820" s="10" t="s">
        <v>68</v>
      </c>
      <c r="M820" s="10" t="s">
        <v>69</v>
      </c>
      <c r="N820" s="10"/>
      <c r="O820" s="11" t="s">
        <v>3422</v>
      </c>
      <c r="P820" s="10" t="s">
        <v>71</v>
      </c>
      <c r="Q820" s="11" t="s">
        <v>72</v>
      </c>
      <c r="R820" s="11" t="s">
        <v>73</v>
      </c>
      <c r="S820" s="11" t="s">
        <v>74</v>
      </c>
      <c r="T820" s="11" t="s">
        <v>3554</v>
      </c>
      <c r="U820" s="10" t="n">
        <f aca="false">IF(AND($D820="",$E820="",$F820=""),1,0)</f>
        <v>0</v>
      </c>
      <c r="V820" s="10" t="n">
        <f aca="false">IF(OR($I820="",$I820="—"),1,0)</f>
        <v>0</v>
      </c>
      <c r="W820" s="10" t="n">
        <f aca="false">IF(AND(ISNUMBER($D820),ISNUMBER($E820)),IF($E820&gt;$D820,1,0),0)+IF(AND(ISNUMBER($D820),ISNUMBER($F820)),IF($D820&gt;$F820,1,0),0)+IF(AND(ISNUMBER($E820),ISNUMBER($F820)),IF($E820&gt;$F820,1,0),0)</f>
        <v>0</v>
      </c>
      <c r="X820" s="13" t="s">
        <v>76</v>
      </c>
    </row>
    <row r="821" customFormat="false" ht="15" hidden="false" customHeight="false" outlineLevel="0" collapsed="false">
      <c r="A821" s="10" t="s">
        <v>3555</v>
      </c>
      <c r="B821" s="10" t="s">
        <v>3556</v>
      </c>
      <c r="C821" s="11" t="s">
        <v>3552</v>
      </c>
      <c r="D821" s="12" t="n">
        <v>0.6676</v>
      </c>
      <c r="E821" s="12"/>
      <c r="F821" s="12"/>
      <c r="G821" s="10" t="s">
        <v>63</v>
      </c>
      <c r="H821" s="10" t="s">
        <v>3448</v>
      </c>
      <c r="I821" s="11" t="s">
        <v>3553</v>
      </c>
      <c r="J821" s="10" t="s">
        <v>66</v>
      </c>
      <c r="K821" s="10" t="s">
        <v>67</v>
      </c>
      <c r="L821" s="10" t="s">
        <v>68</v>
      </c>
      <c r="M821" s="10" t="s">
        <v>69</v>
      </c>
      <c r="N821" s="10"/>
      <c r="O821" s="11" t="s">
        <v>3422</v>
      </c>
      <c r="P821" s="10" t="s">
        <v>71</v>
      </c>
      <c r="Q821" s="11" t="s">
        <v>72</v>
      </c>
      <c r="R821" s="11" t="s">
        <v>73</v>
      </c>
      <c r="S821" s="11" t="s">
        <v>74</v>
      </c>
      <c r="T821" s="11" t="s">
        <v>3557</v>
      </c>
      <c r="U821" s="10" t="n">
        <f aca="false">IF(AND($D821="",$E821="",$F821=""),1,0)</f>
        <v>0</v>
      </c>
      <c r="V821" s="10" t="n">
        <f aca="false">IF(OR($I821="",$I821="—"),1,0)</f>
        <v>0</v>
      </c>
      <c r="W821" s="10" t="n">
        <f aca="false">IF(AND(ISNUMBER($D821),ISNUMBER($E821)),IF($E821&gt;$D821,1,0),0)+IF(AND(ISNUMBER($D821),ISNUMBER($F821)),IF($D821&gt;$F821,1,0),0)+IF(AND(ISNUMBER($E821),ISNUMBER($F821)),IF($E821&gt;$F821,1,0),0)</f>
        <v>0</v>
      </c>
      <c r="X821" s="13" t="s">
        <v>76</v>
      </c>
    </row>
    <row r="822" customFormat="false" ht="15" hidden="false" customHeight="false" outlineLevel="0" collapsed="false">
      <c r="A822" s="10" t="s">
        <v>3558</v>
      </c>
      <c r="B822" s="10" t="s">
        <v>3559</v>
      </c>
      <c r="C822" s="11" t="s">
        <v>3552</v>
      </c>
      <c r="D822" s="12" t="n">
        <v>2.1316</v>
      </c>
      <c r="E822" s="12"/>
      <c r="F822" s="12"/>
      <c r="G822" s="10" t="s">
        <v>63</v>
      </c>
      <c r="H822" s="10" t="s">
        <v>3452</v>
      </c>
      <c r="I822" s="11" t="s">
        <v>3553</v>
      </c>
      <c r="J822" s="10" t="s">
        <v>66</v>
      </c>
      <c r="K822" s="10" t="s">
        <v>67</v>
      </c>
      <c r="L822" s="10" t="s">
        <v>68</v>
      </c>
      <c r="M822" s="10" t="s">
        <v>69</v>
      </c>
      <c r="N822" s="10"/>
      <c r="O822" s="11" t="s">
        <v>3422</v>
      </c>
      <c r="P822" s="10" t="s">
        <v>71</v>
      </c>
      <c r="Q822" s="11" t="s">
        <v>72</v>
      </c>
      <c r="R822" s="11" t="s">
        <v>73</v>
      </c>
      <c r="S822" s="11" t="s">
        <v>74</v>
      </c>
      <c r="T822" s="11" t="s">
        <v>3560</v>
      </c>
      <c r="U822" s="10" t="n">
        <f aca="false">IF(AND($D822="",$E822="",$F822=""),1,0)</f>
        <v>0</v>
      </c>
      <c r="V822" s="10" t="n">
        <f aca="false">IF(OR($I822="",$I822="—"),1,0)</f>
        <v>0</v>
      </c>
      <c r="W822" s="10" t="n">
        <f aca="false">IF(AND(ISNUMBER($D822),ISNUMBER($E822)),IF($E822&gt;$D822,1,0),0)+IF(AND(ISNUMBER($D822),ISNUMBER($F822)),IF($D822&gt;$F822,1,0),0)+IF(AND(ISNUMBER($E822),ISNUMBER($F822)),IF($E822&gt;$F822,1,0),0)</f>
        <v>0</v>
      </c>
      <c r="X822" s="13" t="s">
        <v>76</v>
      </c>
    </row>
    <row r="823" customFormat="false" ht="15" hidden="false" customHeight="false" outlineLevel="0" collapsed="false">
      <c r="A823" s="10" t="s">
        <v>3561</v>
      </c>
      <c r="B823" s="10" t="s">
        <v>3562</v>
      </c>
      <c r="C823" s="11" t="s">
        <v>3552</v>
      </c>
      <c r="D823" s="12" t="n">
        <v>2.1346</v>
      </c>
      <c r="E823" s="12"/>
      <c r="F823" s="12"/>
      <c r="G823" s="10" t="s">
        <v>63</v>
      </c>
      <c r="H823" s="10" t="s">
        <v>440</v>
      </c>
      <c r="I823" s="11" t="s">
        <v>3553</v>
      </c>
      <c r="J823" s="10" t="s">
        <v>66</v>
      </c>
      <c r="K823" s="10" t="s">
        <v>67</v>
      </c>
      <c r="L823" s="10" t="s">
        <v>68</v>
      </c>
      <c r="M823" s="10" t="s">
        <v>69</v>
      </c>
      <c r="N823" s="10"/>
      <c r="O823" s="11" t="s">
        <v>3428</v>
      </c>
      <c r="P823" s="10" t="s">
        <v>71</v>
      </c>
      <c r="Q823" s="11" t="s">
        <v>72</v>
      </c>
      <c r="R823" s="11" t="s">
        <v>73</v>
      </c>
      <c r="S823" s="11" t="s">
        <v>74</v>
      </c>
      <c r="T823" s="11" t="s">
        <v>3563</v>
      </c>
      <c r="U823" s="10" t="n">
        <f aca="false">IF(AND($D823="",$E823="",$F823=""),1,0)</f>
        <v>0</v>
      </c>
      <c r="V823" s="10" t="n">
        <f aca="false">IF(OR($I823="",$I823="—"),1,0)</f>
        <v>0</v>
      </c>
      <c r="W823" s="10" t="n">
        <f aca="false">IF(AND(ISNUMBER($D823),ISNUMBER($E823)),IF($E823&gt;$D823,1,0),0)+IF(AND(ISNUMBER($D823),ISNUMBER($F823)),IF($D823&gt;$F823,1,0),0)+IF(AND(ISNUMBER($E823),ISNUMBER($F823)),IF($E823&gt;$F823,1,0),0)</f>
        <v>0</v>
      </c>
      <c r="X823" s="13" t="s">
        <v>76</v>
      </c>
    </row>
    <row r="824" customFormat="false" ht="15" hidden="false" customHeight="false" outlineLevel="0" collapsed="false">
      <c r="A824" s="10" t="s">
        <v>3564</v>
      </c>
      <c r="B824" s="10" t="s">
        <v>3565</v>
      </c>
      <c r="C824" s="11" t="s">
        <v>3566</v>
      </c>
      <c r="D824" s="12" t="n">
        <v>0</v>
      </c>
      <c r="E824" s="12"/>
      <c r="F824" s="12"/>
      <c r="G824" s="10" t="s">
        <v>63</v>
      </c>
      <c r="H824" s="10" t="s">
        <v>3443</v>
      </c>
      <c r="I824" s="11" t="s">
        <v>3553</v>
      </c>
      <c r="J824" s="10" t="s">
        <v>66</v>
      </c>
      <c r="K824" s="10" t="s">
        <v>67</v>
      </c>
      <c r="L824" s="10" t="s">
        <v>68</v>
      </c>
      <c r="M824" s="10" t="s">
        <v>69</v>
      </c>
      <c r="N824" s="10"/>
      <c r="O824" s="11" t="s">
        <v>3422</v>
      </c>
      <c r="P824" s="10" t="s">
        <v>71</v>
      </c>
      <c r="Q824" s="11" t="s">
        <v>72</v>
      </c>
      <c r="R824" s="11" t="s">
        <v>73</v>
      </c>
      <c r="S824" s="11" t="s">
        <v>74</v>
      </c>
      <c r="T824" s="11" t="s">
        <v>3567</v>
      </c>
      <c r="U824" s="10" t="n">
        <f aca="false">IF(AND($D824="",$E824="",$F824=""),1,0)</f>
        <v>0</v>
      </c>
      <c r="V824" s="10" t="n">
        <f aca="false">IF(OR($I824="",$I824="—"),1,0)</f>
        <v>0</v>
      </c>
      <c r="W824" s="10" t="n">
        <f aca="false">IF(AND(ISNUMBER($D824),ISNUMBER($E824)),IF($E824&gt;$D824,1,0),0)+IF(AND(ISNUMBER($D824),ISNUMBER($F824)),IF($D824&gt;$F824,1,0),0)+IF(AND(ISNUMBER($E824),ISNUMBER($F824)),IF($E824&gt;$F824,1,0),0)</f>
        <v>0</v>
      </c>
      <c r="X824" s="13" t="s">
        <v>76</v>
      </c>
    </row>
    <row r="825" customFormat="false" ht="15" hidden="false" customHeight="false" outlineLevel="0" collapsed="false">
      <c r="A825" s="10" t="s">
        <v>3568</v>
      </c>
      <c r="B825" s="10" t="s">
        <v>3569</v>
      </c>
      <c r="C825" s="11" t="s">
        <v>3566</v>
      </c>
      <c r="D825" s="12" t="n">
        <v>0.4737</v>
      </c>
      <c r="E825" s="12"/>
      <c r="F825" s="12"/>
      <c r="G825" s="10" t="s">
        <v>63</v>
      </c>
      <c r="H825" s="10" t="s">
        <v>3448</v>
      </c>
      <c r="I825" s="11" t="s">
        <v>3553</v>
      </c>
      <c r="J825" s="10" t="s">
        <v>66</v>
      </c>
      <c r="K825" s="10" t="s">
        <v>67</v>
      </c>
      <c r="L825" s="10" t="s">
        <v>68</v>
      </c>
      <c r="M825" s="10" t="s">
        <v>69</v>
      </c>
      <c r="N825" s="10"/>
      <c r="O825" s="11" t="s">
        <v>3422</v>
      </c>
      <c r="P825" s="10" t="s">
        <v>71</v>
      </c>
      <c r="Q825" s="11" t="s">
        <v>72</v>
      </c>
      <c r="R825" s="11" t="s">
        <v>73</v>
      </c>
      <c r="S825" s="11" t="s">
        <v>74</v>
      </c>
      <c r="T825" s="11" t="s">
        <v>3570</v>
      </c>
      <c r="U825" s="10" t="n">
        <f aca="false">IF(AND($D825="",$E825="",$F825=""),1,0)</f>
        <v>0</v>
      </c>
      <c r="V825" s="10" t="n">
        <f aca="false">IF(OR($I825="",$I825="—"),1,0)</f>
        <v>0</v>
      </c>
      <c r="W825" s="10" t="n">
        <f aca="false">IF(AND(ISNUMBER($D825),ISNUMBER($E825)),IF($E825&gt;$D825,1,0),0)+IF(AND(ISNUMBER($D825),ISNUMBER($F825)),IF($D825&gt;$F825,1,0),0)+IF(AND(ISNUMBER($E825),ISNUMBER($F825)),IF($E825&gt;$F825,1,0),0)</f>
        <v>0</v>
      </c>
      <c r="X825" s="13" t="s">
        <v>76</v>
      </c>
    </row>
    <row r="826" customFormat="false" ht="15" hidden="false" customHeight="false" outlineLevel="0" collapsed="false">
      <c r="A826" s="10" t="s">
        <v>3571</v>
      </c>
      <c r="B826" s="10" t="s">
        <v>3572</v>
      </c>
      <c r="C826" s="11" t="s">
        <v>3566</v>
      </c>
      <c r="D826" s="12" t="n">
        <v>2.0544</v>
      </c>
      <c r="E826" s="12"/>
      <c r="F826" s="12"/>
      <c r="G826" s="10" t="s">
        <v>63</v>
      </c>
      <c r="H826" s="10" t="s">
        <v>3452</v>
      </c>
      <c r="I826" s="11" t="s">
        <v>3553</v>
      </c>
      <c r="J826" s="10" t="s">
        <v>66</v>
      </c>
      <c r="K826" s="10" t="s">
        <v>67</v>
      </c>
      <c r="L826" s="10" t="s">
        <v>68</v>
      </c>
      <c r="M826" s="10" t="s">
        <v>69</v>
      </c>
      <c r="N826" s="10"/>
      <c r="O826" s="11" t="s">
        <v>3422</v>
      </c>
      <c r="P826" s="10" t="s">
        <v>71</v>
      </c>
      <c r="Q826" s="11" t="s">
        <v>72</v>
      </c>
      <c r="R826" s="11" t="s">
        <v>73</v>
      </c>
      <c r="S826" s="11" t="s">
        <v>74</v>
      </c>
      <c r="T826" s="11" t="s">
        <v>3573</v>
      </c>
      <c r="U826" s="10" t="n">
        <f aca="false">IF(AND($D826="",$E826="",$F826=""),1,0)</f>
        <v>0</v>
      </c>
      <c r="V826" s="10" t="n">
        <f aca="false">IF(OR($I826="",$I826="—"),1,0)</f>
        <v>0</v>
      </c>
      <c r="W826" s="10" t="n">
        <f aca="false">IF(AND(ISNUMBER($D826),ISNUMBER($E826)),IF($E826&gt;$D826,1,0),0)+IF(AND(ISNUMBER($D826),ISNUMBER($F826)),IF($D826&gt;$F826,1,0),0)+IF(AND(ISNUMBER($E826),ISNUMBER($F826)),IF($E826&gt;$F826,1,0),0)</f>
        <v>0</v>
      </c>
      <c r="X826" s="13" t="s">
        <v>76</v>
      </c>
    </row>
    <row r="827" customFormat="false" ht="15" hidden="false" customHeight="false" outlineLevel="0" collapsed="false">
      <c r="A827" s="10" t="s">
        <v>3574</v>
      </c>
      <c r="B827" s="10" t="s">
        <v>3575</v>
      </c>
      <c r="C827" s="11" t="s">
        <v>3566</v>
      </c>
      <c r="D827" s="12" t="n">
        <v>1.7484</v>
      </c>
      <c r="E827" s="12"/>
      <c r="F827" s="12"/>
      <c r="G827" s="10" t="s">
        <v>63</v>
      </c>
      <c r="H827" s="10" t="s">
        <v>440</v>
      </c>
      <c r="I827" s="11" t="s">
        <v>3553</v>
      </c>
      <c r="J827" s="10" t="s">
        <v>66</v>
      </c>
      <c r="K827" s="10" t="s">
        <v>67</v>
      </c>
      <c r="L827" s="10" t="s">
        <v>68</v>
      </c>
      <c r="M827" s="10" t="s">
        <v>69</v>
      </c>
      <c r="N827" s="10"/>
      <c r="O827" s="11" t="s">
        <v>3428</v>
      </c>
      <c r="P827" s="10" t="s">
        <v>71</v>
      </c>
      <c r="Q827" s="11" t="s">
        <v>72</v>
      </c>
      <c r="R827" s="11" t="s">
        <v>73</v>
      </c>
      <c r="S827" s="11" t="s">
        <v>74</v>
      </c>
      <c r="T827" s="11" t="s">
        <v>3576</v>
      </c>
      <c r="U827" s="10" t="n">
        <f aca="false">IF(AND($D827="",$E827="",$F827=""),1,0)</f>
        <v>0</v>
      </c>
      <c r="V827" s="10" t="n">
        <f aca="false">IF(OR($I827="",$I827="—"),1,0)</f>
        <v>0</v>
      </c>
      <c r="W827" s="10" t="n">
        <f aca="false">IF(AND(ISNUMBER($D827),ISNUMBER($E827)),IF($E827&gt;$D827,1,0),0)+IF(AND(ISNUMBER($D827),ISNUMBER($F827)),IF($D827&gt;$F827,1,0),0)+IF(AND(ISNUMBER($E827),ISNUMBER($F827)),IF($E827&gt;$F827,1,0),0)</f>
        <v>0</v>
      </c>
      <c r="X827" s="13" t="s">
        <v>76</v>
      </c>
    </row>
    <row r="828" customFormat="false" ht="15" hidden="false" customHeight="false" outlineLevel="0" collapsed="false">
      <c r="A828" s="10" t="s">
        <v>3577</v>
      </c>
      <c r="B828" s="10" t="s">
        <v>3578</v>
      </c>
      <c r="C828" s="11" t="s">
        <v>3579</v>
      </c>
      <c r="D828" s="12" t="n">
        <v>0</v>
      </c>
      <c r="E828" s="12"/>
      <c r="F828" s="12"/>
      <c r="G828" s="10" t="s">
        <v>63</v>
      </c>
      <c r="H828" s="10" t="s">
        <v>3443</v>
      </c>
      <c r="I828" s="11" t="s">
        <v>3553</v>
      </c>
      <c r="J828" s="10" t="s">
        <v>66</v>
      </c>
      <c r="K828" s="10" t="s">
        <v>67</v>
      </c>
      <c r="L828" s="10" t="s">
        <v>68</v>
      </c>
      <c r="M828" s="10" t="s">
        <v>69</v>
      </c>
      <c r="N828" s="10"/>
      <c r="O828" s="11" t="s">
        <v>3422</v>
      </c>
      <c r="P828" s="10" t="s">
        <v>71</v>
      </c>
      <c r="Q828" s="11" t="s">
        <v>72</v>
      </c>
      <c r="R828" s="11" t="s">
        <v>73</v>
      </c>
      <c r="S828" s="11" t="s">
        <v>74</v>
      </c>
      <c r="T828" s="11" t="s">
        <v>3580</v>
      </c>
      <c r="U828" s="10" t="n">
        <f aca="false">IF(AND($D828="",$E828="",$F828=""),1,0)</f>
        <v>0</v>
      </c>
      <c r="V828" s="10" t="n">
        <f aca="false">IF(OR($I828="",$I828="—"),1,0)</f>
        <v>0</v>
      </c>
      <c r="W828" s="10" t="n">
        <f aca="false">IF(AND(ISNUMBER($D828),ISNUMBER($E828)),IF($E828&gt;$D828,1,0),0)+IF(AND(ISNUMBER($D828),ISNUMBER($F828)),IF($D828&gt;$F828,1,0),0)+IF(AND(ISNUMBER($E828),ISNUMBER($F828)),IF($E828&gt;$F828,1,0),0)</f>
        <v>0</v>
      </c>
      <c r="X828" s="13" t="s">
        <v>76</v>
      </c>
    </row>
    <row r="829" customFormat="false" ht="15" hidden="false" customHeight="false" outlineLevel="0" collapsed="false">
      <c r="A829" s="10" t="s">
        <v>3581</v>
      </c>
      <c r="B829" s="10" t="s">
        <v>3582</v>
      </c>
      <c r="C829" s="11" t="s">
        <v>3579</v>
      </c>
      <c r="D829" s="12" t="n">
        <v>1.5675</v>
      </c>
      <c r="E829" s="12"/>
      <c r="F829" s="12"/>
      <c r="G829" s="10" t="s">
        <v>63</v>
      </c>
      <c r="H829" s="10" t="s">
        <v>3448</v>
      </c>
      <c r="I829" s="11" t="s">
        <v>3553</v>
      </c>
      <c r="J829" s="10" t="s">
        <v>66</v>
      </c>
      <c r="K829" s="10" t="s">
        <v>67</v>
      </c>
      <c r="L829" s="10" t="s">
        <v>68</v>
      </c>
      <c r="M829" s="10" t="s">
        <v>69</v>
      </c>
      <c r="N829" s="10"/>
      <c r="O829" s="11" t="s">
        <v>3422</v>
      </c>
      <c r="P829" s="10" t="s">
        <v>71</v>
      </c>
      <c r="Q829" s="11" t="s">
        <v>72</v>
      </c>
      <c r="R829" s="11" t="s">
        <v>73</v>
      </c>
      <c r="S829" s="11" t="s">
        <v>74</v>
      </c>
      <c r="T829" s="11" t="s">
        <v>3583</v>
      </c>
      <c r="U829" s="10" t="n">
        <f aca="false">IF(AND($D829="",$E829="",$F829=""),1,0)</f>
        <v>0</v>
      </c>
      <c r="V829" s="10" t="n">
        <f aca="false">IF(OR($I829="",$I829="—"),1,0)</f>
        <v>0</v>
      </c>
      <c r="W829" s="10" t="n">
        <f aca="false">IF(AND(ISNUMBER($D829),ISNUMBER($E829)),IF($E829&gt;$D829,1,0),0)+IF(AND(ISNUMBER($D829),ISNUMBER($F829)),IF($D829&gt;$F829,1,0),0)+IF(AND(ISNUMBER($E829),ISNUMBER($F829)),IF($E829&gt;$F829,1,0),0)</f>
        <v>0</v>
      </c>
      <c r="X829" s="13" t="s">
        <v>76</v>
      </c>
    </row>
    <row r="830" customFormat="false" ht="15" hidden="false" customHeight="false" outlineLevel="0" collapsed="false">
      <c r="A830" s="10" t="s">
        <v>3584</v>
      </c>
      <c r="B830" s="10" t="s">
        <v>3585</v>
      </c>
      <c r="C830" s="11" t="s">
        <v>3579</v>
      </c>
      <c r="D830" s="12" t="n">
        <v>2.5267</v>
      </c>
      <c r="E830" s="12"/>
      <c r="F830" s="12"/>
      <c r="G830" s="10" t="s">
        <v>63</v>
      </c>
      <c r="H830" s="10" t="s">
        <v>3452</v>
      </c>
      <c r="I830" s="11" t="s">
        <v>3553</v>
      </c>
      <c r="J830" s="10" t="s">
        <v>66</v>
      </c>
      <c r="K830" s="10" t="s">
        <v>67</v>
      </c>
      <c r="L830" s="10" t="s">
        <v>68</v>
      </c>
      <c r="M830" s="10" t="s">
        <v>69</v>
      </c>
      <c r="N830" s="10"/>
      <c r="O830" s="11" t="s">
        <v>3422</v>
      </c>
      <c r="P830" s="10" t="s">
        <v>71</v>
      </c>
      <c r="Q830" s="11" t="s">
        <v>72</v>
      </c>
      <c r="R830" s="11" t="s">
        <v>73</v>
      </c>
      <c r="S830" s="11" t="s">
        <v>74</v>
      </c>
      <c r="T830" s="11" t="s">
        <v>3586</v>
      </c>
      <c r="U830" s="10" t="n">
        <f aca="false">IF(AND($D830="",$E830="",$F830=""),1,0)</f>
        <v>0</v>
      </c>
      <c r="V830" s="10" t="n">
        <f aca="false">IF(OR($I830="",$I830="—"),1,0)</f>
        <v>0</v>
      </c>
      <c r="W830" s="10" t="n">
        <f aca="false">IF(AND(ISNUMBER($D830),ISNUMBER($E830)),IF($E830&gt;$D830,1,0),0)+IF(AND(ISNUMBER($D830),ISNUMBER($F830)),IF($D830&gt;$F830,1,0),0)+IF(AND(ISNUMBER($E830),ISNUMBER($F830)),IF($E830&gt;$F830,1,0),0)</f>
        <v>0</v>
      </c>
      <c r="X830" s="13" t="s">
        <v>76</v>
      </c>
    </row>
    <row r="831" customFormat="false" ht="15" hidden="false" customHeight="false" outlineLevel="0" collapsed="false">
      <c r="A831" s="10" t="s">
        <v>3587</v>
      </c>
      <c r="B831" s="10" t="s">
        <v>3588</v>
      </c>
      <c r="C831" s="11" t="s">
        <v>3579</v>
      </c>
      <c r="D831" s="12" t="n">
        <v>2.113</v>
      </c>
      <c r="E831" s="12"/>
      <c r="F831" s="12"/>
      <c r="G831" s="10" t="s">
        <v>63</v>
      </c>
      <c r="H831" s="10" t="s">
        <v>440</v>
      </c>
      <c r="I831" s="11" t="s">
        <v>3553</v>
      </c>
      <c r="J831" s="10" t="s">
        <v>66</v>
      </c>
      <c r="K831" s="10" t="s">
        <v>67</v>
      </c>
      <c r="L831" s="10" t="s">
        <v>68</v>
      </c>
      <c r="M831" s="10" t="s">
        <v>69</v>
      </c>
      <c r="N831" s="10"/>
      <c r="O831" s="11" t="s">
        <v>3428</v>
      </c>
      <c r="P831" s="10" t="s">
        <v>71</v>
      </c>
      <c r="Q831" s="11" t="s">
        <v>72</v>
      </c>
      <c r="R831" s="11" t="s">
        <v>73</v>
      </c>
      <c r="S831" s="11" t="s">
        <v>74</v>
      </c>
      <c r="T831" s="11" t="s">
        <v>3589</v>
      </c>
      <c r="U831" s="10" t="n">
        <f aca="false">IF(AND($D831="",$E831="",$F831=""),1,0)</f>
        <v>0</v>
      </c>
      <c r="V831" s="10" t="n">
        <f aca="false">IF(OR($I831="",$I831="—"),1,0)</f>
        <v>0</v>
      </c>
      <c r="W831" s="10" t="n">
        <f aca="false">IF(AND(ISNUMBER($D831),ISNUMBER($E831)),IF($E831&gt;$D831,1,0),0)+IF(AND(ISNUMBER($D831),ISNUMBER($F831)),IF($D831&gt;$F831,1,0),0)+IF(AND(ISNUMBER($E831),ISNUMBER($F831)),IF($E831&gt;$F831,1,0),0)</f>
        <v>0</v>
      </c>
      <c r="X831" s="13" t="s">
        <v>76</v>
      </c>
    </row>
    <row r="832" customFormat="false" ht="15" hidden="false" customHeight="false" outlineLevel="0" collapsed="false">
      <c r="A832" s="10" t="s">
        <v>3590</v>
      </c>
      <c r="B832" s="10" t="s">
        <v>3591</v>
      </c>
      <c r="C832" s="11" t="s">
        <v>3592</v>
      </c>
      <c r="D832" s="12" t="n">
        <v>4.75</v>
      </c>
      <c r="E832" s="12"/>
      <c r="F832" s="12"/>
      <c r="G832" s="10" t="s">
        <v>401</v>
      </c>
      <c r="H832" s="10" t="s">
        <v>3518</v>
      </c>
      <c r="I832" s="11" t="s">
        <v>3593</v>
      </c>
      <c r="J832" s="10" t="s">
        <v>66</v>
      </c>
      <c r="K832" s="10" t="s">
        <v>67</v>
      </c>
      <c r="L832" s="10" t="s">
        <v>68</v>
      </c>
      <c r="M832" s="10" t="s">
        <v>69</v>
      </c>
      <c r="N832" s="10"/>
      <c r="O832" s="11" t="s">
        <v>3422</v>
      </c>
      <c r="P832" s="10" t="s">
        <v>71</v>
      </c>
      <c r="Q832" s="11" t="s">
        <v>72</v>
      </c>
      <c r="R832" s="11" t="s">
        <v>73</v>
      </c>
      <c r="S832" s="11" t="s">
        <v>74</v>
      </c>
      <c r="T832" s="11" t="s">
        <v>3594</v>
      </c>
      <c r="U832" s="10" t="n">
        <f aca="false">IF(AND($D832="",$E832="",$F832=""),1,0)</f>
        <v>0</v>
      </c>
      <c r="V832" s="10" t="n">
        <f aca="false">IF(OR($I832="",$I832="—"),1,0)</f>
        <v>0</v>
      </c>
      <c r="W832" s="10" t="n">
        <f aca="false">IF(AND(ISNUMBER($D832),ISNUMBER($E832)),IF($E832&gt;$D832,1,0),0)+IF(AND(ISNUMBER($D832),ISNUMBER($F832)),IF($D832&gt;$F832,1,0),0)+IF(AND(ISNUMBER($E832),ISNUMBER($F832)),IF($E832&gt;$F832,1,0),0)</f>
        <v>0</v>
      </c>
      <c r="X832" s="13" t="s">
        <v>76</v>
      </c>
    </row>
    <row r="833" customFormat="false" ht="15" hidden="false" customHeight="false" outlineLevel="0" collapsed="false">
      <c r="A833" s="10" t="s">
        <v>3595</v>
      </c>
      <c r="B833" s="10" t="s">
        <v>3596</v>
      </c>
      <c r="C833" s="11" t="s">
        <v>3597</v>
      </c>
      <c r="D833" s="12" t="n">
        <v>0.1428</v>
      </c>
      <c r="E833" s="12"/>
      <c r="F833" s="12"/>
      <c r="G833" s="10" t="s">
        <v>63</v>
      </c>
      <c r="H833" s="10" t="s">
        <v>64</v>
      </c>
      <c r="I833" s="11" t="s">
        <v>3598</v>
      </c>
      <c r="J833" s="10" t="s">
        <v>66</v>
      </c>
      <c r="K833" s="10" t="s">
        <v>67</v>
      </c>
      <c r="L833" s="10" t="s">
        <v>68</v>
      </c>
      <c r="M833" s="10" t="s">
        <v>69</v>
      </c>
      <c r="N833" s="10"/>
      <c r="O833" s="11" t="s">
        <v>3422</v>
      </c>
      <c r="P833" s="10" t="s">
        <v>71</v>
      </c>
      <c r="Q833" s="11" t="s">
        <v>72</v>
      </c>
      <c r="R833" s="11" t="s">
        <v>73</v>
      </c>
      <c r="S833" s="11" t="s">
        <v>74</v>
      </c>
      <c r="T833" s="11" t="s">
        <v>3599</v>
      </c>
      <c r="U833" s="10" t="n">
        <f aca="false">IF(AND($D833="",$E833="",$F833=""),1,0)</f>
        <v>0</v>
      </c>
      <c r="V833" s="10" t="n">
        <f aca="false">IF(OR($I833="",$I833="—"),1,0)</f>
        <v>0</v>
      </c>
      <c r="W833" s="10" t="n">
        <f aca="false">IF(AND(ISNUMBER($D833),ISNUMBER($E833)),IF($E833&gt;$D833,1,0),0)+IF(AND(ISNUMBER($D833),ISNUMBER($F833)),IF($D833&gt;$F833,1,0),0)+IF(AND(ISNUMBER($E833),ISNUMBER($F833)),IF($E833&gt;$F833,1,0),0)</f>
        <v>0</v>
      </c>
      <c r="X833" s="13" t="s">
        <v>76</v>
      </c>
    </row>
    <row r="834" customFormat="false" ht="15" hidden="false" customHeight="false" outlineLevel="0" collapsed="false">
      <c r="A834" s="10" t="s">
        <v>3600</v>
      </c>
      <c r="B834" s="10" t="s">
        <v>3601</v>
      </c>
      <c r="C834" s="11" t="s">
        <v>3597</v>
      </c>
      <c r="D834" s="12" t="n">
        <v>0.4486</v>
      </c>
      <c r="E834" s="12"/>
      <c r="F834" s="12"/>
      <c r="G834" s="10" t="s">
        <v>63</v>
      </c>
      <c r="H834" s="10" t="s">
        <v>79</v>
      </c>
      <c r="I834" s="11" t="s">
        <v>3598</v>
      </c>
      <c r="J834" s="10" t="s">
        <v>66</v>
      </c>
      <c r="K834" s="10" t="s">
        <v>67</v>
      </c>
      <c r="L834" s="10" t="s">
        <v>68</v>
      </c>
      <c r="M834" s="10" t="s">
        <v>69</v>
      </c>
      <c r="N834" s="10"/>
      <c r="O834" s="11" t="s">
        <v>3422</v>
      </c>
      <c r="P834" s="10" t="s">
        <v>71</v>
      </c>
      <c r="Q834" s="11" t="s">
        <v>72</v>
      </c>
      <c r="R834" s="11" t="s">
        <v>73</v>
      </c>
      <c r="S834" s="11" t="s">
        <v>74</v>
      </c>
      <c r="T834" s="11" t="s">
        <v>3602</v>
      </c>
      <c r="U834" s="10" t="n">
        <f aca="false">IF(AND($D834="",$E834="",$F834=""),1,0)</f>
        <v>0</v>
      </c>
      <c r="V834" s="10" t="n">
        <f aca="false">IF(OR($I834="",$I834="—"),1,0)</f>
        <v>0</v>
      </c>
      <c r="W834" s="10" t="n">
        <f aca="false">IF(AND(ISNUMBER($D834),ISNUMBER($E834)),IF($E834&gt;$D834,1,0),0)+IF(AND(ISNUMBER($D834),ISNUMBER($F834)),IF($D834&gt;$F834,1,0),0)+IF(AND(ISNUMBER($E834),ISNUMBER($F834)),IF($E834&gt;$F834,1,0),0)</f>
        <v>0</v>
      </c>
      <c r="X834" s="13" t="s">
        <v>76</v>
      </c>
    </row>
    <row r="835" customFormat="false" ht="15" hidden="false" customHeight="false" outlineLevel="0" collapsed="false">
      <c r="A835" s="10" t="s">
        <v>3603</v>
      </c>
      <c r="B835" s="10" t="s">
        <v>3604</v>
      </c>
      <c r="C835" s="11" t="s">
        <v>3597</v>
      </c>
      <c r="D835" s="12" t="n">
        <v>1.8739</v>
      </c>
      <c r="E835" s="12"/>
      <c r="F835" s="12"/>
      <c r="G835" s="10" t="s">
        <v>63</v>
      </c>
      <c r="H835" s="10" t="s">
        <v>83</v>
      </c>
      <c r="I835" s="11" t="s">
        <v>3598</v>
      </c>
      <c r="J835" s="10" t="s">
        <v>66</v>
      </c>
      <c r="K835" s="10" t="s">
        <v>67</v>
      </c>
      <c r="L835" s="10" t="s">
        <v>68</v>
      </c>
      <c r="M835" s="10" t="s">
        <v>69</v>
      </c>
      <c r="N835" s="10"/>
      <c r="O835" s="11" t="s">
        <v>3422</v>
      </c>
      <c r="P835" s="10" t="s">
        <v>71</v>
      </c>
      <c r="Q835" s="11" t="s">
        <v>72</v>
      </c>
      <c r="R835" s="11" t="s">
        <v>73</v>
      </c>
      <c r="S835" s="11" t="s">
        <v>74</v>
      </c>
      <c r="T835" s="11" t="s">
        <v>3605</v>
      </c>
      <c r="U835" s="10" t="n">
        <f aca="false">IF(AND($D835="",$E835="",$F835=""),1,0)</f>
        <v>0</v>
      </c>
      <c r="V835" s="10" t="n">
        <f aca="false">IF(OR($I835="",$I835="—"),1,0)</f>
        <v>0</v>
      </c>
      <c r="W835" s="10" t="n">
        <f aca="false">IF(AND(ISNUMBER($D835),ISNUMBER($E835)),IF($E835&gt;$D835,1,0),0)+IF(AND(ISNUMBER($D835),ISNUMBER($F835)),IF($D835&gt;$F835,1,0),0)+IF(AND(ISNUMBER($E835),ISNUMBER($F835)),IF($E835&gt;$F835,1,0),0)</f>
        <v>0</v>
      </c>
      <c r="X835" s="13" t="s">
        <v>76</v>
      </c>
    </row>
    <row r="836" customFormat="false" ht="15" hidden="false" customHeight="false" outlineLevel="0" collapsed="false">
      <c r="A836" s="10" t="s">
        <v>3606</v>
      </c>
      <c r="B836" s="10" t="s">
        <v>3607</v>
      </c>
      <c r="C836" s="11" t="s">
        <v>3597</v>
      </c>
      <c r="D836" s="12" t="n">
        <v>0.7782</v>
      </c>
      <c r="E836" s="12"/>
      <c r="F836" s="12"/>
      <c r="G836" s="10" t="s">
        <v>63</v>
      </c>
      <c r="H836" s="10" t="s">
        <v>87</v>
      </c>
      <c r="I836" s="11" t="s">
        <v>3598</v>
      </c>
      <c r="J836" s="10" t="s">
        <v>66</v>
      </c>
      <c r="K836" s="10" t="s">
        <v>67</v>
      </c>
      <c r="L836" s="10" t="s">
        <v>68</v>
      </c>
      <c r="M836" s="10" t="s">
        <v>69</v>
      </c>
      <c r="N836" s="10"/>
      <c r="O836" s="11" t="s">
        <v>3608</v>
      </c>
      <c r="P836" s="10" t="s">
        <v>71</v>
      </c>
      <c r="Q836" s="11" t="s">
        <v>72</v>
      </c>
      <c r="R836" s="11" t="s">
        <v>73</v>
      </c>
      <c r="S836" s="11" t="s">
        <v>74</v>
      </c>
      <c r="T836" s="11" t="s">
        <v>3609</v>
      </c>
      <c r="U836" s="10" t="n">
        <f aca="false">IF(AND($D836="",$E836="",$F836=""),1,0)</f>
        <v>0</v>
      </c>
      <c r="V836" s="10" t="n">
        <f aca="false">IF(OR($I836="",$I836="—"),1,0)</f>
        <v>0</v>
      </c>
      <c r="W836" s="10" t="n">
        <f aca="false">IF(AND(ISNUMBER($D836),ISNUMBER($E836)),IF($E836&gt;$D836,1,0),0)+IF(AND(ISNUMBER($D836),ISNUMBER($F836)),IF($D836&gt;$F836,1,0),0)+IF(AND(ISNUMBER($E836),ISNUMBER($F836)),IF($E836&gt;$F836,1,0),0)</f>
        <v>0</v>
      </c>
      <c r="X836" s="13" t="s">
        <v>76</v>
      </c>
    </row>
    <row r="837" customFormat="false" ht="15" hidden="false" customHeight="false" outlineLevel="0" collapsed="false">
      <c r="A837" s="10" t="s">
        <v>3610</v>
      </c>
      <c r="B837" s="10" t="s">
        <v>3611</v>
      </c>
      <c r="C837" s="11" t="s">
        <v>3597</v>
      </c>
      <c r="D837" s="12" t="n">
        <v>1.2997</v>
      </c>
      <c r="E837" s="12"/>
      <c r="F837" s="12"/>
      <c r="G837" s="10" t="s">
        <v>63</v>
      </c>
      <c r="H837" s="10" t="s">
        <v>92</v>
      </c>
      <c r="I837" s="11" t="s">
        <v>3598</v>
      </c>
      <c r="J837" s="10" t="s">
        <v>66</v>
      </c>
      <c r="K837" s="10" t="s">
        <v>67</v>
      </c>
      <c r="L837" s="10" t="s">
        <v>68</v>
      </c>
      <c r="M837" s="10" t="s">
        <v>69</v>
      </c>
      <c r="N837" s="10"/>
      <c r="O837" s="11" t="s">
        <v>3428</v>
      </c>
      <c r="P837" s="10" t="s">
        <v>71</v>
      </c>
      <c r="Q837" s="11" t="s">
        <v>72</v>
      </c>
      <c r="R837" s="11" t="s">
        <v>73</v>
      </c>
      <c r="S837" s="11" t="s">
        <v>74</v>
      </c>
      <c r="T837" s="11" t="s">
        <v>3612</v>
      </c>
      <c r="U837" s="10" t="n">
        <f aca="false">IF(AND($D837="",$E837="",$F837=""),1,0)</f>
        <v>0</v>
      </c>
      <c r="V837" s="10" t="n">
        <f aca="false">IF(OR($I837="",$I837="—"),1,0)</f>
        <v>0</v>
      </c>
      <c r="W837" s="10" t="n">
        <f aca="false">IF(AND(ISNUMBER($D837),ISNUMBER($E837)),IF($E837&gt;$D837,1,0),0)+IF(AND(ISNUMBER($D837),ISNUMBER($F837)),IF($D837&gt;$F837,1,0),0)+IF(AND(ISNUMBER($E837),ISNUMBER($F837)),IF($E837&gt;$F837,1,0),0)</f>
        <v>0</v>
      </c>
      <c r="X837" s="13" t="s">
        <v>76</v>
      </c>
    </row>
    <row r="838" customFormat="false" ht="15" hidden="false" customHeight="false" outlineLevel="0" collapsed="false">
      <c r="A838" s="10" t="s">
        <v>3613</v>
      </c>
      <c r="B838" s="10" t="s">
        <v>3614</v>
      </c>
      <c r="C838" s="11" t="s">
        <v>3615</v>
      </c>
      <c r="D838" s="12" t="n">
        <v>0.1111</v>
      </c>
      <c r="E838" s="12"/>
      <c r="F838" s="12"/>
      <c r="G838" s="10" t="s">
        <v>63</v>
      </c>
      <c r="H838" s="10" t="s">
        <v>64</v>
      </c>
      <c r="I838" s="11" t="s">
        <v>3616</v>
      </c>
      <c r="J838" s="10" t="s">
        <v>66</v>
      </c>
      <c r="K838" s="10" t="s">
        <v>67</v>
      </c>
      <c r="L838" s="10" t="s">
        <v>68</v>
      </c>
      <c r="M838" s="10" t="s">
        <v>69</v>
      </c>
      <c r="N838" s="10"/>
      <c r="O838" s="11" t="s">
        <v>3422</v>
      </c>
      <c r="P838" s="10" t="s">
        <v>71</v>
      </c>
      <c r="Q838" s="11" t="s">
        <v>72</v>
      </c>
      <c r="R838" s="11" t="s">
        <v>73</v>
      </c>
      <c r="S838" s="11" t="s">
        <v>74</v>
      </c>
      <c r="T838" s="11" t="s">
        <v>3617</v>
      </c>
      <c r="U838" s="10" t="n">
        <f aca="false">IF(AND($D838="",$E838="",$F838=""),1,0)</f>
        <v>0</v>
      </c>
      <c r="V838" s="10" t="n">
        <f aca="false">IF(OR($I838="",$I838="—"),1,0)</f>
        <v>0</v>
      </c>
      <c r="W838" s="10" t="n">
        <f aca="false">IF(AND(ISNUMBER($D838),ISNUMBER($E838)),IF($E838&gt;$D838,1,0),0)+IF(AND(ISNUMBER($D838),ISNUMBER($F838)),IF($D838&gt;$F838,1,0),0)+IF(AND(ISNUMBER($E838),ISNUMBER($F838)),IF($E838&gt;$F838,1,0),0)</f>
        <v>0</v>
      </c>
      <c r="X838" s="13" t="s">
        <v>76</v>
      </c>
    </row>
    <row r="839" customFormat="false" ht="15" hidden="false" customHeight="false" outlineLevel="0" collapsed="false">
      <c r="A839" s="10" t="s">
        <v>3618</v>
      </c>
      <c r="B839" s="10" t="s">
        <v>3619</v>
      </c>
      <c r="C839" s="11" t="s">
        <v>3615</v>
      </c>
      <c r="D839" s="12" t="n">
        <v>0.3183</v>
      </c>
      <c r="E839" s="12"/>
      <c r="F839" s="12"/>
      <c r="G839" s="10" t="s">
        <v>63</v>
      </c>
      <c r="H839" s="10" t="s">
        <v>79</v>
      </c>
      <c r="I839" s="11" t="s">
        <v>3616</v>
      </c>
      <c r="J839" s="10" t="s">
        <v>66</v>
      </c>
      <c r="K839" s="10" t="s">
        <v>67</v>
      </c>
      <c r="L839" s="10" t="s">
        <v>68</v>
      </c>
      <c r="M839" s="10" t="s">
        <v>69</v>
      </c>
      <c r="N839" s="10"/>
      <c r="O839" s="11" t="s">
        <v>3422</v>
      </c>
      <c r="P839" s="10" t="s">
        <v>71</v>
      </c>
      <c r="Q839" s="11" t="s">
        <v>72</v>
      </c>
      <c r="R839" s="11" t="s">
        <v>73</v>
      </c>
      <c r="S839" s="11" t="s">
        <v>74</v>
      </c>
      <c r="T839" s="11" t="s">
        <v>3620</v>
      </c>
      <c r="U839" s="10" t="n">
        <f aca="false">IF(AND($D839="",$E839="",$F839=""),1,0)</f>
        <v>0</v>
      </c>
      <c r="V839" s="10" t="n">
        <f aca="false">IF(OR($I839="",$I839="—"),1,0)</f>
        <v>0</v>
      </c>
      <c r="W839" s="10" t="n">
        <f aca="false">IF(AND(ISNUMBER($D839),ISNUMBER($E839)),IF($E839&gt;$D839,1,0),0)+IF(AND(ISNUMBER($D839),ISNUMBER($F839)),IF($D839&gt;$F839,1,0),0)+IF(AND(ISNUMBER($E839),ISNUMBER($F839)),IF($E839&gt;$F839,1,0),0)</f>
        <v>0</v>
      </c>
      <c r="X839" s="13" t="s">
        <v>76</v>
      </c>
    </row>
    <row r="840" customFormat="false" ht="15" hidden="false" customHeight="false" outlineLevel="0" collapsed="false">
      <c r="A840" s="10" t="s">
        <v>3621</v>
      </c>
      <c r="B840" s="10" t="s">
        <v>3622</v>
      </c>
      <c r="C840" s="11" t="s">
        <v>3615</v>
      </c>
      <c r="D840" s="12" t="n">
        <v>1.4739</v>
      </c>
      <c r="E840" s="12"/>
      <c r="F840" s="12"/>
      <c r="G840" s="10" t="s">
        <v>63</v>
      </c>
      <c r="H840" s="10" t="s">
        <v>83</v>
      </c>
      <c r="I840" s="11" t="s">
        <v>3616</v>
      </c>
      <c r="J840" s="10" t="s">
        <v>66</v>
      </c>
      <c r="K840" s="10" t="s">
        <v>67</v>
      </c>
      <c r="L840" s="10" t="s">
        <v>68</v>
      </c>
      <c r="M840" s="10" t="s">
        <v>69</v>
      </c>
      <c r="N840" s="10"/>
      <c r="O840" s="11" t="s">
        <v>3422</v>
      </c>
      <c r="P840" s="10" t="s">
        <v>71</v>
      </c>
      <c r="Q840" s="11" t="s">
        <v>72</v>
      </c>
      <c r="R840" s="11" t="s">
        <v>73</v>
      </c>
      <c r="S840" s="11" t="s">
        <v>74</v>
      </c>
      <c r="T840" s="11" t="s">
        <v>3623</v>
      </c>
      <c r="U840" s="10" t="n">
        <f aca="false">IF(AND($D840="",$E840="",$F840=""),1,0)</f>
        <v>0</v>
      </c>
      <c r="V840" s="10" t="n">
        <f aca="false">IF(OR($I840="",$I840="—"),1,0)</f>
        <v>0</v>
      </c>
      <c r="W840" s="10" t="n">
        <f aca="false">IF(AND(ISNUMBER($D840),ISNUMBER($E840)),IF($E840&gt;$D840,1,0),0)+IF(AND(ISNUMBER($D840),ISNUMBER($F840)),IF($D840&gt;$F840,1,0),0)+IF(AND(ISNUMBER($E840),ISNUMBER($F840)),IF($E840&gt;$F840,1,0),0)</f>
        <v>0</v>
      </c>
      <c r="X840" s="13" t="s">
        <v>76</v>
      </c>
    </row>
    <row r="841" customFormat="false" ht="15" hidden="false" customHeight="false" outlineLevel="0" collapsed="false">
      <c r="A841" s="10" t="s">
        <v>3624</v>
      </c>
      <c r="B841" s="10" t="s">
        <v>3625</v>
      </c>
      <c r="C841" s="11" t="s">
        <v>3615</v>
      </c>
      <c r="D841" s="12" t="n">
        <v>0.6177</v>
      </c>
      <c r="E841" s="12"/>
      <c r="F841" s="12"/>
      <c r="G841" s="10" t="s">
        <v>63</v>
      </c>
      <c r="H841" s="10" t="s">
        <v>87</v>
      </c>
      <c r="I841" s="11" t="s">
        <v>3616</v>
      </c>
      <c r="J841" s="10" t="s">
        <v>66</v>
      </c>
      <c r="K841" s="10" t="s">
        <v>67</v>
      </c>
      <c r="L841" s="10" t="s">
        <v>68</v>
      </c>
      <c r="M841" s="10" t="s">
        <v>69</v>
      </c>
      <c r="N841" s="10"/>
      <c r="O841" s="11" t="s">
        <v>3608</v>
      </c>
      <c r="P841" s="10" t="s">
        <v>71</v>
      </c>
      <c r="Q841" s="11" t="s">
        <v>72</v>
      </c>
      <c r="R841" s="11" t="s">
        <v>73</v>
      </c>
      <c r="S841" s="11" t="s">
        <v>74</v>
      </c>
      <c r="T841" s="11" t="s">
        <v>3626</v>
      </c>
      <c r="U841" s="10" t="n">
        <f aca="false">IF(AND($D841="",$E841="",$F841=""),1,0)</f>
        <v>0</v>
      </c>
      <c r="V841" s="10" t="n">
        <f aca="false">IF(OR($I841="",$I841="—"),1,0)</f>
        <v>0</v>
      </c>
      <c r="W841" s="10" t="n">
        <f aca="false">IF(AND(ISNUMBER($D841),ISNUMBER($E841)),IF($E841&gt;$D841,1,0),0)+IF(AND(ISNUMBER($D841),ISNUMBER($F841)),IF($D841&gt;$F841,1,0),0)+IF(AND(ISNUMBER($E841),ISNUMBER($F841)),IF($E841&gt;$F841,1,0),0)</f>
        <v>0</v>
      </c>
      <c r="X841" s="13" t="s">
        <v>76</v>
      </c>
    </row>
    <row r="842" customFormat="false" ht="15" hidden="false" customHeight="false" outlineLevel="0" collapsed="false">
      <c r="A842" s="10" t="s">
        <v>3627</v>
      </c>
      <c r="B842" s="10" t="s">
        <v>3628</v>
      </c>
      <c r="C842" s="11" t="s">
        <v>3615</v>
      </c>
      <c r="D842" s="12" t="n">
        <v>1.0608</v>
      </c>
      <c r="E842" s="12"/>
      <c r="F842" s="12"/>
      <c r="G842" s="10" t="s">
        <v>63</v>
      </c>
      <c r="H842" s="10" t="s">
        <v>92</v>
      </c>
      <c r="I842" s="11" t="s">
        <v>3616</v>
      </c>
      <c r="J842" s="10" t="s">
        <v>66</v>
      </c>
      <c r="K842" s="10" t="s">
        <v>67</v>
      </c>
      <c r="L842" s="10" t="s">
        <v>68</v>
      </c>
      <c r="M842" s="10" t="s">
        <v>69</v>
      </c>
      <c r="N842" s="10"/>
      <c r="O842" s="11" t="s">
        <v>3428</v>
      </c>
      <c r="P842" s="10" t="s">
        <v>71</v>
      </c>
      <c r="Q842" s="11" t="s">
        <v>72</v>
      </c>
      <c r="R842" s="11" t="s">
        <v>73</v>
      </c>
      <c r="S842" s="11" t="s">
        <v>74</v>
      </c>
      <c r="T842" s="11" t="s">
        <v>3629</v>
      </c>
      <c r="U842" s="10" t="n">
        <f aca="false">IF(AND($D842="",$E842="",$F842=""),1,0)</f>
        <v>0</v>
      </c>
      <c r="V842" s="10" t="n">
        <f aca="false">IF(OR($I842="",$I842="—"),1,0)</f>
        <v>0</v>
      </c>
      <c r="W842" s="10" t="n">
        <f aca="false">IF(AND(ISNUMBER($D842),ISNUMBER($E842)),IF($E842&gt;$D842,1,0),0)+IF(AND(ISNUMBER($D842),ISNUMBER($F842)),IF($D842&gt;$F842,1,0),0)+IF(AND(ISNUMBER($E842),ISNUMBER($F842)),IF($E842&gt;$F842,1,0),0)</f>
        <v>0</v>
      </c>
      <c r="X842" s="13" t="s">
        <v>76</v>
      </c>
    </row>
    <row r="843" customFormat="false" ht="15" hidden="false" customHeight="false" outlineLevel="0" collapsed="false">
      <c r="A843" s="10" t="s">
        <v>3630</v>
      </c>
      <c r="B843" s="10" t="s">
        <v>3631</v>
      </c>
      <c r="C843" s="11" t="s">
        <v>3632</v>
      </c>
      <c r="D843" s="12" t="n">
        <v>0.0238</v>
      </c>
      <c r="E843" s="12"/>
      <c r="F843" s="12"/>
      <c r="G843" s="10" t="s">
        <v>63</v>
      </c>
      <c r="H843" s="10" t="s">
        <v>64</v>
      </c>
      <c r="I843" s="11" t="s">
        <v>3633</v>
      </c>
      <c r="J843" s="10" t="s">
        <v>66</v>
      </c>
      <c r="K843" s="10" t="s">
        <v>67</v>
      </c>
      <c r="L843" s="10" t="s">
        <v>68</v>
      </c>
      <c r="M843" s="10" t="s">
        <v>69</v>
      </c>
      <c r="N843" s="10"/>
      <c r="O843" s="11" t="s">
        <v>3422</v>
      </c>
      <c r="P843" s="10" t="s">
        <v>71</v>
      </c>
      <c r="Q843" s="11" t="s">
        <v>72</v>
      </c>
      <c r="R843" s="11" t="s">
        <v>73</v>
      </c>
      <c r="S843" s="11" t="s">
        <v>74</v>
      </c>
      <c r="T843" s="11" t="s">
        <v>3634</v>
      </c>
      <c r="U843" s="10" t="n">
        <f aca="false">IF(AND($D843="",$E843="",$F843=""),1,0)</f>
        <v>0</v>
      </c>
      <c r="V843" s="10" t="n">
        <f aca="false">IF(OR($I843="",$I843="—"),1,0)</f>
        <v>0</v>
      </c>
      <c r="W843" s="10" t="n">
        <f aca="false">IF(AND(ISNUMBER($D843),ISNUMBER($E843)),IF($E843&gt;$D843,1,0),0)+IF(AND(ISNUMBER($D843),ISNUMBER($F843)),IF($D843&gt;$F843,1,0),0)+IF(AND(ISNUMBER($E843),ISNUMBER($F843)),IF($E843&gt;$F843,1,0),0)</f>
        <v>0</v>
      </c>
      <c r="X843" s="13" t="s">
        <v>76</v>
      </c>
    </row>
    <row r="844" customFormat="false" ht="15" hidden="false" customHeight="false" outlineLevel="0" collapsed="false">
      <c r="A844" s="10" t="s">
        <v>3635</v>
      </c>
      <c r="B844" s="10" t="s">
        <v>3636</v>
      </c>
      <c r="C844" s="11" t="s">
        <v>3632</v>
      </c>
      <c r="D844" s="12" t="n">
        <v>0.0554</v>
      </c>
      <c r="E844" s="12"/>
      <c r="F844" s="12"/>
      <c r="G844" s="10" t="s">
        <v>63</v>
      </c>
      <c r="H844" s="10" t="s">
        <v>79</v>
      </c>
      <c r="I844" s="11" t="s">
        <v>3633</v>
      </c>
      <c r="J844" s="10" t="s">
        <v>66</v>
      </c>
      <c r="K844" s="10" t="s">
        <v>67</v>
      </c>
      <c r="L844" s="10" t="s">
        <v>68</v>
      </c>
      <c r="M844" s="10" t="s">
        <v>69</v>
      </c>
      <c r="N844" s="10"/>
      <c r="O844" s="11" t="s">
        <v>3422</v>
      </c>
      <c r="P844" s="10" t="s">
        <v>71</v>
      </c>
      <c r="Q844" s="11" t="s">
        <v>72</v>
      </c>
      <c r="R844" s="11" t="s">
        <v>73</v>
      </c>
      <c r="S844" s="11" t="s">
        <v>74</v>
      </c>
      <c r="T844" s="11" t="s">
        <v>3637</v>
      </c>
      <c r="U844" s="10" t="n">
        <f aca="false">IF(AND($D844="",$E844="",$F844=""),1,0)</f>
        <v>0</v>
      </c>
      <c r="V844" s="10" t="n">
        <f aca="false">IF(OR($I844="",$I844="—"),1,0)</f>
        <v>0</v>
      </c>
      <c r="W844" s="10" t="n">
        <f aca="false">IF(AND(ISNUMBER($D844),ISNUMBER($E844)),IF($E844&gt;$D844,1,0),0)+IF(AND(ISNUMBER($D844),ISNUMBER($F844)),IF($D844&gt;$F844,1,0),0)+IF(AND(ISNUMBER($E844),ISNUMBER($F844)),IF($E844&gt;$F844,1,0),0)</f>
        <v>0</v>
      </c>
      <c r="X844" s="13" t="s">
        <v>76</v>
      </c>
    </row>
    <row r="845" customFormat="false" ht="15" hidden="false" customHeight="false" outlineLevel="0" collapsed="false">
      <c r="A845" s="10" t="s">
        <v>3638</v>
      </c>
      <c r="B845" s="10" t="s">
        <v>3639</v>
      </c>
      <c r="C845" s="11" t="s">
        <v>3632</v>
      </c>
      <c r="D845" s="12" t="n">
        <v>0.0907</v>
      </c>
      <c r="E845" s="12"/>
      <c r="F845" s="12"/>
      <c r="G845" s="10" t="s">
        <v>63</v>
      </c>
      <c r="H845" s="10" t="s">
        <v>83</v>
      </c>
      <c r="I845" s="11" t="s">
        <v>3633</v>
      </c>
      <c r="J845" s="10" t="s">
        <v>66</v>
      </c>
      <c r="K845" s="10" t="s">
        <v>67</v>
      </c>
      <c r="L845" s="10" t="s">
        <v>68</v>
      </c>
      <c r="M845" s="10" t="s">
        <v>69</v>
      </c>
      <c r="N845" s="10"/>
      <c r="O845" s="11" t="s">
        <v>3422</v>
      </c>
      <c r="P845" s="10" t="s">
        <v>71</v>
      </c>
      <c r="Q845" s="11" t="s">
        <v>72</v>
      </c>
      <c r="R845" s="11" t="s">
        <v>73</v>
      </c>
      <c r="S845" s="11" t="s">
        <v>74</v>
      </c>
      <c r="T845" s="11" t="s">
        <v>3640</v>
      </c>
      <c r="U845" s="10" t="n">
        <f aca="false">IF(AND($D845="",$E845="",$F845=""),1,0)</f>
        <v>0</v>
      </c>
      <c r="V845" s="10" t="n">
        <f aca="false">IF(OR($I845="",$I845="—"),1,0)</f>
        <v>0</v>
      </c>
      <c r="W845" s="10" t="n">
        <f aca="false">IF(AND(ISNUMBER($D845),ISNUMBER($E845)),IF($E845&gt;$D845,1,0),0)+IF(AND(ISNUMBER($D845),ISNUMBER($F845)),IF($D845&gt;$F845,1,0),0)+IF(AND(ISNUMBER($E845),ISNUMBER($F845)),IF($E845&gt;$F845,1,0),0)</f>
        <v>0</v>
      </c>
      <c r="X845" s="13" t="s">
        <v>76</v>
      </c>
    </row>
    <row r="846" customFormat="false" ht="15" hidden="false" customHeight="false" outlineLevel="0" collapsed="false">
      <c r="A846" s="10" t="s">
        <v>3641</v>
      </c>
      <c r="B846" s="10" t="s">
        <v>3642</v>
      </c>
      <c r="C846" s="11" t="s">
        <v>3632</v>
      </c>
      <c r="D846" s="12" t="n">
        <v>0.0421</v>
      </c>
      <c r="E846" s="12"/>
      <c r="F846" s="12"/>
      <c r="G846" s="10" t="s">
        <v>63</v>
      </c>
      <c r="H846" s="10" t="s">
        <v>87</v>
      </c>
      <c r="I846" s="11" t="s">
        <v>3633</v>
      </c>
      <c r="J846" s="10" t="s">
        <v>66</v>
      </c>
      <c r="K846" s="10" t="s">
        <v>67</v>
      </c>
      <c r="L846" s="10" t="s">
        <v>68</v>
      </c>
      <c r="M846" s="10" t="s">
        <v>69</v>
      </c>
      <c r="N846" s="10"/>
      <c r="O846" s="11" t="s">
        <v>3608</v>
      </c>
      <c r="P846" s="10" t="s">
        <v>71</v>
      </c>
      <c r="Q846" s="11" t="s">
        <v>72</v>
      </c>
      <c r="R846" s="11" t="s">
        <v>73</v>
      </c>
      <c r="S846" s="11" t="s">
        <v>74</v>
      </c>
      <c r="T846" s="11" t="s">
        <v>3643</v>
      </c>
      <c r="U846" s="10" t="n">
        <f aca="false">IF(AND($D846="",$E846="",$F846=""),1,0)</f>
        <v>0</v>
      </c>
      <c r="V846" s="10" t="n">
        <f aca="false">IF(OR($I846="",$I846="—"),1,0)</f>
        <v>0</v>
      </c>
      <c r="W846" s="10" t="n">
        <f aca="false">IF(AND(ISNUMBER($D846),ISNUMBER($E846)),IF($E846&gt;$D846,1,0),0)+IF(AND(ISNUMBER($D846),ISNUMBER($F846)),IF($D846&gt;$F846,1,0),0)+IF(AND(ISNUMBER($E846),ISNUMBER($F846)),IF($E846&gt;$F846,1,0),0)</f>
        <v>0</v>
      </c>
      <c r="X846" s="13" t="s">
        <v>76</v>
      </c>
    </row>
    <row r="847" customFormat="false" ht="15" hidden="false" customHeight="false" outlineLevel="0" collapsed="false">
      <c r="A847" s="10" t="s">
        <v>3644</v>
      </c>
      <c r="B847" s="10" t="s">
        <v>3645</v>
      </c>
      <c r="C847" s="11" t="s">
        <v>3632</v>
      </c>
      <c r="D847" s="12" t="n">
        <v>0.0591</v>
      </c>
      <c r="E847" s="12"/>
      <c r="F847" s="12"/>
      <c r="G847" s="10" t="s">
        <v>63</v>
      </c>
      <c r="H847" s="10" t="s">
        <v>92</v>
      </c>
      <c r="I847" s="11" t="s">
        <v>3633</v>
      </c>
      <c r="J847" s="10" t="s">
        <v>66</v>
      </c>
      <c r="K847" s="10" t="s">
        <v>67</v>
      </c>
      <c r="L847" s="10" t="s">
        <v>68</v>
      </c>
      <c r="M847" s="10" t="s">
        <v>69</v>
      </c>
      <c r="N847" s="10"/>
      <c r="O847" s="11" t="s">
        <v>3428</v>
      </c>
      <c r="P847" s="10" t="s">
        <v>71</v>
      </c>
      <c r="Q847" s="11" t="s">
        <v>72</v>
      </c>
      <c r="R847" s="11" t="s">
        <v>73</v>
      </c>
      <c r="S847" s="11" t="s">
        <v>74</v>
      </c>
      <c r="T847" s="11" t="s">
        <v>3646</v>
      </c>
      <c r="U847" s="10" t="n">
        <f aca="false">IF(AND($D847="",$E847="",$F847=""),1,0)</f>
        <v>0</v>
      </c>
      <c r="V847" s="10" t="n">
        <f aca="false">IF(OR($I847="",$I847="—"),1,0)</f>
        <v>0</v>
      </c>
      <c r="W847" s="10" t="n">
        <f aca="false">IF(AND(ISNUMBER($D847),ISNUMBER($E847)),IF($E847&gt;$D847,1,0),0)+IF(AND(ISNUMBER($D847),ISNUMBER($F847)),IF($D847&gt;$F847,1,0),0)+IF(AND(ISNUMBER($E847),ISNUMBER($F847)),IF($E847&gt;$F847,1,0),0)</f>
        <v>0</v>
      </c>
      <c r="X847" s="13" t="s">
        <v>76</v>
      </c>
    </row>
    <row r="848" customFormat="false" ht="15" hidden="false" customHeight="false" outlineLevel="0" collapsed="false">
      <c r="A848" s="10" t="s">
        <v>3647</v>
      </c>
      <c r="B848" s="10" t="s">
        <v>3648</v>
      </c>
      <c r="C848" s="11" t="s">
        <v>625</v>
      </c>
      <c r="D848" s="12" t="n">
        <v>883</v>
      </c>
      <c r="E848" s="12"/>
      <c r="F848" s="12"/>
      <c r="G848" s="11" t="s">
        <v>439</v>
      </c>
      <c r="H848" s="10" t="s">
        <v>440</v>
      </c>
      <c r="I848" s="11" t="s">
        <v>3649</v>
      </c>
      <c r="J848" s="10" t="s">
        <v>66</v>
      </c>
      <c r="K848" s="10" t="s">
        <v>67</v>
      </c>
      <c r="L848" s="10" t="s">
        <v>68</v>
      </c>
      <c r="M848" s="10" t="s">
        <v>69</v>
      </c>
      <c r="N848" s="10"/>
      <c r="O848" s="11" t="s">
        <v>441</v>
      </c>
      <c r="P848" s="10" t="s">
        <v>71</v>
      </c>
      <c r="Q848" s="11" t="s">
        <v>72</v>
      </c>
      <c r="R848" s="11" t="s">
        <v>73</v>
      </c>
      <c r="S848" s="11" t="s">
        <v>74</v>
      </c>
      <c r="T848" s="11" t="s">
        <v>3650</v>
      </c>
      <c r="U848" s="10" t="n">
        <f aca="false">IF(AND($D848="",$E848="",$F848=""),1,0)</f>
        <v>0</v>
      </c>
      <c r="V848" s="10" t="n">
        <f aca="false">IF(OR($I848="",$I848="—"),1,0)</f>
        <v>0</v>
      </c>
      <c r="W848" s="10" t="n">
        <f aca="false">IF(AND(ISNUMBER($D848),ISNUMBER($E848)),IF($E848&gt;$D848,1,0),0)+IF(AND(ISNUMBER($D848),ISNUMBER($F848)),IF($D848&gt;$F848,1,0),0)+IF(AND(ISNUMBER($E848),ISNUMBER($F848)),IF($E848&gt;$F848,1,0),0)</f>
        <v>0</v>
      </c>
      <c r="X848" s="13" t="s">
        <v>76</v>
      </c>
    </row>
    <row r="849" customFormat="false" ht="15" hidden="false" customHeight="false" outlineLevel="0" collapsed="false">
      <c r="A849" s="10" t="s">
        <v>3651</v>
      </c>
      <c r="B849" s="10" t="s">
        <v>3652</v>
      </c>
      <c r="C849" s="11" t="s">
        <v>3653</v>
      </c>
      <c r="D849" s="12" t="n">
        <v>657</v>
      </c>
      <c r="E849" s="12"/>
      <c r="F849" s="12"/>
      <c r="G849" s="11" t="s">
        <v>439</v>
      </c>
      <c r="H849" s="10" t="s">
        <v>440</v>
      </c>
      <c r="I849" s="11" t="s">
        <v>3649</v>
      </c>
      <c r="J849" s="10" t="s">
        <v>66</v>
      </c>
      <c r="K849" s="10" t="s">
        <v>67</v>
      </c>
      <c r="L849" s="10" t="s">
        <v>68</v>
      </c>
      <c r="M849" s="10" t="s">
        <v>69</v>
      </c>
      <c r="N849" s="10"/>
      <c r="O849" s="11" t="s">
        <v>441</v>
      </c>
      <c r="P849" s="10" t="s">
        <v>71</v>
      </c>
      <c r="Q849" s="11" t="s">
        <v>72</v>
      </c>
      <c r="R849" s="11" t="s">
        <v>73</v>
      </c>
      <c r="S849" s="11" t="s">
        <v>74</v>
      </c>
      <c r="T849" s="11" t="s">
        <v>3654</v>
      </c>
      <c r="U849" s="10" t="n">
        <f aca="false">IF(AND($D849="",$E849="",$F849=""),1,0)</f>
        <v>0</v>
      </c>
      <c r="V849" s="10" t="n">
        <f aca="false">IF(OR($I849="",$I849="—"),1,0)</f>
        <v>0</v>
      </c>
      <c r="W849" s="10" t="n">
        <f aca="false">IF(AND(ISNUMBER($D849),ISNUMBER($E849)),IF($E849&gt;$D849,1,0),0)+IF(AND(ISNUMBER($D849),ISNUMBER($F849)),IF($D849&gt;$F849,1,0),0)+IF(AND(ISNUMBER($E849),ISNUMBER($F849)),IF($E849&gt;$F849,1,0),0)</f>
        <v>0</v>
      </c>
      <c r="X849" s="13" t="s">
        <v>76</v>
      </c>
    </row>
    <row r="850" customFormat="false" ht="15" hidden="false" customHeight="false" outlineLevel="0" collapsed="false">
      <c r="A850" s="10" t="s">
        <v>3655</v>
      </c>
      <c r="B850" s="10" t="s">
        <v>3656</v>
      </c>
      <c r="C850" s="11" t="s">
        <v>3657</v>
      </c>
      <c r="D850" s="12" t="n">
        <v>145</v>
      </c>
      <c r="E850" s="12"/>
      <c r="F850" s="12"/>
      <c r="G850" s="11" t="s">
        <v>439</v>
      </c>
      <c r="H850" s="10" t="s">
        <v>440</v>
      </c>
      <c r="I850" s="11" t="s">
        <v>3649</v>
      </c>
      <c r="J850" s="10" t="s">
        <v>66</v>
      </c>
      <c r="K850" s="10" t="s">
        <v>67</v>
      </c>
      <c r="L850" s="10" t="s">
        <v>68</v>
      </c>
      <c r="M850" s="10" t="s">
        <v>69</v>
      </c>
      <c r="N850" s="10"/>
      <c r="O850" s="11" t="s">
        <v>441</v>
      </c>
      <c r="P850" s="10" t="s">
        <v>71</v>
      </c>
      <c r="Q850" s="11" t="s">
        <v>72</v>
      </c>
      <c r="R850" s="11" t="s">
        <v>73</v>
      </c>
      <c r="S850" s="11" t="s">
        <v>74</v>
      </c>
      <c r="T850" s="11" t="s">
        <v>3658</v>
      </c>
      <c r="U850" s="10" t="n">
        <f aca="false">IF(AND($D850="",$E850="",$F850=""),1,0)</f>
        <v>0</v>
      </c>
      <c r="V850" s="10" t="n">
        <f aca="false">IF(OR($I850="",$I850="—"),1,0)</f>
        <v>0</v>
      </c>
      <c r="W850" s="10" t="n">
        <f aca="false">IF(AND(ISNUMBER($D850),ISNUMBER($E850)),IF($E850&gt;$D850,1,0),0)+IF(AND(ISNUMBER($D850),ISNUMBER($F850)),IF($D850&gt;$F850,1,0),0)+IF(AND(ISNUMBER($E850),ISNUMBER($F850)),IF($E850&gt;$F850,1,0),0)</f>
        <v>0</v>
      </c>
      <c r="X850" s="13" t="s">
        <v>76</v>
      </c>
    </row>
    <row r="851" customFormat="false" ht="15" hidden="false" customHeight="false" outlineLevel="0" collapsed="false">
      <c r="A851" s="10" t="s">
        <v>3659</v>
      </c>
      <c r="B851" s="10" t="s">
        <v>3660</v>
      </c>
      <c r="C851" s="11" t="s">
        <v>3661</v>
      </c>
      <c r="D851" s="12" t="n">
        <v>81</v>
      </c>
      <c r="E851" s="12"/>
      <c r="F851" s="12"/>
      <c r="G851" s="11" t="s">
        <v>439</v>
      </c>
      <c r="H851" s="10" t="s">
        <v>440</v>
      </c>
      <c r="I851" s="11" t="s">
        <v>3649</v>
      </c>
      <c r="J851" s="10" t="s">
        <v>66</v>
      </c>
      <c r="K851" s="10" t="s">
        <v>67</v>
      </c>
      <c r="L851" s="10" t="s">
        <v>68</v>
      </c>
      <c r="M851" s="10" t="s">
        <v>69</v>
      </c>
      <c r="N851" s="10"/>
      <c r="O851" s="11" t="s">
        <v>441</v>
      </c>
      <c r="P851" s="10" t="s">
        <v>71</v>
      </c>
      <c r="Q851" s="11" t="s">
        <v>72</v>
      </c>
      <c r="R851" s="11" t="s">
        <v>73</v>
      </c>
      <c r="S851" s="11" t="s">
        <v>74</v>
      </c>
      <c r="T851" s="11" t="s">
        <v>3662</v>
      </c>
      <c r="U851" s="10" t="n">
        <f aca="false">IF(AND($D851="",$E851="",$F851=""),1,0)</f>
        <v>0</v>
      </c>
      <c r="V851" s="10" t="n">
        <f aca="false">IF(OR($I851="",$I851="—"),1,0)</f>
        <v>0</v>
      </c>
      <c r="W851" s="10" t="n">
        <f aca="false">IF(AND(ISNUMBER($D851),ISNUMBER($E851)),IF($E851&gt;$D851,1,0),0)+IF(AND(ISNUMBER($D851),ISNUMBER($F851)),IF($D851&gt;$F851,1,0),0)+IF(AND(ISNUMBER($E851),ISNUMBER($F851)),IF($E851&gt;$F851,1,0),0)</f>
        <v>0</v>
      </c>
      <c r="X851" s="13" t="s">
        <v>76</v>
      </c>
    </row>
    <row r="852" customFormat="false" ht="15" hidden="false" customHeight="false" outlineLevel="0" collapsed="false">
      <c r="A852" s="10" t="s">
        <v>3663</v>
      </c>
      <c r="B852" s="10" t="s">
        <v>3664</v>
      </c>
      <c r="C852" s="11" t="s">
        <v>937</v>
      </c>
      <c r="D852" s="12" t="n">
        <v>74.4</v>
      </c>
      <c r="E852" s="12"/>
      <c r="F852" s="12"/>
      <c r="G852" s="10" t="s">
        <v>401</v>
      </c>
      <c r="H852" s="10" t="s">
        <v>440</v>
      </c>
      <c r="I852" s="11" t="s">
        <v>3649</v>
      </c>
      <c r="J852" s="10" t="s">
        <v>66</v>
      </c>
      <c r="K852" s="10" t="s">
        <v>67</v>
      </c>
      <c r="L852" s="10" t="s">
        <v>68</v>
      </c>
      <c r="M852" s="10" t="s">
        <v>69</v>
      </c>
      <c r="N852" s="10"/>
      <c r="O852" s="11" t="s">
        <v>441</v>
      </c>
      <c r="P852" s="10" t="s">
        <v>71</v>
      </c>
      <c r="Q852" s="11" t="s">
        <v>72</v>
      </c>
      <c r="R852" s="11" t="s">
        <v>73</v>
      </c>
      <c r="S852" s="11" t="s">
        <v>74</v>
      </c>
      <c r="T852" s="11" t="s">
        <v>3665</v>
      </c>
      <c r="U852" s="10" t="n">
        <f aca="false">IF(AND($D852="",$E852="",$F852=""),1,0)</f>
        <v>0</v>
      </c>
      <c r="V852" s="10" t="n">
        <f aca="false">IF(OR($I852="",$I852="—"),1,0)</f>
        <v>0</v>
      </c>
      <c r="W852" s="10" t="n">
        <f aca="false">IF(AND(ISNUMBER($D852),ISNUMBER($E852)),IF($E852&gt;$D852,1,0),0)+IF(AND(ISNUMBER($D852),ISNUMBER($F852)),IF($D852&gt;$F852,1,0),0)+IF(AND(ISNUMBER($E852),ISNUMBER($F852)),IF($E852&gt;$F852,1,0),0)</f>
        <v>0</v>
      </c>
      <c r="X852" s="13" t="s">
        <v>76</v>
      </c>
    </row>
    <row r="853" customFormat="false" ht="15" hidden="false" customHeight="false" outlineLevel="0" collapsed="false">
      <c r="A853" s="10" t="s">
        <v>3666</v>
      </c>
      <c r="B853" s="10" t="s">
        <v>3667</v>
      </c>
      <c r="C853" s="11" t="s">
        <v>438</v>
      </c>
      <c r="D853" s="12" t="n">
        <v>657</v>
      </c>
      <c r="E853" s="12"/>
      <c r="F853" s="12"/>
      <c r="G853" s="11" t="s">
        <v>439</v>
      </c>
      <c r="H853" s="10" t="s">
        <v>440</v>
      </c>
      <c r="I853" s="11" t="s">
        <v>3668</v>
      </c>
      <c r="J853" s="10" t="s">
        <v>66</v>
      </c>
      <c r="K853" s="10" t="s">
        <v>67</v>
      </c>
      <c r="L853" s="10" t="s">
        <v>68</v>
      </c>
      <c r="M853" s="10" t="s">
        <v>69</v>
      </c>
      <c r="N853" s="10"/>
      <c r="O853" s="11" t="s">
        <v>441</v>
      </c>
      <c r="P853" s="10" t="s">
        <v>71</v>
      </c>
      <c r="Q853" s="11" t="s">
        <v>72</v>
      </c>
      <c r="R853" s="11" t="s">
        <v>73</v>
      </c>
      <c r="S853" s="11" t="s">
        <v>74</v>
      </c>
      <c r="T853" s="11" t="s">
        <v>3669</v>
      </c>
      <c r="U853" s="10" t="n">
        <f aca="false">IF(AND($D853="",$E853="",$F853=""),1,0)</f>
        <v>0</v>
      </c>
      <c r="V853" s="10" t="n">
        <f aca="false">IF(OR($I853="",$I853="—"),1,0)</f>
        <v>0</v>
      </c>
      <c r="W853" s="10" t="n">
        <f aca="false">IF(AND(ISNUMBER($D853),ISNUMBER($E853)),IF($E853&gt;$D853,1,0),0)+IF(AND(ISNUMBER($D853),ISNUMBER($F853)),IF($D853&gt;$F853,1,0),0)+IF(AND(ISNUMBER($E853),ISNUMBER($F853)),IF($E853&gt;$F853,1,0),0)</f>
        <v>0</v>
      </c>
      <c r="X853" s="13" t="s">
        <v>76</v>
      </c>
    </row>
    <row r="854" customFormat="false" ht="15" hidden="false" customHeight="false" outlineLevel="0" collapsed="false">
      <c r="A854" s="10" t="s">
        <v>3670</v>
      </c>
      <c r="B854" s="10" t="s">
        <v>3671</v>
      </c>
      <c r="C854" s="11" t="s">
        <v>3672</v>
      </c>
      <c r="D854" s="12" t="n">
        <v>0.9072</v>
      </c>
      <c r="E854" s="12"/>
      <c r="F854" s="12"/>
      <c r="G854" s="10" t="s">
        <v>63</v>
      </c>
      <c r="H854" s="10" t="s">
        <v>64</v>
      </c>
      <c r="I854" s="11" t="s">
        <v>3673</v>
      </c>
      <c r="J854" s="10" t="s">
        <v>66</v>
      </c>
      <c r="K854" s="10" t="s">
        <v>67</v>
      </c>
      <c r="L854" s="10" t="s">
        <v>68</v>
      </c>
      <c r="M854" s="10" t="s">
        <v>69</v>
      </c>
      <c r="N854" s="10"/>
      <c r="O854" s="11" t="s">
        <v>3422</v>
      </c>
      <c r="P854" s="10" t="s">
        <v>71</v>
      </c>
      <c r="Q854" s="11" t="s">
        <v>72</v>
      </c>
      <c r="R854" s="11" t="s">
        <v>73</v>
      </c>
      <c r="S854" s="11" t="s">
        <v>74</v>
      </c>
      <c r="T854" s="11" t="s">
        <v>3674</v>
      </c>
      <c r="U854" s="10" t="n">
        <f aca="false">IF(AND($D854="",$E854="",$F854=""),1,0)</f>
        <v>0</v>
      </c>
      <c r="V854" s="10" t="n">
        <f aca="false">IF(OR($I854="",$I854="—"),1,0)</f>
        <v>0</v>
      </c>
      <c r="W854" s="10" t="n">
        <f aca="false">IF(AND(ISNUMBER($D854),ISNUMBER($E854)),IF($E854&gt;$D854,1,0),0)+IF(AND(ISNUMBER($D854),ISNUMBER($F854)),IF($D854&gt;$F854,1,0),0)+IF(AND(ISNUMBER($E854),ISNUMBER($F854)),IF($E854&gt;$F854,1,0),0)</f>
        <v>0</v>
      </c>
      <c r="X854" s="13" t="s">
        <v>76</v>
      </c>
    </row>
    <row r="855" customFormat="false" ht="15" hidden="false" customHeight="false" outlineLevel="0" collapsed="false">
      <c r="A855" s="10" t="s">
        <v>3675</v>
      </c>
      <c r="B855" s="10" t="s">
        <v>3676</v>
      </c>
      <c r="C855" s="11" t="s">
        <v>3672</v>
      </c>
      <c r="D855" s="12" t="n">
        <v>2.1728</v>
      </c>
      <c r="E855" s="12"/>
      <c r="F855" s="12"/>
      <c r="G855" s="10" t="s">
        <v>63</v>
      </c>
      <c r="H855" s="10" t="s">
        <v>79</v>
      </c>
      <c r="I855" s="11" t="s">
        <v>3673</v>
      </c>
      <c r="J855" s="10" t="s">
        <v>66</v>
      </c>
      <c r="K855" s="10" t="s">
        <v>67</v>
      </c>
      <c r="L855" s="10" t="s">
        <v>68</v>
      </c>
      <c r="M855" s="10" t="s">
        <v>69</v>
      </c>
      <c r="N855" s="10"/>
      <c r="O855" s="11" t="s">
        <v>3422</v>
      </c>
      <c r="P855" s="10" t="s">
        <v>71</v>
      </c>
      <c r="Q855" s="11" t="s">
        <v>72</v>
      </c>
      <c r="R855" s="11" t="s">
        <v>73</v>
      </c>
      <c r="S855" s="11" t="s">
        <v>74</v>
      </c>
      <c r="T855" s="11" t="s">
        <v>3677</v>
      </c>
      <c r="U855" s="10" t="n">
        <f aca="false">IF(AND($D855="",$E855="",$F855=""),1,0)</f>
        <v>0</v>
      </c>
      <c r="V855" s="10" t="n">
        <f aca="false">IF(OR($I855="",$I855="—"),1,0)</f>
        <v>0</v>
      </c>
      <c r="W855" s="10" t="n">
        <f aca="false">IF(AND(ISNUMBER($D855),ISNUMBER($E855)),IF($E855&gt;$D855,1,0),0)+IF(AND(ISNUMBER($D855),ISNUMBER($F855)),IF($D855&gt;$F855,1,0),0)+IF(AND(ISNUMBER($E855),ISNUMBER($F855)),IF($E855&gt;$F855,1,0),0)</f>
        <v>0</v>
      </c>
      <c r="X855" s="13" t="s">
        <v>76</v>
      </c>
    </row>
    <row r="856" customFormat="false" ht="15" hidden="false" customHeight="false" outlineLevel="0" collapsed="false">
      <c r="A856" s="10" t="s">
        <v>3678</v>
      </c>
      <c r="B856" s="10" t="s">
        <v>3679</v>
      </c>
      <c r="C856" s="11" t="s">
        <v>3672</v>
      </c>
      <c r="D856" s="12" t="n">
        <v>5.7322</v>
      </c>
      <c r="E856" s="12"/>
      <c r="F856" s="12"/>
      <c r="G856" s="10" t="s">
        <v>63</v>
      </c>
      <c r="H856" s="10" t="s">
        <v>83</v>
      </c>
      <c r="I856" s="11" t="s">
        <v>3673</v>
      </c>
      <c r="J856" s="10" t="s">
        <v>66</v>
      </c>
      <c r="K856" s="10" t="s">
        <v>67</v>
      </c>
      <c r="L856" s="10" t="s">
        <v>68</v>
      </c>
      <c r="M856" s="10" t="s">
        <v>69</v>
      </c>
      <c r="N856" s="10"/>
      <c r="O856" s="11" t="s">
        <v>3422</v>
      </c>
      <c r="P856" s="10" t="s">
        <v>71</v>
      </c>
      <c r="Q856" s="11" t="s">
        <v>72</v>
      </c>
      <c r="R856" s="11" t="s">
        <v>73</v>
      </c>
      <c r="S856" s="11" t="s">
        <v>74</v>
      </c>
      <c r="T856" s="11" t="s">
        <v>3680</v>
      </c>
      <c r="U856" s="10" t="n">
        <f aca="false">IF(AND($D856="",$E856="",$F856=""),1,0)</f>
        <v>0</v>
      </c>
      <c r="V856" s="10" t="n">
        <f aca="false">IF(OR($I856="",$I856="—"),1,0)</f>
        <v>0</v>
      </c>
      <c r="W856" s="10" t="n">
        <f aca="false">IF(AND(ISNUMBER($D856),ISNUMBER($E856)),IF($E856&gt;$D856,1,0),0)+IF(AND(ISNUMBER($D856),ISNUMBER($F856)),IF($D856&gt;$F856,1,0),0)+IF(AND(ISNUMBER($E856),ISNUMBER($F856)),IF($E856&gt;$F856,1,0),0)</f>
        <v>0</v>
      </c>
      <c r="X856" s="13" t="s">
        <v>76</v>
      </c>
    </row>
    <row r="857" customFormat="false" ht="15" hidden="false" customHeight="false" outlineLevel="0" collapsed="false">
      <c r="A857" s="10" t="s">
        <v>3681</v>
      </c>
      <c r="B857" s="10" t="s">
        <v>3682</v>
      </c>
      <c r="C857" s="11" t="s">
        <v>3672</v>
      </c>
      <c r="D857" s="12" t="n">
        <v>1.9235</v>
      </c>
      <c r="E857" s="12"/>
      <c r="F857" s="12"/>
      <c r="G857" s="10" t="s">
        <v>63</v>
      </c>
      <c r="H857" s="10" t="s">
        <v>87</v>
      </c>
      <c r="I857" s="11" t="s">
        <v>3673</v>
      </c>
      <c r="J857" s="10" t="s">
        <v>66</v>
      </c>
      <c r="K857" s="10" t="s">
        <v>67</v>
      </c>
      <c r="L857" s="10" t="s">
        <v>68</v>
      </c>
      <c r="M857" s="10" t="s">
        <v>69</v>
      </c>
      <c r="N857" s="10"/>
      <c r="O857" s="11" t="s">
        <v>3608</v>
      </c>
      <c r="P857" s="10" t="s">
        <v>71</v>
      </c>
      <c r="Q857" s="11" t="s">
        <v>72</v>
      </c>
      <c r="R857" s="11" t="s">
        <v>73</v>
      </c>
      <c r="S857" s="11" t="s">
        <v>74</v>
      </c>
      <c r="T857" s="11" t="s">
        <v>3683</v>
      </c>
      <c r="U857" s="10" t="n">
        <f aca="false">IF(AND($D857="",$E857="",$F857=""),1,0)</f>
        <v>0</v>
      </c>
      <c r="V857" s="10" t="n">
        <f aca="false">IF(OR($I857="",$I857="—"),1,0)</f>
        <v>0</v>
      </c>
      <c r="W857" s="10" t="n">
        <f aca="false">IF(AND(ISNUMBER($D857),ISNUMBER($E857)),IF($E857&gt;$D857,1,0),0)+IF(AND(ISNUMBER($D857),ISNUMBER($F857)),IF($D857&gt;$F857,1,0),0)+IF(AND(ISNUMBER($E857),ISNUMBER($F857)),IF($E857&gt;$F857,1,0),0)</f>
        <v>0</v>
      </c>
      <c r="X857" s="13" t="s">
        <v>76</v>
      </c>
    </row>
    <row r="858" customFormat="false" ht="15" hidden="false" customHeight="false" outlineLevel="0" collapsed="false">
      <c r="A858" s="10" t="s">
        <v>3684</v>
      </c>
      <c r="B858" s="10" t="s">
        <v>3685</v>
      </c>
      <c r="C858" s="11" t="s">
        <v>3672</v>
      </c>
      <c r="D858" s="12" t="n">
        <v>4.9959</v>
      </c>
      <c r="E858" s="12"/>
      <c r="F858" s="12"/>
      <c r="G858" s="10" t="s">
        <v>63</v>
      </c>
      <c r="H858" s="10" t="s">
        <v>92</v>
      </c>
      <c r="I858" s="11" t="s">
        <v>3673</v>
      </c>
      <c r="J858" s="10" t="s">
        <v>66</v>
      </c>
      <c r="K858" s="10" t="s">
        <v>67</v>
      </c>
      <c r="L858" s="10" t="s">
        <v>68</v>
      </c>
      <c r="M858" s="10" t="s">
        <v>69</v>
      </c>
      <c r="N858" s="10"/>
      <c r="O858" s="11" t="s">
        <v>3428</v>
      </c>
      <c r="P858" s="10" t="s">
        <v>71</v>
      </c>
      <c r="Q858" s="11" t="s">
        <v>72</v>
      </c>
      <c r="R858" s="11" t="s">
        <v>73</v>
      </c>
      <c r="S858" s="11" t="s">
        <v>74</v>
      </c>
      <c r="T858" s="11" t="s">
        <v>3686</v>
      </c>
      <c r="U858" s="10" t="n">
        <f aca="false">IF(AND($D858="",$E858="",$F858=""),1,0)</f>
        <v>0</v>
      </c>
      <c r="V858" s="10" t="n">
        <f aca="false">IF(OR($I858="",$I858="—"),1,0)</f>
        <v>0</v>
      </c>
      <c r="W858" s="10" t="n">
        <f aca="false">IF(AND(ISNUMBER($D858),ISNUMBER($E858)),IF($E858&gt;$D858,1,0),0)+IF(AND(ISNUMBER($D858),ISNUMBER($F858)),IF($D858&gt;$F858,1,0),0)+IF(AND(ISNUMBER($E858),ISNUMBER($F858)),IF($E858&gt;$F858,1,0),0)</f>
        <v>0</v>
      </c>
      <c r="X858" s="13" t="s">
        <v>76</v>
      </c>
    </row>
    <row r="859" customFormat="false" ht="15" hidden="false" customHeight="false" outlineLevel="0" collapsed="false">
      <c r="A859" s="10" t="s">
        <v>3687</v>
      </c>
      <c r="B859" s="10" t="s">
        <v>3688</v>
      </c>
      <c r="C859" s="11" t="s">
        <v>3689</v>
      </c>
      <c r="D859" s="12" t="n">
        <v>0.822</v>
      </c>
      <c r="E859" s="12"/>
      <c r="F859" s="12"/>
      <c r="G859" s="10" t="s">
        <v>63</v>
      </c>
      <c r="H859" s="10" t="s">
        <v>64</v>
      </c>
      <c r="I859" s="11" t="s">
        <v>3673</v>
      </c>
      <c r="J859" s="10" t="s">
        <v>66</v>
      </c>
      <c r="K859" s="10" t="s">
        <v>67</v>
      </c>
      <c r="L859" s="10" t="s">
        <v>68</v>
      </c>
      <c r="M859" s="10" t="s">
        <v>69</v>
      </c>
      <c r="N859" s="10"/>
      <c r="O859" s="11" t="s">
        <v>3422</v>
      </c>
      <c r="P859" s="10" t="s">
        <v>71</v>
      </c>
      <c r="Q859" s="11" t="s">
        <v>72</v>
      </c>
      <c r="R859" s="11" t="s">
        <v>73</v>
      </c>
      <c r="S859" s="11" t="s">
        <v>74</v>
      </c>
      <c r="T859" s="11" t="s">
        <v>3690</v>
      </c>
      <c r="U859" s="10" t="n">
        <f aca="false">IF(AND($D859="",$E859="",$F859=""),1,0)</f>
        <v>0</v>
      </c>
      <c r="V859" s="10" t="n">
        <f aca="false">IF(OR($I859="",$I859="—"),1,0)</f>
        <v>0</v>
      </c>
      <c r="W859" s="10" t="n">
        <f aca="false">IF(AND(ISNUMBER($D859),ISNUMBER($E859)),IF($E859&gt;$D859,1,0),0)+IF(AND(ISNUMBER($D859),ISNUMBER($F859)),IF($D859&gt;$F859,1,0),0)+IF(AND(ISNUMBER($E859),ISNUMBER($F859)),IF($E859&gt;$F859,1,0),0)</f>
        <v>0</v>
      </c>
      <c r="X859" s="13" t="s">
        <v>76</v>
      </c>
    </row>
    <row r="860" customFormat="false" ht="15" hidden="false" customHeight="false" outlineLevel="0" collapsed="false">
      <c r="A860" s="10" t="s">
        <v>3691</v>
      </c>
      <c r="B860" s="10" t="s">
        <v>3692</v>
      </c>
      <c r="C860" s="11" t="s">
        <v>3689</v>
      </c>
      <c r="D860" s="12" t="n">
        <v>1.9512</v>
      </c>
      <c r="E860" s="12"/>
      <c r="F860" s="12"/>
      <c r="G860" s="10" t="s">
        <v>63</v>
      </c>
      <c r="H860" s="10" t="s">
        <v>79</v>
      </c>
      <c r="I860" s="11" t="s">
        <v>3673</v>
      </c>
      <c r="J860" s="10" t="s">
        <v>66</v>
      </c>
      <c r="K860" s="10" t="s">
        <v>67</v>
      </c>
      <c r="L860" s="10" t="s">
        <v>68</v>
      </c>
      <c r="M860" s="10" t="s">
        <v>69</v>
      </c>
      <c r="N860" s="10"/>
      <c r="O860" s="11" t="s">
        <v>3422</v>
      </c>
      <c r="P860" s="10" t="s">
        <v>71</v>
      </c>
      <c r="Q860" s="11" t="s">
        <v>72</v>
      </c>
      <c r="R860" s="11" t="s">
        <v>73</v>
      </c>
      <c r="S860" s="11" t="s">
        <v>74</v>
      </c>
      <c r="T860" s="11" t="s">
        <v>3693</v>
      </c>
      <c r="U860" s="10" t="n">
        <f aca="false">IF(AND($D860="",$E860="",$F860=""),1,0)</f>
        <v>0</v>
      </c>
      <c r="V860" s="10" t="n">
        <f aca="false">IF(OR($I860="",$I860="—"),1,0)</f>
        <v>0</v>
      </c>
      <c r="W860" s="10" t="n">
        <f aca="false">IF(AND(ISNUMBER($D860),ISNUMBER($E860)),IF($E860&gt;$D860,1,0),0)+IF(AND(ISNUMBER($D860),ISNUMBER($F860)),IF($D860&gt;$F860,1,0),0)+IF(AND(ISNUMBER($E860),ISNUMBER($F860)),IF($E860&gt;$F860,1,0),0)</f>
        <v>0</v>
      </c>
      <c r="X860" s="13" t="s">
        <v>76</v>
      </c>
    </row>
    <row r="861" customFormat="false" ht="15" hidden="false" customHeight="false" outlineLevel="0" collapsed="false">
      <c r="A861" s="10" t="s">
        <v>3694</v>
      </c>
      <c r="B861" s="10" t="s">
        <v>3695</v>
      </c>
      <c r="C861" s="11" t="s">
        <v>3689</v>
      </c>
      <c r="D861" s="12" t="n">
        <v>5.1218</v>
      </c>
      <c r="E861" s="12"/>
      <c r="F861" s="12"/>
      <c r="G861" s="10" t="s">
        <v>63</v>
      </c>
      <c r="H861" s="10" t="s">
        <v>83</v>
      </c>
      <c r="I861" s="11" t="s">
        <v>3673</v>
      </c>
      <c r="J861" s="10" t="s">
        <v>66</v>
      </c>
      <c r="K861" s="10" t="s">
        <v>67</v>
      </c>
      <c r="L861" s="10" t="s">
        <v>68</v>
      </c>
      <c r="M861" s="10" t="s">
        <v>69</v>
      </c>
      <c r="N861" s="10"/>
      <c r="O861" s="11" t="s">
        <v>3422</v>
      </c>
      <c r="P861" s="10" t="s">
        <v>71</v>
      </c>
      <c r="Q861" s="11" t="s">
        <v>72</v>
      </c>
      <c r="R861" s="11" t="s">
        <v>73</v>
      </c>
      <c r="S861" s="11" t="s">
        <v>74</v>
      </c>
      <c r="T861" s="11" t="s">
        <v>3696</v>
      </c>
      <c r="U861" s="10" t="n">
        <f aca="false">IF(AND($D861="",$E861="",$F861=""),1,0)</f>
        <v>0</v>
      </c>
      <c r="V861" s="10" t="n">
        <f aca="false">IF(OR($I861="",$I861="—"),1,0)</f>
        <v>0</v>
      </c>
      <c r="W861" s="10" t="n">
        <f aca="false">IF(AND(ISNUMBER($D861),ISNUMBER($E861)),IF($E861&gt;$D861,1,0),0)+IF(AND(ISNUMBER($D861),ISNUMBER($F861)),IF($D861&gt;$F861,1,0),0)+IF(AND(ISNUMBER($E861),ISNUMBER($F861)),IF($E861&gt;$F861,1,0),0)</f>
        <v>0</v>
      </c>
      <c r="X861" s="13" t="s">
        <v>76</v>
      </c>
    </row>
    <row r="862" customFormat="false" ht="15" hidden="false" customHeight="false" outlineLevel="0" collapsed="false">
      <c r="A862" s="10" t="s">
        <v>3697</v>
      </c>
      <c r="B862" s="10" t="s">
        <v>3698</v>
      </c>
      <c r="C862" s="11" t="s">
        <v>3689</v>
      </c>
      <c r="D862" s="12" t="n">
        <v>1.7166</v>
      </c>
      <c r="E862" s="12"/>
      <c r="F862" s="12"/>
      <c r="G862" s="10" t="s">
        <v>63</v>
      </c>
      <c r="H862" s="10" t="s">
        <v>87</v>
      </c>
      <c r="I862" s="11" t="s">
        <v>3673</v>
      </c>
      <c r="J862" s="10" t="s">
        <v>66</v>
      </c>
      <c r="K862" s="10" t="s">
        <v>67</v>
      </c>
      <c r="L862" s="10" t="s">
        <v>68</v>
      </c>
      <c r="M862" s="10" t="s">
        <v>69</v>
      </c>
      <c r="N862" s="10"/>
      <c r="O862" s="11" t="s">
        <v>3608</v>
      </c>
      <c r="P862" s="10" t="s">
        <v>71</v>
      </c>
      <c r="Q862" s="11" t="s">
        <v>72</v>
      </c>
      <c r="R862" s="11" t="s">
        <v>73</v>
      </c>
      <c r="S862" s="11" t="s">
        <v>74</v>
      </c>
      <c r="T862" s="11" t="s">
        <v>3699</v>
      </c>
      <c r="U862" s="10" t="n">
        <f aca="false">IF(AND($D862="",$E862="",$F862=""),1,0)</f>
        <v>0</v>
      </c>
      <c r="V862" s="10" t="n">
        <f aca="false">IF(OR($I862="",$I862="—"),1,0)</f>
        <v>0</v>
      </c>
      <c r="W862" s="10" t="n">
        <f aca="false">IF(AND(ISNUMBER($D862),ISNUMBER($E862)),IF($E862&gt;$D862,1,0),0)+IF(AND(ISNUMBER($D862),ISNUMBER($F862)),IF($D862&gt;$F862,1,0),0)+IF(AND(ISNUMBER($E862),ISNUMBER($F862)),IF($E862&gt;$F862,1,0),0)</f>
        <v>0</v>
      </c>
      <c r="X862" s="13" t="s">
        <v>76</v>
      </c>
    </row>
    <row r="863" customFormat="false" ht="15" hidden="false" customHeight="false" outlineLevel="0" collapsed="false">
      <c r="A863" s="10" t="s">
        <v>3700</v>
      </c>
      <c r="B863" s="10" t="s">
        <v>3701</v>
      </c>
      <c r="C863" s="11" t="s">
        <v>3689</v>
      </c>
      <c r="D863" s="12" t="n">
        <v>3.1862</v>
      </c>
      <c r="E863" s="12"/>
      <c r="F863" s="12"/>
      <c r="G863" s="10" t="s">
        <v>63</v>
      </c>
      <c r="H863" s="10" t="s">
        <v>92</v>
      </c>
      <c r="I863" s="11" t="s">
        <v>3673</v>
      </c>
      <c r="J863" s="10" t="s">
        <v>66</v>
      </c>
      <c r="K863" s="10" t="s">
        <v>67</v>
      </c>
      <c r="L863" s="10" t="s">
        <v>68</v>
      </c>
      <c r="M863" s="10" t="s">
        <v>69</v>
      </c>
      <c r="N863" s="10"/>
      <c r="O863" s="11" t="s">
        <v>3428</v>
      </c>
      <c r="P863" s="10" t="s">
        <v>71</v>
      </c>
      <c r="Q863" s="11" t="s">
        <v>72</v>
      </c>
      <c r="R863" s="11" t="s">
        <v>73</v>
      </c>
      <c r="S863" s="11" t="s">
        <v>74</v>
      </c>
      <c r="T863" s="11" t="s">
        <v>3702</v>
      </c>
      <c r="U863" s="10" t="n">
        <f aca="false">IF(AND($D863="",$E863="",$F863=""),1,0)</f>
        <v>0</v>
      </c>
      <c r="V863" s="10" t="n">
        <f aca="false">IF(OR($I863="",$I863="—"),1,0)</f>
        <v>0</v>
      </c>
      <c r="W863" s="10" t="n">
        <f aca="false">IF(AND(ISNUMBER($D863),ISNUMBER($E863)),IF($E863&gt;$D863,1,0),0)+IF(AND(ISNUMBER($D863),ISNUMBER($F863)),IF($D863&gt;$F863,1,0),0)+IF(AND(ISNUMBER($E863),ISNUMBER($F863)),IF($E863&gt;$F863,1,0),0)</f>
        <v>0</v>
      </c>
      <c r="X863" s="13" t="s">
        <v>76</v>
      </c>
    </row>
    <row r="864" customFormat="false" ht="15" hidden="false" customHeight="false" outlineLevel="0" collapsed="false">
      <c r="A864" s="10" t="s">
        <v>3703</v>
      </c>
      <c r="B864" s="10" t="s">
        <v>3704</v>
      </c>
      <c r="C864" s="11" t="s">
        <v>3705</v>
      </c>
      <c r="D864" s="12" t="n">
        <v>0.075</v>
      </c>
      <c r="E864" s="12"/>
      <c r="F864" s="12"/>
      <c r="G864" s="10" t="s">
        <v>63</v>
      </c>
      <c r="H864" s="10" t="s">
        <v>64</v>
      </c>
      <c r="I864" s="11" t="s">
        <v>3673</v>
      </c>
      <c r="J864" s="10" t="s">
        <v>66</v>
      </c>
      <c r="K864" s="10" t="s">
        <v>67</v>
      </c>
      <c r="L864" s="10" t="s">
        <v>68</v>
      </c>
      <c r="M864" s="10" t="s">
        <v>69</v>
      </c>
      <c r="N864" s="10"/>
      <c r="O864" s="11" t="s">
        <v>3422</v>
      </c>
      <c r="P864" s="10" t="s">
        <v>71</v>
      </c>
      <c r="Q864" s="11" t="s">
        <v>72</v>
      </c>
      <c r="R864" s="11" t="s">
        <v>73</v>
      </c>
      <c r="S864" s="11" t="s">
        <v>74</v>
      </c>
      <c r="T864" s="11" t="s">
        <v>3706</v>
      </c>
      <c r="U864" s="10" t="n">
        <f aca="false">IF(AND($D864="",$E864="",$F864=""),1,0)</f>
        <v>0</v>
      </c>
      <c r="V864" s="10" t="n">
        <f aca="false">IF(OR($I864="",$I864="—"),1,0)</f>
        <v>0</v>
      </c>
      <c r="W864" s="10" t="n">
        <f aca="false">IF(AND(ISNUMBER($D864),ISNUMBER($E864)),IF($E864&gt;$D864,1,0),0)+IF(AND(ISNUMBER($D864),ISNUMBER($F864)),IF($D864&gt;$F864,1,0),0)+IF(AND(ISNUMBER($E864),ISNUMBER($F864)),IF($E864&gt;$F864,1,0),0)</f>
        <v>0</v>
      </c>
      <c r="X864" s="13" t="s">
        <v>76</v>
      </c>
    </row>
    <row r="865" customFormat="false" ht="15" hidden="false" customHeight="false" outlineLevel="0" collapsed="false">
      <c r="A865" s="10" t="s">
        <v>3707</v>
      </c>
      <c r="B865" s="10" t="s">
        <v>3708</v>
      </c>
      <c r="C865" s="11" t="s">
        <v>3705</v>
      </c>
      <c r="D865" s="12" t="n">
        <v>0.1667</v>
      </c>
      <c r="E865" s="12"/>
      <c r="F865" s="12"/>
      <c r="G865" s="10" t="s">
        <v>63</v>
      </c>
      <c r="H865" s="10" t="s">
        <v>79</v>
      </c>
      <c r="I865" s="11" t="s">
        <v>3673</v>
      </c>
      <c r="J865" s="10" t="s">
        <v>66</v>
      </c>
      <c r="K865" s="10" t="s">
        <v>67</v>
      </c>
      <c r="L865" s="10" t="s">
        <v>68</v>
      </c>
      <c r="M865" s="10" t="s">
        <v>69</v>
      </c>
      <c r="N865" s="10"/>
      <c r="O865" s="11" t="s">
        <v>3422</v>
      </c>
      <c r="P865" s="10" t="s">
        <v>71</v>
      </c>
      <c r="Q865" s="11" t="s">
        <v>72</v>
      </c>
      <c r="R865" s="11" t="s">
        <v>73</v>
      </c>
      <c r="S865" s="11" t="s">
        <v>74</v>
      </c>
      <c r="T865" s="11" t="s">
        <v>3709</v>
      </c>
      <c r="U865" s="10" t="n">
        <f aca="false">IF(AND($D865="",$E865="",$F865=""),1,0)</f>
        <v>0</v>
      </c>
      <c r="V865" s="10" t="n">
        <f aca="false">IF(OR($I865="",$I865="—"),1,0)</f>
        <v>0</v>
      </c>
      <c r="W865" s="10" t="n">
        <f aca="false">IF(AND(ISNUMBER($D865),ISNUMBER($E865)),IF($E865&gt;$D865,1,0),0)+IF(AND(ISNUMBER($D865),ISNUMBER($F865)),IF($D865&gt;$F865,1,0),0)+IF(AND(ISNUMBER($E865),ISNUMBER($F865)),IF($E865&gt;$F865,1,0),0)</f>
        <v>0</v>
      </c>
      <c r="X865" s="13" t="s">
        <v>76</v>
      </c>
    </row>
    <row r="866" customFormat="false" ht="15" hidden="false" customHeight="false" outlineLevel="0" collapsed="false">
      <c r="A866" s="10" t="s">
        <v>3710</v>
      </c>
      <c r="B866" s="10" t="s">
        <v>3711</v>
      </c>
      <c r="C866" s="11" t="s">
        <v>3705</v>
      </c>
      <c r="D866" s="12" t="n">
        <v>0.3747</v>
      </c>
      <c r="E866" s="12"/>
      <c r="F866" s="12"/>
      <c r="G866" s="10" t="s">
        <v>63</v>
      </c>
      <c r="H866" s="10" t="s">
        <v>83</v>
      </c>
      <c r="I866" s="11" t="s">
        <v>3673</v>
      </c>
      <c r="J866" s="10" t="s">
        <v>66</v>
      </c>
      <c r="K866" s="10" t="s">
        <v>67</v>
      </c>
      <c r="L866" s="10" t="s">
        <v>68</v>
      </c>
      <c r="M866" s="10" t="s">
        <v>69</v>
      </c>
      <c r="N866" s="10"/>
      <c r="O866" s="11" t="s">
        <v>3422</v>
      </c>
      <c r="P866" s="10" t="s">
        <v>71</v>
      </c>
      <c r="Q866" s="11" t="s">
        <v>72</v>
      </c>
      <c r="R866" s="11" t="s">
        <v>73</v>
      </c>
      <c r="S866" s="11" t="s">
        <v>74</v>
      </c>
      <c r="T866" s="11" t="s">
        <v>3712</v>
      </c>
      <c r="U866" s="10" t="n">
        <f aca="false">IF(AND($D866="",$E866="",$F866=""),1,0)</f>
        <v>0</v>
      </c>
      <c r="V866" s="10" t="n">
        <f aca="false">IF(OR($I866="",$I866="—"),1,0)</f>
        <v>0</v>
      </c>
      <c r="W866" s="10" t="n">
        <f aca="false">IF(AND(ISNUMBER($D866),ISNUMBER($E866)),IF($E866&gt;$D866,1,0),0)+IF(AND(ISNUMBER($D866),ISNUMBER($F866)),IF($D866&gt;$F866,1,0),0)+IF(AND(ISNUMBER($E866),ISNUMBER($F866)),IF($E866&gt;$F866,1,0),0)</f>
        <v>0</v>
      </c>
      <c r="X866" s="13" t="s">
        <v>76</v>
      </c>
    </row>
    <row r="867" customFormat="false" ht="15" hidden="false" customHeight="false" outlineLevel="0" collapsed="false">
      <c r="A867" s="10" t="s">
        <v>3713</v>
      </c>
      <c r="B867" s="10" t="s">
        <v>3714</v>
      </c>
      <c r="C867" s="11" t="s">
        <v>3705</v>
      </c>
      <c r="D867" s="12" t="n">
        <v>0.1647</v>
      </c>
      <c r="E867" s="12"/>
      <c r="F867" s="12"/>
      <c r="G867" s="10" t="s">
        <v>63</v>
      </c>
      <c r="H867" s="10" t="s">
        <v>87</v>
      </c>
      <c r="I867" s="11" t="s">
        <v>3673</v>
      </c>
      <c r="J867" s="10" t="s">
        <v>66</v>
      </c>
      <c r="K867" s="10" t="s">
        <v>67</v>
      </c>
      <c r="L867" s="10" t="s">
        <v>68</v>
      </c>
      <c r="M867" s="10" t="s">
        <v>69</v>
      </c>
      <c r="N867" s="10"/>
      <c r="O867" s="11" t="s">
        <v>3608</v>
      </c>
      <c r="P867" s="10" t="s">
        <v>71</v>
      </c>
      <c r="Q867" s="11" t="s">
        <v>72</v>
      </c>
      <c r="R867" s="11" t="s">
        <v>73</v>
      </c>
      <c r="S867" s="11" t="s">
        <v>74</v>
      </c>
      <c r="T867" s="11" t="s">
        <v>3715</v>
      </c>
      <c r="U867" s="10" t="n">
        <f aca="false">IF(AND($D867="",$E867="",$F867=""),1,0)</f>
        <v>0</v>
      </c>
      <c r="V867" s="10" t="n">
        <f aca="false">IF(OR($I867="",$I867="—"),1,0)</f>
        <v>0</v>
      </c>
      <c r="W867" s="10" t="n">
        <f aca="false">IF(AND(ISNUMBER($D867),ISNUMBER($E867)),IF($E867&gt;$D867,1,0),0)+IF(AND(ISNUMBER($D867),ISNUMBER($F867)),IF($D867&gt;$F867,1,0),0)+IF(AND(ISNUMBER($E867),ISNUMBER($F867)),IF($E867&gt;$F867,1,0),0)</f>
        <v>0</v>
      </c>
      <c r="X867" s="13" t="s">
        <v>76</v>
      </c>
    </row>
    <row r="868" customFormat="false" ht="15" hidden="false" customHeight="false" outlineLevel="0" collapsed="false">
      <c r="A868" s="10" t="s">
        <v>3716</v>
      </c>
      <c r="B868" s="10" t="s">
        <v>3717</v>
      </c>
      <c r="C868" s="11" t="s">
        <v>3705</v>
      </c>
      <c r="D868" s="12" t="n">
        <v>0.2212</v>
      </c>
      <c r="E868" s="12"/>
      <c r="F868" s="12"/>
      <c r="G868" s="10" t="s">
        <v>63</v>
      </c>
      <c r="H868" s="10" t="s">
        <v>92</v>
      </c>
      <c r="I868" s="11" t="s">
        <v>3673</v>
      </c>
      <c r="J868" s="10" t="s">
        <v>66</v>
      </c>
      <c r="K868" s="10" t="s">
        <v>67</v>
      </c>
      <c r="L868" s="10" t="s">
        <v>68</v>
      </c>
      <c r="M868" s="10" t="s">
        <v>69</v>
      </c>
      <c r="N868" s="10"/>
      <c r="O868" s="11" t="s">
        <v>3428</v>
      </c>
      <c r="P868" s="10" t="s">
        <v>71</v>
      </c>
      <c r="Q868" s="11" t="s">
        <v>72</v>
      </c>
      <c r="R868" s="11" t="s">
        <v>73</v>
      </c>
      <c r="S868" s="11" t="s">
        <v>74</v>
      </c>
      <c r="T868" s="11" t="s">
        <v>3718</v>
      </c>
      <c r="U868" s="10" t="n">
        <f aca="false">IF(AND($D868="",$E868="",$F868=""),1,0)</f>
        <v>0</v>
      </c>
      <c r="V868" s="10" t="n">
        <f aca="false">IF(OR($I868="",$I868="—"),1,0)</f>
        <v>0</v>
      </c>
      <c r="W868" s="10" t="n">
        <f aca="false">IF(AND(ISNUMBER($D868),ISNUMBER($E868)),IF($E868&gt;$D868,1,0),0)+IF(AND(ISNUMBER($D868),ISNUMBER($F868)),IF($D868&gt;$F868,1,0),0)+IF(AND(ISNUMBER($E868),ISNUMBER($F868)),IF($E868&gt;$F868,1,0),0)</f>
        <v>0</v>
      </c>
      <c r="X868" s="13" t="s">
        <v>76</v>
      </c>
    </row>
    <row r="869" customFormat="false" ht="15" hidden="false" customHeight="false" outlineLevel="0" collapsed="false">
      <c r="A869" s="10" t="s">
        <v>3719</v>
      </c>
      <c r="B869" s="10" t="s">
        <v>3720</v>
      </c>
      <c r="C869" s="11" t="s">
        <v>3721</v>
      </c>
      <c r="D869" s="12" t="n">
        <v>0.0102</v>
      </c>
      <c r="E869" s="12"/>
      <c r="F869" s="12"/>
      <c r="G869" s="10" t="s">
        <v>63</v>
      </c>
      <c r="H869" s="10" t="s">
        <v>64</v>
      </c>
      <c r="I869" s="11" t="s">
        <v>3673</v>
      </c>
      <c r="J869" s="10" t="s">
        <v>66</v>
      </c>
      <c r="K869" s="10" t="s">
        <v>67</v>
      </c>
      <c r="L869" s="10" t="s">
        <v>68</v>
      </c>
      <c r="M869" s="10" t="s">
        <v>69</v>
      </c>
      <c r="N869" s="10"/>
      <c r="O869" s="11" t="s">
        <v>3422</v>
      </c>
      <c r="P869" s="10" t="s">
        <v>71</v>
      </c>
      <c r="Q869" s="11" t="s">
        <v>72</v>
      </c>
      <c r="R869" s="11" t="s">
        <v>73</v>
      </c>
      <c r="S869" s="11" t="s">
        <v>74</v>
      </c>
      <c r="T869" s="11" t="s">
        <v>3722</v>
      </c>
      <c r="U869" s="10" t="n">
        <f aca="false">IF(AND($D869="",$E869="",$F869=""),1,0)</f>
        <v>0</v>
      </c>
      <c r="V869" s="10" t="n">
        <f aca="false">IF(OR($I869="",$I869="—"),1,0)</f>
        <v>0</v>
      </c>
      <c r="W869" s="10" t="n">
        <f aca="false">IF(AND(ISNUMBER($D869),ISNUMBER($E869)),IF($E869&gt;$D869,1,0),0)+IF(AND(ISNUMBER($D869),ISNUMBER($F869)),IF($D869&gt;$F869,1,0),0)+IF(AND(ISNUMBER($E869),ISNUMBER($F869)),IF($E869&gt;$F869,1,0),0)</f>
        <v>0</v>
      </c>
      <c r="X869" s="13" t="s">
        <v>76</v>
      </c>
    </row>
    <row r="870" customFormat="false" ht="15" hidden="false" customHeight="false" outlineLevel="0" collapsed="false">
      <c r="A870" s="10" t="s">
        <v>3723</v>
      </c>
      <c r="B870" s="10" t="s">
        <v>3724</v>
      </c>
      <c r="C870" s="11" t="s">
        <v>3721</v>
      </c>
      <c r="D870" s="12" t="n">
        <v>0.055</v>
      </c>
      <c r="E870" s="12"/>
      <c r="F870" s="12"/>
      <c r="G870" s="10" t="s">
        <v>63</v>
      </c>
      <c r="H870" s="10" t="s">
        <v>79</v>
      </c>
      <c r="I870" s="11" t="s">
        <v>3673</v>
      </c>
      <c r="J870" s="10" t="s">
        <v>66</v>
      </c>
      <c r="K870" s="10" t="s">
        <v>67</v>
      </c>
      <c r="L870" s="10" t="s">
        <v>68</v>
      </c>
      <c r="M870" s="10" t="s">
        <v>69</v>
      </c>
      <c r="N870" s="10"/>
      <c r="O870" s="11" t="s">
        <v>3422</v>
      </c>
      <c r="P870" s="10" t="s">
        <v>71</v>
      </c>
      <c r="Q870" s="11" t="s">
        <v>72</v>
      </c>
      <c r="R870" s="11" t="s">
        <v>73</v>
      </c>
      <c r="S870" s="11" t="s">
        <v>74</v>
      </c>
      <c r="T870" s="11" t="s">
        <v>3725</v>
      </c>
      <c r="U870" s="10" t="n">
        <f aca="false">IF(AND($D870="",$E870="",$F870=""),1,0)</f>
        <v>0</v>
      </c>
      <c r="V870" s="10" t="n">
        <f aca="false">IF(OR($I870="",$I870="—"),1,0)</f>
        <v>0</v>
      </c>
      <c r="W870" s="10" t="n">
        <f aca="false">IF(AND(ISNUMBER($D870),ISNUMBER($E870)),IF($E870&gt;$D870,1,0),0)+IF(AND(ISNUMBER($D870),ISNUMBER($F870)),IF($D870&gt;$F870,1,0),0)+IF(AND(ISNUMBER($E870),ISNUMBER($F870)),IF($E870&gt;$F870,1,0),0)</f>
        <v>0</v>
      </c>
      <c r="X870" s="13" t="s">
        <v>76</v>
      </c>
    </row>
    <row r="871" customFormat="false" ht="15" hidden="false" customHeight="false" outlineLevel="0" collapsed="false">
      <c r="A871" s="10" t="s">
        <v>3726</v>
      </c>
      <c r="B871" s="10" t="s">
        <v>3727</v>
      </c>
      <c r="C871" s="11" t="s">
        <v>3721</v>
      </c>
      <c r="D871" s="12" t="n">
        <v>0.2358</v>
      </c>
      <c r="E871" s="12"/>
      <c r="F871" s="12"/>
      <c r="G871" s="10" t="s">
        <v>63</v>
      </c>
      <c r="H871" s="10" t="s">
        <v>83</v>
      </c>
      <c r="I871" s="11" t="s">
        <v>3673</v>
      </c>
      <c r="J871" s="10" t="s">
        <v>66</v>
      </c>
      <c r="K871" s="10" t="s">
        <v>67</v>
      </c>
      <c r="L871" s="10" t="s">
        <v>68</v>
      </c>
      <c r="M871" s="10" t="s">
        <v>69</v>
      </c>
      <c r="N871" s="10"/>
      <c r="O871" s="11" t="s">
        <v>3422</v>
      </c>
      <c r="P871" s="10" t="s">
        <v>71</v>
      </c>
      <c r="Q871" s="11" t="s">
        <v>72</v>
      </c>
      <c r="R871" s="11" t="s">
        <v>73</v>
      </c>
      <c r="S871" s="11" t="s">
        <v>74</v>
      </c>
      <c r="T871" s="11" t="s">
        <v>3728</v>
      </c>
      <c r="U871" s="10" t="n">
        <f aca="false">IF(AND($D871="",$E871="",$F871=""),1,0)</f>
        <v>0</v>
      </c>
      <c r="V871" s="10" t="n">
        <f aca="false">IF(OR($I871="",$I871="—"),1,0)</f>
        <v>0</v>
      </c>
      <c r="W871" s="10" t="n">
        <f aca="false">IF(AND(ISNUMBER($D871),ISNUMBER($E871)),IF($E871&gt;$D871,1,0),0)+IF(AND(ISNUMBER($D871),ISNUMBER($F871)),IF($D871&gt;$F871,1,0),0)+IF(AND(ISNUMBER($E871),ISNUMBER($F871)),IF($E871&gt;$F871,1,0),0)</f>
        <v>0</v>
      </c>
      <c r="X871" s="13" t="s">
        <v>76</v>
      </c>
    </row>
    <row r="872" customFormat="false" ht="15" hidden="false" customHeight="false" outlineLevel="0" collapsed="false">
      <c r="A872" s="10" t="s">
        <v>3729</v>
      </c>
      <c r="B872" s="10" t="s">
        <v>3730</v>
      </c>
      <c r="C872" s="11" t="s">
        <v>3721</v>
      </c>
      <c r="D872" s="12" t="n">
        <v>0.0422</v>
      </c>
      <c r="E872" s="12"/>
      <c r="F872" s="12"/>
      <c r="G872" s="10" t="s">
        <v>63</v>
      </c>
      <c r="H872" s="10" t="s">
        <v>87</v>
      </c>
      <c r="I872" s="11" t="s">
        <v>3673</v>
      </c>
      <c r="J872" s="10" t="s">
        <v>66</v>
      </c>
      <c r="K872" s="10" t="s">
        <v>67</v>
      </c>
      <c r="L872" s="10" t="s">
        <v>68</v>
      </c>
      <c r="M872" s="10" t="s">
        <v>69</v>
      </c>
      <c r="N872" s="10"/>
      <c r="O872" s="11" t="s">
        <v>3608</v>
      </c>
      <c r="P872" s="10" t="s">
        <v>71</v>
      </c>
      <c r="Q872" s="11" t="s">
        <v>72</v>
      </c>
      <c r="R872" s="11" t="s">
        <v>73</v>
      </c>
      <c r="S872" s="11" t="s">
        <v>74</v>
      </c>
      <c r="T872" s="11" t="s">
        <v>3731</v>
      </c>
      <c r="U872" s="10" t="n">
        <f aca="false">IF(AND($D872="",$E872="",$F872=""),1,0)</f>
        <v>0</v>
      </c>
      <c r="V872" s="10" t="n">
        <f aca="false">IF(OR($I872="",$I872="—"),1,0)</f>
        <v>0</v>
      </c>
      <c r="W872" s="10" t="n">
        <f aca="false">IF(AND(ISNUMBER($D872),ISNUMBER($E872)),IF($E872&gt;$D872,1,0),0)+IF(AND(ISNUMBER($D872),ISNUMBER($F872)),IF($D872&gt;$F872,1,0),0)+IF(AND(ISNUMBER($E872),ISNUMBER($F872)),IF($E872&gt;$F872,1,0),0)</f>
        <v>0</v>
      </c>
      <c r="X872" s="13" t="s">
        <v>76</v>
      </c>
    </row>
    <row r="873" customFormat="false" ht="15" hidden="false" customHeight="false" outlineLevel="0" collapsed="false">
      <c r="A873" s="10" t="s">
        <v>3732</v>
      </c>
      <c r="B873" s="10" t="s">
        <v>3733</v>
      </c>
      <c r="C873" s="11" t="s">
        <v>3721</v>
      </c>
      <c r="D873" s="12" t="n">
        <v>1.5885</v>
      </c>
      <c r="E873" s="12"/>
      <c r="F873" s="12"/>
      <c r="G873" s="10" t="s">
        <v>63</v>
      </c>
      <c r="H873" s="10" t="s">
        <v>92</v>
      </c>
      <c r="I873" s="11" t="s">
        <v>3673</v>
      </c>
      <c r="J873" s="10" t="s">
        <v>66</v>
      </c>
      <c r="K873" s="10" t="s">
        <v>67</v>
      </c>
      <c r="L873" s="10" t="s">
        <v>68</v>
      </c>
      <c r="M873" s="10" t="s">
        <v>69</v>
      </c>
      <c r="N873" s="10"/>
      <c r="O873" s="11" t="s">
        <v>3428</v>
      </c>
      <c r="P873" s="10" t="s">
        <v>71</v>
      </c>
      <c r="Q873" s="11" t="s">
        <v>72</v>
      </c>
      <c r="R873" s="11" t="s">
        <v>73</v>
      </c>
      <c r="S873" s="11" t="s">
        <v>74</v>
      </c>
      <c r="T873" s="11" t="s">
        <v>3734</v>
      </c>
      <c r="U873" s="10" t="n">
        <f aca="false">IF(AND($D873="",$E873="",$F873=""),1,0)</f>
        <v>0</v>
      </c>
      <c r="V873" s="10" t="n">
        <f aca="false">IF(OR($I873="",$I873="—"),1,0)</f>
        <v>0</v>
      </c>
      <c r="W873" s="10" t="n">
        <f aca="false">IF(AND(ISNUMBER($D873),ISNUMBER($E873)),IF($E873&gt;$D873,1,0),0)+IF(AND(ISNUMBER($D873),ISNUMBER($F873)),IF($D873&gt;$F873,1,0),0)+IF(AND(ISNUMBER($E873),ISNUMBER($F873)),IF($E873&gt;$F873,1,0),0)</f>
        <v>0</v>
      </c>
      <c r="X873" s="13" t="s">
        <v>76</v>
      </c>
    </row>
    <row r="874" customFormat="false" ht="15" hidden="false" customHeight="false" outlineLevel="0" collapsed="false">
      <c r="A874" s="10" t="s">
        <v>3735</v>
      </c>
      <c r="B874" s="10" t="s">
        <v>3736</v>
      </c>
      <c r="C874" s="11" t="s">
        <v>3737</v>
      </c>
      <c r="D874" s="12"/>
      <c r="E874" s="12"/>
      <c r="F874" s="12"/>
      <c r="G874" s="10" t="s">
        <v>63</v>
      </c>
      <c r="H874" s="10" t="s">
        <v>2958</v>
      </c>
      <c r="I874" s="11" t="s">
        <v>3738</v>
      </c>
      <c r="J874" s="10" t="s">
        <v>66</v>
      </c>
      <c r="K874" s="10" t="s">
        <v>67</v>
      </c>
      <c r="L874" s="10" t="s">
        <v>68</v>
      </c>
      <c r="M874" s="10" t="s">
        <v>69</v>
      </c>
      <c r="N874" s="10"/>
      <c r="O874" s="11" t="s">
        <v>3739</v>
      </c>
      <c r="P874" s="10" t="s">
        <v>71</v>
      </c>
      <c r="Q874" s="11" t="s">
        <v>72</v>
      </c>
      <c r="R874" s="11" t="s">
        <v>73</v>
      </c>
      <c r="S874" s="11" t="s">
        <v>74</v>
      </c>
      <c r="T874" s="11" t="s">
        <v>3740</v>
      </c>
      <c r="U874" s="10" t="n">
        <f aca="false">IF(AND($D874="",$E874="",$F874=""),1,0)</f>
        <v>1</v>
      </c>
      <c r="V874" s="10" t="n">
        <f aca="false">IF(OR($I874="",$I874="—"),1,0)</f>
        <v>0</v>
      </c>
      <c r="W874" s="10" t="n">
        <f aca="false">IF(AND(ISNUMBER($D874),ISNUMBER($E874)),IF($E874&gt;$D874,1,0),0)+IF(AND(ISNUMBER($D874),ISNUMBER($F874)),IF($D874&gt;$F874,1,0),0)+IF(AND(ISNUMBER($E874),ISNUMBER($F874)),IF($E874&gt;$F874,1,0),0)</f>
        <v>0</v>
      </c>
      <c r="X874" s="13" t="s">
        <v>76</v>
      </c>
    </row>
    <row r="875" customFormat="false" ht="15" hidden="false" customHeight="false" outlineLevel="0" collapsed="false">
      <c r="A875" s="10" t="s">
        <v>3741</v>
      </c>
      <c r="B875" s="10" t="s">
        <v>3742</v>
      </c>
      <c r="C875" s="11" t="s">
        <v>3743</v>
      </c>
      <c r="D875" s="12" t="n">
        <v>0.0078</v>
      </c>
      <c r="E875" s="12"/>
      <c r="F875" s="12"/>
      <c r="G875" s="10" t="s">
        <v>63</v>
      </c>
      <c r="H875" s="10" t="s">
        <v>64</v>
      </c>
      <c r="I875" s="11" t="s">
        <v>3744</v>
      </c>
      <c r="J875" s="10" t="s">
        <v>66</v>
      </c>
      <c r="K875" s="10" t="s">
        <v>67</v>
      </c>
      <c r="L875" s="10" t="s">
        <v>68</v>
      </c>
      <c r="M875" s="10" t="s">
        <v>69</v>
      </c>
      <c r="N875" s="10"/>
      <c r="O875" s="11" t="s">
        <v>3422</v>
      </c>
      <c r="P875" s="10" t="s">
        <v>71</v>
      </c>
      <c r="Q875" s="11" t="s">
        <v>72</v>
      </c>
      <c r="R875" s="11" t="s">
        <v>73</v>
      </c>
      <c r="S875" s="11" t="s">
        <v>74</v>
      </c>
      <c r="T875" s="11" t="s">
        <v>3745</v>
      </c>
      <c r="U875" s="10" t="n">
        <f aca="false">IF(AND($D875="",$E875="",$F875=""),1,0)</f>
        <v>0</v>
      </c>
      <c r="V875" s="10" t="n">
        <f aca="false">IF(OR($I875="",$I875="—"),1,0)</f>
        <v>0</v>
      </c>
      <c r="W875" s="10" t="n">
        <f aca="false">IF(AND(ISNUMBER($D875),ISNUMBER($E875)),IF($E875&gt;$D875,1,0),0)+IF(AND(ISNUMBER($D875),ISNUMBER($F875)),IF($D875&gt;$F875,1,0),0)+IF(AND(ISNUMBER($E875),ISNUMBER($F875)),IF($E875&gt;$F875,1,0),0)</f>
        <v>0</v>
      </c>
      <c r="X875" s="13" t="s">
        <v>76</v>
      </c>
    </row>
    <row r="876" customFormat="false" ht="15" hidden="false" customHeight="false" outlineLevel="0" collapsed="false">
      <c r="A876" s="10" t="s">
        <v>3746</v>
      </c>
      <c r="B876" s="10" t="s">
        <v>3747</v>
      </c>
      <c r="C876" s="11" t="s">
        <v>3743</v>
      </c>
      <c r="D876" s="12" t="n">
        <v>0.0165</v>
      </c>
      <c r="E876" s="12"/>
      <c r="F876" s="12"/>
      <c r="G876" s="10" t="s">
        <v>63</v>
      </c>
      <c r="H876" s="10" t="s">
        <v>79</v>
      </c>
      <c r="I876" s="11" t="s">
        <v>3744</v>
      </c>
      <c r="J876" s="10" t="s">
        <v>66</v>
      </c>
      <c r="K876" s="10" t="s">
        <v>67</v>
      </c>
      <c r="L876" s="10" t="s">
        <v>68</v>
      </c>
      <c r="M876" s="10" t="s">
        <v>69</v>
      </c>
      <c r="N876" s="10"/>
      <c r="O876" s="11" t="s">
        <v>3422</v>
      </c>
      <c r="P876" s="10" t="s">
        <v>71</v>
      </c>
      <c r="Q876" s="11" t="s">
        <v>72</v>
      </c>
      <c r="R876" s="11" t="s">
        <v>73</v>
      </c>
      <c r="S876" s="11" t="s">
        <v>74</v>
      </c>
      <c r="T876" s="11" t="s">
        <v>3748</v>
      </c>
      <c r="U876" s="10" t="n">
        <f aca="false">IF(AND($D876="",$E876="",$F876=""),1,0)</f>
        <v>0</v>
      </c>
      <c r="V876" s="10" t="n">
        <f aca="false">IF(OR($I876="",$I876="—"),1,0)</f>
        <v>0</v>
      </c>
      <c r="W876" s="10" t="n">
        <f aca="false">IF(AND(ISNUMBER($D876),ISNUMBER($E876)),IF($E876&gt;$D876,1,0),0)+IF(AND(ISNUMBER($D876),ISNUMBER($F876)),IF($D876&gt;$F876,1,0),0)+IF(AND(ISNUMBER($E876),ISNUMBER($F876)),IF($E876&gt;$F876,1,0),0)</f>
        <v>0</v>
      </c>
      <c r="X876" s="13" t="s">
        <v>76</v>
      </c>
    </row>
    <row r="877" customFormat="false" ht="15" hidden="false" customHeight="false" outlineLevel="0" collapsed="false">
      <c r="A877" s="10" t="s">
        <v>3749</v>
      </c>
      <c r="B877" s="10" t="s">
        <v>3750</v>
      </c>
      <c r="C877" s="11" t="s">
        <v>3743</v>
      </c>
      <c r="D877" s="12" t="n">
        <v>0.0405</v>
      </c>
      <c r="E877" s="12"/>
      <c r="F877" s="12"/>
      <c r="G877" s="10" t="s">
        <v>63</v>
      </c>
      <c r="H877" s="10" t="s">
        <v>83</v>
      </c>
      <c r="I877" s="11" t="s">
        <v>3744</v>
      </c>
      <c r="J877" s="10" t="s">
        <v>66</v>
      </c>
      <c r="K877" s="10" t="s">
        <v>67</v>
      </c>
      <c r="L877" s="10" t="s">
        <v>68</v>
      </c>
      <c r="M877" s="10" t="s">
        <v>69</v>
      </c>
      <c r="N877" s="10"/>
      <c r="O877" s="11" t="s">
        <v>3422</v>
      </c>
      <c r="P877" s="10" t="s">
        <v>71</v>
      </c>
      <c r="Q877" s="11" t="s">
        <v>72</v>
      </c>
      <c r="R877" s="11" t="s">
        <v>73</v>
      </c>
      <c r="S877" s="11" t="s">
        <v>74</v>
      </c>
      <c r="T877" s="11" t="s">
        <v>3751</v>
      </c>
      <c r="U877" s="10" t="n">
        <f aca="false">IF(AND($D877="",$E877="",$F877=""),1,0)</f>
        <v>0</v>
      </c>
      <c r="V877" s="10" t="n">
        <f aca="false">IF(OR($I877="",$I877="—"),1,0)</f>
        <v>0</v>
      </c>
      <c r="W877" s="10" t="n">
        <f aca="false">IF(AND(ISNUMBER($D877),ISNUMBER($E877)),IF($E877&gt;$D877,1,0),0)+IF(AND(ISNUMBER($D877),ISNUMBER($F877)),IF($D877&gt;$F877,1,0),0)+IF(AND(ISNUMBER($E877),ISNUMBER($F877)),IF($E877&gt;$F877,1,0),0)</f>
        <v>0</v>
      </c>
      <c r="X877" s="13" t="s">
        <v>76</v>
      </c>
    </row>
    <row r="878" customFormat="false" ht="15" hidden="false" customHeight="false" outlineLevel="0" collapsed="false">
      <c r="A878" s="10" t="s">
        <v>3752</v>
      </c>
      <c r="B878" s="10" t="s">
        <v>3753</v>
      </c>
      <c r="C878" s="11" t="s">
        <v>3743</v>
      </c>
      <c r="D878" s="12" t="n">
        <v>0.0086</v>
      </c>
      <c r="E878" s="12"/>
      <c r="F878" s="12"/>
      <c r="G878" s="10" t="s">
        <v>63</v>
      </c>
      <c r="H878" s="10" t="s">
        <v>87</v>
      </c>
      <c r="I878" s="11" t="s">
        <v>3744</v>
      </c>
      <c r="J878" s="10" t="s">
        <v>66</v>
      </c>
      <c r="K878" s="10" t="s">
        <v>67</v>
      </c>
      <c r="L878" s="10" t="s">
        <v>68</v>
      </c>
      <c r="M878" s="10" t="s">
        <v>69</v>
      </c>
      <c r="N878" s="10"/>
      <c r="O878" s="11" t="s">
        <v>3608</v>
      </c>
      <c r="P878" s="10" t="s">
        <v>71</v>
      </c>
      <c r="Q878" s="11" t="s">
        <v>72</v>
      </c>
      <c r="R878" s="11" t="s">
        <v>73</v>
      </c>
      <c r="S878" s="11" t="s">
        <v>74</v>
      </c>
      <c r="T878" s="11" t="s">
        <v>3754</v>
      </c>
      <c r="U878" s="10" t="n">
        <f aca="false">IF(AND($D878="",$E878="",$F878=""),1,0)</f>
        <v>0</v>
      </c>
      <c r="V878" s="10" t="n">
        <f aca="false">IF(OR($I878="",$I878="—"),1,0)</f>
        <v>0</v>
      </c>
      <c r="W878" s="10" t="n">
        <f aca="false">IF(AND(ISNUMBER($D878),ISNUMBER($E878)),IF($E878&gt;$D878,1,0),0)+IF(AND(ISNUMBER($D878),ISNUMBER($F878)),IF($D878&gt;$F878,1,0),0)+IF(AND(ISNUMBER($E878),ISNUMBER($F878)),IF($E878&gt;$F878,1,0),0)</f>
        <v>0</v>
      </c>
      <c r="X878" s="13" t="s">
        <v>76</v>
      </c>
    </row>
    <row r="879" customFormat="false" ht="15" hidden="false" customHeight="false" outlineLevel="0" collapsed="false">
      <c r="A879" s="10" t="s">
        <v>3755</v>
      </c>
      <c r="B879" s="10" t="s">
        <v>3756</v>
      </c>
      <c r="C879" s="11" t="s">
        <v>3743</v>
      </c>
      <c r="D879" s="12" t="n">
        <v>0.3988</v>
      </c>
      <c r="E879" s="12"/>
      <c r="F879" s="12"/>
      <c r="G879" s="10" t="s">
        <v>63</v>
      </c>
      <c r="H879" s="10" t="s">
        <v>92</v>
      </c>
      <c r="I879" s="11" t="s">
        <v>3744</v>
      </c>
      <c r="J879" s="10" t="s">
        <v>66</v>
      </c>
      <c r="K879" s="10" t="s">
        <v>67</v>
      </c>
      <c r="L879" s="10" t="s">
        <v>68</v>
      </c>
      <c r="M879" s="10" t="s">
        <v>69</v>
      </c>
      <c r="N879" s="10"/>
      <c r="O879" s="11" t="s">
        <v>3428</v>
      </c>
      <c r="P879" s="10" t="s">
        <v>71</v>
      </c>
      <c r="Q879" s="11" t="s">
        <v>72</v>
      </c>
      <c r="R879" s="11" t="s">
        <v>73</v>
      </c>
      <c r="S879" s="11" t="s">
        <v>74</v>
      </c>
      <c r="T879" s="11" t="s">
        <v>3757</v>
      </c>
      <c r="U879" s="10" t="n">
        <f aca="false">IF(AND($D879="",$E879="",$F879=""),1,0)</f>
        <v>0</v>
      </c>
      <c r="V879" s="10" t="n">
        <f aca="false">IF(OR($I879="",$I879="—"),1,0)</f>
        <v>0</v>
      </c>
      <c r="W879" s="10" t="n">
        <f aca="false">IF(AND(ISNUMBER($D879),ISNUMBER($E879)),IF($E879&gt;$D879,1,0),0)+IF(AND(ISNUMBER($D879),ISNUMBER($F879)),IF($D879&gt;$F879,1,0),0)+IF(AND(ISNUMBER($E879),ISNUMBER($F879)),IF($E879&gt;$F879,1,0),0)</f>
        <v>0</v>
      </c>
      <c r="X879" s="13" t="s">
        <v>76</v>
      </c>
    </row>
    <row r="880" customFormat="false" ht="15" hidden="false" customHeight="false" outlineLevel="0" collapsed="false">
      <c r="A880" s="10" t="s">
        <v>3758</v>
      </c>
      <c r="B880" s="10" t="s">
        <v>3759</v>
      </c>
      <c r="C880" s="11" t="s">
        <v>3760</v>
      </c>
      <c r="D880" s="12" t="n">
        <v>6620</v>
      </c>
      <c r="E880" s="12"/>
      <c r="F880" s="12"/>
      <c r="G880" s="11" t="s">
        <v>3761</v>
      </c>
      <c r="H880" s="10" t="s">
        <v>440</v>
      </c>
      <c r="I880" s="11" t="s">
        <v>3762</v>
      </c>
      <c r="J880" s="10" t="s">
        <v>66</v>
      </c>
      <c r="K880" s="10" t="s">
        <v>67</v>
      </c>
      <c r="L880" s="10" t="s">
        <v>68</v>
      </c>
      <c r="M880" s="10" t="s">
        <v>69</v>
      </c>
      <c r="N880" s="10"/>
      <c r="O880" s="11" t="s">
        <v>3428</v>
      </c>
      <c r="P880" s="10" t="s">
        <v>71</v>
      </c>
      <c r="Q880" s="11" t="s">
        <v>72</v>
      </c>
      <c r="R880" s="11" t="s">
        <v>73</v>
      </c>
      <c r="S880" s="11" t="s">
        <v>74</v>
      </c>
      <c r="T880" s="11" t="s">
        <v>3763</v>
      </c>
      <c r="U880" s="10" t="n">
        <f aca="false">IF(AND($D880="",$E880="",$F880=""),1,0)</f>
        <v>0</v>
      </c>
      <c r="V880" s="10" t="n">
        <f aca="false">IF(OR($I880="",$I880="—"),1,0)</f>
        <v>0</v>
      </c>
      <c r="W880" s="10" t="n">
        <f aca="false">IF(AND(ISNUMBER($D880),ISNUMBER($E880)),IF($E880&gt;$D880,1,0),0)+IF(AND(ISNUMBER($D880),ISNUMBER($F880)),IF($D880&gt;$F880,1,0),0)+IF(AND(ISNUMBER($E880),ISNUMBER($F880)),IF($E880&gt;$F880,1,0),0)</f>
        <v>0</v>
      </c>
      <c r="X880" s="13" t="s">
        <v>76</v>
      </c>
    </row>
    <row r="881" customFormat="false" ht="15" hidden="false" customHeight="false" outlineLevel="0" collapsed="false">
      <c r="A881" s="10" t="s">
        <v>3764</v>
      </c>
      <c r="B881" s="10" t="s">
        <v>3765</v>
      </c>
      <c r="C881" s="11" t="s">
        <v>3766</v>
      </c>
      <c r="D881" s="12" t="n">
        <v>0.3165</v>
      </c>
      <c r="E881" s="12"/>
      <c r="F881" s="12"/>
      <c r="G881" s="10" t="s">
        <v>63</v>
      </c>
      <c r="H881" s="10" t="s">
        <v>64</v>
      </c>
      <c r="I881" s="11" t="s">
        <v>3767</v>
      </c>
      <c r="J881" s="10" t="s">
        <v>66</v>
      </c>
      <c r="K881" s="10" t="s">
        <v>67</v>
      </c>
      <c r="L881" s="10" t="s">
        <v>68</v>
      </c>
      <c r="M881" s="10" t="s">
        <v>69</v>
      </c>
      <c r="N881" s="10"/>
      <c r="O881" s="11" t="s">
        <v>3422</v>
      </c>
      <c r="P881" s="10" t="s">
        <v>71</v>
      </c>
      <c r="Q881" s="11" t="s">
        <v>72</v>
      </c>
      <c r="R881" s="11" t="s">
        <v>73</v>
      </c>
      <c r="S881" s="11" t="s">
        <v>74</v>
      </c>
      <c r="T881" s="11" t="s">
        <v>3768</v>
      </c>
      <c r="U881" s="10" t="n">
        <f aca="false">IF(AND($D881="",$E881="",$F881=""),1,0)</f>
        <v>0</v>
      </c>
      <c r="V881" s="10" t="n">
        <f aca="false">IF(OR($I881="",$I881="—"),1,0)</f>
        <v>0</v>
      </c>
      <c r="W881" s="10" t="n">
        <f aca="false">IF(AND(ISNUMBER($D881),ISNUMBER($E881)),IF($E881&gt;$D881,1,0),0)+IF(AND(ISNUMBER($D881),ISNUMBER($F881)),IF($D881&gt;$F881,1,0),0)+IF(AND(ISNUMBER($E881),ISNUMBER($F881)),IF($E881&gt;$F881,1,0),0)</f>
        <v>0</v>
      </c>
      <c r="X881" s="13" t="s">
        <v>76</v>
      </c>
    </row>
    <row r="882" customFormat="false" ht="15" hidden="false" customHeight="false" outlineLevel="0" collapsed="false">
      <c r="A882" s="10" t="s">
        <v>3769</v>
      </c>
      <c r="B882" s="10" t="s">
        <v>3770</v>
      </c>
      <c r="C882" s="11" t="s">
        <v>3766</v>
      </c>
      <c r="D882" s="12" t="n">
        <v>5.0676</v>
      </c>
      <c r="E882" s="12"/>
      <c r="F882" s="12"/>
      <c r="G882" s="10" t="s">
        <v>63</v>
      </c>
      <c r="H882" s="10" t="s">
        <v>79</v>
      </c>
      <c r="I882" s="11" t="s">
        <v>3767</v>
      </c>
      <c r="J882" s="10" t="s">
        <v>66</v>
      </c>
      <c r="K882" s="10" t="s">
        <v>67</v>
      </c>
      <c r="L882" s="10" t="s">
        <v>68</v>
      </c>
      <c r="M882" s="10" t="s">
        <v>69</v>
      </c>
      <c r="N882" s="10"/>
      <c r="O882" s="11" t="s">
        <v>3422</v>
      </c>
      <c r="P882" s="10" t="s">
        <v>71</v>
      </c>
      <c r="Q882" s="11" t="s">
        <v>72</v>
      </c>
      <c r="R882" s="11" t="s">
        <v>73</v>
      </c>
      <c r="S882" s="11" t="s">
        <v>74</v>
      </c>
      <c r="T882" s="11" t="s">
        <v>3771</v>
      </c>
      <c r="U882" s="10" t="n">
        <f aca="false">IF(AND($D882="",$E882="",$F882=""),1,0)</f>
        <v>0</v>
      </c>
      <c r="V882" s="10" t="n">
        <f aca="false">IF(OR($I882="",$I882="—"),1,0)</f>
        <v>0</v>
      </c>
      <c r="W882" s="10" t="n">
        <f aca="false">IF(AND(ISNUMBER($D882),ISNUMBER($E882)),IF($E882&gt;$D882,1,0),0)+IF(AND(ISNUMBER($D882),ISNUMBER($F882)),IF($D882&gt;$F882,1,0),0)+IF(AND(ISNUMBER($E882),ISNUMBER($F882)),IF($E882&gt;$F882,1,0),0)</f>
        <v>0</v>
      </c>
      <c r="X882" s="13" t="s">
        <v>76</v>
      </c>
    </row>
    <row r="883" customFormat="false" ht="15" hidden="false" customHeight="false" outlineLevel="0" collapsed="false">
      <c r="A883" s="10" t="s">
        <v>3772</v>
      </c>
      <c r="B883" s="10" t="s">
        <v>3773</v>
      </c>
      <c r="C883" s="11" t="s">
        <v>3766</v>
      </c>
      <c r="D883" s="12" t="n">
        <v>1.2596</v>
      </c>
      <c r="E883" s="12"/>
      <c r="F883" s="12"/>
      <c r="G883" s="10" t="s">
        <v>63</v>
      </c>
      <c r="H883" s="10" t="s">
        <v>83</v>
      </c>
      <c r="I883" s="11" t="s">
        <v>3767</v>
      </c>
      <c r="J883" s="10" t="s">
        <v>66</v>
      </c>
      <c r="K883" s="10" t="s">
        <v>67</v>
      </c>
      <c r="L883" s="10" t="s">
        <v>68</v>
      </c>
      <c r="M883" s="10" t="s">
        <v>69</v>
      </c>
      <c r="N883" s="10"/>
      <c r="O883" s="11" t="s">
        <v>3422</v>
      </c>
      <c r="P883" s="10" t="s">
        <v>71</v>
      </c>
      <c r="Q883" s="11" t="s">
        <v>72</v>
      </c>
      <c r="R883" s="11" t="s">
        <v>73</v>
      </c>
      <c r="S883" s="11" t="s">
        <v>74</v>
      </c>
      <c r="T883" s="11" t="s">
        <v>3774</v>
      </c>
      <c r="U883" s="10" t="n">
        <f aca="false">IF(AND($D883="",$E883="",$F883=""),1,0)</f>
        <v>0</v>
      </c>
      <c r="V883" s="10" t="n">
        <f aca="false">IF(OR($I883="",$I883="—"),1,0)</f>
        <v>0</v>
      </c>
      <c r="W883" s="10" t="n">
        <f aca="false">IF(AND(ISNUMBER($D883),ISNUMBER($E883)),IF($E883&gt;$D883,1,0),0)+IF(AND(ISNUMBER($D883),ISNUMBER($F883)),IF($D883&gt;$F883,1,0),0)+IF(AND(ISNUMBER($E883),ISNUMBER($F883)),IF($E883&gt;$F883,1,0),0)</f>
        <v>0</v>
      </c>
      <c r="X883" s="13" t="s">
        <v>76</v>
      </c>
    </row>
    <row r="884" customFormat="false" ht="15" hidden="false" customHeight="false" outlineLevel="0" collapsed="false">
      <c r="A884" s="10" t="s">
        <v>3775</v>
      </c>
      <c r="B884" s="10" t="s">
        <v>3776</v>
      </c>
      <c r="C884" s="11" t="s">
        <v>3766</v>
      </c>
      <c r="D884" s="12" t="n">
        <v>0.9839</v>
      </c>
      <c r="E884" s="12"/>
      <c r="F884" s="12"/>
      <c r="G884" s="10" t="s">
        <v>63</v>
      </c>
      <c r="H884" s="10" t="s">
        <v>87</v>
      </c>
      <c r="I884" s="11" t="s">
        <v>3767</v>
      </c>
      <c r="J884" s="10" t="s">
        <v>66</v>
      </c>
      <c r="K884" s="10" t="s">
        <v>67</v>
      </c>
      <c r="L884" s="10" t="s">
        <v>68</v>
      </c>
      <c r="M884" s="10" t="s">
        <v>69</v>
      </c>
      <c r="N884" s="10"/>
      <c r="O884" s="11" t="s">
        <v>3608</v>
      </c>
      <c r="P884" s="10" t="s">
        <v>71</v>
      </c>
      <c r="Q884" s="11" t="s">
        <v>72</v>
      </c>
      <c r="R884" s="11" t="s">
        <v>73</v>
      </c>
      <c r="S884" s="11" t="s">
        <v>74</v>
      </c>
      <c r="T884" s="11" t="s">
        <v>3777</v>
      </c>
      <c r="U884" s="10" t="n">
        <f aca="false">IF(AND($D884="",$E884="",$F884=""),1,0)</f>
        <v>0</v>
      </c>
      <c r="V884" s="10" t="n">
        <f aca="false">IF(OR($I884="",$I884="—"),1,0)</f>
        <v>0</v>
      </c>
      <c r="W884" s="10" t="n">
        <f aca="false">IF(AND(ISNUMBER($D884),ISNUMBER($E884)),IF($E884&gt;$D884,1,0),0)+IF(AND(ISNUMBER($D884),ISNUMBER($F884)),IF($D884&gt;$F884,1,0),0)+IF(AND(ISNUMBER($E884),ISNUMBER($F884)),IF($E884&gt;$F884,1,0),0)</f>
        <v>0</v>
      </c>
      <c r="X884" s="13" t="s">
        <v>76</v>
      </c>
    </row>
    <row r="885" customFormat="false" ht="15" hidden="false" customHeight="false" outlineLevel="0" collapsed="false">
      <c r="A885" s="10" t="s">
        <v>3778</v>
      </c>
      <c r="B885" s="10" t="s">
        <v>3779</v>
      </c>
      <c r="C885" s="11" t="s">
        <v>3766</v>
      </c>
      <c r="D885" s="12" t="n">
        <v>0.1274</v>
      </c>
      <c r="E885" s="12"/>
      <c r="F885" s="12"/>
      <c r="G885" s="10" t="s">
        <v>63</v>
      </c>
      <c r="H885" s="10" t="s">
        <v>92</v>
      </c>
      <c r="I885" s="11" t="s">
        <v>3767</v>
      </c>
      <c r="J885" s="10" t="s">
        <v>66</v>
      </c>
      <c r="K885" s="10" t="s">
        <v>67</v>
      </c>
      <c r="L885" s="10" t="s">
        <v>68</v>
      </c>
      <c r="M885" s="10" t="s">
        <v>69</v>
      </c>
      <c r="N885" s="10"/>
      <c r="O885" s="11" t="s">
        <v>3428</v>
      </c>
      <c r="P885" s="10" t="s">
        <v>71</v>
      </c>
      <c r="Q885" s="11" t="s">
        <v>72</v>
      </c>
      <c r="R885" s="11" t="s">
        <v>73</v>
      </c>
      <c r="S885" s="11" t="s">
        <v>74</v>
      </c>
      <c r="T885" s="11" t="s">
        <v>3780</v>
      </c>
      <c r="U885" s="10" t="n">
        <f aca="false">IF(AND($D885="",$E885="",$F885=""),1,0)</f>
        <v>0</v>
      </c>
      <c r="V885" s="10" t="n">
        <f aca="false">IF(OR($I885="",$I885="—"),1,0)</f>
        <v>0</v>
      </c>
      <c r="W885" s="10" t="n">
        <f aca="false">IF(AND(ISNUMBER($D885),ISNUMBER($E885)),IF($E885&gt;$D885,1,0),0)+IF(AND(ISNUMBER($D885),ISNUMBER($F885)),IF($D885&gt;$F885,1,0),0)+IF(AND(ISNUMBER($E885),ISNUMBER($F885)),IF($E885&gt;$F885,1,0),0)</f>
        <v>0</v>
      </c>
      <c r="X885" s="13" t="s">
        <v>76</v>
      </c>
    </row>
    <row r="886" customFormat="false" ht="15" hidden="false" customHeight="false" outlineLevel="0" collapsed="false">
      <c r="A886" s="10" t="s">
        <v>3781</v>
      </c>
      <c r="B886" s="10" t="s">
        <v>3782</v>
      </c>
      <c r="C886" s="11" t="s">
        <v>3783</v>
      </c>
      <c r="D886" s="12" t="n">
        <v>0</v>
      </c>
      <c r="E886" s="12"/>
      <c r="F886" s="12"/>
      <c r="G886" s="10" t="s">
        <v>63</v>
      </c>
      <c r="H886" s="10" t="s">
        <v>64</v>
      </c>
      <c r="I886" s="11" t="s">
        <v>3767</v>
      </c>
      <c r="J886" s="10" t="s">
        <v>66</v>
      </c>
      <c r="K886" s="10" t="s">
        <v>67</v>
      </c>
      <c r="L886" s="10" t="s">
        <v>68</v>
      </c>
      <c r="M886" s="10" t="s">
        <v>69</v>
      </c>
      <c r="N886" s="10"/>
      <c r="O886" s="11" t="s">
        <v>3422</v>
      </c>
      <c r="P886" s="10" t="s">
        <v>71</v>
      </c>
      <c r="Q886" s="11" t="s">
        <v>72</v>
      </c>
      <c r="R886" s="11" t="s">
        <v>73</v>
      </c>
      <c r="S886" s="11" t="s">
        <v>74</v>
      </c>
      <c r="T886" s="11" t="s">
        <v>3784</v>
      </c>
      <c r="U886" s="10" t="n">
        <f aca="false">IF(AND($D886="",$E886="",$F886=""),1,0)</f>
        <v>0</v>
      </c>
      <c r="V886" s="10" t="n">
        <f aca="false">IF(OR($I886="",$I886="—"),1,0)</f>
        <v>0</v>
      </c>
      <c r="W886" s="10" t="n">
        <f aca="false">IF(AND(ISNUMBER($D886),ISNUMBER($E886)),IF($E886&gt;$D886,1,0),0)+IF(AND(ISNUMBER($D886),ISNUMBER($F886)),IF($D886&gt;$F886,1,0),0)+IF(AND(ISNUMBER($E886),ISNUMBER($F886)),IF($E886&gt;$F886,1,0),0)</f>
        <v>0</v>
      </c>
      <c r="X886" s="13" t="s">
        <v>76</v>
      </c>
    </row>
    <row r="887" customFormat="false" ht="15" hidden="false" customHeight="false" outlineLevel="0" collapsed="false">
      <c r="A887" s="10" t="s">
        <v>3785</v>
      </c>
      <c r="B887" s="10" t="s">
        <v>3786</v>
      </c>
      <c r="C887" s="11" t="s">
        <v>3783</v>
      </c>
      <c r="D887" s="12" t="n">
        <v>0.0181</v>
      </c>
      <c r="E887" s="12"/>
      <c r="F887" s="12"/>
      <c r="G887" s="10" t="s">
        <v>63</v>
      </c>
      <c r="H887" s="10" t="s">
        <v>79</v>
      </c>
      <c r="I887" s="11" t="s">
        <v>3767</v>
      </c>
      <c r="J887" s="10" t="s">
        <v>66</v>
      </c>
      <c r="K887" s="10" t="s">
        <v>67</v>
      </c>
      <c r="L887" s="10" t="s">
        <v>68</v>
      </c>
      <c r="M887" s="10" t="s">
        <v>69</v>
      </c>
      <c r="N887" s="10"/>
      <c r="O887" s="11" t="s">
        <v>3422</v>
      </c>
      <c r="P887" s="10" t="s">
        <v>71</v>
      </c>
      <c r="Q887" s="11" t="s">
        <v>72</v>
      </c>
      <c r="R887" s="11" t="s">
        <v>73</v>
      </c>
      <c r="S887" s="11" t="s">
        <v>74</v>
      </c>
      <c r="T887" s="11" t="s">
        <v>3787</v>
      </c>
      <c r="U887" s="10" t="n">
        <f aca="false">IF(AND($D887="",$E887="",$F887=""),1,0)</f>
        <v>0</v>
      </c>
      <c r="V887" s="10" t="n">
        <f aca="false">IF(OR($I887="",$I887="—"),1,0)</f>
        <v>0</v>
      </c>
      <c r="W887" s="10" t="n">
        <f aca="false">IF(AND(ISNUMBER($D887),ISNUMBER($E887)),IF($E887&gt;$D887,1,0),0)+IF(AND(ISNUMBER($D887),ISNUMBER($F887)),IF($D887&gt;$F887,1,0),0)+IF(AND(ISNUMBER($E887),ISNUMBER($F887)),IF($E887&gt;$F887,1,0),0)</f>
        <v>0</v>
      </c>
      <c r="X887" s="13" t="s">
        <v>76</v>
      </c>
    </row>
    <row r="888" customFormat="false" ht="15" hidden="false" customHeight="false" outlineLevel="0" collapsed="false">
      <c r="A888" s="10" t="s">
        <v>3788</v>
      </c>
      <c r="B888" s="10" t="s">
        <v>3789</v>
      </c>
      <c r="C888" s="11" t="s">
        <v>3783</v>
      </c>
      <c r="D888" s="12" t="n">
        <v>0.068</v>
      </c>
      <c r="E888" s="12"/>
      <c r="F888" s="12"/>
      <c r="G888" s="10" t="s">
        <v>63</v>
      </c>
      <c r="H888" s="10" t="s">
        <v>83</v>
      </c>
      <c r="I888" s="11" t="s">
        <v>3767</v>
      </c>
      <c r="J888" s="10" t="s">
        <v>66</v>
      </c>
      <c r="K888" s="10" t="s">
        <v>67</v>
      </c>
      <c r="L888" s="10" t="s">
        <v>68</v>
      </c>
      <c r="M888" s="10" t="s">
        <v>69</v>
      </c>
      <c r="N888" s="10"/>
      <c r="O888" s="11" t="s">
        <v>3422</v>
      </c>
      <c r="P888" s="10" t="s">
        <v>71</v>
      </c>
      <c r="Q888" s="11" t="s">
        <v>72</v>
      </c>
      <c r="R888" s="11" t="s">
        <v>73</v>
      </c>
      <c r="S888" s="11" t="s">
        <v>74</v>
      </c>
      <c r="T888" s="11" t="s">
        <v>3790</v>
      </c>
      <c r="U888" s="10" t="n">
        <f aca="false">IF(AND($D888="",$E888="",$F888=""),1,0)</f>
        <v>0</v>
      </c>
      <c r="V888" s="10" t="n">
        <f aca="false">IF(OR($I888="",$I888="—"),1,0)</f>
        <v>0</v>
      </c>
      <c r="W888" s="10" t="n">
        <f aca="false">IF(AND(ISNUMBER($D888),ISNUMBER($E888)),IF($E888&gt;$D888,1,0),0)+IF(AND(ISNUMBER($D888),ISNUMBER($F888)),IF($D888&gt;$F888,1,0),0)+IF(AND(ISNUMBER($E888),ISNUMBER($F888)),IF($E888&gt;$F888,1,0),0)</f>
        <v>0</v>
      </c>
      <c r="X888" s="13" t="s">
        <v>76</v>
      </c>
    </row>
    <row r="889" customFormat="false" ht="15" hidden="false" customHeight="false" outlineLevel="0" collapsed="false">
      <c r="A889" s="10" t="s">
        <v>3791</v>
      </c>
      <c r="B889" s="10" t="s">
        <v>3792</v>
      </c>
      <c r="C889" s="11" t="s">
        <v>3783</v>
      </c>
      <c r="D889" s="12" t="n">
        <v>0.0615</v>
      </c>
      <c r="E889" s="12"/>
      <c r="F889" s="12"/>
      <c r="G889" s="10" t="s">
        <v>63</v>
      </c>
      <c r="H889" s="10" t="s">
        <v>87</v>
      </c>
      <c r="I889" s="11" t="s">
        <v>3767</v>
      </c>
      <c r="J889" s="10" t="s">
        <v>66</v>
      </c>
      <c r="K889" s="10" t="s">
        <v>67</v>
      </c>
      <c r="L889" s="10" t="s">
        <v>68</v>
      </c>
      <c r="M889" s="10" t="s">
        <v>69</v>
      </c>
      <c r="N889" s="10"/>
      <c r="O889" s="11" t="s">
        <v>3608</v>
      </c>
      <c r="P889" s="10" t="s">
        <v>71</v>
      </c>
      <c r="Q889" s="11" t="s">
        <v>72</v>
      </c>
      <c r="R889" s="11" t="s">
        <v>73</v>
      </c>
      <c r="S889" s="11" t="s">
        <v>74</v>
      </c>
      <c r="T889" s="11" t="s">
        <v>3793</v>
      </c>
      <c r="U889" s="10" t="n">
        <f aca="false">IF(AND($D889="",$E889="",$F889=""),1,0)</f>
        <v>0</v>
      </c>
      <c r="V889" s="10" t="n">
        <f aca="false">IF(OR($I889="",$I889="—"),1,0)</f>
        <v>0</v>
      </c>
      <c r="W889" s="10" t="n">
        <f aca="false">IF(AND(ISNUMBER($D889),ISNUMBER($E889)),IF($E889&gt;$D889,1,0),0)+IF(AND(ISNUMBER($D889),ISNUMBER($F889)),IF($D889&gt;$F889,1,0),0)+IF(AND(ISNUMBER($E889),ISNUMBER($F889)),IF($E889&gt;$F889,1,0),0)</f>
        <v>0</v>
      </c>
      <c r="X889" s="13" t="s">
        <v>76</v>
      </c>
    </row>
    <row r="890" customFormat="false" ht="15" hidden="false" customHeight="false" outlineLevel="0" collapsed="false">
      <c r="A890" s="10" t="s">
        <v>3794</v>
      </c>
      <c r="B890" s="10" t="s">
        <v>3795</v>
      </c>
      <c r="C890" s="11" t="s">
        <v>3783</v>
      </c>
      <c r="D890" s="12" t="n">
        <v>0.1117</v>
      </c>
      <c r="E890" s="12"/>
      <c r="F890" s="12"/>
      <c r="G890" s="10" t="s">
        <v>63</v>
      </c>
      <c r="H890" s="10" t="s">
        <v>92</v>
      </c>
      <c r="I890" s="11" t="s">
        <v>3767</v>
      </c>
      <c r="J890" s="10" t="s">
        <v>66</v>
      </c>
      <c r="K890" s="10" t="s">
        <v>67</v>
      </c>
      <c r="L890" s="10" t="s">
        <v>68</v>
      </c>
      <c r="M890" s="10" t="s">
        <v>69</v>
      </c>
      <c r="N890" s="10"/>
      <c r="O890" s="11" t="s">
        <v>3428</v>
      </c>
      <c r="P890" s="10" t="s">
        <v>71</v>
      </c>
      <c r="Q890" s="11" t="s">
        <v>72</v>
      </c>
      <c r="R890" s="11" t="s">
        <v>73</v>
      </c>
      <c r="S890" s="11" t="s">
        <v>74</v>
      </c>
      <c r="T890" s="11" t="s">
        <v>3796</v>
      </c>
      <c r="U890" s="10" t="n">
        <f aca="false">IF(AND($D890="",$E890="",$F890=""),1,0)</f>
        <v>0</v>
      </c>
      <c r="V890" s="10" t="n">
        <f aca="false">IF(OR($I890="",$I890="—"),1,0)</f>
        <v>0</v>
      </c>
      <c r="W890" s="10" t="n">
        <f aca="false">IF(AND(ISNUMBER($D890),ISNUMBER($E890)),IF($E890&gt;$D890,1,0),0)+IF(AND(ISNUMBER($D890),ISNUMBER($F890)),IF($D890&gt;$F890,1,0),0)+IF(AND(ISNUMBER($E890),ISNUMBER($F890)),IF($E890&gt;$F890,1,0),0)</f>
        <v>0</v>
      </c>
      <c r="X890" s="13" t="s">
        <v>76</v>
      </c>
    </row>
    <row r="891" customFormat="false" ht="15" hidden="false" customHeight="false" outlineLevel="0" collapsed="false">
      <c r="A891" s="10" t="s">
        <v>3797</v>
      </c>
      <c r="B891" s="10" t="s">
        <v>3798</v>
      </c>
      <c r="C891" s="11" t="s">
        <v>3799</v>
      </c>
      <c r="D891" s="12" t="n">
        <v>0.3165</v>
      </c>
      <c r="E891" s="12"/>
      <c r="F891" s="12"/>
      <c r="G891" s="10" t="s">
        <v>63</v>
      </c>
      <c r="H891" s="10" t="s">
        <v>64</v>
      </c>
      <c r="I891" s="11" t="s">
        <v>3519</v>
      </c>
      <c r="J891" s="10" t="s">
        <v>66</v>
      </c>
      <c r="K891" s="10" t="s">
        <v>67</v>
      </c>
      <c r="L891" s="10" t="s">
        <v>68</v>
      </c>
      <c r="M891" s="10" t="s">
        <v>69</v>
      </c>
      <c r="N891" s="10"/>
      <c r="O891" s="11" t="s">
        <v>3422</v>
      </c>
      <c r="P891" s="10" t="s">
        <v>71</v>
      </c>
      <c r="Q891" s="11" t="s">
        <v>72</v>
      </c>
      <c r="R891" s="11" t="s">
        <v>73</v>
      </c>
      <c r="S891" s="11" t="s">
        <v>74</v>
      </c>
      <c r="T891" s="11" t="s">
        <v>3800</v>
      </c>
      <c r="U891" s="10" t="n">
        <f aca="false">IF(AND($D891="",$E891="",$F891=""),1,0)</f>
        <v>0</v>
      </c>
      <c r="V891" s="10" t="n">
        <f aca="false">IF(OR($I891="",$I891="—"),1,0)</f>
        <v>0</v>
      </c>
      <c r="W891" s="10" t="n">
        <f aca="false">IF(AND(ISNUMBER($D891),ISNUMBER($E891)),IF($E891&gt;$D891,1,0),0)+IF(AND(ISNUMBER($D891),ISNUMBER($F891)),IF($D891&gt;$F891,1,0),0)+IF(AND(ISNUMBER($E891),ISNUMBER($F891)),IF($E891&gt;$F891,1,0),0)</f>
        <v>0</v>
      </c>
      <c r="X891" s="13" t="s">
        <v>76</v>
      </c>
    </row>
    <row r="892" customFormat="false" ht="15" hidden="false" customHeight="false" outlineLevel="0" collapsed="false">
      <c r="A892" s="10" t="s">
        <v>3801</v>
      </c>
      <c r="B892" s="10" t="s">
        <v>3802</v>
      </c>
      <c r="C892" s="11" t="s">
        <v>3799</v>
      </c>
      <c r="D892" s="12" t="n">
        <v>5.0857</v>
      </c>
      <c r="E892" s="12"/>
      <c r="F892" s="12"/>
      <c r="G892" s="10" t="s">
        <v>63</v>
      </c>
      <c r="H892" s="10" t="s">
        <v>79</v>
      </c>
      <c r="I892" s="11" t="s">
        <v>3519</v>
      </c>
      <c r="J892" s="10" t="s">
        <v>66</v>
      </c>
      <c r="K892" s="10" t="s">
        <v>67</v>
      </c>
      <c r="L892" s="10" t="s">
        <v>68</v>
      </c>
      <c r="M892" s="10" t="s">
        <v>69</v>
      </c>
      <c r="N892" s="10"/>
      <c r="O892" s="11" t="s">
        <v>3422</v>
      </c>
      <c r="P892" s="10" t="s">
        <v>71</v>
      </c>
      <c r="Q892" s="11" t="s">
        <v>72</v>
      </c>
      <c r="R892" s="11" t="s">
        <v>73</v>
      </c>
      <c r="S892" s="11" t="s">
        <v>74</v>
      </c>
      <c r="T892" s="11" t="s">
        <v>3803</v>
      </c>
      <c r="U892" s="10" t="n">
        <f aca="false">IF(AND($D892="",$E892="",$F892=""),1,0)</f>
        <v>0</v>
      </c>
      <c r="V892" s="10" t="n">
        <f aca="false">IF(OR($I892="",$I892="—"),1,0)</f>
        <v>0</v>
      </c>
      <c r="W892" s="10" t="n">
        <f aca="false">IF(AND(ISNUMBER($D892),ISNUMBER($E892)),IF($E892&gt;$D892,1,0),0)+IF(AND(ISNUMBER($D892),ISNUMBER($F892)),IF($D892&gt;$F892,1,0),0)+IF(AND(ISNUMBER($E892),ISNUMBER($F892)),IF($E892&gt;$F892,1,0),0)</f>
        <v>0</v>
      </c>
      <c r="X892" s="13" t="s">
        <v>76</v>
      </c>
    </row>
    <row r="893" customFormat="false" ht="15" hidden="false" customHeight="false" outlineLevel="0" collapsed="false">
      <c r="A893" s="10" t="s">
        <v>3804</v>
      </c>
      <c r="B893" s="10" t="s">
        <v>3805</v>
      </c>
      <c r="C893" s="11" t="s">
        <v>3799</v>
      </c>
      <c r="D893" s="12" t="n">
        <v>1.3276</v>
      </c>
      <c r="E893" s="12"/>
      <c r="F893" s="12"/>
      <c r="G893" s="10" t="s">
        <v>63</v>
      </c>
      <c r="H893" s="10" t="s">
        <v>83</v>
      </c>
      <c r="I893" s="11" t="s">
        <v>3519</v>
      </c>
      <c r="J893" s="10" t="s">
        <v>66</v>
      </c>
      <c r="K893" s="10" t="s">
        <v>67</v>
      </c>
      <c r="L893" s="10" t="s">
        <v>68</v>
      </c>
      <c r="M893" s="10" t="s">
        <v>69</v>
      </c>
      <c r="N893" s="10"/>
      <c r="O893" s="11" t="s">
        <v>3422</v>
      </c>
      <c r="P893" s="10" t="s">
        <v>71</v>
      </c>
      <c r="Q893" s="11" t="s">
        <v>72</v>
      </c>
      <c r="R893" s="11" t="s">
        <v>73</v>
      </c>
      <c r="S893" s="11" t="s">
        <v>74</v>
      </c>
      <c r="T893" s="11" t="s">
        <v>3806</v>
      </c>
      <c r="U893" s="10" t="n">
        <f aca="false">IF(AND($D893="",$E893="",$F893=""),1,0)</f>
        <v>0</v>
      </c>
      <c r="V893" s="10" t="n">
        <f aca="false">IF(OR($I893="",$I893="—"),1,0)</f>
        <v>0</v>
      </c>
      <c r="W893" s="10" t="n">
        <f aca="false">IF(AND(ISNUMBER($D893),ISNUMBER($E893)),IF($E893&gt;$D893,1,0),0)+IF(AND(ISNUMBER($D893),ISNUMBER($F893)),IF($D893&gt;$F893,1,0),0)+IF(AND(ISNUMBER($E893),ISNUMBER($F893)),IF($E893&gt;$F893,1,0),0)</f>
        <v>0</v>
      </c>
      <c r="X893" s="13" t="s">
        <v>76</v>
      </c>
    </row>
    <row r="894" customFormat="false" ht="15" hidden="false" customHeight="false" outlineLevel="0" collapsed="false">
      <c r="A894" s="10" t="s">
        <v>3807</v>
      </c>
      <c r="B894" s="10" t="s">
        <v>3808</v>
      </c>
      <c r="C894" s="11" t="s">
        <v>3799</v>
      </c>
      <c r="D894" s="12" t="n">
        <v>1.0454</v>
      </c>
      <c r="E894" s="12"/>
      <c r="F894" s="12"/>
      <c r="G894" s="10" t="s">
        <v>63</v>
      </c>
      <c r="H894" s="10" t="s">
        <v>87</v>
      </c>
      <c r="I894" s="11" t="s">
        <v>3519</v>
      </c>
      <c r="J894" s="10" t="s">
        <v>66</v>
      </c>
      <c r="K894" s="10" t="s">
        <v>67</v>
      </c>
      <c r="L894" s="10" t="s">
        <v>68</v>
      </c>
      <c r="M894" s="10" t="s">
        <v>69</v>
      </c>
      <c r="N894" s="10"/>
      <c r="O894" s="11" t="s">
        <v>3608</v>
      </c>
      <c r="P894" s="10" t="s">
        <v>71</v>
      </c>
      <c r="Q894" s="11" t="s">
        <v>72</v>
      </c>
      <c r="R894" s="11" t="s">
        <v>73</v>
      </c>
      <c r="S894" s="11" t="s">
        <v>74</v>
      </c>
      <c r="T894" s="11" t="s">
        <v>3809</v>
      </c>
      <c r="U894" s="10" t="n">
        <f aca="false">IF(AND($D894="",$E894="",$F894=""),1,0)</f>
        <v>0</v>
      </c>
      <c r="V894" s="10" t="n">
        <f aca="false">IF(OR($I894="",$I894="—"),1,0)</f>
        <v>0</v>
      </c>
      <c r="W894" s="10" t="n">
        <f aca="false">IF(AND(ISNUMBER($D894),ISNUMBER($E894)),IF($E894&gt;$D894,1,0),0)+IF(AND(ISNUMBER($D894),ISNUMBER($F894)),IF($D894&gt;$F894,1,0),0)+IF(AND(ISNUMBER($E894),ISNUMBER($F894)),IF($E894&gt;$F894,1,0),0)</f>
        <v>0</v>
      </c>
      <c r="X894" s="13" t="s">
        <v>76</v>
      </c>
    </row>
    <row r="895" customFormat="false" ht="15" hidden="false" customHeight="false" outlineLevel="0" collapsed="false">
      <c r="A895" s="10" t="s">
        <v>3810</v>
      </c>
      <c r="B895" s="10" t="s">
        <v>3811</v>
      </c>
      <c r="C895" s="11" t="s">
        <v>3799</v>
      </c>
      <c r="D895" s="12" t="n">
        <v>0.2391</v>
      </c>
      <c r="E895" s="12"/>
      <c r="F895" s="12"/>
      <c r="G895" s="10" t="s">
        <v>63</v>
      </c>
      <c r="H895" s="10" t="s">
        <v>92</v>
      </c>
      <c r="I895" s="11" t="s">
        <v>3519</v>
      </c>
      <c r="J895" s="10" t="s">
        <v>66</v>
      </c>
      <c r="K895" s="10" t="s">
        <v>67</v>
      </c>
      <c r="L895" s="10" t="s">
        <v>68</v>
      </c>
      <c r="M895" s="10" t="s">
        <v>69</v>
      </c>
      <c r="N895" s="10"/>
      <c r="O895" s="11" t="s">
        <v>3428</v>
      </c>
      <c r="P895" s="10" t="s">
        <v>71</v>
      </c>
      <c r="Q895" s="11" t="s">
        <v>72</v>
      </c>
      <c r="R895" s="11" t="s">
        <v>73</v>
      </c>
      <c r="S895" s="11" t="s">
        <v>74</v>
      </c>
      <c r="T895" s="11" t="s">
        <v>3812</v>
      </c>
      <c r="U895" s="10" t="n">
        <f aca="false">IF(AND($D895="",$E895="",$F895=""),1,0)</f>
        <v>0</v>
      </c>
      <c r="V895" s="10" t="n">
        <f aca="false">IF(OR($I895="",$I895="—"),1,0)</f>
        <v>0</v>
      </c>
      <c r="W895" s="10" t="n">
        <f aca="false">IF(AND(ISNUMBER($D895),ISNUMBER($E895)),IF($E895&gt;$D895,1,0),0)+IF(AND(ISNUMBER($D895),ISNUMBER($F895)),IF($D895&gt;$F895,1,0),0)+IF(AND(ISNUMBER($E895),ISNUMBER($F895)),IF($E895&gt;$F895,1,0),0)</f>
        <v>0</v>
      </c>
      <c r="X895" s="13" t="s">
        <v>76</v>
      </c>
    </row>
    <row r="896" customFormat="false" ht="15" hidden="false" customHeight="false" outlineLevel="0" collapsed="false">
      <c r="A896" s="10" t="s">
        <v>3813</v>
      </c>
      <c r="B896" s="10" t="s">
        <v>3814</v>
      </c>
      <c r="C896" s="11" t="s">
        <v>3815</v>
      </c>
      <c r="D896" s="12" t="n">
        <v>0.3165</v>
      </c>
      <c r="E896" s="12"/>
      <c r="F896" s="12"/>
      <c r="G896" s="10" t="s">
        <v>63</v>
      </c>
      <c r="H896" s="10" t="s">
        <v>64</v>
      </c>
      <c r="I896" s="11" t="s">
        <v>3816</v>
      </c>
      <c r="J896" s="10" t="s">
        <v>66</v>
      </c>
      <c r="K896" s="10" t="s">
        <v>67</v>
      </c>
      <c r="L896" s="10" t="s">
        <v>68</v>
      </c>
      <c r="M896" s="10" t="s">
        <v>69</v>
      </c>
      <c r="N896" s="10"/>
      <c r="O896" s="11" t="s">
        <v>3422</v>
      </c>
      <c r="P896" s="10" t="s">
        <v>71</v>
      </c>
      <c r="Q896" s="11" t="s">
        <v>72</v>
      </c>
      <c r="R896" s="11" t="s">
        <v>73</v>
      </c>
      <c r="S896" s="11" t="s">
        <v>74</v>
      </c>
      <c r="T896" s="11" t="s">
        <v>3817</v>
      </c>
      <c r="U896" s="10" t="n">
        <f aca="false">IF(AND($D896="",$E896="",$F896=""),1,0)</f>
        <v>0</v>
      </c>
      <c r="V896" s="10" t="n">
        <f aca="false">IF(OR($I896="",$I896="—"),1,0)</f>
        <v>0</v>
      </c>
      <c r="W896" s="10" t="n">
        <f aca="false">IF(AND(ISNUMBER($D896),ISNUMBER($E896)),IF($E896&gt;$D896,1,0),0)+IF(AND(ISNUMBER($D896),ISNUMBER($F896)),IF($D896&gt;$F896,1,0),0)+IF(AND(ISNUMBER($E896),ISNUMBER($F896)),IF($E896&gt;$F896,1,0),0)</f>
        <v>0</v>
      </c>
      <c r="X896" s="13" t="s">
        <v>76</v>
      </c>
    </row>
    <row r="897" customFormat="false" ht="15" hidden="false" customHeight="false" outlineLevel="0" collapsed="false">
      <c r="A897" s="10" t="s">
        <v>3818</v>
      </c>
      <c r="B897" s="10" t="s">
        <v>3819</v>
      </c>
      <c r="C897" s="11" t="s">
        <v>3815</v>
      </c>
      <c r="D897" s="12" t="n">
        <v>5.0046</v>
      </c>
      <c r="E897" s="12"/>
      <c r="F897" s="12"/>
      <c r="G897" s="10" t="s">
        <v>63</v>
      </c>
      <c r="H897" s="10" t="s">
        <v>79</v>
      </c>
      <c r="I897" s="11" t="s">
        <v>3816</v>
      </c>
      <c r="J897" s="10" t="s">
        <v>66</v>
      </c>
      <c r="K897" s="10" t="s">
        <v>67</v>
      </c>
      <c r="L897" s="10" t="s">
        <v>68</v>
      </c>
      <c r="M897" s="10" t="s">
        <v>69</v>
      </c>
      <c r="N897" s="10"/>
      <c r="O897" s="11" t="s">
        <v>3422</v>
      </c>
      <c r="P897" s="10" t="s">
        <v>71</v>
      </c>
      <c r="Q897" s="11" t="s">
        <v>72</v>
      </c>
      <c r="R897" s="11" t="s">
        <v>73</v>
      </c>
      <c r="S897" s="11" t="s">
        <v>74</v>
      </c>
      <c r="T897" s="11" t="s">
        <v>3820</v>
      </c>
      <c r="U897" s="10" t="n">
        <f aca="false">IF(AND($D897="",$E897="",$F897=""),1,0)</f>
        <v>0</v>
      </c>
      <c r="V897" s="10" t="n">
        <f aca="false">IF(OR($I897="",$I897="—"),1,0)</f>
        <v>0</v>
      </c>
      <c r="W897" s="10" t="n">
        <f aca="false">IF(AND(ISNUMBER($D897),ISNUMBER($E897)),IF($E897&gt;$D897,1,0),0)+IF(AND(ISNUMBER($D897),ISNUMBER($F897)),IF($D897&gt;$F897,1,0),0)+IF(AND(ISNUMBER($E897),ISNUMBER($F897)),IF($E897&gt;$F897,1,0),0)</f>
        <v>0</v>
      </c>
      <c r="X897" s="13" t="s">
        <v>76</v>
      </c>
    </row>
    <row r="898" customFormat="false" ht="15" hidden="false" customHeight="false" outlineLevel="0" collapsed="false">
      <c r="A898" s="10" t="s">
        <v>3821</v>
      </c>
      <c r="B898" s="10" t="s">
        <v>3822</v>
      </c>
      <c r="C898" s="11" t="s">
        <v>3815</v>
      </c>
      <c r="D898" s="12" t="n">
        <v>1.176</v>
      </c>
      <c r="E898" s="12"/>
      <c r="F898" s="12"/>
      <c r="G898" s="10" t="s">
        <v>63</v>
      </c>
      <c r="H898" s="10" t="s">
        <v>83</v>
      </c>
      <c r="I898" s="11" t="s">
        <v>3816</v>
      </c>
      <c r="J898" s="10" t="s">
        <v>66</v>
      </c>
      <c r="K898" s="10" t="s">
        <v>67</v>
      </c>
      <c r="L898" s="10" t="s">
        <v>68</v>
      </c>
      <c r="M898" s="10" t="s">
        <v>69</v>
      </c>
      <c r="N898" s="10"/>
      <c r="O898" s="11" t="s">
        <v>3422</v>
      </c>
      <c r="P898" s="10" t="s">
        <v>71</v>
      </c>
      <c r="Q898" s="11" t="s">
        <v>72</v>
      </c>
      <c r="R898" s="11" t="s">
        <v>73</v>
      </c>
      <c r="S898" s="11" t="s">
        <v>74</v>
      </c>
      <c r="T898" s="11" t="s">
        <v>3823</v>
      </c>
      <c r="U898" s="10" t="n">
        <f aca="false">IF(AND($D898="",$E898="",$F898=""),1,0)</f>
        <v>0</v>
      </c>
      <c r="V898" s="10" t="n">
        <f aca="false">IF(OR($I898="",$I898="—"),1,0)</f>
        <v>0</v>
      </c>
      <c r="W898" s="10" t="n">
        <f aca="false">IF(AND(ISNUMBER($D898),ISNUMBER($E898)),IF($E898&gt;$D898,1,0),0)+IF(AND(ISNUMBER($D898),ISNUMBER($F898)),IF($D898&gt;$F898,1,0),0)+IF(AND(ISNUMBER($E898),ISNUMBER($F898)),IF($E898&gt;$F898,1,0),0)</f>
        <v>0</v>
      </c>
      <c r="X898" s="13" t="s">
        <v>76</v>
      </c>
    </row>
    <row r="899" customFormat="false" ht="15" hidden="false" customHeight="false" outlineLevel="0" collapsed="false">
      <c r="A899" s="10" t="s">
        <v>3824</v>
      </c>
      <c r="B899" s="10" t="s">
        <v>3825</v>
      </c>
      <c r="C899" s="11" t="s">
        <v>3815</v>
      </c>
      <c r="D899" s="12" t="n">
        <v>0.0529</v>
      </c>
      <c r="E899" s="12"/>
      <c r="F899" s="12"/>
      <c r="G899" s="10" t="s">
        <v>63</v>
      </c>
      <c r="H899" s="10" t="s">
        <v>92</v>
      </c>
      <c r="I899" s="11" t="s">
        <v>3816</v>
      </c>
      <c r="J899" s="10" t="s">
        <v>66</v>
      </c>
      <c r="K899" s="10" t="s">
        <v>67</v>
      </c>
      <c r="L899" s="10" t="s">
        <v>68</v>
      </c>
      <c r="M899" s="10" t="s">
        <v>69</v>
      </c>
      <c r="N899" s="10"/>
      <c r="O899" s="11" t="s">
        <v>3428</v>
      </c>
      <c r="P899" s="10" t="s">
        <v>71</v>
      </c>
      <c r="Q899" s="11" t="s">
        <v>72</v>
      </c>
      <c r="R899" s="11" t="s">
        <v>73</v>
      </c>
      <c r="S899" s="11" t="s">
        <v>74</v>
      </c>
      <c r="T899" s="11" t="s">
        <v>3826</v>
      </c>
      <c r="U899" s="10" t="n">
        <f aca="false">IF(AND($D899="",$E899="",$F899=""),1,0)</f>
        <v>0</v>
      </c>
      <c r="V899" s="10" t="n">
        <f aca="false">IF(OR($I899="",$I899="—"),1,0)</f>
        <v>0</v>
      </c>
      <c r="W899" s="10" t="n">
        <f aca="false">IF(AND(ISNUMBER($D899),ISNUMBER($E899)),IF($E899&gt;$D899,1,0),0)+IF(AND(ISNUMBER($D899),ISNUMBER($F899)),IF($D899&gt;$F899,1,0),0)+IF(AND(ISNUMBER($E899),ISNUMBER($F899)),IF($E899&gt;$F899,1,0),0)</f>
        <v>0</v>
      </c>
      <c r="X899" s="13" t="s">
        <v>76</v>
      </c>
    </row>
    <row r="900" customFormat="false" ht="15" hidden="false" customHeight="false" outlineLevel="0" collapsed="false">
      <c r="A900" s="10" t="s">
        <v>3827</v>
      </c>
      <c r="B900" s="10" t="s">
        <v>3828</v>
      </c>
      <c r="C900" s="11" t="s">
        <v>3829</v>
      </c>
      <c r="D900" s="12" t="n">
        <v>0.2394</v>
      </c>
      <c r="E900" s="12"/>
      <c r="F900" s="12"/>
      <c r="G900" s="10" t="s">
        <v>63</v>
      </c>
      <c r="H900" s="10" t="s">
        <v>64</v>
      </c>
      <c r="I900" s="11" t="s">
        <v>3816</v>
      </c>
      <c r="J900" s="10" t="s">
        <v>66</v>
      </c>
      <c r="K900" s="10" t="s">
        <v>67</v>
      </c>
      <c r="L900" s="10" t="s">
        <v>68</v>
      </c>
      <c r="M900" s="10" t="s">
        <v>69</v>
      </c>
      <c r="N900" s="10"/>
      <c r="O900" s="11" t="s">
        <v>3422</v>
      </c>
      <c r="P900" s="10" t="s">
        <v>71</v>
      </c>
      <c r="Q900" s="11" t="s">
        <v>72</v>
      </c>
      <c r="R900" s="11" t="s">
        <v>73</v>
      </c>
      <c r="S900" s="11" t="s">
        <v>74</v>
      </c>
      <c r="T900" s="11" t="s">
        <v>3830</v>
      </c>
      <c r="U900" s="10" t="n">
        <f aca="false">IF(AND($D900="",$E900="",$F900=""),1,0)</f>
        <v>0</v>
      </c>
      <c r="V900" s="10" t="n">
        <f aca="false">IF(OR($I900="",$I900="—"),1,0)</f>
        <v>0</v>
      </c>
      <c r="W900" s="10" t="n">
        <f aca="false">IF(AND(ISNUMBER($D900),ISNUMBER($E900)),IF($E900&gt;$D900,1,0),0)+IF(AND(ISNUMBER($D900),ISNUMBER($F900)),IF($D900&gt;$F900,1,0),0)+IF(AND(ISNUMBER($E900),ISNUMBER($F900)),IF($E900&gt;$F900,1,0),0)</f>
        <v>0</v>
      </c>
      <c r="X900" s="13" t="s">
        <v>76</v>
      </c>
    </row>
    <row r="901" customFormat="false" ht="15" hidden="false" customHeight="false" outlineLevel="0" collapsed="false">
      <c r="A901" s="10" t="s">
        <v>3831</v>
      </c>
      <c r="B901" s="10" t="s">
        <v>3832</v>
      </c>
      <c r="C901" s="11" t="s">
        <v>3829</v>
      </c>
      <c r="D901" s="12" t="n">
        <v>2.947</v>
      </c>
      <c r="E901" s="12"/>
      <c r="F901" s="12"/>
      <c r="G901" s="10" t="s">
        <v>63</v>
      </c>
      <c r="H901" s="10" t="s">
        <v>79</v>
      </c>
      <c r="I901" s="11" t="s">
        <v>3816</v>
      </c>
      <c r="J901" s="10" t="s">
        <v>66</v>
      </c>
      <c r="K901" s="10" t="s">
        <v>67</v>
      </c>
      <c r="L901" s="10" t="s">
        <v>68</v>
      </c>
      <c r="M901" s="10" t="s">
        <v>69</v>
      </c>
      <c r="N901" s="10"/>
      <c r="O901" s="11" t="s">
        <v>3422</v>
      </c>
      <c r="P901" s="10" t="s">
        <v>71</v>
      </c>
      <c r="Q901" s="11" t="s">
        <v>72</v>
      </c>
      <c r="R901" s="11" t="s">
        <v>73</v>
      </c>
      <c r="S901" s="11" t="s">
        <v>74</v>
      </c>
      <c r="T901" s="11" t="s">
        <v>3833</v>
      </c>
      <c r="U901" s="10" t="n">
        <f aca="false">IF(AND($D901="",$E901="",$F901=""),1,0)</f>
        <v>0</v>
      </c>
      <c r="V901" s="10" t="n">
        <f aca="false">IF(OR($I901="",$I901="—"),1,0)</f>
        <v>0</v>
      </c>
      <c r="W901" s="10" t="n">
        <f aca="false">IF(AND(ISNUMBER($D901),ISNUMBER($E901)),IF($E901&gt;$D901,1,0),0)+IF(AND(ISNUMBER($D901),ISNUMBER($F901)),IF($D901&gt;$F901,1,0),0)+IF(AND(ISNUMBER($E901),ISNUMBER($F901)),IF($E901&gt;$F901,1,0),0)</f>
        <v>0</v>
      </c>
      <c r="X901" s="13" t="s">
        <v>76</v>
      </c>
    </row>
    <row r="902" customFormat="false" ht="15" hidden="false" customHeight="false" outlineLevel="0" collapsed="false">
      <c r="A902" s="10" t="s">
        <v>3834</v>
      </c>
      <c r="B902" s="10" t="s">
        <v>3835</v>
      </c>
      <c r="C902" s="11" t="s">
        <v>3829</v>
      </c>
      <c r="D902" s="12" t="n">
        <v>3.3709</v>
      </c>
      <c r="E902" s="12"/>
      <c r="F902" s="12"/>
      <c r="G902" s="10" t="s">
        <v>63</v>
      </c>
      <c r="H902" s="10" t="s">
        <v>83</v>
      </c>
      <c r="I902" s="11" t="s">
        <v>3816</v>
      </c>
      <c r="J902" s="10" t="s">
        <v>66</v>
      </c>
      <c r="K902" s="10" t="s">
        <v>67</v>
      </c>
      <c r="L902" s="10" t="s">
        <v>68</v>
      </c>
      <c r="M902" s="10" t="s">
        <v>69</v>
      </c>
      <c r="N902" s="10"/>
      <c r="O902" s="11" t="s">
        <v>3422</v>
      </c>
      <c r="P902" s="10" t="s">
        <v>71</v>
      </c>
      <c r="Q902" s="11" t="s">
        <v>72</v>
      </c>
      <c r="R902" s="11" t="s">
        <v>73</v>
      </c>
      <c r="S902" s="11" t="s">
        <v>74</v>
      </c>
      <c r="T902" s="11" t="s">
        <v>3836</v>
      </c>
      <c r="U902" s="10" t="n">
        <f aca="false">IF(AND($D902="",$E902="",$F902=""),1,0)</f>
        <v>0</v>
      </c>
      <c r="V902" s="10" t="n">
        <f aca="false">IF(OR($I902="",$I902="—"),1,0)</f>
        <v>0</v>
      </c>
      <c r="W902" s="10" t="n">
        <f aca="false">IF(AND(ISNUMBER($D902),ISNUMBER($E902)),IF($E902&gt;$D902,1,0),0)+IF(AND(ISNUMBER($D902),ISNUMBER($F902)),IF($D902&gt;$F902,1,0),0)+IF(AND(ISNUMBER($E902),ISNUMBER($F902)),IF($E902&gt;$F902,1,0),0)</f>
        <v>0</v>
      </c>
      <c r="X902" s="13" t="s">
        <v>76</v>
      </c>
    </row>
    <row r="903" customFormat="false" ht="15" hidden="false" customHeight="false" outlineLevel="0" collapsed="false">
      <c r="A903" s="10" t="s">
        <v>3837</v>
      </c>
      <c r="B903" s="10" t="s">
        <v>3838</v>
      </c>
      <c r="C903" s="11" t="s">
        <v>3829</v>
      </c>
      <c r="D903" s="12" t="n">
        <v>0.344</v>
      </c>
      <c r="E903" s="12"/>
      <c r="F903" s="12"/>
      <c r="G903" s="10" t="s">
        <v>63</v>
      </c>
      <c r="H903" s="10" t="s">
        <v>92</v>
      </c>
      <c r="I903" s="11" t="s">
        <v>3816</v>
      </c>
      <c r="J903" s="10" t="s">
        <v>66</v>
      </c>
      <c r="K903" s="10" t="s">
        <v>67</v>
      </c>
      <c r="L903" s="10" t="s">
        <v>68</v>
      </c>
      <c r="M903" s="10" t="s">
        <v>69</v>
      </c>
      <c r="N903" s="10"/>
      <c r="O903" s="11" t="s">
        <v>3428</v>
      </c>
      <c r="P903" s="10" t="s">
        <v>71</v>
      </c>
      <c r="Q903" s="11" t="s">
        <v>72</v>
      </c>
      <c r="R903" s="11" t="s">
        <v>73</v>
      </c>
      <c r="S903" s="11" t="s">
        <v>74</v>
      </c>
      <c r="T903" s="11" t="s">
        <v>3839</v>
      </c>
      <c r="U903" s="10" t="n">
        <f aca="false">IF(AND($D903="",$E903="",$F903=""),1,0)</f>
        <v>0</v>
      </c>
      <c r="V903" s="10" t="n">
        <f aca="false">IF(OR($I903="",$I903="—"),1,0)</f>
        <v>0</v>
      </c>
      <c r="W903" s="10" t="n">
        <f aca="false">IF(AND(ISNUMBER($D903),ISNUMBER($E903)),IF($E903&gt;$D903,1,0),0)+IF(AND(ISNUMBER($D903),ISNUMBER($F903)),IF($D903&gt;$F903,1,0),0)+IF(AND(ISNUMBER($E903),ISNUMBER($F903)),IF($E903&gt;$F903,1,0),0)</f>
        <v>0</v>
      </c>
      <c r="X903" s="13" t="s">
        <v>76</v>
      </c>
    </row>
    <row r="904" customFormat="false" ht="15" hidden="false" customHeight="false" outlineLevel="0" collapsed="false">
      <c r="A904" s="10" t="s">
        <v>3840</v>
      </c>
      <c r="B904" s="10" t="s">
        <v>3841</v>
      </c>
      <c r="C904" s="11" t="s">
        <v>3842</v>
      </c>
      <c r="D904" s="12" t="n">
        <v>0.5559</v>
      </c>
      <c r="E904" s="12"/>
      <c r="F904" s="12"/>
      <c r="G904" s="10" t="s">
        <v>63</v>
      </c>
      <c r="H904" s="10" t="s">
        <v>64</v>
      </c>
      <c r="I904" s="11" t="s">
        <v>3816</v>
      </c>
      <c r="J904" s="10" t="s">
        <v>66</v>
      </c>
      <c r="K904" s="10" t="s">
        <v>67</v>
      </c>
      <c r="L904" s="10" t="s">
        <v>68</v>
      </c>
      <c r="M904" s="10" t="s">
        <v>69</v>
      </c>
      <c r="N904" s="10"/>
      <c r="O904" s="11" t="s">
        <v>3422</v>
      </c>
      <c r="P904" s="10" t="s">
        <v>71</v>
      </c>
      <c r="Q904" s="11" t="s">
        <v>72</v>
      </c>
      <c r="R904" s="11" t="s">
        <v>73</v>
      </c>
      <c r="S904" s="11" t="s">
        <v>74</v>
      </c>
      <c r="T904" s="11" t="s">
        <v>3843</v>
      </c>
      <c r="U904" s="10" t="n">
        <f aca="false">IF(AND($D904="",$E904="",$F904=""),1,0)</f>
        <v>0</v>
      </c>
      <c r="V904" s="10" t="n">
        <f aca="false">IF(OR($I904="",$I904="—"),1,0)</f>
        <v>0</v>
      </c>
      <c r="W904" s="10" t="n">
        <f aca="false">IF(AND(ISNUMBER($D904),ISNUMBER($E904)),IF($E904&gt;$D904,1,0),0)+IF(AND(ISNUMBER($D904),ISNUMBER($F904)),IF($D904&gt;$F904,1,0),0)+IF(AND(ISNUMBER($E904),ISNUMBER($F904)),IF($E904&gt;$F904,1,0),0)</f>
        <v>0</v>
      </c>
      <c r="X904" s="13" t="s">
        <v>76</v>
      </c>
    </row>
    <row r="905" customFormat="false" ht="15" hidden="false" customHeight="false" outlineLevel="0" collapsed="false">
      <c r="A905" s="10" t="s">
        <v>3844</v>
      </c>
      <c r="B905" s="10" t="s">
        <v>3845</v>
      </c>
      <c r="C905" s="11" t="s">
        <v>3842</v>
      </c>
      <c r="D905" s="12" t="n">
        <v>8.1428</v>
      </c>
      <c r="E905" s="12"/>
      <c r="F905" s="12"/>
      <c r="G905" s="10" t="s">
        <v>63</v>
      </c>
      <c r="H905" s="10" t="s">
        <v>79</v>
      </c>
      <c r="I905" s="11" t="s">
        <v>3816</v>
      </c>
      <c r="J905" s="10" t="s">
        <v>66</v>
      </c>
      <c r="K905" s="10" t="s">
        <v>67</v>
      </c>
      <c r="L905" s="10" t="s">
        <v>68</v>
      </c>
      <c r="M905" s="10" t="s">
        <v>69</v>
      </c>
      <c r="N905" s="10"/>
      <c r="O905" s="11" t="s">
        <v>3422</v>
      </c>
      <c r="P905" s="10" t="s">
        <v>71</v>
      </c>
      <c r="Q905" s="11" t="s">
        <v>72</v>
      </c>
      <c r="R905" s="11" t="s">
        <v>73</v>
      </c>
      <c r="S905" s="11" t="s">
        <v>74</v>
      </c>
      <c r="T905" s="11" t="s">
        <v>3846</v>
      </c>
      <c r="U905" s="10" t="n">
        <f aca="false">IF(AND($D905="",$E905="",$F905=""),1,0)</f>
        <v>0</v>
      </c>
      <c r="V905" s="10" t="n">
        <f aca="false">IF(OR($I905="",$I905="—"),1,0)</f>
        <v>0</v>
      </c>
      <c r="W905" s="10" t="n">
        <f aca="false">IF(AND(ISNUMBER($D905),ISNUMBER($E905)),IF($E905&gt;$D905,1,0),0)+IF(AND(ISNUMBER($D905),ISNUMBER($F905)),IF($D905&gt;$F905,1,0),0)+IF(AND(ISNUMBER($E905),ISNUMBER($F905)),IF($E905&gt;$F905,1,0),0)</f>
        <v>0</v>
      </c>
      <c r="X905" s="13" t="s">
        <v>76</v>
      </c>
    </row>
    <row r="906" customFormat="false" ht="15" hidden="false" customHeight="false" outlineLevel="0" collapsed="false">
      <c r="A906" s="10" t="s">
        <v>3847</v>
      </c>
      <c r="B906" s="10" t="s">
        <v>3848</v>
      </c>
      <c r="C906" s="11" t="s">
        <v>3842</v>
      </c>
      <c r="D906" s="12" t="n">
        <v>4.5555</v>
      </c>
      <c r="E906" s="12"/>
      <c r="F906" s="12"/>
      <c r="G906" s="10" t="s">
        <v>63</v>
      </c>
      <c r="H906" s="10" t="s">
        <v>83</v>
      </c>
      <c r="I906" s="11" t="s">
        <v>3816</v>
      </c>
      <c r="J906" s="10" t="s">
        <v>66</v>
      </c>
      <c r="K906" s="10" t="s">
        <v>67</v>
      </c>
      <c r="L906" s="10" t="s">
        <v>68</v>
      </c>
      <c r="M906" s="10" t="s">
        <v>69</v>
      </c>
      <c r="N906" s="10"/>
      <c r="O906" s="11" t="s">
        <v>3422</v>
      </c>
      <c r="P906" s="10" t="s">
        <v>71</v>
      </c>
      <c r="Q906" s="11" t="s">
        <v>72</v>
      </c>
      <c r="R906" s="11" t="s">
        <v>73</v>
      </c>
      <c r="S906" s="11" t="s">
        <v>74</v>
      </c>
      <c r="T906" s="11" t="s">
        <v>3849</v>
      </c>
      <c r="U906" s="10" t="n">
        <f aca="false">IF(AND($D906="",$E906="",$F906=""),1,0)</f>
        <v>0</v>
      </c>
      <c r="V906" s="10" t="n">
        <f aca="false">IF(OR($I906="",$I906="—"),1,0)</f>
        <v>0</v>
      </c>
      <c r="W906" s="10" t="n">
        <f aca="false">IF(AND(ISNUMBER($D906),ISNUMBER($E906)),IF($E906&gt;$D906,1,0),0)+IF(AND(ISNUMBER($D906),ISNUMBER($F906)),IF($D906&gt;$F906,1,0),0)+IF(AND(ISNUMBER($E906),ISNUMBER($F906)),IF($E906&gt;$F906,1,0),0)</f>
        <v>0</v>
      </c>
      <c r="X906" s="13" t="s">
        <v>76</v>
      </c>
    </row>
    <row r="907" customFormat="false" ht="15" hidden="false" customHeight="false" outlineLevel="0" collapsed="false">
      <c r="A907" s="10" t="s">
        <v>3850</v>
      </c>
      <c r="B907" s="10" t="s">
        <v>3851</v>
      </c>
      <c r="C907" s="11" t="s">
        <v>3842</v>
      </c>
      <c r="D907" s="12" t="n">
        <v>0.4249</v>
      </c>
      <c r="E907" s="12"/>
      <c r="F907" s="12"/>
      <c r="G907" s="10" t="s">
        <v>63</v>
      </c>
      <c r="H907" s="10" t="s">
        <v>92</v>
      </c>
      <c r="I907" s="11" t="s">
        <v>3816</v>
      </c>
      <c r="J907" s="10" t="s">
        <v>66</v>
      </c>
      <c r="K907" s="10" t="s">
        <v>67</v>
      </c>
      <c r="L907" s="10" t="s">
        <v>68</v>
      </c>
      <c r="M907" s="10" t="s">
        <v>69</v>
      </c>
      <c r="N907" s="10"/>
      <c r="O907" s="11" t="s">
        <v>3428</v>
      </c>
      <c r="P907" s="10" t="s">
        <v>71</v>
      </c>
      <c r="Q907" s="11" t="s">
        <v>72</v>
      </c>
      <c r="R907" s="11" t="s">
        <v>73</v>
      </c>
      <c r="S907" s="11" t="s">
        <v>74</v>
      </c>
      <c r="T907" s="11" t="s">
        <v>3852</v>
      </c>
      <c r="U907" s="10" t="n">
        <f aca="false">IF(AND($D907="",$E907="",$F907=""),1,0)</f>
        <v>0</v>
      </c>
      <c r="V907" s="10" t="n">
        <f aca="false">IF(OR($I907="",$I907="—"),1,0)</f>
        <v>0</v>
      </c>
      <c r="W907" s="10" t="n">
        <f aca="false">IF(AND(ISNUMBER($D907),ISNUMBER($E907)),IF($E907&gt;$D907,1,0),0)+IF(AND(ISNUMBER($D907),ISNUMBER($F907)),IF($D907&gt;$F907,1,0),0)+IF(AND(ISNUMBER($E907),ISNUMBER($F907)),IF($E907&gt;$F907,1,0),0)</f>
        <v>0</v>
      </c>
      <c r="X907" s="13" t="s">
        <v>76</v>
      </c>
    </row>
    <row r="908" customFormat="false" ht="15" hidden="false" customHeight="false" outlineLevel="0" collapsed="false">
      <c r="A908" s="10" t="s">
        <v>3853</v>
      </c>
      <c r="B908" s="10" t="s">
        <v>3854</v>
      </c>
      <c r="C908" s="11" t="s">
        <v>3855</v>
      </c>
      <c r="D908" s="12" t="n">
        <v>2.2464</v>
      </c>
      <c r="E908" s="12"/>
      <c r="F908" s="12"/>
      <c r="G908" s="10" t="s">
        <v>63</v>
      </c>
      <c r="H908" s="10" t="s">
        <v>83</v>
      </c>
      <c r="I908" s="11" t="s">
        <v>3816</v>
      </c>
      <c r="J908" s="10" t="s">
        <v>66</v>
      </c>
      <c r="K908" s="10" t="s">
        <v>67</v>
      </c>
      <c r="L908" s="10" t="s">
        <v>68</v>
      </c>
      <c r="M908" s="10" t="s">
        <v>69</v>
      </c>
      <c r="N908" s="10"/>
      <c r="O908" s="11" t="s">
        <v>3422</v>
      </c>
      <c r="P908" s="10" t="s">
        <v>71</v>
      </c>
      <c r="Q908" s="11" t="s">
        <v>72</v>
      </c>
      <c r="R908" s="11" t="s">
        <v>73</v>
      </c>
      <c r="S908" s="11" t="s">
        <v>74</v>
      </c>
      <c r="T908" s="11" t="s">
        <v>3856</v>
      </c>
      <c r="U908" s="10" t="n">
        <f aca="false">IF(AND($D908="",$E908="",$F908=""),1,0)</f>
        <v>0</v>
      </c>
      <c r="V908" s="10" t="n">
        <f aca="false">IF(OR($I908="",$I908="—"),1,0)</f>
        <v>0</v>
      </c>
      <c r="W908" s="10" t="n">
        <f aca="false">IF(AND(ISNUMBER($D908),ISNUMBER($E908)),IF($E908&gt;$D908,1,0),0)+IF(AND(ISNUMBER($D908),ISNUMBER($F908)),IF($D908&gt;$F908,1,0),0)+IF(AND(ISNUMBER($E908),ISNUMBER($F908)),IF($E908&gt;$F908,1,0),0)</f>
        <v>0</v>
      </c>
      <c r="X908" s="13" t="s">
        <v>76</v>
      </c>
    </row>
    <row r="909" customFormat="false" ht="15" hidden="false" customHeight="false" outlineLevel="0" collapsed="false">
      <c r="A909" s="10" t="s">
        <v>3857</v>
      </c>
      <c r="B909" s="10" t="s">
        <v>3858</v>
      </c>
      <c r="C909" s="11" t="s">
        <v>3859</v>
      </c>
      <c r="D909" s="12" t="n">
        <v>0.0001</v>
      </c>
      <c r="E909" s="12"/>
      <c r="F909" s="12"/>
      <c r="G909" s="10" t="s">
        <v>63</v>
      </c>
      <c r="H909" s="10" t="s">
        <v>64</v>
      </c>
      <c r="I909" s="11" t="s">
        <v>3767</v>
      </c>
      <c r="J909" s="10" t="s">
        <v>66</v>
      </c>
      <c r="K909" s="10" t="s">
        <v>67</v>
      </c>
      <c r="L909" s="10" t="s">
        <v>68</v>
      </c>
      <c r="M909" s="10" t="s">
        <v>69</v>
      </c>
      <c r="N909" s="10"/>
      <c r="O909" s="11" t="s">
        <v>3422</v>
      </c>
      <c r="P909" s="10" t="s">
        <v>71</v>
      </c>
      <c r="Q909" s="11" t="s">
        <v>72</v>
      </c>
      <c r="R909" s="11" t="s">
        <v>73</v>
      </c>
      <c r="S909" s="11" t="s">
        <v>74</v>
      </c>
      <c r="T909" s="11" t="s">
        <v>3860</v>
      </c>
      <c r="U909" s="10" t="n">
        <f aca="false">IF(AND($D909="",$E909="",$F909=""),1,0)</f>
        <v>0</v>
      </c>
      <c r="V909" s="10" t="n">
        <f aca="false">IF(OR($I909="",$I909="—"),1,0)</f>
        <v>0</v>
      </c>
      <c r="W909" s="10" t="n">
        <f aca="false">IF(AND(ISNUMBER($D909),ISNUMBER($E909)),IF($E909&gt;$D909,1,0),0)+IF(AND(ISNUMBER($D909),ISNUMBER($F909)),IF($D909&gt;$F909,1,0),0)+IF(AND(ISNUMBER($E909),ISNUMBER($F909)),IF($E909&gt;$F909,1,0),0)</f>
        <v>0</v>
      </c>
      <c r="X909" s="13" t="s">
        <v>76</v>
      </c>
    </row>
    <row r="910" customFormat="false" ht="15" hidden="false" customHeight="false" outlineLevel="0" collapsed="false">
      <c r="A910" s="10" t="s">
        <v>3861</v>
      </c>
      <c r="B910" s="10" t="s">
        <v>3862</v>
      </c>
      <c r="C910" s="11" t="s">
        <v>3859</v>
      </c>
      <c r="D910" s="12" t="n">
        <v>0</v>
      </c>
      <c r="E910" s="12"/>
      <c r="F910" s="12"/>
      <c r="G910" s="10" t="s">
        <v>63</v>
      </c>
      <c r="H910" s="10" t="s">
        <v>79</v>
      </c>
      <c r="I910" s="11" t="s">
        <v>3767</v>
      </c>
      <c r="J910" s="10" t="s">
        <v>66</v>
      </c>
      <c r="K910" s="10" t="s">
        <v>67</v>
      </c>
      <c r="L910" s="10" t="s">
        <v>68</v>
      </c>
      <c r="M910" s="10" t="s">
        <v>69</v>
      </c>
      <c r="N910" s="10"/>
      <c r="O910" s="11" t="s">
        <v>3422</v>
      </c>
      <c r="P910" s="10" t="s">
        <v>71</v>
      </c>
      <c r="Q910" s="11" t="s">
        <v>72</v>
      </c>
      <c r="R910" s="11" t="s">
        <v>73</v>
      </c>
      <c r="S910" s="11" t="s">
        <v>74</v>
      </c>
      <c r="T910" s="11" t="s">
        <v>3863</v>
      </c>
      <c r="U910" s="10" t="n">
        <f aca="false">IF(AND($D910="",$E910="",$F910=""),1,0)</f>
        <v>0</v>
      </c>
      <c r="V910" s="10" t="n">
        <f aca="false">IF(OR($I910="",$I910="—"),1,0)</f>
        <v>0</v>
      </c>
      <c r="W910" s="10" t="n">
        <f aca="false">IF(AND(ISNUMBER($D910),ISNUMBER($E910)),IF($E910&gt;$D910,1,0),0)+IF(AND(ISNUMBER($D910),ISNUMBER($F910)),IF($D910&gt;$F910,1,0),0)+IF(AND(ISNUMBER($E910),ISNUMBER($F910)),IF($E910&gt;$F910,1,0),0)</f>
        <v>0</v>
      </c>
      <c r="X910" s="13" t="s">
        <v>76</v>
      </c>
    </row>
    <row r="911" customFormat="false" ht="15" hidden="false" customHeight="false" outlineLevel="0" collapsed="false">
      <c r="A911" s="10" t="s">
        <v>3864</v>
      </c>
      <c r="B911" s="10" t="s">
        <v>3865</v>
      </c>
      <c r="C911" s="11" t="s">
        <v>3859</v>
      </c>
      <c r="D911" s="12" t="n">
        <v>1.146</v>
      </c>
      <c r="E911" s="12"/>
      <c r="F911" s="12"/>
      <c r="G911" s="10" t="s">
        <v>63</v>
      </c>
      <c r="H911" s="10" t="s">
        <v>83</v>
      </c>
      <c r="I911" s="11" t="s">
        <v>3767</v>
      </c>
      <c r="J911" s="10" t="s">
        <v>66</v>
      </c>
      <c r="K911" s="10" t="s">
        <v>67</v>
      </c>
      <c r="L911" s="10" t="s">
        <v>68</v>
      </c>
      <c r="M911" s="10" t="s">
        <v>69</v>
      </c>
      <c r="N911" s="10"/>
      <c r="O911" s="11" t="s">
        <v>3422</v>
      </c>
      <c r="P911" s="10" t="s">
        <v>71</v>
      </c>
      <c r="Q911" s="11" t="s">
        <v>72</v>
      </c>
      <c r="R911" s="11" t="s">
        <v>73</v>
      </c>
      <c r="S911" s="11" t="s">
        <v>74</v>
      </c>
      <c r="T911" s="11" t="s">
        <v>3866</v>
      </c>
      <c r="U911" s="10" t="n">
        <f aca="false">IF(AND($D911="",$E911="",$F911=""),1,0)</f>
        <v>0</v>
      </c>
      <c r="V911" s="10" t="n">
        <f aca="false">IF(OR($I911="",$I911="—"),1,0)</f>
        <v>0</v>
      </c>
      <c r="W911" s="10" t="n">
        <f aca="false">IF(AND(ISNUMBER($D911),ISNUMBER($E911)),IF($E911&gt;$D911,1,0),0)+IF(AND(ISNUMBER($D911),ISNUMBER($F911)),IF($D911&gt;$F911,1,0),0)+IF(AND(ISNUMBER($E911),ISNUMBER($F911)),IF($E911&gt;$F911,1,0),0)</f>
        <v>0</v>
      </c>
      <c r="X911" s="13" t="s">
        <v>76</v>
      </c>
    </row>
    <row r="912" customFormat="false" ht="15" hidden="false" customHeight="false" outlineLevel="0" collapsed="false">
      <c r="A912" s="10" t="s">
        <v>3867</v>
      </c>
      <c r="B912" s="10" t="s">
        <v>3868</v>
      </c>
      <c r="C912" s="11" t="s">
        <v>3859</v>
      </c>
      <c r="D912" s="12" t="n">
        <v>0</v>
      </c>
      <c r="E912" s="12"/>
      <c r="F912" s="12"/>
      <c r="G912" s="10" t="s">
        <v>63</v>
      </c>
      <c r="H912" s="10" t="s">
        <v>87</v>
      </c>
      <c r="I912" s="11" t="s">
        <v>3767</v>
      </c>
      <c r="J912" s="10" t="s">
        <v>66</v>
      </c>
      <c r="K912" s="10" t="s">
        <v>67</v>
      </c>
      <c r="L912" s="10" t="s">
        <v>68</v>
      </c>
      <c r="M912" s="10" t="s">
        <v>69</v>
      </c>
      <c r="N912" s="10"/>
      <c r="O912" s="11" t="s">
        <v>3608</v>
      </c>
      <c r="P912" s="10" t="s">
        <v>71</v>
      </c>
      <c r="Q912" s="11" t="s">
        <v>72</v>
      </c>
      <c r="R912" s="11" t="s">
        <v>73</v>
      </c>
      <c r="S912" s="11" t="s">
        <v>74</v>
      </c>
      <c r="T912" s="11" t="s">
        <v>3863</v>
      </c>
      <c r="U912" s="10" t="n">
        <f aca="false">IF(AND($D912="",$E912="",$F912=""),1,0)</f>
        <v>0</v>
      </c>
      <c r="V912" s="10" t="n">
        <f aca="false">IF(OR($I912="",$I912="—"),1,0)</f>
        <v>0</v>
      </c>
      <c r="W912" s="10" t="n">
        <f aca="false">IF(AND(ISNUMBER($D912),ISNUMBER($E912)),IF($E912&gt;$D912,1,0),0)+IF(AND(ISNUMBER($D912),ISNUMBER($F912)),IF($D912&gt;$F912,1,0),0)+IF(AND(ISNUMBER($E912),ISNUMBER($F912)),IF($E912&gt;$F912,1,0),0)</f>
        <v>0</v>
      </c>
      <c r="X912" s="13" t="s">
        <v>76</v>
      </c>
    </row>
    <row r="913" customFormat="false" ht="15" hidden="false" customHeight="false" outlineLevel="0" collapsed="false">
      <c r="A913" s="10" t="s">
        <v>3869</v>
      </c>
      <c r="B913" s="10" t="s">
        <v>3870</v>
      </c>
      <c r="C913" s="11" t="s">
        <v>3859</v>
      </c>
      <c r="D913" s="12" t="n">
        <v>0.0001</v>
      </c>
      <c r="E913" s="12"/>
      <c r="F913" s="12"/>
      <c r="G913" s="10" t="s">
        <v>63</v>
      </c>
      <c r="H913" s="10" t="s">
        <v>92</v>
      </c>
      <c r="I913" s="11" t="s">
        <v>3767</v>
      </c>
      <c r="J913" s="10" t="s">
        <v>66</v>
      </c>
      <c r="K913" s="10" t="s">
        <v>67</v>
      </c>
      <c r="L913" s="10" t="s">
        <v>68</v>
      </c>
      <c r="M913" s="10" t="s">
        <v>69</v>
      </c>
      <c r="N913" s="10"/>
      <c r="O913" s="11" t="s">
        <v>3428</v>
      </c>
      <c r="P913" s="10" t="s">
        <v>71</v>
      </c>
      <c r="Q913" s="11" t="s">
        <v>72</v>
      </c>
      <c r="R913" s="11" t="s">
        <v>73</v>
      </c>
      <c r="S913" s="11" t="s">
        <v>74</v>
      </c>
      <c r="T913" s="11" t="s">
        <v>3871</v>
      </c>
      <c r="U913" s="10" t="n">
        <f aca="false">IF(AND($D913="",$E913="",$F913=""),1,0)</f>
        <v>0</v>
      </c>
      <c r="V913" s="10" t="n">
        <f aca="false">IF(OR($I913="",$I913="—"),1,0)</f>
        <v>0</v>
      </c>
      <c r="W913" s="10" t="n">
        <f aca="false">IF(AND(ISNUMBER($D913),ISNUMBER($E913)),IF($E913&gt;$D913,1,0),0)+IF(AND(ISNUMBER($D913),ISNUMBER($F913)),IF($D913&gt;$F913,1,0),0)+IF(AND(ISNUMBER($E913),ISNUMBER($F913)),IF($E913&gt;$F913,1,0),0)</f>
        <v>0</v>
      </c>
      <c r="X913" s="13" t="s">
        <v>76</v>
      </c>
    </row>
    <row r="914" customFormat="false" ht="15" hidden="false" customHeight="false" outlineLevel="0" collapsed="false">
      <c r="A914" s="10" t="s">
        <v>3872</v>
      </c>
      <c r="B914" s="10" t="s">
        <v>3873</v>
      </c>
      <c r="C914" s="11" t="s">
        <v>3874</v>
      </c>
      <c r="D914" s="12" t="n">
        <v>0.4142</v>
      </c>
      <c r="E914" s="12"/>
      <c r="F914" s="12"/>
      <c r="G914" s="10" t="s">
        <v>63</v>
      </c>
      <c r="H914" s="10" t="s">
        <v>3443</v>
      </c>
      <c r="I914" s="11" t="s">
        <v>3875</v>
      </c>
      <c r="J914" s="10" t="s">
        <v>66</v>
      </c>
      <c r="K914" s="10" t="s">
        <v>67</v>
      </c>
      <c r="L914" s="10" t="s">
        <v>68</v>
      </c>
      <c r="M914" s="10" t="s">
        <v>69</v>
      </c>
      <c r="N914" s="10"/>
      <c r="O914" s="11" t="s">
        <v>3422</v>
      </c>
      <c r="P914" s="10" t="s">
        <v>71</v>
      </c>
      <c r="Q914" s="11" t="s">
        <v>72</v>
      </c>
      <c r="R914" s="11" t="s">
        <v>73</v>
      </c>
      <c r="S914" s="11" t="s">
        <v>74</v>
      </c>
      <c r="T914" s="11" t="s">
        <v>3876</v>
      </c>
      <c r="U914" s="10" t="n">
        <f aca="false">IF(AND($D914="",$E914="",$F914=""),1,0)</f>
        <v>0</v>
      </c>
      <c r="V914" s="10" t="n">
        <f aca="false">IF(OR($I914="",$I914="—"),1,0)</f>
        <v>0</v>
      </c>
      <c r="W914" s="10" t="n">
        <f aca="false">IF(AND(ISNUMBER($D914),ISNUMBER($E914)),IF($E914&gt;$D914,1,0),0)+IF(AND(ISNUMBER($D914),ISNUMBER($F914)),IF($D914&gt;$F914,1,0),0)+IF(AND(ISNUMBER($E914),ISNUMBER($F914)),IF($E914&gt;$F914,1,0),0)</f>
        <v>0</v>
      </c>
      <c r="X914" s="13" t="s">
        <v>76</v>
      </c>
    </row>
    <row r="915" customFormat="false" ht="15" hidden="false" customHeight="false" outlineLevel="0" collapsed="false">
      <c r="A915" s="10" t="s">
        <v>3877</v>
      </c>
      <c r="B915" s="10" t="s">
        <v>3878</v>
      </c>
      <c r="C915" s="11" t="s">
        <v>3874</v>
      </c>
      <c r="D915" s="12" t="n">
        <v>7.8754</v>
      </c>
      <c r="E915" s="12"/>
      <c r="F915" s="12"/>
      <c r="G915" s="10" t="s">
        <v>63</v>
      </c>
      <c r="H915" s="10" t="s">
        <v>3448</v>
      </c>
      <c r="I915" s="11" t="s">
        <v>3875</v>
      </c>
      <c r="J915" s="10" t="s">
        <v>66</v>
      </c>
      <c r="K915" s="10" t="s">
        <v>67</v>
      </c>
      <c r="L915" s="10" t="s">
        <v>68</v>
      </c>
      <c r="M915" s="10" t="s">
        <v>69</v>
      </c>
      <c r="N915" s="10"/>
      <c r="O915" s="11" t="s">
        <v>3422</v>
      </c>
      <c r="P915" s="10" t="s">
        <v>71</v>
      </c>
      <c r="Q915" s="11" t="s">
        <v>72</v>
      </c>
      <c r="R915" s="11" t="s">
        <v>73</v>
      </c>
      <c r="S915" s="11" t="s">
        <v>74</v>
      </c>
      <c r="T915" s="11" t="s">
        <v>3879</v>
      </c>
      <c r="U915" s="10" t="n">
        <f aca="false">IF(AND($D915="",$E915="",$F915=""),1,0)</f>
        <v>0</v>
      </c>
      <c r="V915" s="10" t="n">
        <f aca="false">IF(OR($I915="",$I915="—"),1,0)</f>
        <v>0</v>
      </c>
      <c r="W915" s="10" t="n">
        <f aca="false">IF(AND(ISNUMBER($D915),ISNUMBER($E915)),IF($E915&gt;$D915,1,0),0)+IF(AND(ISNUMBER($D915),ISNUMBER($F915)),IF($D915&gt;$F915,1,0),0)+IF(AND(ISNUMBER($E915),ISNUMBER($F915)),IF($E915&gt;$F915,1,0),0)</f>
        <v>0</v>
      </c>
      <c r="X915" s="13" t="s">
        <v>76</v>
      </c>
    </row>
    <row r="916" customFormat="false" ht="15" hidden="false" customHeight="false" outlineLevel="0" collapsed="false">
      <c r="A916" s="10" t="s">
        <v>3880</v>
      </c>
      <c r="B916" s="10" t="s">
        <v>3881</v>
      </c>
      <c r="C916" s="11" t="s">
        <v>3874</v>
      </c>
      <c r="D916" s="12" t="n">
        <v>8.6636</v>
      </c>
      <c r="E916" s="12"/>
      <c r="F916" s="12"/>
      <c r="G916" s="10" t="s">
        <v>63</v>
      </c>
      <c r="H916" s="10" t="s">
        <v>3452</v>
      </c>
      <c r="I916" s="11" t="s">
        <v>3875</v>
      </c>
      <c r="J916" s="10" t="s">
        <v>66</v>
      </c>
      <c r="K916" s="10" t="s">
        <v>67</v>
      </c>
      <c r="L916" s="10" t="s">
        <v>68</v>
      </c>
      <c r="M916" s="10" t="s">
        <v>69</v>
      </c>
      <c r="N916" s="10"/>
      <c r="O916" s="11" t="s">
        <v>3422</v>
      </c>
      <c r="P916" s="10" t="s">
        <v>71</v>
      </c>
      <c r="Q916" s="11" t="s">
        <v>72</v>
      </c>
      <c r="R916" s="11" t="s">
        <v>73</v>
      </c>
      <c r="S916" s="11" t="s">
        <v>74</v>
      </c>
      <c r="T916" s="11" t="s">
        <v>3882</v>
      </c>
      <c r="U916" s="10" t="n">
        <f aca="false">IF(AND($D916="",$E916="",$F916=""),1,0)</f>
        <v>0</v>
      </c>
      <c r="V916" s="10" t="n">
        <f aca="false">IF(OR($I916="",$I916="—"),1,0)</f>
        <v>0</v>
      </c>
      <c r="W916" s="10" t="n">
        <f aca="false">IF(AND(ISNUMBER($D916),ISNUMBER($E916)),IF($E916&gt;$D916,1,0),0)+IF(AND(ISNUMBER($D916),ISNUMBER($F916)),IF($D916&gt;$F916,1,0),0)+IF(AND(ISNUMBER($E916),ISNUMBER($F916)),IF($E916&gt;$F916,1,0),0)</f>
        <v>0</v>
      </c>
      <c r="X916" s="13" t="s">
        <v>76</v>
      </c>
    </row>
    <row r="917" customFormat="false" ht="15" hidden="false" customHeight="false" outlineLevel="0" collapsed="false">
      <c r="A917" s="10" t="s">
        <v>3883</v>
      </c>
      <c r="B917" s="10" t="s">
        <v>3884</v>
      </c>
      <c r="C917" s="11" t="s">
        <v>3874</v>
      </c>
      <c r="D917" s="12" t="n">
        <v>7.7262</v>
      </c>
      <c r="E917" s="12"/>
      <c r="F917" s="12"/>
      <c r="G917" s="10" t="s">
        <v>63</v>
      </c>
      <c r="H917" s="10" t="s">
        <v>440</v>
      </c>
      <c r="I917" s="11" t="s">
        <v>3875</v>
      </c>
      <c r="J917" s="10" t="s">
        <v>66</v>
      </c>
      <c r="K917" s="10" t="s">
        <v>67</v>
      </c>
      <c r="L917" s="10" t="s">
        <v>68</v>
      </c>
      <c r="M917" s="10" t="s">
        <v>69</v>
      </c>
      <c r="N917" s="10"/>
      <c r="O917" s="11" t="s">
        <v>3428</v>
      </c>
      <c r="P917" s="10" t="s">
        <v>71</v>
      </c>
      <c r="Q917" s="11" t="s">
        <v>72</v>
      </c>
      <c r="R917" s="11" t="s">
        <v>73</v>
      </c>
      <c r="S917" s="11" t="s">
        <v>74</v>
      </c>
      <c r="T917" s="11" t="s">
        <v>3885</v>
      </c>
      <c r="U917" s="10" t="n">
        <f aca="false">IF(AND($D917="",$E917="",$F917=""),1,0)</f>
        <v>0</v>
      </c>
      <c r="V917" s="10" t="n">
        <f aca="false">IF(OR($I917="",$I917="—"),1,0)</f>
        <v>0</v>
      </c>
      <c r="W917" s="10" t="n">
        <f aca="false">IF(AND(ISNUMBER($D917),ISNUMBER($E917)),IF($E917&gt;$D917,1,0),0)+IF(AND(ISNUMBER($D917),ISNUMBER($F917)),IF($D917&gt;$F917,1,0),0)+IF(AND(ISNUMBER($E917),ISNUMBER($F917)),IF($E917&gt;$F917,1,0),0)</f>
        <v>0</v>
      </c>
      <c r="X917" s="13" t="s">
        <v>76</v>
      </c>
    </row>
    <row r="918" customFormat="false" ht="15" hidden="false" customHeight="false" outlineLevel="0" collapsed="false">
      <c r="A918" s="10" t="s">
        <v>3886</v>
      </c>
      <c r="B918" s="10" t="s">
        <v>3887</v>
      </c>
      <c r="C918" s="11" t="s">
        <v>3888</v>
      </c>
      <c r="D918" s="12" t="n">
        <v>0.2945</v>
      </c>
      <c r="E918" s="12"/>
      <c r="F918" s="12"/>
      <c r="G918" s="10" t="s">
        <v>63</v>
      </c>
      <c r="H918" s="10" t="s">
        <v>3443</v>
      </c>
      <c r="I918" s="11" t="s">
        <v>3875</v>
      </c>
      <c r="J918" s="10" t="s">
        <v>66</v>
      </c>
      <c r="K918" s="10" t="s">
        <v>67</v>
      </c>
      <c r="L918" s="10" t="s">
        <v>68</v>
      </c>
      <c r="M918" s="10" t="s">
        <v>69</v>
      </c>
      <c r="N918" s="10"/>
      <c r="O918" s="11" t="s">
        <v>3422</v>
      </c>
      <c r="P918" s="10" t="s">
        <v>71</v>
      </c>
      <c r="Q918" s="11" t="s">
        <v>72</v>
      </c>
      <c r="R918" s="11" t="s">
        <v>73</v>
      </c>
      <c r="S918" s="11" t="s">
        <v>74</v>
      </c>
      <c r="T918" s="11" t="s">
        <v>3889</v>
      </c>
      <c r="U918" s="10" t="n">
        <f aca="false">IF(AND($D918="",$E918="",$F918=""),1,0)</f>
        <v>0</v>
      </c>
      <c r="V918" s="10" t="n">
        <f aca="false">IF(OR($I918="",$I918="—"),1,0)</f>
        <v>0</v>
      </c>
      <c r="W918" s="10" t="n">
        <f aca="false">IF(AND(ISNUMBER($D918),ISNUMBER($E918)),IF($E918&gt;$D918,1,0),0)+IF(AND(ISNUMBER($D918),ISNUMBER($F918)),IF($D918&gt;$F918,1,0),0)+IF(AND(ISNUMBER($E918),ISNUMBER($F918)),IF($E918&gt;$F918,1,0),0)</f>
        <v>0</v>
      </c>
      <c r="X918" s="13" t="s">
        <v>76</v>
      </c>
    </row>
    <row r="919" customFormat="false" ht="15" hidden="false" customHeight="false" outlineLevel="0" collapsed="false">
      <c r="A919" s="10" t="s">
        <v>3890</v>
      </c>
      <c r="B919" s="10" t="s">
        <v>3891</v>
      </c>
      <c r="C919" s="11" t="s">
        <v>3888</v>
      </c>
      <c r="D919" s="12" t="n">
        <v>5.1135</v>
      </c>
      <c r="E919" s="12"/>
      <c r="F919" s="12"/>
      <c r="G919" s="10" t="s">
        <v>63</v>
      </c>
      <c r="H919" s="10" t="s">
        <v>3448</v>
      </c>
      <c r="I919" s="11" t="s">
        <v>3875</v>
      </c>
      <c r="J919" s="10" t="s">
        <v>66</v>
      </c>
      <c r="K919" s="10" t="s">
        <v>67</v>
      </c>
      <c r="L919" s="10" t="s">
        <v>68</v>
      </c>
      <c r="M919" s="10" t="s">
        <v>69</v>
      </c>
      <c r="N919" s="10"/>
      <c r="O919" s="11" t="s">
        <v>3422</v>
      </c>
      <c r="P919" s="10" t="s">
        <v>71</v>
      </c>
      <c r="Q919" s="11" t="s">
        <v>72</v>
      </c>
      <c r="R919" s="11" t="s">
        <v>73</v>
      </c>
      <c r="S919" s="11" t="s">
        <v>74</v>
      </c>
      <c r="T919" s="11" t="s">
        <v>3892</v>
      </c>
      <c r="U919" s="10" t="n">
        <f aca="false">IF(AND($D919="",$E919="",$F919=""),1,0)</f>
        <v>0</v>
      </c>
      <c r="V919" s="10" t="n">
        <f aca="false">IF(OR($I919="",$I919="—"),1,0)</f>
        <v>0</v>
      </c>
      <c r="W919" s="10" t="n">
        <f aca="false">IF(AND(ISNUMBER($D919),ISNUMBER($E919)),IF($E919&gt;$D919,1,0),0)+IF(AND(ISNUMBER($D919),ISNUMBER($F919)),IF($D919&gt;$F919,1,0),0)+IF(AND(ISNUMBER($E919),ISNUMBER($F919)),IF($E919&gt;$F919,1,0),0)</f>
        <v>0</v>
      </c>
      <c r="X919" s="13" t="s">
        <v>76</v>
      </c>
    </row>
    <row r="920" customFormat="false" ht="15" hidden="false" customHeight="false" outlineLevel="0" collapsed="false">
      <c r="A920" s="10" t="s">
        <v>3893</v>
      </c>
      <c r="B920" s="10" t="s">
        <v>3894</v>
      </c>
      <c r="C920" s="11" t="s">
        <v>3888</v>
      </c>
      <c r="D920" s="12" t="n">
        <v>2.2813</v>
      </c>
      <c r="E920" s="12"/>
      <c r="F920" s="12"/>
      <c r="G920" s="10" t="s">
        <v>63</v>
      </c>
      <c r="H920" s="10" t="s">
        <v>3452</v>
      </c>
      <c r="I920" s="11" t="s">
        <v>3875</v>
      </c>
      <c r="J920" s="10" t="s">
        <v>66</v>
      </c>
      <c r="K920" s="10" t="s">
        <v>67</v>
      </c>
      <c r="L920" s="10" t="s">
        <v>68</v>
      </c>
      <c r="M920" s="10" t="s">
        <v>69</v>
      </c>
      <c r="N920" s="10"/>
      <c r="O920" s="11" t="s">
        <v>3422</v>
      </c>
      <c r="P920" s="10" t="s">
        <v>71</v>
      </c>
      <c r="Q920" s="11" t="s">
        <v>72</v>
      </c>
      <c r="R920" s="11" t="s">
        <v>73</v>
      </c>
      <c r="S920" s="11" t="s">
        <v>74</v>
      </c>
      <c r="T920" s="11" t="s">
        <v>3895</v>
      </c>
      <c r="U920" s="10" t="n">
        <f aca="false">IF(AND($D920="",$E920="",$F920=""),1,0)</f>
        <v>0</v>
      </c>
      <c r="V920" s="10" t="n">
        <f aca="false">IF(OR($I920="",$I920="—"),1,0)</f>
        <v>0</v>
      </c>
      <c r="W920" s="10" t="n">
        <f aca="false">IF(AND(ISNUMBER($D920),ISNUMBER($E920)),IF($E920&gt;$D920,1,0),0)+IF(AND(ISNUMBER($D920),ISNUMBER($F920)),IF($D920&gt;$F920,1,0),0)+IF(AND(ISNUMBER($E920),ISNUMBER($F920)),IF($E920&gt;$F920,1,0),0)</f>
        <v>0</v>
      </c>
      <c r="X920" s="13" t="s">
        <v>76</v>
      </c>
    </row>
    <row r="921" customFormat="false" ht="15" hidden="false" customHeight="false" outlineLevel="0" collapsed="false">
      <c r="A921" s="10" t="s">
        <v>3896</v>
      </c>
      <c r="B921" s="10" t="s">
        <v>3897</v>
      </c>
      <c r="C921" s="11" t="s">
        <v>3888</v>
      </c>
      <c r="D921" s="12" t="n">
        <v>2.0269</v>
      </c>
      <c r="E921" s="12"/>
      <c r="F921" s="12"/>
      <c r="G921" s="10" t="s">
        <v>63</v>
      </c>
      <c r="H921" s="10" t="s">
        <v>440</v>
      </c>
      <c r="I921" s="11" t="s">
        <v>3875</v>
      </c>
      <c r="J921" s="10" t="s">
        <v>66</v>
      </c>
      <c r="K921" s="10" t="s">
        <v>67</v>
      </c>
      <c r="L921" s="10" t="s">
        <v>68</v>
      </c>
      <c r="M921" s="10" t="s">
        <v>69</v>
      </c>
      <c r="N921" s="10"/>
      <c r="O921" s="11" t="s">
        <v>3428</v>
      </c>
      <c r="P921" s="10" t="s">
        <v>71</v>
      </c>
      <c r="Q921" s="11" t="s">
        <v>72</v>
      </c>
      <c r="R921" s="11" t="s">
        <v>73</v>
      </c>
      <c r="S921" s="11" t="s">
        <v>74</v>
      </c>
      <c r="T921" s="11" t="s">
        <v>3898</v>
      </c>
      <c r="U921" s="10" t="n">
        <f aca="false">IF(AND($D921="",$E921="",$F921=""),1,0)</f>
        <v>0</v>
      </c>
      <c r="V921" s="10" t="n">
        <f aca="false">IF(OR($I921="",$I921="—"),1,0)</f>
        <v>0</v>
      </c>
      <c r="W921" s="10" t="n">
        <f aca="false">IF(AND(ISNUMBER($D921),ISNUMBER($E921)),IF($E921&gt;$D921,1,0),0)+IF(AND(ISNUMBER($D921),ISNUMBER($F921)),IF($D921&gt;$F921,1,0),0)+IF(AND(ISNUMBER($E921),ISNUMBER($F921)),IF($E921&gt;$F921,1,0),0)</f>
        <v>0</v>
      </c>
      <c r="X921" s="13" t="s">
        <v>76</v>
      </c>
    </row>
    <row r="922" customFormat="false" ht="15" hidden="false" customHeight="false" outlineLevel="0" collapsed="false">
      <c r="A922" s="10" t="s">
        <v>3899</v>
      </c>
      <c r="B922" s="10" t="s">
        <v>3900</v>
      </c>
      <c r="C922" s="11" t="s">
        <v>3901</v>
      </c>
      <c r="D922" s="12" t="n">
        <v>0.1197</v>
      </c>
      <c r="E922" s="12"/>
      <c r="F922" s="12"/>
      <c r="G922" s="10" t="s">
        <v>63</v>
      </c>
      <c r="H922" s="10" t="s">
        <v>3443</v>
      </c>
      <c r="I922" s="11" t="s">
        <v>3875</v>
      </c>
      <c r="J922" s="10" t="s">
        <v>66</v>
      </c>
      <c r="K922" s="10" t="s">
        <v>67</v>
      </c>
      <c r="L922" s="10" t="s">
        <v>68</v>
      </c>
      <c r="M922" s="10" t="s">
        <v>69</v>
      </c>
      <c r="N922" s="10"/>
      <c r="O922" s="11" t="s">
        <v>3422</v>
      </c>
      <c r="P922" s="10" t="s">
        <v>71</v>
      </c>
      <c r="Q922" s="11" t="s">
        <v>72</v>
      </c>
      <c r="R922" s="11" t="s">
        <v>73</v>
      </c>
      <c r="S922" s="11" t="s">
        <v>74</v>
      </c>
      <c r="T922" s="11" t="s">
        <v>3902</v>
      </c>
      <c r="U922" s="10" t="n">
        <f aca="false">IF(AND($D922="",$E922="",$F922=""),1,0)</f>
        <v>0</v>
      </c>
      <c r="V922" s="10" t="n">
        <f aca="false">IF(OR($I922="",$I922="—"),1,0)</f>
        <v>0</v>
      </c>
      <c r="W922" s="10" t="n">
        <f aca="false">IF(AND(ISNUMBER($D922),ISNUMBER($E922)),IF($E922&gt;$D922,1,0),0)+IF(AND(ISNUMBER($D922),ISNUMBER($F922)),IF($D922&gt;$F922,1,0),0)+IF(AND(ISNUMBER($E922),ISNUMBER($F922)),IF($E922&gt;$F922,1,0),0)</f>
        <v>0</v>
      </c>
      <c r="X922" s="13" t="s">
        <v>76</v>
      </c>
    </row>
    <row r="923" customFormat="false" ht="15" hidden="false" customHeight="false" outlineLevel="0" collapsed="false">
      <c r="A923" s="10" t="s">
        <v>3903</v>
      </c>
      <c r="B923" s="10" t="s">
        <v>3904</v>
      </c>
      <c r="C923" s="11" t="s">
        <v>3901</v>
      </c>
      <c r="D923" s="12" t="n">
        <v>2.5758</v>
      </c>
      <c r="E923" s="12"/>
      <c r="F923" s="12"/>
      <c r="G923" s="10" t="s">
        <v>63</v>
      </c>
      <c r="H923" s="10" t="s">
        <v>3448</v>
      </c>
      <c r="I923" s="11" t="s">
        <v>3875</v>
      </c>
      <c r="J923" s="10" t="s">
        <v>66</v>
      </c>
      <c r="K923" s="10" t="s">
        <v>67</v>
      </c>
      <c r="L923" s="10" t="s">
        <v>68</v>
      </c>
      <c r="M923" s="10" t="s">
        <v>69</v>
      </c>
      <c r="N923" s="10"/>
      <c r="O923" s="11" t="s">
        <v>3422</v>
      </c>
      <c r="P923" s="10" t="s">
        <v>71</v>
      </c>
      <c r="Q923" s="11" t="s">
        <v>72</v>
      </c>
      <c r="R923" s="11" t="s">
        <v>73</v>
      </c>
      <c r="S923" s="11" t="s">
        <v>74</v>
      </c>
      <c r="T923" s="11" t="s">
        <v>3905</v>
      </c>
      <c r="U923" s="10" t="n">
        <f aca="false">IF(AND($D923="",$E923="",$F923=""),1,0)</f>
        <v>0</v>
      </c>
      <c r="V923" s="10" t="n">
        <f aca="false">IF(OR($I923="",$I923="—"),1,0)</f>
        <v>0</v>
      </c>
      <c r="W923" s="10" t="n">
        <f aca="false">IF(AND(ISNUMBER($D923),ISNUMBER($E923)),IF($E923&gt;$D923,1,0),0)+IF(AND(ISNUMBER($D923),ISNUMBER($F923)),IF($D923&gt;$F923,1,0),0)+IF(AND(ISNUMBER($E923),ISNUMBER($F923)),IF($E923&gt;$F923,1,0),0)</f>
        <v>0</v>
      </c>
      <c r="X923" s="13" t="s">
        <v>76</v>
      </c>
    </row>
    <row r="924" customFormat="false" ht="15" hidden="false" customHeight="false" outlineLevel="0" collapsed="false">
      <c r="A924" s="10" t="s">
        <v>3906</v>
      </c>
      <c r="B924" s="10" t="s">
        <v>3907</v>
      </c>
      <c r="C924" s="11" t="s">
        <v>3901</v>
      </c>
      <c r="D924" s="12" t="n">
        <v>6.2382</v>
      </c>
      <c r="E924" s="12"/>
      <c r="F924" s="12"/>
      <c r="G924" s="10" t="s">
        <v>63</v>
      </c>
      <c r="H924" s="10" t="s">
        <v>3452</v>
      </c>
      <c r="I924" s="11" t="s">
        <v>3875</v>
      </c>
      <c r="J924" s="10" t="s">
        <v>66</v>
      </c>
      <c r="K924" s="10" t="s">
        <v>67</v>
      </c>
      <c r="L924" s="10" t="s">
        <v>68</v>
      </c>
      <c r="M924" s="10" t="s">
        <v>69</v>
      </c>
      <c r="N924" s="10"/>
      <c r="O924" s="11" t="s">
        <v>3422</v>
      </c>
      <c r="P924" s="10" t="s">
        <v>71</v>
      </c>
      <c r="Q924" s="11" t="s">
        <v>72</v>
      </c>
      <c r="R924" s="11" t="s">
        <v>73</v>
      </c>
      <c r="S924" s="11" t="s">
        <v>74</v>
      </c>
      <c r="T924" s="11" t="s">
        <v>3908</v>
      </c>
      <c r="U924" s="10" t="n">
        <f aca="false">IF(AND($D924="",$E924="",$F924=""),1,0)</f>
        <v>0</v>
      </c>
      <c r="V924" s="10" t="n">
        <f aca="false">IF(OR($I924="",$I924="—"),1,0)</f>
        <v>0</v>
      </c>
      <c r="W924" s="10" t="n">
        <f aca="false">IF(AND(ISNUMBER($D924),ISNUMBER($E924)),IF($E924&gt;$D924,1,0),0)+IF(AND(ISNUMBER($D924),ISNUMBER($F924)),IF($D924&gt;$F924,1,0),0)+IF(AND(ISNUMBER($E924),ISNUMBER($F924)),IF($E924&gt;$F924,1,0),0)</f>
        <v>0</v>
      </c>
      <c r="X924" s="13" t="s">
        <v>76</v>
      </c>
    </row>
    <row r="925" customFormat="false" ht="15" hidden="false" customHeight="false" outlineLevel="0" collapsed="false">
      <c r="A925" s="10" t="s">
        <v>3909</v>
      </c>
      <c r="B925" s="10" t="s">
        <v>3910</v>
      </c>
      <c r="C925" s="11" t="s">
        <v>3901</v>
      </c>
      <c r="D925" s="12" t="n">
        <v>5.553</v>
      </c>
      <c r="E925" s="12"/>
      <c r="F925" s="12"/>
      <c r="G925" s="10" t="s">
        <v>63</v>
      </c>
      <c r="H925" s="10" t="s">
        <v>440</v>
      </c>
      <c r="I925" s="11" t="s">
        <v>3875</v>
      </c>
      <c r="J925" s="10" t="s">
        <v>66</v>
      </c>
      <c r="K925" s="10" t="s">
        <v>67</v>
      </c>
      <c r="L925" s="10" t="s">
        <v>68</v>
      </c>
      <c r="M925" s="10" t="s">
        <v>69</v>
      </c>
      <c r="N925" s="10"/>
      <c r="O925" s="11" t="s">
        <v>3428</v>
      </c>
      <c r="P925" s="10" t="s">
        <v>71</v>
      </c>
      <c r="Q925" s="11" t="s">
        <v>72</v>
      </c>
      <c r="R925" s="11" t="s">
        <v>73</v>
      </c>
      <c r="S925" s="11" t="s">
        <v>74</v>
      </c>
      <c r="T925" s="11" t="s">
        <v>3911</v>
      </c>
      <c r="U925" s="10" t="n">
        <f aca="false">IF(AND($D925="",$E925="",$F925=""),1,0)</f>
        <v>0</v>
      </c>
      <c r="V925" s="10" t="n">
        <f aca="false">IF(OR($I925="",$I925="—"),1,0)</f>
        <v>0</v>
      </c>
      <c r="W925" s="10" t="n">
        <f aca="false">IF(AND(ISNUMBER($D925),ISNUMBER($E925)),IF($E925&gt;$D925,1,0),0)+IF(AND(ISNUMBER($D925),ISNUMBER($F925)),IF($D925&gt;$F925,1,0),0)+IF(AND(ISNUMBER($E925),ISNUMBER($F925)),IF($E925&gt;$F925,1,0),0)</f>
        <v>0</v>
      </c>
      <c r="X925" s="13" t="s">
        <v>76</v>
      </c>
    </row>
    <row r="926" customFormat="false" ht="15" hidden="false" customHeight="false" outlineLevel="0" collapsed="false">
      <c r="A926" s="10" t="s">
        <v>3912</v>
      </c>
      <c r="B926" s="10" t="s">
        <v>3913</v>
      </c>
      <c r="C926" s="11" t="s">
        <v>3914</v>
      </c>
      <c r="D926" s="12" t="n">
        <v>0</v>
      </c>
      <c r="E926" s="12"/>
      <c r="F926" s="12"/>
      <c r="G926" s="10" t="s">
        <v>63</v>
      </c>
      <c r="H926" s="10" t="s">
        <v>3443</v>
      </c>
      <c r="I926" s="11" t="s">
        <v>3915</v>
      </c>
      <c r="J926" s="10" t="s">
        <v>66</v>
      </c>
      <c r="K926" s="10" t="s">
        <v>67</v>
      </c>
      <c r="L926" s="10" t="s">
        <v>68</v>
      </c>
      <c r="M926" s="10" t="s">
        <v>69</v>
      </c>
      <c r="N926" s="10"/>
      <c r="O926" s="11" t="s">
        <v>3422</v>
      </c>
      <c r="P926" s="10" t="s">
        <v>71</v>
      </c>
      <c r="Q926" s="11" t="s">
        <v>72</v>
      </c>
      <c r="R926" s="11" t="s">
        <v>73</v>
      </c>
      <c r="S926" s="11" t="s">
        <v>74</v>
      </c>
      <c r="T926" s="11" t="s">
        <v>3916</v>
      </c>
      <c r="U926" s="10" t="n">
        <f aca="false">IF(AND($D926="",$E926="",$F926=""),1,0)</f>
        <v>0</v>
      </c>
      <c r="V926" s="10" t="n">
        <f aca="false">IF(OR($I926="",$I926="—"),1,0)</f>
        <v>0</v>
      </c>
      <c r="W926" s="10" t="n">
        <f aca="false">IF(AND(ISNUMBER($D926),ISNUMBER($E926)),IF($E926&gt;$D926,1,0),0)+IF(AND(ISNUMBER($D926),ISNUMBER($F926)),IF($D926&gt;$F926,1,0),0)+IF(AND(ISNUMBER($E926),ISNUMBER($F926)),IF($E926&gt;$F926,1,0),0)</f>
        <v>0</v>
      </c>
      <c r="X926" s="13" t="s">
        <v>76</v>
      </c>
    </row>
    <row r="927" customFormat="false" ht="15" hidden="false" customHeight="false" outlineLevel="0" collapsed="false">
      <c r="A927" s="10" t="s">
        <v>3917</v>
      </c>
      <c r="B927" s="10" t="s">
        <v>3918</v>
      </c>
      <c r="C927" s="11" t="s">
        <v>3914</v>
      </c>
      <c r="D927" s="12" t="n">
        <v>0.8461</v>
      </c>
      <c r="E927" s="12"/>
      <c r="F927" s="12"/>
      <c r="G927" s="10" t="s">
        <v>63</v>
      </c>
      <c r="H927" s="10" t="s">
        <v>3448</v>
      </c>
      <c r="I927" s="11" t="s">
        <v>3915</v>
      </c>
      <c r="J927" s="10" t="s">
        <v>66</v>
      </c>
      <c r="K927" s="10" t="s">
        <v>67</v>
      </c>
      <c r="L927" s="10" t="s">
        <v>68</v>
      </c>
      <c r="M927" s="10" t="s">
        <v>69</v>
      </c>
      <c r="N927" s="10"/>
      <c r="O927" s="11" t="s">
        <v>3422</v>
      </c>
      <c r="P927" s="10" t="s">
        <v>71</v>
      </c>
      <c r="Q927" s="11" t="s">
        <v>72</v>
      </c>
      <c r="R927" s="11" t="s">
        <v>73</v>
      </c>
      <c r="S927" s="11" t="s">
        <v>74</v>
      </c>
      <c r="T927" s="11" t="s">
        <v>3919</v>
      </c>
      <c r="U927" s="10" t="n">
        <f aca="false">IF(AND($D927="",$E927="",$F927=""),1,0)</f>
        <v>0</v>
      </c>
      <c r="V927" s="10" t="n">
        <f aca="false">IF(OR($I927="",$I927="—"),1,0)</f>
        <v>0</v>
      </c>
      <c r="W927" s="10" t="n">
        <f aca="false">IF(AND(ISNUMBER($D927),ISNUMBER($E927)),IF($E927&gt;$D927,1,0),0)+IF(AND(ISNUMBER($D927),ISNUMBER($F927)),IF($D927&gt;$F927,1,0),0)+IF(AND(ISNUMBER($E927),ISNUMBER($F927)),IF($E927&gt;$F927,1,0),0)</f>
        <v>0</v>
      </c>
      <c r="X927" s="13" t="s">
        <v>76</v>
      </c>
    </row>
    <row r="928" customFormat="false" ht="15" hidden="false" customHeight="false" outlineLevel="0" collapsed="false">
      <c r="A928" s="10" t="s">
        <v>3920</v>
      </c>
      <c r="B928" s="10" t="s">
        <v>3921</v>
      </c>
      <c r="C928" s="11" t="s">
        <v>3914</v>
      </c>
      <c r="D928" s="12" t="n">
        <v>4.8374</v>
      </c>
      <c r="E928" s="12"/>
      <c r="F928" s="12"/>
      <c r="G928" s="10" t="s">
        <v>63</v>
      </c>
      <c r="H928" s="10" t="s">
        <v>3452</v>
      </c>
      <c r="I928" s="11" t="s">
        <v>3915</v>
      </c>
      <c r="J928" s="10" t="s">
        <v>66</v>
      </c>
      <c r="K928" s="10" t="s">
        <v>67</v>
      </c>
      <c r="L928" s="10" t="s">
        <v>68</v>
      </c>
      <c r="M928" s="10" t="s">
        <v>69</v>
      </c>
      <c r="N928" s="10"/>
      <c r="O928" s="11" t="s">
        <v>3422</v>
      </c>
      <c r="P928" s="10" t="s">
        <v>71</v>
      </c>
      <c r="Q928" s="11" t="s">
        <v>72</v>
      </c>
      <c r="R928" s="11" t="s">
        <v>73</v>
      </c>
      <c r="S928" s="11" t="s">
        <v>74</v>
      </c>
      <c r="T928" s="11" t="s">
        <v>3922</v>
      </c>
      <c r="U928" s="10" t="n">
        <f aca="false">IF(AND($D928="",$E928="",$F928=""),1,0)</f>
        <v>0</v>
      </c>
      <c r="V928" s="10" t="n">
        <f aca="false">IF(OR($I928="",$I928="—"),1,0)</f>
        <v>0</v>
      </c>
      <c r="W928" s="10" t="n">
        <f aca="false">IF(AND(ISNUMBER($D928),ISNUMBER($E928)),IF($E928&gt;$D928,1,0),0)+IF(AND(ISNUMBER($D928),ISNUMBER($F928)),IF($D928&gt;$F928,1,0),0)+IF(AND(ISNUMBER($E928),ISNUMBER($F928)),IF($E928&gt;$F928,1,0),0)</f>
        <v>0</v>
      </c>
      <c r="X928" s="13" t="s">
        <v>76</v>
      </c>
    </row>
    <row r="929" customFormat="false" ht="15" hidden="false" customHeight="false" outlineLevel="0" collapsed="false">
      <c r="A929" s="10" t="s">
        <v>3923</v>
      </c>
      <c r="B929" s="10" t="s">
        <v>3924</v>
      </c>
      <c r="C929" s="11" t="s">
        <v>3914</v>
      </c>
      <c r="D929" s="12" t="n">
        <v>4.0377</v>
      </c>
      <c r="E929" s="12"/>
      <c r="F929" s="12"/>
      <c r="G929" s="10" t="s">
        <v>63</v>
      </c>
      <c r="H929" s="10" t="s">
        <v>440</v>
      </c>
      <c r="I929" s="11" t="s">
        <v>3915</v>
      </c>
      <c r="J929" s="10" t="s">
        <v>66</v>
      </c>
      <c r="K929" s="10" t="s">
        <v>67</v>
      </c>
      <c r="L929" s="10" t="s">
        <v>68</v>
      </c>
      <c r="M929" s="10" t="s">
        <v>69</v>
      </c>
      <c r="N929" s="10"/>
      <c r="O929" s="11" t="s">
        <v>3428</v>
      </c>
      <c r="P929" s="10" t="s">
        <v>71</v>
      </c>
      <c r="Q929" s="11" t="s">
        <v>72</v>
      </c>
      <c r="R929" s="11" t="s">
        <v>73</v>
      </c>
      <c r="S929" s="11" t="s">
        <v>74</v>
      </c>
      <c r="T929" s="11" t="s">
        <v>3925</v>
      </c>
      <c r="U929" s="10" t="n">
        <f aca="false">IF(AND($D929="",$E929="",$F929=""),1,0)</f>
        <v>0</v>
      </c>
      <c r="V929" s="10" t="n">
        <f aca="false">IF(OR($I929="",$I929="—"),1,0)</f>
        <v>0</v>
      </c>
      <c r="W929" s="10" t="n">
        <f aca="false">IF(AND(ISNUMBER($D929),ISNUMBER($E929)),IF($E929&gt;$D929,1,0),0)+IF(AND(ISNUMBER($D929),ISNUMBER($F929)),IF($D929&gt;$F929,1,0),0)+IF(AND(ISNUMBER($E929),ISNUMBER($F929)),IF($E929&gt;$F929,1,0),0)</f>
        <v>0</v>
      </c>
      <c r="X929" s="13" t="s">
        <v>76</v>
      </c>
    </row>
    <row r="930" customFormat="false" ht="15" hidden="false" customHeight="false" outlineLevel="0" collapsed="false">
      <c r="A930" s="10" t="s">
        <v>3926</v>
      </c>
      <c r="B930" s="10" t="s">
        <v>3927</v>
      </c>
      <c r="C930" s="11" t="s">
        <v>3928</v>
      </c>
      <c r="D930" s="12" t="n">
        <v>0.1197</v>
      </c>
      <c r="E930" s="12"/>
      <c r="F930" s="12"/>
      <c r="G930" s="10" t="s">
        <v>63</v>
      </c>
      <c r="H930" s="10" t="s">
        <v>3443</v>
      </c>
      <c r="I930" s="11" t="s">
        <v>3915</v>
      </c>
      <c r="J930" s="10" t="s">
        <v>66</v>
      </c>
      <c r="K930" s="10" t="s">
        <v>67</v>
      </c>
      <c r="L930" s="10" t="s">
        <v>68</v>
      </c>
      <c r="M930" s="10" t="s">
        <v>69</v>
      </c>
      <c r="N930" s="10"/>
      <c r="O930" s="11" t="s">
        <v>3422</v>
      </c>
      <c r="P930" s="10" t="s">
        <v>71</v>
      </c>
      <c r="Q930" s="11" t="s">
        <v>72</v>
      </c>
      <c r="R930" s="11" t="s">
        <v>73</v>
      </c>
      <c r="S930" s="11" t="s">
        <v>74</v>
      </c>
      <c r="T930" s="11" t="s">
        <v>3929</v>
      </c>
      <c r="U930" s="10" t="n">
        <f aca="false">IF(AND($D930="",$E930="",$F930=""),1,0)</f>
        <v>0</v>
      </c>
      <c r="V930" s="10" t="n">
        <f aca="false">IF(OR($I930="",$I930="—"),1,0)</f>
        <v>0</v>
      </c>
      <c r="W930" s="10" t="n">
        <f aca="false">IF(AND(ISNUMBER($D930),ISNUMBER($E930)),IF($E930&gt;$D930,1,0),0)+IF(AND(ISNUMBER($D930),ISNUMBER($F930)),IF($D930&gt;$F930,1,0),0)+IF(AND(ISNUMBER($E930),ISNUMBER($F930)),IF($E930&gt;$F930,1,0),0)</f>
        <v>0</v>
      </c>
      <c r="X930" s="13" t="s">
        <v>76</v>
      </c>
    </row>
    <row r="931" customFormat="false" ht="15" hidden="false" customHeight="false" outlineLevel="0" collapsed="false">
      <c r="A931" s="10" t="s">
        <v>3930</v>
      </c>
      <c r="B931" s="10" t="s">
        <v>3931</v>
      </c>
      <c r="C931" s="11" t="s">
        <v>3928</v>
      </c>
      <c r="D931" s="12" t="n">
        <v>1.7297</v>
      </c>
      <c r="E931" s="12"/>
      <c r="F931" s="12"/>
      <c r="G931" s="10" t="s">
        <v>63</v>
      </c>
      <c r="H931" s="10" t="s">
        <v>3448</v>
      </c>
      <c r="I931" s="11" t="s">
        <v>3915</v>
      </c>
      <c r="J931" s="10" t="s">
        <v>66</v>
      </c>
      <c r="K931" s="10" t="s">
        <v>67</v>
      </c>
      <c r="L931" s="10" t="s">
        <v>68</v>
      </c>
      <c r="M931" s="10" t="s">
        <v>69</v>
      </c>
      <c r="N931" s="10"/>
      <c r="O931" s="11" t="s">
        <v>3422</v>
      </c>
      <c r="P931" s="10" t="s">
        <v>71</v>
      </c>
      <c r="Q931" s="11" t="s">
        <v>72</v>
      </c>
      <c r="R931" s="11" t="s">
        <v>73</v>
      </c>
      <c r="S931" s="11" t="s">
        <v>74</v>
      </c>
      <c r="T931" s="11" t="s">
        <v>3932</v>
      </c>
      <c r="U931" s="10" t="n">
        <f aca="false">IF(AND($D931="",$E931="",$F931=""),1,0)</f>
        <v>0</v>
      </c>
      <c r="V931" s="10" t="n">
        <f aca="false">IF(OR($I931="",$I931="—"),1,0)</f>
        <v>0</v>
      </c>
      <c r="W931" s="10" t="n">
        <f aca="false">IF(AND(ISNUMBER($D931),ISNUMBER($E931)),IF($E931&gt;$D931,1,0),0)+IF(AND(ISNUMBER($D931),ISNUMBER($F931)),IF($D931&gt;$F931,1,0),0)+IF(AND(ISNUMBER($E931),ISNUMBER($F931)),IF($E931&gt;$F931,1,0),0)</f>
        <v>0</v>
      </c>
      <c r="X931" s="13" t="s">
        <v>76</v>
      </c>
    </row>
    <row r="932" customFormat="false" ht="15" hidden="false" customHeight="false" outlineLevel="0" collapsed="false">
      <c r="A932" s="10" t="s">
        <v>3933</v>
      </c>
      <c r="B932" s="10" t="s">
        <v>3934</v>
      </c>
      <c r="C932" s="11" t="s">
        <v>3928</v>
      </c>
      <c r="D932" s="12" t="n">
        <v>1.4009</v>
      </c>
      <c r="E932" s="12"/>
      <c r="F932" s="12"/>
      <c r="G932" s="10" t="s">
        <v>63</v>
      </c>
      <c r="H932" s="10" t="s">
        <v>3452</v>
      </c>
      <c r="I932" s="11" t="s">
        <v>3915</v>
      </c>
      <c r="J932" s="10" t="s">
        <v>66</v>
      </c>
      <c r="K932" s="10" t="s">
        <v>67</v>
      </c>
      <c r="L932" s="10" t="s">
        <v>68</v>
      </c>
      <c r="M932" s="10" t="s">
        <v>69</v>
      </c>
      <c r="N932" s="10"/>
      <c r="O932" s="11" t="s">
        <v>3422</v>
      </c>
      <c r="P932" s="10" t="s">
        <v>71</v>
      </c>
      <c r="Q932" s="11" t="s">
        <v>72</v>
      </c>
      <c r="R932" s="11" t="s">
        <v>73</v>
      </c>
      <c r="S932" s="11" t="s">
        <v>74</v>
      </c>
      <c r="T932" s="11" t="s">
        <v>3935</v>
      </c>
      <c r="U932" s="10" t="n">
        <f aca="false">IF(AND($D932="",$E932="",$F932=""),1,0)</f>
        <v>0</v>
      </c>
      <c r="V932" s="10" t="n">
        <f aca="false">IF(OR($I932="",$I932="—"),1,0)</f>
        <v>0</v>
      </c>
      <c r="W932" s="10" t="n">
        <f aca="false">IF(AND(ISNUMBER($D932),ISNUMBER($E932)),IF($E932&gt;$D932,1,0),0)+IF(AND(ISNUMBER($D932),ISNUMBER($F932)),IF($D932&gt;$F932,1,0),0)+IF(AND(ISNUMBER($E932),ISNUMBER($F932)),IF($E932&gt;$F932,1,0),0)</f>
        <v>0</v>
      </c>
      <c r="X932" s="13" t="s">
        <v>76</v>
      </c>
    </row>
    <row r="933" customFormat="false" ht="15" hidden="false" customHeight="false" outlineLevel="0" collapsed="false">
      <c r="A933" s="10" t="s">
        <v>3936</v>
      </c>
      <c r="B933" s="10" t="s">
        <v>3937</v>
      </c>
      <c r="C933" s="11" t="s">
        <v>3928</v>
      </c>
      <c r="D933" s="12" t="n">
        <v>1.5154</v>
      </c>
      <c r="E933" s="12"/>
      <c r="F933" s="12"/>
      <c r="G933" s="10" t="s">
        <v>63</v>
      </c>
      <c r="H933" s="10" t="s">
        <v>440</v>
      </c>
      <c r="I933" s="11" t="s">
        <v>3915</v>
      </c>
      <c r="J933" s="10" t="s">
        <v>66</v>
      </c>
      <c r="K933" s="10" t="s">
        <v>67</v>
      </c>
      <c r="L933" s="10" t="s">
        <v>68</v>
      </c>
      <c r="M933" s="10" t="s">
        <v>69</v>
      </c>
      <c r="N933" s="10"/>
      <c r="O933" s="11" t="s">
        <v>3428</v>
      </c>
      <c r="P933" s="10" t="s">
        <v>71</v>
      </c>
      <c r="Q933" s="11" t="s">
        <v>72</v>
      </c>
      <c r="R933" s="11" t="s">
        <v>73</v>
      </c>
      <c r="S933" s="11" t="s">
        <v>74</v>
      </c>
      <c r="T933" s="11" t="s">
        <v>3938</v>
      </c>
      <c r="U933" s="10" t="n">
        <f aca="false">IF(AND($D933="",$E933="",$F933=""),1,0)</f>
        <v>0</v>
      </c>
      <c r="V933" s="10" t="n">
        <f aca="false">IF(OR($I933="",$I933="—"),1,0)</f>
        <v>0</v>
      </c>
      <c r="W933" s="10" t="n">
        <f aca="false">IF(AND(ISNUMBER($D933),ISNUMBER($E933)),IF($E933&gt;$D933,1,0),0)+IF(AND(ISNUMBER($D933),ISNUMBER($F933)),IF($D933&gt;$F933,1,0),0)+IF(AND(ISNUMBER($E933),ISNUMBER($F933)),IF($E933&gt;$F933,1,0),0)</f>
        <v>0</v>
      </c>
      <c r="X933" s="13" t="s">
        <v>76</v>
      </c>
    </row>
    <row r="934" customFormat="false" ht="15" hidden="false" customHeight="false" outlineLevel="0" collapsed="false">
      <c r="A934" s="10" t="s">
        <v>3939</v>
      </c>
      <c r="B934" s="10" t="s">
        <v>3940</v>
      </c>
      <c r="C934" s="11" t="s">
        <v>3941</v>
      </c>
      <c r="D934" s="12" t="n">
        <v>0.1657</v>
      </c>
      <c r="E934" s="12"/>
      <c r="F934" s="12"/>
      <c r="G934" s="10" t="s">
        <v>63</v>
      </c>
      <c r="H934" s="10" t="s">
        <v>64</v>
      </c>
      <c r="I934" s="11" t="s">
        <v>3942</v>
      </c>
      <c r="J934" s="10" t="s">
        <v>66</v>
      </c>
      <c r="K934" s="10" t="s">
        <v>67</v>
      </c>
      <c r="L934" s="10" t="s">
        <v>68</v>
      </c>
      <c r="M934" s="10" t="s">
        <v>69</v>
      </c>
      <c r="N934" s="10"/>
      <c r="O934" s="11" t="s">
        <v>3422</v>
      </c>
      <c r="P934" s="10" t="s">
        <v>71</v>
      </c>
      <c r="Q934" s="11" t="s">
        <v>72</v>
      </c>
      <c r="R934" s="11" t="s">
        <v>73</v>
      </c>
      <c r="S934" s="11" t="s">
        <v>74</v>
      </c>
      <c r="T934" s="11" t="s">
        <v>3943</v>
      </c>
      <c r="U934" s="10" t="n">
        <f aca="false">IF(AND($D934="",$E934="",$F934=""),1,0)</f>
        <v>0</v>
      </c>
      <c r="V934" s="10" t="n">
        <f aca="false">IF(OR($I934="",$I934="—"),1,0)</f>
        <v>0</v>
      </c>
      <c r="W934" s="10" t="n">
        <f aca="false">IF(AND(ISNUMBER($D934),ISNUMBER($E934)),IF($E934&gt;$D934,1,0),0)+IF(AND(ISNUMBER($D934),ISNUMBER($F934)),IF($D934&gt;$F934,1,0),0)+IF(AND(ISNUMBER($E934),ISNUMBER($F934)),IF($E934&gt;$F934,1,0),0)</f>
        <v>0</v>
      </c>
      <c r="X934" s="13" t="s">
        <v>76</v>
      </c>
    </row>
    <row r="935" customFormat="false" ht="15" hidden="false" customHeight="false" outlineLevel="0" collapsed="false">
      <c r="A935" s="10" t="s">
        <v>3944</v>
      </c>
      <c r="B935" s="10" t="s">
        <v>3945</v>
      </c>
      <c r="C935" s="11" t="s">
        <v>3941</v>
      </c>
      <c r="D935" s="12" t="n">
        <v>0.6382</v>
      </c>
      <c r="E935" s="12"/>
      <c r="F935" s="12"/>
      <c r="G935" s="10" t="s">
        <v>63</v>
      </c>
      <c r="H935" s="10" t="s">
        <v>79</v>
      </c>
      <c r="I935" s="11" t="s">
        <v>3942</v>
      </c>
      <c r="J935" s="10" t="s">
        <v>66</v>
      </c>
      <c r="K935" s="10" t="s">
        <v>67</v>
      </c>
      <c r="L935" s="10" t="s">
        <v>68</v>
      </c>
      <c r="M935" s="10" t="s">
        <v>69</v>
      </c>
      <c r="N935" s="10"/>
      <c r="O935" s="11" t="s">
        <v>3422</v>
      </c>
      <c r="P935" s="10" t="s">
        <v>71</v>
      </c>
      <c r="Q935" s="11" t="s">
        <v>72</v>
      </c>
      <c r="R935" s="11" t="s">
        <v>73</v>
      </c>
      <c r="S935" s="11" t="s">
        <v>74</v>
      </c>
      <c r="T935" s="11" t="s">
        <v>3946</v>
      </c>
      <c r="U935" s="10" t="n">
        <f aca="false">IF(AND($D935="",$E935="",$F935=""),1,0)</f>
        <v>0</v>
      </c>
      <c r="V935" s="10" t="n">
        <f aca="false">IF(OR($I935="",$I935="—"),1,0)</f>
        <v>0</v>
      </c>
      <c r="W935" s="10" t="n">
        <f aca="false">IF(AND(ISNUMBER($D935),ISNUMBER($E935)),IF($E935&gt;$D935,1,0),0)+IF(AND(ISNUMBER($D935),ISNUMBER($F935)),IF($D935&gt;$F935,1,0),0)+IF(AND(ISNUMBER($E935),ISNUMBER($F935)),IF($E935&gt;$F935,1,0),0)</f>
        <v>0</v>
      </c>
      <c r="X935" s="13" t="s">
        <v>76</v>
      </c>
    </row>
    <row r="936" customFormat="false" ht="15" hidden="false" customHeight="false" outlineLevel="0" collapsed="false">
      <c r="A936" s="10" t="s">
        <v>3947</v>
      </c>
      <c r="B936" s="10" t="s">
        <v>3948</v>
      </c>
      <c r="C936" s="11" t="s">
        <v>3941</v>
      </c>
      <c r="D936" s="12" t="n">
        <v>2.7025</v>
      </c>
      <c r="E936" s="12"/>
      <c r="F936" s="12"/>
      <c r="G936" s="10" t="s">
        <v>63</v>
      </c>
      <c r="H936" s="10" t="s">
        <v>83</v>
      </c>
      <c r="I936" s="11" t="s">
        <v>3942</v>
      </c>
      <c r="J936" s="10" t="s">
        <v>66</v>
      </c>
      <c r="K936" s="10" t="s">
        <v>67</v>
      </c>
      <c r="L936" s="10" t="s">
        <v>68</v>
      </c>
      <c r="M936" s="10" t="s">
        <v>69</v>
      </c>
      <c r="N936" s="10"/>
      <c r="O936" s="11" t="s">
        <v>3422</v>
      </c>
      <c r="P936" s="10" t="s">
        <v>71</v>
      </c>
      <c r="Q936" s="11" t="s">
        <v>72</v>
      </c>
      <c r="R936" s="11" t="s">
        <v>73</v>
      </c>
      <c r="S936" s="11" t="s">
        <v>74</v>
      </c>
      <c r="T936" s="11" t="s">
        <v>3949</v>
      </c>
      <c r="U936" s="10" t="n">
        <f aca="false">IF(AND($D936="",$E936="",$F936=""),1,0)</f>
        <v>0</v>
      </c>
      <c r="V936" s="10" t="n">
        <f aca="false">IF(OR($I936="",$I936="—"),1,0)</f>
        <v>0</v>
      </c>
      <c r="W936" s="10" t="n">
        <f aca="false">IF(AND(ISNUMBER($D936),ISNUMBER($E936)),IF($E936&gt;$D936,1,0),0)+IF(AND(ISNUMBER($D936),ISNUMBER($F936)),IF($D936&gt;$F936,1,0),0)+IF(AND(ISNUMBER($E936),ISNUMBER($F936)),IF($E936&gt;$F936,1,0),0)</f>
        <v>0</v>
      </c>
      <c r="X936" s="13" t="s">
        <v>76</v>
      </c>
    </row>
    <row r="937" customFormat="false" ht="15" hidden="false" customHeight="false" outlineLevel="0" collapsed="false">
      <c r="A937" s="10" t="s">
        <v>3950</v>
      </c>
      <c r="B937" s="10" t="s">
        <v>3951</v>
      </c>
      <c r="C937" s="11" t="s">
        <v>3941</v>
      </c>
      <c r="D937" s="12" t="n">
        <v>1.3111</v>
      </c>
      <c r="E937" s="12"/>
      <c r="F937" s="12"/>
      <c r="G937" s="10" t="s">
        <v>63</v>
      </c>
      <c r="H937" s="10" t="s">
        <v>87</v>
      </c>
      <c r="I937" s="11" t="s">
        <v>3942</v>
      </c>
      <c r="J937" s="10" t="s">
        <v>66</v>
      </c>
      <c r="K937" s="10" t="s">
        <v>67</v>
      </c>
      <c r="L937" s="10" t="s">
        <v>68</v>
      </c>
      <c r="M937" s="10" t="s">
        <v>69</v>
      </c>
      <c r="N937" s="10"/>
      <c r="O937" s="11" t="s">
        <v>3608</v>
      </c>
      <c r="P937" s="10" t="s">
        <v>71</v>
      </c>
      <c r="Q937" s="11" t="s">
        <v>72</v>
      </c>
      <c r="R937" s="11" t="s">
        <v>73</v>
      </c>
      <c r="S937" s="11" t="s">
        <v>74</v>
      </c>
      <c r="T937" s="11" t="s">
        <v>3952</v>
      </c>
      <c r="U937" s="10" t="n">
        <f aca="false">IF(AND($D937="",$E937="",$F937=""),1,0)</f>
        <v>0</v>
      </c>
      <c r="V937" s="10" t="n">
        <f aca="false">IF(OR($I937="",$I937="—"),1,0)</f>
        <v>0</v>
      </c>
      <c r="W937" s="10" t="n">
        <f aca="false">IF(AND(ISNUMBER($D937),ISNUMBER($E937)),IF($E937&gt;$D937,1,0),0)+IF(AND(ISNUMBER($D937),ISNUMBER($F937)),IF($D937&gt;$F937,1,0),0)+IF(AND(ISNUMBER($E937),ISNUMBER($F937)),IF($E937&gt;$F937,1,0),0)</f>
        <v>0</v>
      </c>
      <c r="X937" s="13" t="s">
        <v>76</v>
      </c>
    </row>
    <row r="938" customFormat="false" ht="15" hidden="false" customHeight="false" outlineLevel="0" collapsed="false">
      <c r="A938" s="10" t="s">
        <v>3953</v>
      </c>
      <c r="B938" s="10" t="s">
        <v>3954</v>
      </c>
      <c r="C938" s="11" t="s">
        <v>3941</v>
      </c>
      <c r="D938" s="12" t="n">
        <v>1.3291</v>
      </c>
      <c r="E938" s="12"/>
      <c r="F938" s="12"/>
      <c r="G938" s="10" t="s">
        <v>63</v>
      </c>
      <c r="H938" s="10" t="s">
        <v>92</v>
      </c>
      <c r="I938" s="11" t="s">
        <v>3942</v>
      </c>
      <c r="J938" s="10" t="s">
        <v>66</v>
      </c>
      <c r="K938" s="10" t="s">
        <v>67</v>
      </c>
      <c r="L938" s="10" t="s">
        <v>68</v>
      </c>
      <c r="M938" s="10" t="s">
        <v>69</v>
      </c>
      <c r="N938" s="10"/>
      <c r="O938" s="11" t="s">
        <v>3428</v>
      </c>
      <c r="P938" s="10" t="s">
        <v>71</v>
      </c>
      <c r="Q938" s="11" t="s">
        <v>72</v>
      </c>
      <c r="R938" s="11" t="s">
        <v>73</v>
      </c>
      <c r="S938" s="11" t="s">
        <v>74</v>
      </c>
      <c r="T938" s="11" t="s">
        <v>3955</v>
      </c>
      <c r="U938" s="10" t="n">
        <f aca="false">IF(AND($D938="",$E938="",$F938=""),1,0)</f>
        <v>0</v>
      </c>
      <c r="V938" s="10" t="n">
        <f aca="false">IF(OR($I938="",$I938="—"),1,0)</f>
        <v>0</v>
      </c>
      <c r="W938" s="10" t="n">
        <f aca="false">IF(AND(ISNUMBER($D938),ISNUMBER($E938)),IF($E938&gt;$D938,1,0),0)+IF(AND(ISNUMBER($D938),ISNUMBER($F938)),IF($D938&gt;$F938,1,0),0)+IF(AND(ISNUMBER($E938),ISNUMBER($F938)),IF($E938&gt;$F938,1,0),0)</f>
        <v>0</v>
      </c>
      <c r="X938" s="13" t="s">
        <v>76</v>
      </c>
    </row>
    <row r="939" customFormat="false" ht="15" hidden="false" customHeight="false" outlineLevel="0" collapsed="false">
      <c r="A939" s="10" t="s">
        <v>3956</v>
      </c>
      <c r="B939" s="10" t="s">
        <v>3957</v>
      </c>
      <c r="C939" s="11" t="s">
        <v>3958</v>
      </c>
      <c r="D939" s="12" t="n">
        <v>0</v>
      </c>
      <c r="E939" s="12"/>
      <c r="F939" s="12"/>
      <c r="G939" s="10" t="s">
        <v>63</v>
      </c>
      <c r="H939" s="10" t="s">
        <v>64</v>
      </c>
      <c r="I939" s="11" t="s">
        <v>3633</v>
      </c>
      <c r="J939" s="10" t="s">
        <v>66</v>
      </c>
      <c r="K939" s="10" t="s">
        <v>67</v>
      </c>
      <c r="L939" s="10" t="s">
        <v>68</v>
      </c>
      <c r="M939" s="10" t="s">
        <v>69</v>
      </c>
      <c r="N939" s="10"/>
      <c r="O939" s="11" t="s">
        <v>3422</v>
      </c>
      <c r="P939" s="10" t="s">
        <v>71</v>
      </c>
      <c r="Q939" s="11" t="s">
        <v>72</v>
      </c>
      <c r="R939" s="11" t="s">
        <v>73</v>
      </c>
      <c r="S939" s="11" t="s">
        <v>74</v>
      </c>
      <c r="T939" s="11" t="s">
        <v>3959</v>
      </c>
      <c r="U939" s="10" t="n">
        <f aca="false">IF(AND($D939="",$E939="",$F939=""),1,0)</f>
        <v>0</v>
      </c>
      <c r="V939" s="10" t="n">
        <f aca="false">IF(OR($I939="",$I939="—"),1,0)</f>
        <v>0</v>
      </c>
      <c r="W939" s="10" t="n">
        <f aca="false">IF(AND(ISNUMBER($D939),ISNUMBER($E939)),IF($E939&gt;$D939,1,0),0)+IF(AND(ISNUMBER($D939),ISNUMBER($F939)),IF($D939&gt;$F939,1,0),0)+IF(AND(ISNUMBER($E939),ISNUMBER($F939)),IF($E939&gt;$F939,1,0),0)</f>
        <v>0</v>
      </c>
      <c r="X939" s="13" t="s">
        <v>76</v>
      </c>
    </row>
    <row r="940" customFormat="false" ht="15" hidden="false" customHeight="false" outlineLevel="0" collapsed="false">
      <c r="A940" s="10" t="s">
        <v>3960</v>
      </c>
      <c r="B940" s="10" t="s">
        <v>3961</v>
      </c>
      <c r="C940" s="11" t="s">
        <v>3958</v>
      </c>
      <c r="D940" s="12" t="n">
        <v>0.0354</v>
      </c>
      <c r="E940" s="12"/>
      <c r="F940" s="12"/>
      <c r="G940" s="10" t="s">
        <v>63</v>
      </c>
      <c r="H940" s="10" t="s">
        <v>79</v>
      </c>
      <c r="I940" s="11" t="s">
        <v>3633</v>
      </c>
      <c r="J940" s="10" t="s">
        <v>66</v>
      </c>
      <c r="K940" s="10" t="s">
        <v>67</v>
      </c>
      <c r="L940" s="10" t="s">
        <v>68</v>
      </c>
      <c r="M940" s="10" t="s">
        <v>69</v>
      </c>
      <c r="N940" s="10"/>
      <c r="O940" s="11" t="s">
        <v>3422</v>
      </c>
      <c r="P940" s="10" t="s">
        <v>71</v>
      </c>
      <c r="Q940" s="11" t="s">
        <v>72</v>
      </c>
      <c r="R940" s="11" t="s">
        <v>73</v>
      </c>
      <c r="S940" s="11" t="s">
        <v>74</v>
      </c>
      <c r="T940" s="11" t="s">
        <v>3962</v>
      </c>
      <c r="U940" s="10" t="n">
        <f aca="false">IF(AND($D940="",$E940="",$F940=""),1,0)</f>
        <v>0</v>
      </c>
      <c r="V940" s="10" t="n">
        <f aca="false">IF(OR($I940="",$I940="—"),1,0)</f>
        <v>0</v>
      </c>
      <c r="W940" s="10" t="n">
        <f aca="false">IF(AND(ISNUMBER($D940),ISNUMBER($E940)),IF($E940&gt;$D940,1,0),0)+IF(AND(ISNUMBER($D940),ISNUMBER($F940)),IF($D940&gt;$F940,1,0),0)+IF(AND(ISNUMBER($E940),ISNUMBER($F940)),IF($E940&gt;$F940,1,0),0)</f>
        <v>0</v>
      </c>
      <c r="X940" s="13" t="s">
        <v>76</v>
      </c>
    </row>
    <row r="941" customFormat="false" ht="15" hidden="false" customHeight="false" outlineLevel="0" collapsed="false">
      <c r="A941" s="10" t="s">
        <v>3963</v>
      </c>
      <c r="B941" s="10" t="s">
        <v>3964</v>
      </c>
      <c r="C941" s="11" t="s">
        <v>3958</v>
      </c>
      <c r="D941" s="12" t="n">
        <v>1.3344</v>
      </c>
      <c r="E941" s="12"/>
      <c r="F941" s="12"/>
      <c r="G941" s="10" t="s">
        <v>63</v>
      </c>
      <c r="H941" s="10" t="s">
        <v>83</v>
      </c>
      <c r="I941" s="11" t="s">
        <v>3633</v>
      </c>
      <c r="J941" s="10" t="s">
        <v>66</v>
      </c>
      <c r="K941" s="10" t="s">
        <v>67</v>
      </c>
      <c r="L941" s="10" t="s">
        <v>68</v>
      </c>
      <c r="M941" s="10" t="s">
        <v>69</v>
      </c>
      <c r="N941" s="10"/>
      <c r="O941" s="11" t="s">
        <v>3422</v>
      </c>
      <c r="P941" s="10" t="s">
        <v>71</v>
      </c>
      <c r="Q941" s="11" t="s">
        <v>72</v>
      </c>
      <c r="R941" s="11" t="s">
        <v>73</v>
      </c>
      <c r="S941" s="11" t="s">
        <v>74</v>
      </c>
      <c r="T941" s="11" t="s">
        <v>3965</v>
      </c>
      <c r="U941" s="10" t="n">
        <f aca="false">IF(AND($D941="",$E941="",$F941=""),1,0)</f>
        <v>0</v>
      </c>
      <c r="V941" s="10" t="n">
        <f aca="false">IF(OR($I941="",$I941="—"),1,0)</f>
        <v>0</v>
      </c>
      <c r="W941" s="10" t="n">
        <f aca="false">IF(AND(ISNUMBER($D941),ISNUMBER($E941)),IF($E941&gt;$D941,1,0),0)+IF(AND(ISNUMBER($D941),ISNUMBER($F941)),IF($D941&gt;$F941,1,0),0)+IF(AND(ISNUMBER($E941),ISNUMBER($F941)),IF($E941&gt;$F941,1,0),0)</f>
        <v>0</v>
      </c>
      <c r="X941" s="13" t="s">
        <v>76</v>
      </c>
    </row>
    <row r="942" customFormat="false" ht="15" hidden="false" customHeight="false" outlineLevel="0" collapsed="false">
      <c r="A942" s="10" t="s">
        <v>3966</v>
      </c>
      <c r="B942" s="10" t="s">
        <v>3967</v>
      </c>
      <c r="C942" s="11" t="s">
        <v>3958</v>
      </c>
      <c r="D942" s="12" t="n">
        <v>0.5303</v>
      </c>
      <c r="E942" s="12"/>
      <c r="F942" s="12"/>
      <c r="G942" s="10" t="s">
        <v>63</v>
      </c>
      <c r="H942" s="10" t="s">
        <v>87</v>
      </c>
      <c r="I942" s="11" t="s">
        <v>3633</v>
      </c>
      <c r="J942" s="10" t="s">
        <v>66</v>
      </c>
      <c r="K942" s="10" t="s">
        <v>67</v>
      </c>
      <c r="L942" s="10" t="s">
        <v>68</v>
      </c>
      <c r="M942" s="10" t="s">
        <v>69</v>
      </c>
      <c r="N942" s="10"/>
      <c r="O942" s="11" t="s">
        <v>3608</v>
      </c>
      <c r="P942" s="10" t="s">
        <v>71</v>
      </c>
      <c r="Q942" s="11" t="s">
        <v>72</v>
      </c>
      <c r="R942" s="11" t="s">
        <v>73</v>
      </c>
      <c r="S942" s="11" t="s">
        <v>74</v>
      </c>
      <c r="T942" s="11" t="s">
        <v>3968</v>
      </c>
      <c r="U942" s="10" t="n">
        <f aca="false">IF(AND($D942="",$E942="",$F942=""),1,0)</f>
        <v>0</v>
      </c>
      <c r="V942" s="10" t="n">
        <f aca="false">IF(OR($I942="",$I942="—"),1,0)</f>
        <v>0</v>
      </c>
      <c r="W942" s="10" t="n">
        <f aca="false">IF(AND(ISNUMBER($D942),ISNUMBER($E942)),IF($E942&gt;$D942,1,0),0)+IF(AND(ISNUMBER($D942),ISNUMBER($F942)),IF($D942&gt;$F942,1,0),0)+IF(AND(ISNUMBER($E942),ISNUMBER($F942)),IF($E942&gt;$F942,1,0),0)</f>
        <v>0</v>
      </c>
      <c r="X942" s="13" t="s">
        <v>76</v>
      </c>
    </row>
    <row r="943" customFormat="false" ht="15" hidden="false" customHeight="false" outlineLevel="0" collapsed="false">
      <c r="A943" s="10" t="s">
        <v>3969</v>
      </c>
      <c r="B943" s="10" t="s">
        <v>3970</v>
      </c>
      <c r="C943" s="11" t="s">
        <v>3958</v>
      </c>
      <c r="D943" s="12" t="n">
        <v>0.7997</v>
      </c>
      <c r="E943" s="12"/>
      <c r="F943" s="12"/>
      <c r="G943" s="10" t="s">
        <v>63</v>
      </c>
      <c r="H943" s="10" t="s">
        <v>92</v>
      </c>
      <c r="I943" s="11" t="s">
        <v>3633</v>
      </c>
      <c r="J943" s="10" t="s">
        <v>66</v>
      </c>
      <c r="K943" s="10" t="s">
        <v>67</v>
      </c>
      <c r="L943" s="10" t="s">
        <v>68</v>
      </c>
      <c r="M943" s="10" t="s">
        <v>69</v>
      </c>
      <c r="N943" s="10"/>
      <c r="O943" s="11" t="s">
        <v>3428</v>
      </c>
      <c r="P943" s="10" t="s">
        <v>71</v>
      </c>
      <c r="Q943" s="11" t="s">
        <v>72</v>
      </c>
      <c r="R943" s="11" t="s">
        <v>73</v>
      </c>
      <c r="S943" s="11" t="s">
        <v>74</v>
      </c>
      <c r="T943" s="11" t="s">
        <v>3971</v>
      </c>
      <c r="U943" s="10" t="n">
        <f aca="false">IF(AND($D943="",$E943="",$F943=""),1,0)</f>
        <v>0</v>
      </c>
      <c r="V943" s="10" t="n">
        <f aca="false">IF(OR($I943="",$I943="—"),1,0)</f>
        <v>0</v>
      </c>
      <c r="W943" s="10" t="n">
        <f aca="false">IF(AND(ISNUMBER($D943),ISNUMBER($E943)),IF($E943&gt;$D943,1,0),0)+IF(AND(ISNUMBER($D943),ISNUMBER($F943)),IF($D943&gt;$F943,1,0),0)+IF(AND(ISNUMBER($E943),ISNUMBER($F943)),IF($E943&gt;$F943,1,0),0)</f>
        <v>0</v>
      </c>
      <c r="X943" s="13" t="s">
        <v>76</v>
      </c>
    </row>
    <row r="944" customFormat="false" ht="15" hidden="false" customHeight="false" outlineLevel="0" collapsed="false">
      <c r="A944" s="10" t="s">
        <v>3972</v>
      </c>
      <c r="B944" s="10" t="s">
        <v>3973</v>
      </c>
      <c r="C944" s="11" t="s">
        <v>3974</v>
      </c>
      <c r="D944" s="12" t="n">
        <v>0.046</v>
      </c>
      <c r="E944" s="12"/>
      <c r="F944" s="12"/>
      <c r="G944" s="10" t="s">
        <v>63</v>
      </c>
      <c r="H944" s="10" t="s">
        <v>64</v>
      </c>
      <c r="I944" s="11" t="s">
        <v>3816</v>
      </c>
      <c r="J944" s="10" t="s">
        <v>66</v>
      </c>
      <c r="K944" s="10" t="s">
        <v>67</v>
      </c>
      <c r="L944" s="10" t="s">
        <v>68</v>
      </c>
      <c r="M944" s="10" t="s">
        <v>69</v>
      </c>
      <c r="N944" s="10"/>
      <c r="O944" s="11" t="s">
        <v>3422</v>
      </c>
      <c r="P944" s="10" t="s">
        <v>71</v>
      </c>
      <c r="Q944" s="11" t="s">
        <v>72</v>
      </c>
      <c r="R944" s="11" t="s">
        <v>73</v>
      </c>
      <c r="S944" s="11" t="s">
        <v>74</v>
      </c>
      <c r="T944" s="11" t="s">
        <v>3975</v>
      </c>
      <c r="U944" s="10" t="n">
        <f aca="false">IF(AND($D944="",$E944="",$F944=""),1,0)</f>
        <v>0</v>
      </c>
      <c r="V944" s="10" t="n">
        <f aca="false">IF(OR($I944="",$I944="—"),1,0)</f>
        <v>0</v>
      </c>
      <c r="W944" s="10" t="n">
        <f aca="false">IF(AND(ISNUMBER($D944),ISNUMBER($E944)),IF($E944&gt;$D944,1,0),0)+IF(AND(ISNUMBER($D944),ISNUMBER($F944)),IF($D944&gt;$F944,1,0),0)+IF(AND(ISNUMBER($E944),ISNUMBER($F944)),IF($E944&gt;$F944,1,0),0)</f>
        <v>0</v>
      </c>
      <c r="X944" s="13" t="s">
        <v>76</v>
      </c>
    </row>
    <row r="945" customFormat="false" ht="15" hidden="false" customHeight="false" outlineLevel="0" collapsed="false">
      <c r="A945" s="10" t="s">
        <v>3976</v>
      </c>
      <c r="B945" s="10" t="s">
        <v>3977</v>
      </c>
      <c r="C945" s="11" t="s">
        <v>3974</v>
      </c>
      <c r="D945" s="12" t="n">
        <v>0.1875</v>
      </c>
      <c r="E945" s="12"/>
      <c r="F945" s="12"/>
      <c r="G945" s="10" t="s">
        <v>63</v>
      </c>
      <c r="H945" s="10" t="s">
        <v>79</v>
      </c>
      <c r="I945" s="11" t="s">
        <v>3816</v>
      </c>
      <c r="J945" s="10" t="s">
        <v>66</v>
      </c>
      <c r="K945" s="10" t="s">
        <v>67</v>
      </c>
      <c r="L945" s="10" t="s">
        <v>68</v>
      </c>
      <c r="M945" s="10" t="s">
        <v>69</v>
      </c>
      <c r="N945" s="10"/>
      <c r="O945" s="11" t="s">
        <v>3422</v>
      </c>
      <c r="P945" s="10" t="s">
        <v>71</v>
      </c>
      <c r="Q945" s="11" t="s">
        <v>72</v>
      </c>
      <c r="R945" s="11" t="s">
        <v>73</v>
      </c>
      <c r="S945" s="11" t="s">
        <v>74</v>
      </c>
      <c r="T945" s="11" t="s">
        <v>3978</v>
      </c>
      <c r="U945" s="10" t="n">
        <f aca="false">IF(AND($D945="",$E945="",$F945=""),1,0)</f>
        <v>0</v>
      </c>
      <c r="V945" s="10" t="n">
        <f aca="false">IF(OR($I945="",$I945="—"),1,0)</f>
        <v>0</v>
      </c>
      <c r="W945" s="10" t="n">
        <f aca="false">IF(AND(ISNUMBER($D945),ISNUMBER($E945)),IF($E945&gt;$D945,1,0),0)+IF(AND(ISNUMBER($D945),ISNUMBER($F945)),IF($D945&gt;$F945,1,0),0)+IF(AND(ISNUMBER($E945),ISNUMBER($F945)),IF($E945&gt;$F945,1,0),0)</f>
        <v>0</v>
      </c>
      <c r="X945" s="13" t="s">
        <v>76</v>
      </c>
    </row>
    <row r="946" customFormat="false" ht="15" hidden="false" customHeight="false" outlineLevel="0" collapsed="false">
      <c r="A946" s="10" t="s">
        <v>3979</v>
      </c>
      <c r="B946" s="10" t="s">
        <v>3980</v>
      </c>
      <c r="C946" s="11" t="s">
        <v>3974</v>
      </c>
      <c r="D946" s="12" t="n">
        <v>0.8895</v>
      </c>
      <c r="E946" s="12"/>
      <c r="F946" s="12"/>
      <c r="G946" s="10" t="s">
        <v>63</v>
      </c>
      <c r="H946" s="10" t="s">
        <v>83</v>
      </c>
      <c r="I946" s="11" t="s">
        <v>3816</v>
      </c>
      <c r="J946" s="10" t="s">
        <v>66</v>
      </c>
      <c r="K946" s="10" t="s">
        <v>67</v>
      </c>
      <c r="L946" s="10" t="s">
        <v>68</v>
      </c>
      <c r="M946" s="10" t="s">
        <v>69</v>
      </c>
      <c r="N946" s="10"/>
      <c r="O946" s="11" t="s">
        <v>3422</v>
      </c>
      <c r="P946" s="10" t="s">
        <v>71</v>
      </c>
      <c r="Q946" s="11" t="s">
        <v>72</v>
      </c>
      <c r="R946" s="11" t="s">
        <v>73</v>
      </c>
      <c r="S946" s="11" t="s">
        <v>74</v>
      </c>
      <c r="T946" s="11" t="s">
        <v>3981</v>
      </c>
      <c r="U946" s="10" t="n">
        <f aca="false">IF(AND($D946="",$E946="",$F946=""),1,0)</f>
        <v>0</v>
      </c>
      <c r="V946" s="10" t="n">
        <f aca="false">IF(OR($I946="",$I946="—"),1,0)</f>
        <v>0</v>
      </c>
      <c r="W946" s="10" t="n">
        <f aca="false">IF(AND(ISNUMBER($D946),ISNUMBER($E946)),IF($E946&gt;$D946,1,0),0)+IF(AND(ISNUMBER($D946),ISNUMBER($F946)),IF($D946&gt;$F946,1,0),0)+IF(AND(ISNUMBER($E946),ISNUMBER($F946)),IF($E946&gt;$F946,1,0),0)</f>
        <v>0</v>
      </c>
      <c r="X946" s="13" t="s">
        <v>76</v>
      </c>
    </row>
    <row r="947" customFormat="false" ht="15" hidden="false" customHeight="false" outlineLevel="0" collapsed="false">
      <c r="A947" s="10" t="s">
        <v>3982</v>
      </c>
      <c r="B947" s="10" t="s">
        <v>3983</v>
      </c>
      <c r="C947" s="11" t="s">
        <v>3974</v>
      </c>
      <c r="D947" s="12" t="n">
        <v>0.307</v>
      </c>
      <c r="E947" s="12"/>
      <c r="F947" s="12"/>
      <c r="G947" s="10" t="s">
        <v>63</v>
      </c>
      <c r="H947" s="10" t="s">
        <v>92</v>
      </c>
      <c r="I947" s="11" t="s">
        <v>3816</v>
      </c>
      <c r="J947" s="10" t="s">
        <v>66</v>
      </c>
      <c r="K947" s="10" t="s">
        <v>67</v>
      </c>
      <c r="L947" s="10" t="s">
        <v>68</v>
      </c>
      <c r="M947" s="10" t="s">
        <v>69</v>
      </c>
      <c r="N947" s="10"/>
      <c r="O947" s="11" t="s">
        <v>3428</v>
      </c>
      <c r="P947" s="10" t="s">
        <v>71</v>
      </c>
      <c r="Q947" s="11" t="s">
        <v>72</v>
      </c>
      <c r="R947" s="11" t="s">
        <v>73</v>
      </c>
      <c r="S947" s="11" t="s">
        <v>74</v>
      </c>
      <c r="T947" s="11" t="s">
        <v>3984</v>
      </c>
      <c r="U947" s="10" t="n">
        <f aca="false">IF(AND($D947="",$E947="",$F947=""),1,0)</f>
        <v>0</v>
      </c>
      <c r="V947" s="10" t="n">
        <f aca="false">IF(OR($I947="",$I947="—"),1,0)</f>
        <v>0</v>
      </c>
      <c r="W947" s="10" t="n">
        <f aca="false">IF(AND(ISNUMBER($D947),ISNUMBER($E947)),IF($E947&gt;$D947,1,0),0)+IF(AND(ISNUMBER($D947),ISNUMBER($F947)),IF($D947&gt;$F947,1,0),0)+IF(AND(ISNUMBER($E947),ISNUMBER($F947)),IF($E947&gt;$F947,1,0),0)</f>
        <v>0</v>
      </c>
      <c r="X947" s="13" t="s">
        <v>76</v>
      </c>
    </row>
    <row r="948" customFormat="false" ht="15" hidden="false" customHeight="false" outlineLevel="0" collapsed="false">
      <c r="A948" s="10" t="s">
        <v>3985</v>
      </c>
      <c r="B948" s="10" t="s">
        <v>3986</v>
      </c>
      <c r="C948" s="11" t="s">
        <v>3987</v>
      </c>
      <c r="D948" s="12" t="n">
        <v>1.912</v>
      </c>
      <c r="E948" s="12"/>
      <c r="F948" s="12"/>
      <c r="G948" s="10" t="s">
        <v>63</v>
      </c>
      <c r="H948" s="10" t="s">
        <v>64</v>
      </c>
      <c r="I948" s="11" t="s">
        <v>3988</v>
      </c>
      <c r="J948" s="10" t="s">
        <v>66</v>
      </c>
      <c r="K948" s="10" t="s">
        <v>67</v>
      </c>
      <c r="L948" s="10" t="s">
        <v>68</v>
      </c>
      <c r="M948" s="10" t="s">
        <v>69</v>
      </c>
      <c r="N948" s="10"/>
      <c r="O948" s="11" t="s">
        <v>3422</v>
      </c>
      <c r="P948" s="10" t="s">
        <v>71</v>
      </c>
      <c r="Q948" s="11" t="s">
        <v>72</v>
      </c>
      <c r="R948" s="11" t="s">
        <v>73</v>
      </c>
      <c r="S948" s="11" t="s">
        <v>74</v>
      </c>
      <c r="T948" s="11" t="s">
        <v>3989</v>
      </c>
      <c r="U948" s="10" t="n">
        <f aca="false">IF(AND($D948="",$E948="",$F948=""),1,0)</f>
        <v>0</v>
      </c>
      <c r="V948" s="10" t="n">
        <f aca="false">IF(OR($I948="",$I948="—"),1,0)</f>
        <v>0</v>
      </c>
      <c r="W948" s="10" t="n">
        <f aca="false">IF(AND(ISNUMBER($D948),ISNUMBER($E948)),IF($E948&gt;$D948,1,0),0)+IF(AND(ISNUMBER($D948),ISNUMBER($F948)),IF($D948&gt;$F948,1,0),0)+IF(AND(ISNUMBER($E948),ISNUMBER($F948)),IF($E948&gt;$F948,1,0),0)</f>
        <v>0</v>
      </c>
      <c r="X948" s="13" t="s">
        <v>76</v>
      </c>
    </row>
    <row r="949" customFormat="false" ht="15" hidden="false" customHeight="false" outlineLevel="0" collapsed="false">
      <c r="A949" s="10" t="s">
        <v>3990</v>
      </c>
      <c r="B949" s="10" t="s">
        <v>3991</v>
      </c>
      <c r="C949" s="11" t="s">
        <v>3987</v>
      </c>
      <c r="D949" s="12" t="n">
        <v>24.6304</v>
      </c>
      <c r="E949" s="12"/>
      <c r="F949" s="12"/>
      <c r="G949" s="10" t="s">
        <v>63</v>
      </c>
      <c r="H949" s="10" t="s">
        <v>79</v>
      </c>
      <c r="I949" s="11" t="s">
        <v>3988</v>
      </c>
      <c r="J949" s="10" t="s">
        <v>66</v>
      </c>
      <c r="K949" s="10" t="s">
        <v>67</v>
      </c>
      <c r="L949" s="10" t="s">
        <v>68</v>
      </c>
      <c r="M949" s="10" t="s">
        <v>69</v>
      </c>
      <c r="N949" s="10"/>
      <c r="O949" s="11" t="s">
        <v>3422</v>
      </c>
      <c r="P949" s="10" t="s">
        <v>71</v>
      </c>
      <c r="Q949" s="11" t="s">
        <v>72</v>
      </c>
      <c r="R949" s="11" t="s">
        <v>73</v>
      </c>
      <c r="S949" s="11" t="s">
        <v>74</v>
      </c>
      <c r="T949" s="11" t="s">
        <v>3992</v>
      </c>
      <c r="U949" s="10" t="n">
        <f aca="false">IF(AND($D949="",$E949="",$F949=""),1,0)</f>
        <v>0</v>
      </c>
      <c r="V949" s="10" t="n">
        <f aca="false">IF(OR($I949="",$I949="—"),1,0)</f>
        <v>0</v>
      </c>
      <c r="W949" s="10" t="n">
        <f aca="false">IF(AND(ISNUMBER($D949),ISNUMBER($E949)),IF($E949&gt;$D949,1,0),0)+IF(AND(ISNUMBER($D949),ISNUMBER($F949)),IF($D949&gt;$F949,1,0),0)+IF(AND(ISNUMBER($E949),ISNUMBER($F949)),IF($E949&gt;$F949,1,0),0)</f>
        <v>0</v>
      </c>
      <c r="X949" s="13" t="s">
        <v>76</v>
      </c>
    </row>
    <row r="950" customFormat="false" ht="15" hidden="false" customHeight="false" outlineLevel="0" collapsed="false">
      <c r="A950" s="10" t="s">
        <v>3993</v>
      </c>
      <c r="B950" s="10" t="s">
        <v>3994</v>
      </c>
      <c r="C950" s="11" t="s">
        <v>3987</v>
      </c>
      <c r="D950" s="12" t="n">
        <v>33.1207</v>
      </c>
      <c r="E950" s="12"/>
      <c r="F950" s="12"/>
      <c r="G950" s="10" t="s">
        <v>63</v>
      </c>
      <c r="H950" s="10" t="s">
        <v>83</v>
      </c>
      <c r="I950" s="11" t="s">
        <v>3988</v>
      </c>
      <c r="J950" s="10" t="s">
        <v>66</v>
      </c>
      <c r="K950" s="10" t="s">
        <v>67</v>
      </c>
      <c r="L950" s="10" t="s">
        <v>68</v>
      </c>
      <c r="M950" s="10" t="s">
        <v>69</v>
      </c>
      <c r="N950" s="10"/>
      <c r="O950" s="11" t="s">
        <v>3422</v>
      </c>
      <c r="P950" s="10" t="s">
        <v>71</v>
      </c>
      <c r="Q950" s="11" t="s">
        <v>72</v>
      </c>
      <c r="R950" s="11" t="s">
        <v>73</v>
      </c>
      <c r="S950" s="11" t="s">
        <v>74</v>
      </c>
      <c r="T950" s="11" t="s">
        <v>3995</v>
      </c>
      <c r="U950" s="10" t="n">
        <f aca="false">IF(AND($D950="",$E950="",$F950=""),1,0)</f>
        <v>0</v>
      </c>
      <c r="V950" s="10" t="n">
        <f aca="false">IF(OR($I950="",$I950="—"),1,0)</f>
        <v>0</v>
      </c>
      <c r="W950" s="10" t="n">
        <f aca="false">IF(AND(ISNUMBER($D950),ISNUMBER($E950)),IF($E950&gt;$D950,1,0),0)+IF(AND(ISNUMBER($D950),ISNUMBER($F950)),IF($D950&gt;$F950,1,0),0)+IF(AND(ISNUMBER($E950),ISNUMBER($F950)),IF($E950&gt;$F950,1,0),0)</f>
        <v>0</v>
      </c>
      <c r="X950" s="13" t="s">
        <v>76</v>
      </c>
    </row>
    <row r="951" customFormat="false" ht="15" hidden="false" customHeight="false" outlineLevel="0" collapsed="false">
      <c r="A951" s="10" t="s">
        <v>3996</v>
      </c>
      <c r="B951" s="10" t="s">
        <v>3997</v>
      </c>
      <c r="C951" s="11" t="s">
        <v>3987</v>
      </c>
      <c r="D951" s="12" t="n">
        <v>8.1634</v>
      </c>
      <c r="E951" s="12"/>
      <c r="F951" s="12"/>
      <c r="G951" s="10" t="s">
        <v>63</v>
      </c>
      <c r="H951" s="10" t="s">
        <v>87</v>
      </c>
      <c r="I951" s="11" t="s">
        <v>3988</v>
      </c>
      <c r="J951" s="10" t="s">
        <v>66</v>
      </c>
      <c r="K951" s="10" t="s">
        <v>67</v>
      </c>
      <c r="L951" s="10" t="s">
        <v>68</v>
      </c>
      <c r="M951" s="10" t="s">
        <v>69</v>
      </c>
      <c r="N951" s="10"/>
      <c r="O951" s="11" t="s">
        <v>3608</v>
      </c>
      <c r="P951" s="10" t="s">
        <v>71</v>
      </c>
      <c r="Q951" s="11" t="s">
        <v>72</v>
      </c>
      <c r="R951" s="11" t="s">
        <v>73</v>
      </c>
      <c r="S951" s="11" t="s">
        <v>74</v>
      </c>
      <c r="T951" s="11" t="s">
        <v>3998</v>
      </c>
      <c r="U951" s="10" t="n">
        <f aca="false">IF(AND($D951="",$E951="",$F951=""),1,0)</f>
        <v>0</v>
      </c>
      <c r="V951" s="10" t="n">
        <f aca="false">IF(OR($I951="",$I951="—"),1,0)</f>
        <v>0</v>
      </c>
      <c r="W951" s="10" t="n">
        <f aca="false">IF(AND(ISNUMBER($D951),ISNUMBER($E951)),IF($E951&gt;$D951,1,0),0)+IF(AND(ISNUMBER($D951),ISNUMBER($F951)),IF($D951&gt;$F951,1,0),0)+IF(AND(ISNUMBER($E951),ISNUMBER($F951)),IF($E951&gt;$F951,1,0),0)</f>
        <v>0</v>
      </c>
      <c r="X951" s="13" t="s">
        <v>76</v>
      </c>
    </row>
    <row r="952" customFormat="false" ht="15" hidden="false" customHeight="false" outlineLevel="0" collapsed="false">
      <c r="A952" s="10" t="s">
        <v>3999</v>
      </c>
      <c r="B952" s="10" t="s">
        <v>4000</v>
      </c>
      <c r="C952" s="11" t="s">
        <v>3987</v>
      </c>
      <c r="D952" s="12" t="n">
        <v>21.6511</v>
      </c>
      <c r="E952" s="12"/>
      <c r="F952" s="12"/>
      <c r="G952" s="10" t="s">
        <v>63</v>
      </c>
      <c r="H952" s="10" t="s">
        <v>92</v>
      </c>
      <c r="I952" s="11" t="s">
        <v>3988</v>
      </c>
      <c r="J952" s="10" t="s">
        <v>66</v>
      </c>
      <c r="K952" s="10" t="s">
        <v>67</v>
      </c>
      <c r="L952" s="10" t="s">
        <v>68</v>
      </c>
      <c r="M952" s="10" t="s">
        <v>69</v>
      </c>
      <c r="N952" s="10"/>
      <c r="O952" s="11" t="s">
        <v>3428</v>
      </c>
      <c r="P952" s="10" t="s">
        <v>71</v>
      </c>
      <c r="Q952" s="11" t="s">
        <v>72</v>
      </c>
      <c r="R952" s="11" t="s">
        <v>73</v>
      </c>
      <c r="S952" s="11" t="s">
        <v>74</v>
      </c>
      <c r="T952" s="11" t="s">
        <v>4001</v>
      </c>
      <c r="U952" s="10" t="n">
        <f aca="false">IF(AND($D952="",$E952="",$F952=""),1,0)</f>
        <v>0</v>
      </c>
      <c r="V952" s="10" t="n">
        <f aca="false">IF(OR($I952="",$I952="—"),1,0)</f>
        <v>0</v>
      </c>
      <c r="W952" s="10" t="n">
        <f aca="false">IF(AND(ISNUMBER($D952),ISNUMBER($E952)),IF($E952&gt;$D952,1,0),0)+IF(AND(ISNUMBER($D952),ISNUMBER($F952)),IF($D952&gt;$F952,1,0),0)+IF(AND(ISNUMBER($E952),ISNUMBER($F952)),IF($E952&gt;$F952,1,0),0)</f>
        <v>0</v>
      </c>
      <c r="X952" s="13" t="s">
        <v>76</v>
      </c>
    </row>
    <row r="953" customFormat="false" ht="15" hidden="false" customHeight="false" outlineLevel="0" collapsed="false">
      <c r="A953" s="10" t="s">
        <v>4002</v>
      </c>
      <c r="B953" s="10" t="s">
        <v>4003</v>
      </c>
      <c r="C953" s="11" t="s">
        <v>352</v>
      </c>
      <c r="D953" s="12" t="n">
        <v>-0.6825</v>
      </c>
      <c r="E953" s="12"/>
      <c r="F953" s="12"/>
      <c r="G953" s="10" t="s">
        <v>63</v>
      </c>
      <c r="H953" s="10" t="s">
        <v>64</v>
      </c>
      <c r="I953" s="11" t="s">
        <v>3988</v>
      </c>
      <c r="J953" s="10" t="s">
        <v>66</v>
      </c>
      <c r="K953" s="10" t="s">
        <v>67</v>
      </c>
      <c r="L953" s="10" t="s">
        <v>68</v>
      </c>
      <c r="M953" s="10" t="s">
        <v>69</v>
      </c>
      <c r="N953" s="10"/>
      <c r="O953" s="11" t="s">
        <v>3422</v>
      </c>
      <c r="P953" s="10" t="s">
        <v>71</v>
      </c>
      <c r="Q953" s="11" t="s">
        <v>72</v>
      </c>
      <c r="R953" s="11" t="s">
        <v>73</v>
      </c>
      <c r="S953" s="11" t="s">
        <v>74</v>
      </c>
      <c r="T953" s="11" t="s">
        <v>4004</v>
      </c>
      <c r="U953" s="10" t="n">
        <f aca="false">IF(AND($D953="",$E953="",$F953=""),1,0)</f>
        <v>0</v>
      </c>
      <c r="V953" s="10" t="n">
        <f aca="false">IF(OR($I953="",$I953="—"),1,0)</f>
        <v>0</v>
      </c>
      <c r="W953" s="10" t="n">
        <f aca="false">IF(AND(ISNUMBER($D953),ISNUMBER($E953)),IF($E953&gt;$D953,1,0),0)+IF(AND(ISNUMBER($D953),ISNUMBER($F953)),IF($D953&gt;$F953,1,0),0)+IF(AND(ISNUMBER($E953),ISNUMBER($F953)),IF($E953&gt;$F953,1,0),0)</f>
        <v>0</v>
      </c>
      <c r="X953" s="13" t="s">
        <v>76</v>
      </c>
    </row>
    <row r="954" customFormat="false" ht="15" hidden="false" customHeight="false" outlineLevel="0" collapsed="false">
      <c r="A954" s="10" t="s">
        <v>4005</v>
      </c>
      <c r="B954" s="10" t="s">
        <v>4006</v>
      </c>
      <c r="C954" s="11" t="s">
        <v>352</v>
      </c>
      <c r="D954" s="12" t="n">
        <v>-6.4802</v>
      </c>
      <c r="E954" s="12"/>
      <c r="F954" s="12"/>
      <c r="G954" s="10" t="s">
        <v>63</v>
      </c>
      <c r="H954" s="10" t="s">
        <v>79</v>
      </c>
      <c r="I954" s="11" t="s">
        <v>3988</v>
      </c>
      <c r="J954" s="10" t="s">
        <v>66</v>
      </c>
      <c r="K954" s="10" t="s">
        <v>67</v>
      </c>
      <c r="L954" s="10" t="s">
        <v>68</v>
      </c>
      <c r="M954" s="10" t="s">
        <v>69</v>
      </c>
      <c r="N954" s="10"/>
      <c r="O954" s="11" t="s">
        <v>3422</v>
      </c>
      <c r="P954" s="10" t="s">
        <v>71</v>
      </c>
      <c r="Q954" s="11" t="s">
        <v>72</v>
      </c>
      <c r="R954" s="11" t="s">
        <v>73</v>
      </c>
      <c r="S954" s="11" t="s">
        <v>74</v>
      </c>
      <c r="T954" s="11" t="s">
        <v>4007</v>
      </c>
      <c r="U954" s="10" t="n">
        <f aca="false">IF(AND($D954="",$E954="",$F954=""),1,0)</f>
        <v>0</v>
      </c>
      <c r="V954" s="10" t="n">
        <f aca="false">IF(OR($I954="",$I954="—"),1,0)</f>
        <v>0</v>
      </c>
      <c r="W954" s="10" t="n">
        <f aca="false">IF(AND(ISNUMBER($D954),ISNUMBER($E954)),IF($E954&gt;$D954,1,0),0)+IF(AND(ISNUMBER($D954),ISNUMBER($F954)),IF($D954&gt;$F954,1,0),0)+IF(AND(ISNUMBER($E954),ISNUMBER($F954)),IF($E954&gt;$F954,1,0),0)</f>
        <v>0</v>
      </c>
      <c r="X954" s="13" t="s">
        <v>76</v>
      </c>
    </row>
    <row r="955" customFormat="false" ht="15" hidden="false" customHeight="false" outlineLevel="0" collapsed="false">
      <c r="A955" s="10" t="s">
        <v>4008</v>
      </c>
      <c r="B955" s="10" t="s">
        <v>4009</v>
      </c>
      <c r="C955" s="11" t="s">
        <v>352</v>
      </c>
      <c r="D955" s="12" t="n">
        <v>-22.4492</v>
      </c>
      <c r="E955" s="12"/>
      <c r="F955" s="12"/>
      <c r="G955" s="10" t="s">
        <v>63</v>
      </c>
      <c r="H955" s="10" t="s">
        <v>83</v>
      </c>
      <c r="I955" s="11" t="s">
        <v>3988</v>
      </c>
      <c r="J955" s="10" t="s">
        <v>66</v>
      </c>
      <c r="K955" s="10" t="s">
        <v>67</v>
      </c>
      <c r="L955" s="10" t="s">
        <v>68</v>
      </c>
      <c r="M955" s="10" t="s">
        <v>69</v>
      </c>
      <c r="N955" s="10"/>
      <c r="O955" s="11" t="s">
        <v>3422</v>
      </c>
      <c r="P955" s="10" t="s">
        <v>71</v>
      </c>
      <c r="Q955" s="11" t="s">
        <v>72</v>
      </c>
      <c r="R955" s="11" t="s">
        <v>73</v>
      </c>
      <c r="S955" s="11" t="s">
        <v>74</v>
      </c>
      <c r="T955" s="11" t="s">
        <v>4010</v>
      </c>
      <c r="U955" s="10" t="n">
        <f aca="false">IF(AND($D955="",$E955="",$F955=""),1,0)</f>
        <v>0</v>
      </c>
      <c r="V955" s="10" t="n">
        <f aca="false">IF(OR($I955="",$I955="—"),1,0)</f>
        <v>0</v>
      </c>
      <c r="W955" s="10" t="n">
        <f aca="false">IF(AND(ISNUMBER($D955),ISNUMBER($E955)),IF($E955&gt;$D955,1,0),0)+IF(AND(ISNUMBER($D955),ISNUMBER($F955)),IF($D955&gt;$F955,1,0),0)+IF(AND(ISNUMBER($E955),ISNUMBER($F955)),IF($E955&gt;$F955,1,0),0)</f>
        <v>0</v>
      </c>
      <c r="X955" s="13" t="s">
        <v>76</v>
      </c>
    </row>
    <row r="956" customFormat="false" ht="15" hidden="false" customHeight="false" outlineLevel="0" collapsed="false">
      <c r="A956" s="10" t="s">
        <v>4011</v>
      </c>
      <c r="B956" s="10" t="s">
        <v>4012</v>
      </c>
      <c r="C956" s="11" t="s">
        <v>352</v>
      </c>
      <c r="D956" s="12" t="n">
        <v>-9.9468</v>
      </c>
      <c r="E956" s="12"/>
      <c r="F956" s="12"/>
      <c r="G956" s="10" t="s">
        <v>63</v>
      </c>
      <c r="H956" s="10" t="s">
        <v>87</v>
      </c>
      <c r="I956" s="11" t="s">
        <v>3988</v>
      </c>
      <c r="J956" s="10" t="s">
        <v>66</v>
      </c>
      <c r="K956" s="10" t="s">
        <v>67</v>
      </c>
      <c r="L956" s="10" t="s">
        <v>68</v>
      </c>
      <c r="M956" s="10" t="s">
        <v>69</v>
      </c>
      <c r="N956" s="10"/>
      <c r="O956" s="11" t="s">
        <v>3608</v>
      </c>
      <c r="P956" s="10" t="s">
        <v>71</v>
      </c>
      <c r="Q956" s="11" t="s">
        <v>72</v>
      </c>
      <c r="R956" s="11" t="s">
        <v>73</v>
      </c>
      <c r="S956" s="11" t="s">
        <v>74</v>
      </c>
      <c r="T956" s="11" t="s">
        <v>4013</v>
      </c>
      <c r="U956" s="10" t="n">
        <f aca="false">IF(AND($D956="",$E956="",$F956=""),1,0)</f>
        <v>0</v>
      </c>
      <c r="V956" s="10" t="n">
        <f aca="false">IF(OR($I956="",$I956="—"),1,0)</f>
        <v>0</v>
      </c>
      <c r="W956" s="10" t="n">
        <f aca="false">IF(AND(ISNUMBER($D956),ISNUMBER($E956)),IF($E956&gt;$D956,1,0),0)+IF(AND(ISNUMBER($D956),ISNUMBER($F956)),IF($D956&gt;$F956,1,0),0)+IF(AND(ISNUMBER($E956),ISNUMBER($F956)),IF($E956&gt;$F956,1,0),0)</f>
        <v>0</v>
      </c>
      <c r="X956" s="13" t="s">
        <v>76</v>
      </c>
    </row>
    <row r="957" customFormat="false" ht="15" hidden="false" customHeight="false" outlineLevel="0" collapsed="false">
      <c r="A957" s="10" t="s">
        <v>4014</v>
      </c>
      <c r="B957" s="10" t="s">
        <v>4015</v>
      </c>
      <c r="C957" s="11" t="s">
        <v>352</v>
      </c>
      <c r="D957" s="12" t="n">
        <v>-13.2715</v>
      </c>
      <c r="E957" s="12"/>
      <c r="F957" s="12"/>
      <c r="G957" s="10" t="s">
        <v>63</v>
      </c>
      <c r="H957" s="10" t="s">
        <v>92</v>
      </c>
      <c r="I957" s="11" t="s">
        <v>3988</v>
      </c>
      <c r="J957" s="10" t="s">
        <v>66</v>
      </c>
      <c r="K957" s="10" t="s">
        <v>67</v>
      </c>
      <c r="L957" s="10" t="s">
        <v>68</v>
      </c>
      <c r="M957" s="10" t="s">
        <v>69</v>
      </c>
      <c r="N957" s="10"/>
      <c r="O957" s="11" t="s">
        <v>3428</v>
      </c>
      <c r="P957" s="10" t="s">
        <v>71</v>
      </c>
      <c r="Q957" s="11" t="s">
        <v>72</v>
      </c>
      <c r="R957" s="11" t="s">
        <v>73</v>
      </c>
      <c r="S957" s="11" t="s">
        <v>74</v>
      </c>
      <c r="T957" s="11" t="s">
        <v>4016</v>
      </c>
      <c r="U957" s="10" t="n">
        <f aca="false">IF(AND($D957="",$E957="",$F957=""),1,0)</f>
        <v>0</v>
      </c>
      <c r="V957" s="10" t="n">
        <f aca="false">IF(OR($I957="",$I957="—"),1,0)</f>
        <v>0</v>
      </c>
      <c r="W957" s="10" t="n">
        <f aca="false">IF(AND(ISNUMBER($D957),ISNUMBER($E957)),IF($E957&gt;$D957,1,0),0)+IF(AND(ISNUMBER($D957),ISNUMBER($F957)),IF($D957&gt;$F957,1,0),0)+IF(AND(ISNUMBER($E957),ISNUMBER($F957)),IF($E957&gt;$F957,1,0),0)</f>
        <v>0</v>
      </c>
      <c r="X957" s="13" t="s">
        <v>76</v>
      </c>
    </row>
    <row r="958" customFormat="false" ht="15" hidden="false" customHeight="false" outlineLevel="0" collapsed="false">
      <c r="A958" s="10" t="s">
        <v>4017</v>
      </c>
      <c r="B958" s="10" t="s">
        <v>4018</v>
      </c>
      <c r="C958" s="11" t="s">
        <v>368</v>
      </c>
      <c r="D958" s="12" t="n">
        <v>0.3292</v>
      </c>
      <c r="E958" s="12"/>
      <c r="F958" s="12"/>
      <c r="G958" s="10" t="s">
        <v>63</v>
      </c>
      <c r="H958" s="10" t="s">
        <v>64</v>
      </c>
      <c r="I958" s="11" t="s">
        <v>3988</v>
      </c>
      <c r="J958" s="10" t="s">
        <v>66</v>
      </c>
      <c r="K958" s="10" t="s">
        <v>67</v>
      </c>
      <c r="L958" s="10" t="s">
        <v>68</v>
      </c>
      <c r="M958" s="10" t="s">
        <v>69</v>
      </c>
      <c r="N958" s="10"/>
      <c r="O958" s="11" t="s">
        <v>3422</v>
      </c>
      <c r="P958" s="10" t="s">
        <v>71</v>
      </c>
      <c r="Q958" s="11" t="s">
        <v>72</v>
      </c>
      <c r="R958" s="11" t="s">
        <v>73</v>
      </c>
      <c r="S958" s="11" t="s">
        <v>74</v>
      </c>
      <c r="T958" s="11" t="s">
        <v>4019</v>
      </c>
      <c r="U958" s="10" t="n">
        <f aca="false">IF(AND($D958="",$E958="",$F958=""),1,0)</f>
        <v>0</v>
      </c>
      <c r="V958" s="10" t="n">
        <f aca="false">IF(OR($I958="",$I958="—"),1,0)</f>
        <v>0</v>
      </c>
      <c r="W958" s="10" t="n">
        <f aca="false">IF(AND(ISNUMBER($D958),ISNUMBER($E958)),IF($E958&gt;$D958,1,0),0)+IF(AND(ISNUMBER($D958),ISNUMBER($F958)),IF($D958&gt;$F958,1,0),0)+IF(AND(ISNUMBER($E958),ISNUMBER($F958)),IF($E958&gt;$F958,1,0),0)</f>
        <v>0</v>
      </c>
      <c r="X958" s="13" t="s">
        <v>76</v>
      </c>
    </row>
    <row r="959" customFormat="false" ht="15" hidden="false" customHeight="false" outlineLevel="0" collapsed="false">
      <c r="A959" s="10" t="s">
        <v>4020</v>
      </c>
      <c r="B959" s="10" t="s">
        <v>4021</v>
      </c>
      <c r="C959" s="11" t="s">
        <v>368</v>
      </c>
      <c r="D959" s="12" t="n">
        <v>-7.8496</v>
      </c>
      <c r="E959" s="12"/>
      <c r="F959" s="12"/>
      <c r="G959" s="10" t="s">
        <v>63</v>
      </c>
      <c r="H959" s="10" t="s">
        <v>79</v>
      </c>
      <c r="I959" s="11" t="s">
        <v>3988</v>
      </c>
      <c r="J959" s="10" t="s">
        <v>66</v>
      </c>
      <c r="K959" s="10" t="s">
        <v>67</v>
      </c>
      <c r="L959" s="10" t="s">
        <v>68</v>
      </c>
      <c r="M959" s="10" t="s">
        <v>69</v>
      </c>
      <c r="N959" s="10"/>
      <c r="O959" s="11" t="s">
        <v>3422</v>
      </c>
      <c r="P959" s="10" t="s">
        <v>71</v>
      </c>
      <c r="Q959" s="11" t="s">
        <v>72</v>
      </c>
      <c r="R959" s="11" t="s">
        <v>73</v>
      </c>
      <c r="S959" s="11" t="s">
        <v>74</v>
      </c>
      <c r="T959" s="11" t="s">
        <v>4022</v>
      </c>
      <c r="U959" s="10" t="n">
        <f aca="false">IF(AND($D959="",$E959="",$F959=""),1,0)</f>
        <v>0</v>
      </c>
      <c r="V959" s="10" t="n">
        <f aca="false">IF(OR($I959="",$I959="—"),1,0)</f>
        <v>0</v>
      </c>
      <c r="W959" s="10" t="n">
        <f aca="false">IF(AND(ISNUMBER($D959),ISNUMBER($E959)),IF($E959&gt;$D959,1,0),0)+IF(AND(ISNUMBER($D959),ISNUMBER($F959)),IF($D959&gt;$F959,1,0),0)+IF(AND(ISNUMBER($E959),ISNUMBER($F959)),IF($E959&gt;$F959,1,0),0)</f>
        <v>0</v>
      </c>
      <c r="X959" s="13" t="s">
        <v>76</v>
      </c>
    </row>
    <row r="960" customFormat="false" ht="15" hidden="false" customHeight="false" outlineLevel="0" collapsed="false">
      <c r="A960" s="10" t="s">
        <v>4023</v>
      </c>
      <c r="B960" s="10" t="s">
        <v>4024</v>
      </c>
      <c r="C960" s="11" t="s">
        <v>368</v>
      </c>
      <c r="D960" s="12" t="n">
        <v>-0.4856</v>
      </c>
      <c r="E960" s="12"/>
      <c r="F960" s="12"/>
      <c r="G960" s="10" t="s">
        <v>63</v>
      </c>
      <c r="H960" s="10" t="s">
        <v>83</v>
      </c>
      <c r="I960" s="11" t="s">
        <v>3988</v>
      </c>
      <c r="J960" s="10" t="s">
        <v>66</v>
      </c>
      <c r="K960" s="10" t="s">
        <v>67</v>
      </c>
      <c r="L960" s="10" t="s">
        <v>68</v>
      </c>
      <c r="M960" s="10" t="s">
        <v>69</v>
      </c>
      <c r="N960" s="10"/>
      <c r="O960" s="11" t="s">
        <v>3422</v>
      </c>
      <c r="P960" s="10" t="s">
        <v>71</v>
      </c>
      <c r="Q960" s="11" t="s">
        <v>72</v>
      </c>
      <c r="R960" s="11" t="s">
        <v>73</v>
      </c>
      <c r="S960" s="11" t="s">
        <v>74</v>
      </c>
      <c r="T960" s="11" t="s">
        <v>4025</v>
      </c>
      <c r="U960" s="10" t="n">
        <f aca="false">IF(AND($D960="",$E960="",$F960=""),1,0)</f>
        <v>0</v>
      </c>
      <c r="V960" s="10" t="n">
        <f aca="false">IF(OR($I960="",$I960="—"),1,0)</f>
        <v>0</v>
      </c>
      <c r="W960" s="10" t="n">
        <f aca="false">IF(AND(ISNUMBER($D960),ISNUMBER($E960)),IF($E960&gt;$D960,1,0),0)+IF(AND(ISNUMBER($D960),ISNUMBER($F960)),IF($D960&gt;$F960,1,0),0)+IF(AND(ISNUMBER($E960),ISNUMBER($F960)),IF($E960&gt;$F960,1,0),0)</f>
        <v>0</v>
      </c>
      <c r="X960" s="13" t="s">
        <v>76</v>
      </c>
    </row>
    <row r="961" customFormat="false" ht="15" hidden="false" customHeight="false" outlineLevel="0" collapsed="false">
      <c r="A961" s="10" t="s">
        <v>4026</v>
      </c>
      <c r="B961" s="10" t="s">
        <v>4027</v>
      </c>
      <c r="C961" s="11" t="s">
        <v>368</v>
      </c>
      <c r="D961" s="12" t="n">
        <v>-1.3878</v>
      </c>
      <c r="E961" s="12"/>
      <c r="F961" s="12"/>
      <c r="G961" s="10" t="s">
        <v>63</v>
      </c>
      <c r="H961" s="10" t="s">
        <v>87</v>
      </c>
      <c r="I961" s="11" t="s">
        <v>3988</v>
      </c>
      <c r="J961" s="10" t="s">
        <v>66</v>
      </c>
      <c r="K961" s="10" t="s">
        <v>67</v>
      </c>
      <c r="L961" s="10" t="s">
        <v>68</v>
      </c>
      <c r="M961" s="10" t="s">
        <v>69</v>
      </c>
      <c r="N961" s="10"/>
      <c r="O961" s="11" t="s">
        <v>3608</v>
      </c>
      <c r="P961" s="10" t="s">
        <v>71</v>
      </c>
      <c r="Q961" s="11" t="s">
        <v>72</v>
      </c>
      <c r="R961" s="11" t="s">
        <v>73</v>
      </c>
      <c r="S961" s="11" t="s">
        <v>74</v>
      </c>
      <c r="T961" s="11" t="s">
        <v>4028</v>
      </c>
      <c r="U961" s="10" t="n">
        <f aca="false">IF(AND($D961="",$E961="",$F961=""),1,0)</f>
        <v>0</v>
      </c>
      <c r="V961" s="10" t="n">
        <f aca="false">IF(OR($I961="",$I961="—"),1,0)</f>
        <v>0</v>
      </c>
      <c r="W961" s="10" t="n">
        <f aca="false">IF(AND(ISNUMBER($D961),ISNUMBER($E961)),IF($E961&gt;$D961,1,0),0)+IF(AND(ISNUMBER($D961),ISNUMBER($F961)),IF($D961&gt;$F961,1,0),0)+IF(AND(ISNUMBER($E961),ISNUMBER($F961)),IF($E961&gt;$F961,1,0),0)</f>
        <v>0</v>
      </c>
      <c r="X961" s="13" t="s">
        <v>76</v>
      </c>
    </row>
    <row r="962" customFormat="false" ht="15" hidden="false" customHeight="false" outlineLevel="0" collapsed="false">
      <c r="A962" s="10" t="s">
        <v>4029</v>
      </c>
      <c r="B962" s="10" t="s">
        <v>4030</v>
      </c>
      <c r="C962" s="11" t="s">
        <v>368</v>
      </c>
      <c r="D962" s="12" t="n">
        <v>-5.5637</v>
      </c>
      <c r="E962" s="12"/>
      <c r="F962" s="12"/>
      <c r="G962" s="10" t="s">
        <v>63</v>
      </c>
      <c r="H962" s="10" t="s">
        <v>92</v>
      </c>
      <c r="I962" s="11" t="s">
        <v>3988</v>
      </c>
      <c r="J962" s="10" t="s">
        <v>66</v>
      </c>
      <c r="K962" s="10" t="s">
        <v>67</v>
      </c>
      <c r="L962" s="10" t="s">
        <v>68</v>
      </c>
      <c r="M962" s="10" t="s">
        <v>69</v>
      </c>
      <c r="N962" s="10"/>
      <c r="O962" s="11" t="s">
        <v>3428</v>
      </c>
      <c r="P962" s="10" t="s">
        <v>71</v>
      </c>
      <c r="Q962" s="11" t="s">
        <v>72</v>
      </c>
      <c r="R962" s="11" t="s">
        <v>73</v>
      </c>
      <c r="S962" s="11" t="s">
        <v>74</v>
      </c>
      <c r="T962" s="11" t="s">
        <v>4031</v>
      </c>
      <c r="U962" s="10" t="n">
        <f aca="false">IF(AND($D962="",$E962="",$F962=""),1,0)</f>
        <v>0</v>
      </c>
      <c r="V962" s="10" t="n">
        <f aca="false">IF(OR($I962="",$I962="—"),1,0)</f>
        <v>0</v>
      </c>
      <c r="W962" s="10" t="n">
        <f aca="false">IF(AND(ISNUMBER($D962),ISNUMBER($E962)),IF($E962&gt;$D962,1,0),0)+IF(AND(ISNUMBER($D962),ISNUMBER($F962)),IF($D962&gt;$F962,1,0),0)+IF(AND(ISNUMBER($E962),ISNUMBER($F962)),IF($E962&gt;$F962,1,0),0)</f>
        <v>0</v>
      </c>
      <c r="X962" s="13" t="s">
        <v>76</v>
      </c>
    </row>
    <row r="963" customFormat="false" ht="15" hidden="false" customHeight="false" outlineLevel="0" collapsed="false">
      <c r="A963" s="10" t="s">
        <v>4032</v>
      </c>
      <c r="B963" s="10" t="s">
        <v>4033</v>
      </c>
      <c r="C963" s="11" t="s">
        <v>384</v>
      </c>
      <c r="D963" s="12" t="n">
        <v>2.1893</v>
      </c>
      <c r="E963" s="12"/>
      <c r="F963" s="12"/>
      <c r="G963" s="10" t="s">
        <v>63</v>
      </c>
      <c r="H963" s="10" t="s">
        <v>64</v>
      </c>
      <c r="I963" s="11" t="s">
        <v>3988</v>
      </c>
      <c r="J963" s="10" t="s">
        <v>66</v>
      </c>
      <c r="K963" s="10" t="s">
        <v>67</v>
      </c>
      <c r="L963" s="10" t="s">
        <v>68</v>
      </c>
      <c r="M963" s="10" t="s">
        <v>69</v>
      </c>
      <c r="N963" s="10"/>
      <c r="O963" s="11" t="s">
        <v>3422</v>
      </c>
      <c r="P963" s="10" t="s">
        <v>71</v>
      </c>
      <c r="Q963" s="11" t="s">
        <v>72</v>
      </c>
      <c r="R963" s="11" t="s">
        <v>73</v>
      </c>
      <c r="S963" s="11" t="s">
        <v>74</v>
      </c>
      <c r="T963" s="11" t="s">
        <v>4034</v>
      </c>
      <c r="U963" s="10" t="n">
        <f aca="false">IF(AND($D963="",$E963="",$F963=""),1,0)</f>
        <v>0</v>
      </c>
      <c r="V963" s="10" t="n">
        <f aca="false">IF(OR($I963="",$I963="—"),1,0)</f>
        <v>0</v>
      </c>
      <c r="W963" s="10" t="n">
        <f aca="false">IF(AND(ISNUMBER($D963),ISNUMBER($E963)),IF($E963&gt;$D963,1,0),0)+IF(AND(ISNUMBER($D963),ISNUMBER($F963)),IF($D963&gt;$F963,1,0),0)+IF(AND(ISNUMBER($E963),ISNUMBER($F963)),IF($E963&gt;$F963,1,0),0)</f>
        <v>0</v>
      </c>
      <c r="X963" s="13" t="s">
        <v>76</v>
      </c>
    </row>
    <row r="964" customFormat="false" ht="15" hidden="false" customHeight="false" outlineLevel="0" collapsed="false">
      <c r="A964" s="10" t="s">
        <v>4035</v>
      </c>
      <c r="B964" s="10" t="s">
        <v>4036</v>
      </c>
      <c r="C964" s="11" t="s">
        <v>384</v>
      </c>
      <c r="D964" s="12" t="n">
        <v>12.4917</v>
      </c>
      <c r="E964" s="12"/>
      <c r="F964" s="12"/>
      <c r="G964" s="10" t="s">
        <v>63</v>
      </c>
      <c r="H964" s="10" t="s">
        <v>79</v>
      </c>
      <c r="I964" s="11" t="s">
        <v>3988</v>
      </c>
      <c r="J964" s="10" t="s">
        <v>66</v>
      </c>
      <c r="K964" s="10" t="s">
        <v>67</v>
      </c>
      <c r="L964" s="10" t="s">
        <v>68</v>
      </c>
      <c r="M964" s="10" t="s">
        <v>69</v>
      </c>
      <c r="N964" s="10"/>
      <c r="O964" s="11" t="s">
        <v>3422</v>
      </c>
      <c r="P964" s="10" t="s">
        <v>71</v>
      </c>
      <c r="Q964" s="11" t="s">
        <v>72</v>
      </c>
      <c r="R964" s="11" t="s">
        <v>73</v>
      </c>
      <c r="S964" s="11" t="s">
        <v>74</v>
      </c>
      <c r="T964" s="11" t="s">
        <v>4037</v>
      </c>
      <c r="U964" s="10" t="n">
        <f aca="false">IF(AND($D964="",$E964="",$F964=""),1,0)</f>
        <v>0</v>
      </c>
      <c r="V964" s="10" t="n">
        <f aca="false">IF(OR($I964="",$I964="—"),1,0)</f>
        <v>0</v>
      </c>
      <c r="W964" s="10" t="n">
        <f aca="false">IF(AND(ISNUMBER($D964),ISNUMBER($E964)),IF($E964&gt;$D964,1,0),0)+IF(AND(ISNUMBER($D964),ISNUMBER($F964)),IF($D964&gt;$F964,1,0),0)+IF(AND(ISNUMBER($E964),ISNUMBER($F964)),IF($E964&gt;$F964,1,0),0)</f>
        <v>0</v>
      </c>
      <c r="X964" s="13" t="s">
        <v>76</v>
      </c>
    </row>
    <row r="965" customFormat="false" ht="15" hidden="false" customHeight="false" outlineLevel="0" collapsed="false">
      <c r="A965" s="10" t="s">
        <v>4038</v>
      </c>
      <c r="B965" s="10" t="s">
        <v>4039</v>
      </c>
      <c r="C965" s="11" t="s">
        <v>384</v>
      </c>
      <c r="D965" s="12" t="n">
        <v>22.6816</v>
      </c>
      <c r="E965" s="12"/>
      <c r="F965" s="12"/>
      <c r="G965" s="10" t="s">
        <v>63</v>
      </c>
      <c r="H965" s="10" t="s">
        <v>83</v>
      </c>
      <c r="I965" s="11" t="s">
        <v>3988</v>
      </c>
      <c r="J965" s="10" t="s">
        <v>66</v>
      </c>
      <c r="K965" s="10" t="s">
        <v>67</v>
      </c>
      <c r="L965" s="10" t="s">
        <v>68</v>
      </c>
      <c r="M965" s="10" t="s">
        <v>69</v>
      </c>
      <c r="N965" s="10"/>
      <c r="O965" s="11" t="s">
        <v>3422</v>
      </c>
      <c r="P965" s="10" t="s">
        <v>71</v>
      </c>
      <c r="Q965" s="11" t="s">
        <v>72</v>
      </c>
      <c r="R965" s="11" t="s">
        <v>73</v>
      </c>
      <c r="S965" s="11" t="s">
        <v>74</v>
      </c>
      <c r="T965" s="11" t="s">
        <v>4040</v>
      </c>
      <c r="U965" s="10" t="n">
        <f aca="false">IF(AND($D965="",$E965="",$F965=""),1,0)</f>
        <v>0</v>
      </c>
      <c r="V965" s="10" t="n">
        <f aca="false">IF(OR($I965="",$I965="—"),1,0)</f>
        <v>0</v>
      </c>
      <c r="W965" s="10" t="n">
        <f aca="false">IF(AND(ISNUMBER($D965),ISNUMBER($E965)),IF($E965&gt;$D965,1,0),0)+IF(AND(ISNUMBER($D965),ISNUMBER($F965)),IF($D965&gt;$F965,1,0),0)+IF(AND(ISNUMBER($E965),ISNUMBER($F965)),IF($E965&gt;$F965,1,0),0)</f>
        <v>0</v>
      </c>
      <c r="X965" s="13" t="s">
        <v>76</v>
      </c>
    </row>
    <row r="966" customFormat="false" ht="15" hidden="false" customHeight="false" outlineLevel="0" collapsed="false">
      <c r="A966" s="10" t="s">
        <v>4041</v>
      </c>
      <c r="B966" s="10" t="s">
        <v>4042</v>
      </c>
      <c r="C966" s="11" t="s">
        <v>384</v>
      </c>
      <c r="D966" s="12" t="n">
        <v>9.3207</v>
      </c>
      <c r="E966" s="12"/>
      <c r="F966" s="12"/>
      <c r="G966" s="10" t="s">
        <v>63</v>
      </c>
      <c r="H966" s="10" t="s">
        <v>87</v>
      </c>
      <c r="I966" s="11" t="s">
        <v>3988</v>
      </c>
      <c r="J966" s="10" t="s">
        <v>66</v>
      </c>
      <c r="K966" s="10" t="s">
        <v>67</v>
      </c>
      <c r="L966" s="10" t="s">
        <v>68</v>
      </c>
      <c r="M966" s="10" t="s">
        <v>69</v>
      </c>
      <c r="N966" s="10"/>
      <c r="O966" s="11" t="s">
        <v>3608</v>
      </c>
      <c r="P966" s="10" t="s">
        <v>71</v>
      </c>
      <c r="Q966" s="11" t="s">
        <v>72</v>
      </c>
      <c r="R966" s="11" t="s">
        <v>73</v>
      </c>
      <c r="S966" s="11" t="s">
        <v>74</v>
      </c>
      <c r="T966" s="11" t="s">
        <v>4043</v>
      </c>
      <c r="U966" s="10" t="n">
        <f aca="false">IF(AND($D966="",$E966="",$F966=""),1,0)</f>
        <v>0</v>
      </c>
      <c r="V966" s="10" t="n">
        <f aca="false">IF(OR($I966="",$I966="—"),1,0)</f>
        <v>0</v>
      </c>
      <c r="W966" s="10" t="n">
        <f aca="false">IF(AND(ISNUMBER($D966),ISNUMBER($E966)),IF($E966&gt;$D966,1,0),0)+IF(AND(ISNUMBER($D966),ISNUMBER($F966)),IF($D966&gt;$F966,1,0),0)+IF(AND(ISNUMBER($E966),ISNUMBER($F966)),IF($E966&gt;$F966,1,0),0)</f>
        <v>0</v>
      </c>
      <c r="X966" s="13" t="s">
        <v>76</v>
      </c>
    </row>
    <row r="967" customFormat="false" ht="15" hidden="false" customHeight="false" outlineLevel="0" collapsed="false">
      <c r="A967" s="10" t="s">
        <v>4044</v>
      </c>
      <c r="B967" s="10" t="s">
        <v>4045</v>
      </c>
      <c r="C967" s="11" t="s">
        <v>384</v>
      </c>
      <c r="D967" s="12" t="n">
        <v>25.5197</v>
      </c>
      <c r="E967" s="12"/>
      <c r="F967" s="12"/>
      <c r="G967" s="10" t="s">
        <v>63</v>
      </c>
      <c r="H967" s="10" t="s">
        <v>92</v>
      </c>
      <c r="I967" s="11" t="s">
        <v>3988</v>
      </c>
      <c r="J967" s="10" t="s">
        <v>66</v>
      </c>
      <c r="K967" s="10" t="s">
        <v>67</v>
      </c>
      <c r="L967" s="10" t="s">
        <v>68</v>
      </c>
      <c r="M967" s="10" t="s">
        <v>69</v>
      </c>
      <c r="N967" s="10"/>
      <c r="O967" s="11" t="s">
        <v>3428</v>
      </c>
      <c r="P967" s="10" t="s">
        <v>71</v>
      </c>
      <c r="Q967" s="11" t="s">
        <v>72</v>
      </c>
      <c r="R967" s="11" t="s">
        <v>73</v>
      </c>
      <c r="S967" s="11" t="s">
        <v>74</v>
      </c>
      <c r="T967" s="11" t="s">
        <v>4046</v>
      </c>
      <c r="U967" s="10" t="n">
        <f aca="false">IF(AND($D967="",$E967="",$F967=""),1,0)</f>
        <v>0</v>
      </c>
      <c r="V967" s="10" t="n">
        <f aca="false">IF(OR($I967="",$I967="—"),1,0)</f>
        <v>0</v>
      </c>
      <c r="W967" s="10" t="n">
        <f aca="false">IF(AND(ISNUMBER($D967),ISNUMBER($E967)),IF($E967&gt;$D967,1,0),0)+IF(AND(ISNUMBER($D967),ISNUMBER($F967)),IF($D967&gt;$F967,1,0),0)+IF(AND(ISNUMBER($E967),ISNUMBER($F967)),IF($E967&gt;$F967,1,0),0)</f>
        <v>0</v>
      </c>
      <c r="X967" s="13" t="s">
        <v>76</v>
      </c>
    </row>
    <row r="968" customFormat="false" ht="15" hidden="false" customHeight="false" outlineLevel="0" collapsed="false">
      <c r="A968" s="10" t="s">
        <v>4047</v>
      </c>
      <c r="B968" s="10" t="s">
        <v>4048</v>
      </c>
      <c r="C968" s="11" t="s">
        <v>4049</v>
      </c>
      <c r="D968" s="12" t="n">
        <v>2.08</v>
      </c>
      <c r="E968" s="12"/>
      <c r="F968" s="12"/>
      <c r="G968" s="10" t="s">
        <v>63</v>
      </c>
      <c r="H968" s="10" t="s">
        <v>64</v>
      </c>
      <c r="I968" s="11" t="s">
        <v>3616</v>
      </c>
      <c r="J968" s="10" t="s">
        <v>66</v>
      </c>
      <c r="K968" s="10" t="s">
        <v>67</v>
      </c>
      <c r="L968" s="10" t="s">
        <v>68</v>
      </c>
      <c r="M968" s="10" t="s">
        <v>69</v>
      </c>
      <c r="N968" s="10"/>
      <c r="O968" s="11" t="s">
        <v>3422</v>
      </c>
      <c r="P968" s="10" t="s">
        <v>71</v>
      </c>
      <c r="Q968" s="11" t="s">
        <v>72</v>
      </c>
      <c r="R968" s="11" t="s">
        <v>73</v>
      </c>
      <c r="S968" s="11" t="s">
        <v>74</v>
      </c>
      <c r="T968" s="11" t="s">
        <v>4050</v>
      </c>
      <c r="U968" s="10" t="n">
        <f aca="false">IF(AND($D968="",$E968="",$F968=""),1,0)</f>
        <v>0</v>
      </c>
      <c r="V968" s="10" t="n">
        <f aca="false">IF(OR($I968="",$I968="—"),1,0)</f>
        <v>0</v>
      </c>
      <c r="W968" s="10" t="n">
        <f aca="false">IF(AND(ISNUMBER($D968),ISNUMBER($E968)),IF($E968&gt;$D968,1,0),0)+IF(AND(ISNUMBER($D968),ISNUMBER($F968)),IF($D968&gt;$F968,1,0),0)+IF(AND(ISNUMBER($E968),ISNUMBER($F968)),IF($E968&gt;$F968,1,0),0)</f>
        <v>0</v>
      </c>
      <c r="X968" s="13" t="s">
        <v>76</v>
      </c>
    </row>
    <row r="969" customFormat="false" ht="15" hidden="false" customHeight="false" outlineLevel="0" collapsed="false">
      <c r="A969" s="10" t="s">
        <v>4051</v>
      </c>
      <c r="B969" s="10" t="s">
        <v>4052</v>
      </c>
      <c r="C969" s="11" t="s">
        <v>4049</v>
      </c>
      <c r="D969" s="12" t="n">
        <v>24.1904</v>
      </c>
      <c r="E969" s="12"/>
      <c r="F969" s="12"/>
      <c r="G969" s="10" t="s">
        <v>63</v>
      </c>
      <c r="H969" s="10" t="s">
        <v>79</v>
      </c>
      <c r="I969" s="11" t="s">
        <v>3616</v>
      </c>
      <c r="J969" s="10" t="s">
        <v>66</v>
      </c>
      <c r="K969" s="10" t="s">
        <v>67</v>
      </c>
      <c r="L969" s="10" t="s">
        <v>68</v>
      </c>
      <c r="M969" s="10" t="s">
        <v>69</v>
      </c>
      <c r="N969" s="10"/>
      <c r="O969" s="11" t="s">
        <v>3422</v>
      </c>
      <c r="P969" s="10" t="s">
        <v>71</v>
      </c>
      <c r="Q969" s="11" t="s">
        <v>72</v>
      </c>
      <c r="R969" s="11" t="s">
        <v>73</v>
      </c>
      <c r="S969" s="11" t="s">
        <v>74</v>
      </c>
      <c r="T969" s="11" t="s">
        <v>4053</v>
      </c>
      <c r="U969" s="10" t="n">
        <f aca="false">IF(AND($D969="",$E969="",$F969=""),1,0)</f>
        <v>0</v>
      </c>
      <c r="V969" s="10" t="n">
        <f aca="false">IF(OR($I969="",$I969="—"),1,0)</f>
        <v>0</v>
      </c>
      <c r="W969" s="10" t="n">
        <f aca="false">IF(AND(ISNUMBER($D969),ISNUMBER($E969)),IF($E969&gt;$D969,1,0),0)+IF(AND(ISNUMBER($D969),ISNUMBER($F969)),IF($D969&gt;$F969,1,0),0)+IF(AND(ISNUMBER($E969),ISNUMBER($F969)),IF($E969&gt;$F969,1,0),0)</f>
        <v>0</v>
      </c>
      <c r="X969" s="13" t="s">
        <v>76</v>
      </c>
    </row>
    <row r="970" customFormat="false" ht="15" hidden="false" customHeight="false" outlineLevel="0" collapsed="false">
      <c r="A970" s="10" t="s">
        <v>4054</v>
      </c>
      <c r="B970" s="10" t="s">
        <v>4055</v>
      </c>
      <c r="C970" s="11" t="s">
        <v>4049</v>
      </c>
      <c r="D970" s="12" t="n">
        <v>30.1959</v>
      </c>
      <c r="E970" s="12"/>
      <c r="F970" s="12"/>
      <c r="G970" s="10" t="s">
        <v>63</v>
      </c>
      <c r="H970" s="10" t="s">
        <v>83</v>
      </c>
      <c r="I970" s="11" t="s">
        <v>3616</v>
      </c>
      <c r="J970" s="10" t="s">
        <v>66</v>
      </c>
      <c r="K970" s="10" t="s">
        <v>67</v>
      </c>
      <c r="L970" s="10" t="s">
        <v>68</v>
      </c>
      <c r="M970" s="10" t="s">
        <v>69</v>
      </c>
      <c r="N970" s="10"/>
      <c r="O970" s="11" t="s">
        <v>3422</v>
      </c>
      <c r="P970" s="10" t="s">
        <v>71</v>
      </c>
      <c r="Q970" s="11" t="s">
        <v>72</v>
      </c>
      <c r="R970" s="11" t="s">
        <v>73</v>
      </c>
      <c r="S970" s="11" t="s">
        <v>74</v>
      </c>
      <c r="T970" s="11" t="s">
        <v>4056</v>
      </c>
      <c r="U970" s="10" t="n">
        <f aca="false">IF(AND($D970="",$E970="",$F970=""),1,0)</f>
        <v>0</v>
      </c>
      <c r="V970" s="10" t="n">
        <f aca="false">IF(OR($I970="",$I970="—"),1,0)</f>
        <v>0</v>
      </c>
      <c r="W970" s="10" t="n">
        <f aca="false">IF(AND(ISNUMBER($D970),ISNUMBER($E970)),IF($E970&gt;$D970,1,0),0)+IF(AND(ISNUMBER($D970),ISNUMBER($F970)),IF($D970&gt;$F970,1,0),0)+IF(AND(ISNUMBER($E970),ISNUMBER($F970)),IF($E970&gt;$F970,1,0),0)</f>
        <v>0</v>
      </c>
      <c r="X970" s="13" t="s">
        <v>76</v>
      </c>
    </row>
    <row r="971" customFormat="false" ht="15" hidden="false" customHeight="false" outlineLevel="0" collapsed="false">
      <c r="A971" s="10" t="s">
        <v>4057</v>
      </c>
      <c r="B971" s="10" t="s">
        <v>4058</v>
      </c>
      <c r="C971" s="11" t="s">
        <v>4049</v>
      </c>
      <c r="D971" s="12" t="n">
        <v>8.9319</v>
      </c>
      <c r="E971" s="12"/>
      <c r="F971" s="12"/>
      <c r="G971" s="10" t="s">
        <v>63</v>
      </c>
      <c r="H971" s="10" t="s">
        <v>87</v>
      </c>
      <c r="I971" s="11" t="s">
        <v>3616</v>
      </c>
      <c r="J971" s="10" t="s">
        <v>66</v>
      </c>
      <c r="K971" s="10" t="s">
        <v>67</v>
      </c>
      <c r="L971" s="10" t="s">
        <v>68</v>
      </c>
      <c r="M971" s="10" t="s">
        <v>69</v>
      </c>
      <c r="N971" s="10"/>
      <c r="O971" s="11" t="s">
        <v>3608</v>
      </c>
      <c r="P971" s="10" t="s">
        <v>71</v>
      </c>
      <c r="Q971" s="11" t="s">
        <v>72</v>
      </c>
      <c r="R971" s="11" t="s">
        <v>73</v>
      </c>
      <c r="S971" s="11" t="s">
        <v>74</v>
      </c>
      <c r="T971" s="11" t="s">
        <v>4059</v>
      </c>
      <c r="U971" s="10" t="n">
        <f aca="false">IF(AND($D971="",$E971="",$F971=""),1,0)</f>
        <v>0</v>
      </c>
      <c r="V971" s="10" t="n">
        <f aca="false">IF(OR($I971="",$I971="—"),1,0)</f>
        <v>0</v>
      </c>
      <c r="W971" s="10" t="n">
        <f aca="false">IF(AND(ISNUMBER($D971),ISNUMBER($E971)),IF($E971&gt;$D971,1,0),0)+IF(AND(ISNUMBER($D971),ISNUMBER($F971)),IF($D971&gt;$F971,1,0),0)+IF(AND(ISNUMBER($E971),ISNUMBER($F971)),IF($E971&gt;$F971,1,0),0)</f>
        <v>0</v>
      </c>
      <c r="X971" s="13" t="s">
        <v>76</v>
      </c>
    </row>
    <row r="972" customFormat="false" ht="15" hidden="false" customHeight="false" outlineLevel="0" collapsed="false">
      <c r="A972" s="10" t="s">
        <v>4060</v>
      </c>
      <c r="B972" s="10" t="s">
        <v>4061</v>
      </c>
      <c r="C972" s="11" t="s">
        <v>4049</v>
      </c>
      <c r="D972" s="12" t="n">
        <v>16.25</v>
      </c>
      <c r="E972" s="12"/>
      <c r="F972" s="12"/>
      <c r="G972" s="10" t="s">
        <v>63</v>
      </c>
      <c r="H972" s="10" t="s">
        <v>92</v>
      </c>
      <c r="I972" s="11" t="s">
        <v>3616</v>
      </c>
      <c r="J972" s="10" t="s">
        <v>66</v>
      </c>
      <c r="K972" s="10" t="s">
        <v>67</v>
      </c>
      <c r="L972" s="10" t="s">
        <v>68</v>
      </c>
      <c r="M972" s="10" t="s">
        <v>69</v>
      </c>
      <c r="N972" s="10"/>
      <c r="O972" s="11" t="s">
        <v>3428</v>
      </c>
      <c r="P972" s="10" t="s">
        <v>71</v>
      </c>
      <c r="Q972" s="11" t="s">
        <v>72</v>
      </c>
      <c r="R972" s="11" t="s">
        <v>73</v>
      </c>
      <c r="S972" s="11" t="s">
        <v>74</v>
      </c>
      <c r="T972" s="11" t="s">
        <v>4062</v>
      </c>
      <c r="U972" s="10" t="n">
        <f aca="false">IF(AND($D972="",$E972="",$F972=""),1,0)</f>
        <v>0</v>
      </c>
      <c r="V972" s="10" t="n">
        <f aca="false">IF(OR($I972="",$I972="—"),1,0)</f>
        <v>0</v>
      </c>
      <c r="W972" s="10" t="n">
        <f aca="false">IF(AND(ISNUMBER($D972),ISNUMBER($E972)),IF($E972&gt;$D972,1,0),0)+IF(AND(ISNUMBER($D972),ISNUMBER($F972)),IF($D972&gt;$F972,1,0),0)+IF(AND(ISNUMBER($E972),ISNUMBER($F972)),IF($E972&gt;$F972,1,0),0)</f>
        <v>0</v>
      </c>
      <c r="X972" s="13" t="s">
        <v>76</v>
      </c>
    </row>
    <row r="973" customFormat="false" ht="15" hidden="false" customHeight="false" outlineLevel="0" collapsed="false">
      <c r="A973" s="10" t="s">
        <v>4063</v>
      </c>
      <c r="B973" s="10" t="s">
        <v>4064</v>
      </c>
      <c r="C973" s="11" t="s">
        <v>4065</v>
      </c>
      <c r="D973" s="12" t="n">
        <v>0</v>
      </c>
      <c r="E973" s="12"/>
      <c r="F973" s="12"/>
      <c r="G973" s="10" t="s">
        <v>63</v>
      </c>
      <c r="H973" s="10" t="s">
        <v>64</v>
      </c>
      <c r="I973" s="11" t="s">
        <v>3616</v>
      </c>
      <c r="J973" s="10" t="s">
        <v>66</v>
      </c>
      <c r="K973" s="10" t="s">
        <v>67</v>
      </c>
      <c r="L973" s="10" t="s">
        <v>68</v>
      </c>
      <c r="M973" s="10" t="s">
        <v>69</v>
      </c>
      <c r="N973" s="10"/>
      <c r="O973" s="11" t="s">
        <v>3422</v>
      </c>
      <c r="P973" s="10" t="s">
        <v>71</v>
      </c>
      <c r="Q973" s="11" t="s">
        <v>72</v>
      </c>
      <c r="R973" s="11" t="s">
        <v>73</v>
      </c>
      <c r="S973" s="11" t="s">
        <v>74</v>
      </c>
      <c r="T973" s="11" t="s">
        <v>4066</v>
      </c>
      <c r="U973" s="10" t="n">
        <f aca="false">IF(AND($D973="",$E973="",$F973=""),1,0)</f>
        <v>0</v>
      </c>
      <c r="V973" s="10" t="n">
        <f aca="false">IF(OR($I973="",$I973="—"),1,0)</f>
        <v>0</v>
      </c>
      <c r="W973" s="10" t="n">
        <f aca="false">IF(AND(ISNUMBER($D973),ISNUMBER($E973)),IF($E973&gt;$D973,1,0),0)+IF(AND(ISNUMBER($D973),ISNUMBER($F973)),IF($D973&gt;$F973,1,0),0)+IF(AND(ISNUMBER($E973),ISNUMBER($F973)),IF($E973&gt;$F973,1,0),0)</f>
        <v>0</v>
      </c>
      <c r="X973" s="13" t="s">
        <v>76</v>
      </c>
    </row>
    <row r="974" customFormat="false" ht="15" hidden="false" customHeight="false" outlineLevel="0" collapsed="false">
      <c r="A974" s="10" t="s">
        <v>4067</v>
      </c>
      <c r="B974" s="10" t="s">
        <v>4068</v>
      </c>
      <c r="C974" s="11" t="s">
        <v>4065</v>
      </c>
      <c r="D974" s="12" t="n">
        <v>0</v>
      </c>
      <c r="E974" s="12"/>
      <c r="F974" s="12"/>
      <c r="G974" s="10" t="s">
        <v>63</v>
      </c>
      <c r="H974" s="10" t="s">
        <v>79</v>
      </c>
      <c r="I974" s="11" t="s">
        <v>3616</v>
      </c>
      <c r="J974" s="10" t="s">
        <v>66</v>
      </c>
      <c r="K974" s="10" t="s">
        <v>67</v>
      </c>
      <c r="L974" s="10" t="s">
        <v>68</v>
      </c>
      <c r="M974" s="10" t="s">
        <v>69</v>
      </c>
      <c r="N974" s="10"/>
      <c r="O974" s="11" t="s">
        <v>3422</v>
      </c>
      <c r="P974" s="10" t="s">
        <v>71</v>
      </c>
      <c r="Q974" s="11" t="s">
        <v>72</v>
      </c>
      <c r="R974" s="11" t="s">
        <v>73</v>
      </c>
      <c r="S974" s="11" t="s">
        <v>74</v>
      </c>
      <c r="T974" s="11" t="s">
        <v>4066</v>
      </c>
      <c r="U974" s="10" t="n">
        <f aca="false">IF(AND($D974="",$E974="",$F974=""),1,0)</f>
        <v>0</v>
      </c>
      <c r="V974" s="10" t="n">
        <f aca="false">IF(OR($I974="",$I974="—"),1,0)</f>
        <v>0</v>
      </c>
      <c r="W974" s="10" t="n">
        <f aca="false">IF(AND(ISNUMBER($D974),ISNUMBER($E974)),IF($E974&gt;$D974,1,0),0)+IF(AND(ISNUMBER($D974),ISNUMBER($F974)),IF($D974&gt;$F974,1,0),0)+IF(AND(ISNUMBER($E974),ISNUMBER($F974)),IF($E974&gt;$F974,1,0),0)</f>
        <v>0</v>
      </c>
      <c r="X974" s="13" t="s">
        <v>76</v>
      </c>
    </row>
    <row r="975" customFormat="false" ht="15" hidden="false" customHeight="false" outlineLevel="0" collapsed="false">
      <c r="A975" s="10" t="s">
        <v>4069</v>
      </c>
      <c r="B975" s="10" t="s">
        <v>4070</v>
      </c>
      <c r="C975" s="11" t="s">
        <v>4065</v>
      </c>
      <c r="D975" s="12" t="n">
        <v>1.3</v>
      </c>
      <c r="E975" s="12"/>
      <c r="F975" s="12"/>
      <c r="G975" s="10" t="s">
        <v>63</v>
      </c>
      <c r="H975" s="10" t="s">
        <v>83</v>
      </c>
      <c r="I975" s="11" t="s">
        <v>3616</v>
      </c>
      <c r="J975" s="10" t="s">
        <v>66</v>
      </c>
      <c r="K975" s="10" t="s">
        <v>67</v>
      </c>
      <c r="L975" s="10" t="s">
        <v>68</v>
      </c>
      <c r="M975" s="10" t="s">
        <v>69</v>
      </c>
      <c r="N975" s="10"/>
      <c r="O975" s="11" t="s">
        <v>3422</v>
      </c>
      <c r="P975" s="10" t="s">
        <v>71</v>
      </c>
      <c r="Q975" s="11" t="s">
        <v>72</v>
      </c>
      <c r="R975" s="11" t="s">
        <v>73</v>
      </c>
      <c r="S975" s="11" t="s">
        <v>74</v>
      </c>
      <c r="T975" s="11" t="s">
        <v>4071</v>
      </c>
      <c r="U975" s="10" t="n">
        <f aca="false">IF(AND($D975="",$E975="",$F975=""),1,0)</f>
        <v>0</v>
      </c>
      <c r="V975" s="10" t="n">
        <f aca="false">IF(OR($I975="",$I975="—"),1,0)</f>
        <v>0</v>
      </c>
      <c r="W975" s="10" t="n">
        <f aca="false">IF(AND(ISNUMBER($D975),ISNUMBER($E975)),IF($E975&gt;$D975,1,0),0)+IF(AND(ISNUMBER($D975),ISNUMBER($F975)),IF($D975&gt;$F975,1,0),0)+IF(AND(ISNUMBER($E975),ISNUMBER($F975)),IF($E975&gt;$F975,1,0),0)</f>
        <v>0</v>
      </c>
      <c r="X975" s="13" t="s">
        <v>76</v>
      </c>
    </row>
    <row r="976" customFormat="false" ht="15" hidden="false" customHeight="false" outlineLevel="0" collapsed="false">
      <c r="A976" s="10" t="s">
        <v>4072</v>
      </c>
      <c r="B976" s="10" t="s">
        <v>4073</v>
      </c>
      <c r="C976" s="11" t="s">
        <v>4065</v>
      </c>
      <c r="D976" s="12" t="n">
        <v>0</v>
      </c>
      <c r="E976" s="12"/>
      <c r="F976" s="12"/>
      <c r="G976" s="10" t="s">
        <v>63</v>
      </c>
      <c r="H976" s="10" t="s">
        <v>87</v>
      </c>
      <c r="I976" s="11" t="s">
        <v>3616</v>
      </c>
      <c r="J976" s="10" t="s">
        <v>66</v>
      </c>
      <c r="K976" s="10" t="s">
        <v>67</v>
      </c>
      <c r="L976" s="10" t="s">
        <v>68</v>
      </c>
      <c r="M976" s="10" t="s">
        <v>69</v>
      </c>
      <c r="N976" s="10"/>
      <c r="O976" s="11" t="s">
        <v>3608</v>
      </c>
      <c r="P976" s="10" t="s">
        <v>71</v>
      </c>
      <c r="Q976" s="11" t="s">
        <v>72</v>
      </c>
      <c r="R976" s="11" t="s">
        <v>73</v>
      </c>
      <c r="S976" s="11" t="s">
        <v>74</v>
      </c>
      <c r="T976" s="11" t="s">
        <v>4066</v>
      </c>
      <c r="U976" s="10" t="n">
        <f aca="false">IF(AND($D976="",$E976="",$F976=""),1,0)</f>
        <v>0</v>
      </c>
      <c r="V976" s="10" t="n">
        <f aca="false">IF(OR($I976="",$I976="—"),1,0)</f>
        <v>0</v>
      </c>
      <c r="W976" s="10" t="n">
        <f aca="false">IF(AND(ISNUMBER($D976),ISNUMBER($E976)),IF($E976&gt;$D976,1,0),0)+IF(AND(ISNUMBER($D976),ISNUMBER($F976)),IF($D976&gt;$F976,1,0),0)+IF(AND(ISNUMBER($E976),ISNUMBER($F976)),IF($E976&gt;$F976,1,0),0)</f>
        <v>0</v>
      </c>
      <c r="X976" s="13" t="s">
        <v>76</v>
      </c>
    </row>
    <row r="977" customFormat="false" ht="15" hidden="false" customHeight="false" outlineLevel="0" collapsed="false">
      <c r="A977" s="10" t="s">
        <v>4074</v>
      </c>
      <c r="B977" s="10" t="s">
        <v>4075</v>
      </c>
      <c r="C977" s="11" t="s">
        <v>4065</v>
      </c>
      <c r="D977" s="12" t="n">
        <v>7</v>
      </c>
      <c r="E977" s="12"/>
      <c r="F977" s="12"/>
      <c r="G977" s="10" t="s">
        <v>63</v>
      </c>
      <c r="H977" s="10" t="s">
        <v>92</v>
      </c>
      <c r="I977" s="11" t="s">
        <v>3616</v>
      </c>
      <c r="J977" s="10" t="s">
        <v>66</v>
      </c>
      <c r="K977" s="10" t="s">
        <v>67</v>
      </c>
      <c r="L977" s="10" t="s">
        <v>68</v>
      </c>
      <c r="M977" s="10" t="s">
        <v>69</v>
      </c>
      <c r="N977" s="10"/>
      <c r="O977" s="11" t="s">
        <v>3428</v>
      </c>
      <c r="P977" s="10" t="s">
        <v>71</v>
      </c>
      <c r="Q977" s="11" t="s">
        <v>72</v>
      </c>
      <c r="R977" s="11" t="s">
        <v>73</v>
      </c>
      <c r="S977" s="11" t="s">
        <v>74</v>
      </c>
      <c r="T977" s="11" t="s">
        <v>4076</v>
      </c>
      <c r="U977" s="10" t="n">
        <f aca="false">IF(AND($D977="",$E977="",$F977=""),1,0)</f>
        <v>0</v>
      </c>
      <c r="V977" s="10" t="n">
        <f aca="false">IF(OR($I977="",$I977="—"),1,0)</f>
        <v>0</v>
      </c>
      <c r="W977" s="10" t="n">
        <f aca="false">IF(AND(ISNUMBER($D977),ISNUMBER($E977)),IF($E977&gt;$D977,1,0),0)+IF(AND(ISNUMBER($D977),ISNUMBER($F977)),IF($D977&gt;$F977,1,0),0)+IF(AND(ISNUMBER($E977),ISNUMBER($F977)),IF($E977&gt;$F977,1,0),0)</f>
        <v>0</v>
      </c>
      <c r="X977" s="13" t="s">
        <v>76</v>
      </c>
    </row>
    <row r="978" customFormat="false" ht="15" hidden="false" customHeight="false" outlineLevel="0" collapsed="false">
      <c r="A978" s="10" t="s">
        <v>4077</v>
      </c>
      <c r="B978" s="10" t="s">
        <v>4078</v>
      </c>
      <c r="C978" s="11" t="s">
        <v>4079</v>
      </c>
      <c r="D978" s="12" t="n">
        <v>0.001</v>
      </c>
      <c r="E978" s="12"/>
      <c r="F978" s="12"/>
      <c r="G978" s="10" t="s">
        <v>63</v>
      </c>
      <c r="H978" s="10" t="s">
        <v>3443</v>
      </c>
      <c r="I978" s="11" t="s">
        <v>4080</v>
      </c>
      <c r="J978" s="10" t="s">
        <v>66</v>
      </c>
      <c r="K978" s="10" t="s">
        <v>67</v>
      </c>
      <c r="L978" s="10" t="s">
        <v>68</v>
      </c>
      <c r="M978" s="10" t="s">
        <v>69</v>
      </c>
      <c r="N978" s="10"/>
      <c r="O978" s="11" t="s">
        <v>3422</v>
      </c>
      <c r="P978" s="10" t="s">
        <v>71</v>
      </c>
      <c r="Q978" s="11" t="s">
        <v>72</v>
      </c>
      <c r="R978" s="11" t="s">
        <v>73</v>
      </c>
      <c r="S978" s="11" t="s">
        <v>74</v>
      </c>
      <c r="T978" s="11" t="s">
        <v>4081</v>
      </c>
      <c r="U978" s="10" t="n">
        <f aca="false">IF(AND($D978="",$E978="",$F978=""),1,0)</f>
        <v>0</v>
      </c>
      <c r="V978" s="10" t="n">
        <f aca="false">IF(OR($I978="",$I978="—"),1,0)</f>
        <v>0</v>
      </c>
      <c r="W978" s="10" t="n">
        <f aca="false">IF(AND(ISNUMBER($D978),ISNUMBER($E978)),IF($E978&gt;$D978,1,0),0)+IF(AND(ISNUMBER($D978),ISNUMBER($F978)),IF($D978&gt;$F978,1,0),0)+IF(AND(ISNUMBER($E978),ISNUMBER($F978)),IF($E978&gt;$F978,1,0),0)</f>
        <v>0</v>
      </c>
      <c r="X978" s="13" t="s">
        <v>76</v>
      </c>
    </row>
    <row r="979" customFormat="false" ht="15" hidden="false" customHeight="false" outlineLevel="0" collapsed="false">
      <c r="A979" s="10" t="s">
        <v>4082</v>
      </c>
      <c r="B979" s="10" t="s">
        <v>4083</v>
      </c>
      <c r="C979" s="11" t="s">
        <v>4079</v>
      </c>
      <c r="D979" s="12" t="n">
        <v>0.0022</v>
      </c>
      <c r="E979" s="12"/>
      <c r="F979" s="12"/>
      <c r="G979" s="10" t="s">
        <v>63</v>
      </c>
      <c r="H979" s="10" t="s">
        <v>3448</v>
      </c>
      <c r="I979" s="11" t="s">
        <v>4080</v>
      </c>
      <c r="J979" s="10" t="s">
        <v>66</v>
      </c>
      <c r="K979" s="10" t="s">
        <v>67</v>
      </c>
      <c r="L979" s="10" t="s">
        <v>68</v>
      </c>
      <c r="M979" s="10" t="s">
        <v>69</v>
      </c>
      <c r="N979" s="10"/>
      <c r="O979" s="11" t="s">
        <v>3422</v>
      </c>
      <c r="P979" s="10" t="s">
        <v>71</v>
      </c>
      <c r="Q979" s="11" t="s">
        <v>72</v>
      </c>
      <c r="R979" s="11" t="s">
        <v>73</v>
      </c>
      <c r="S979" s="11" t="s">
        <v>74</v>
      </c>
      <c r="T979" s="11" t="s">
        <v>4084</v>
      </c>
      <c r="U979" s="10" t="n">
        <f aca="false">IF(AND($D979="",$E979="",$F979=""),1,0)</f>
        <v>0</v>
      </c>
      <c r="V979" s="10" t="n">
        <f aca="false">IF(OR($I979="",$I979="—"),1,0)</f>
        <v>0</v>
      </c>
      <c r="W979" s="10" t="n">
        <f aca="false">IF(AND(ISNUMBER($D979),ISNUMBER($E979)),IF($E979&gt;$D979,1,0),0)+IF(AND(ISNUMBER($D979),ISNUMBER($F979)),IF($D979&gt;$F979,1,0),0)+IF(AND(ISNUMBER($E979),ISNUMBER($F979)),IF($E979&gt;$F979,1,0),0)</f>
        <v>0</v>
      </c>
      <c r="X979" s="13" t="s">
        <v>76</v>
      </c>
    </row>
    <row r="980" customFormat="false" ht="15" hidden="false" customHeight="false" outlineLevel="0" collapsed="false">
      <c r="A980" s="10" t="s">
        <v>4085</v>
      </c>
      <c r="B980" s="10" t="s">
        <v>4086</v>
      </c>
      <c r="C980" s="11" t="s">
        <v>4079</v>
      </c>
      <c r="D980" s="12" t="n">
        <v>0.0106</v>
      </c>
      <c r="E980" s="12"/>
      <c r="F980" s="12"/>
      <c r="G980" s="10" t="s">
        <v>63</v>
      </c>
      <c r="H980" s="10" t="s">
        <v>3452</v>
      </c>
      <c r="I980" s="11" t="s">
        <v>4080</v>
      </c>
      <c r="J980" s="10" t="s">
        <v>66</v>
      </c>
      <c r="K980" s="10" t="s">
        <v>67</v>
      </c>
      <c r="L980" s="10" t="s">
        <v>68</v>
      </c>
      <c r="M980" s="10" t="s">
        <v>69</v>
      </c>
      <c r="N980" s="10"/>
      <c r="O980" s="11" t="s">
        <v>3422</v>
      </c>
      <c r="P980" s="10" t="s">
        <v>71</v>
      </c>
      <c r="Q980" s="11" t="s">
        <v>72</v>
      </c>
      <c r="R980" s="11" t="s">
        <v>73</v>
      </c>
      <c r="S980" s="11" t="s">
        <v>74</v>
      </c>
      <c r="T980" s="11" t="s">
        <v>4087</v>
      </c>
      <c r="U980" s="10" t="n">
        <f aca="false">IF(AND($D980="",$E980="",$F980=""),1,0)</f>
        <v>0</v>
      </c>
      <c r="V980" s="10" t="n">
        <f aca="false">IF(OR($I980="",$I980="—"),1,0)</f>
        <v>0</v>
      </c>
      <c r="W980" s="10" t="n">
        <f aca="false">IF(AND(ISNUMBER($D980),ISNUMBER($E980)),IF($E980&gt;$D980,1,0),0)+IF(AND(ISNUMBER($D980),ISNUMBER($F980)),IF($D980&gt;$F980,1,0),0)+IF(AND(ISNUMBER($E980),ISNUMBER($F980)),IF($E980&gt;$F980,1,0),0)</f>
        <v>0</v>
      </c>
      <c r="X980" s="13" t="s">
        <v>76</v>
      </c>
    </row>
    <row r="981" customFormat="false" ht="15" hidden="false" customHeight="false" outlineLevel="0" collapsed="false">
      <c r="A981" s="10" t="s">
        <v>4088</v>
      </c>
      <c r="B981" s="10" t="s">
        <v>4089</v>
      </c>
      <c r="C981" s="11" t="s">
        <v>4079</v>
      </c>
      <c r="D981" s="12" t="n">
        <v>0.0415</v>
      </c>
      <c r="E981" s="12"/>
      <c r="F981" s="12"/>
      <c r="G981" s="10" t="s">
        <v>63</v>
      </c>
      <c r="H981" s="10" t="s">
        <v>440</v>
      </c>
      <c r="I981" s="11" t="s">
        <v>4080</v>
      </c>
      <c r="J981" s="10" t="s">
        <v>66</v>
      </c>
      <c r="K981" s="10" t="s">
        <v>67</v>
      </c>
      <c r="L981" s="10" t="s">
        <v>68</v>
      </c>
      <c r="M981" s="10" t="s">
        <v>69</v>
      </c>
      <c r="N981" s="10"/>
      <c r="O981" s="11" t="s">
        <v>3428</v>
      </c>
      <c r="P981" s="10" t="s">
        <v>71</v>
      </c>
      <c r="Q981" s="11" t="s">
        <v>72</v>
      </c>
      <c r="R981" s="11" t="s">
        <v>73</v>
      </c>
      <c r="S981" s="11" t="s">
        <v>74</v>
      </c>
      <c r="T981" s="11" t="s">
        <v>4090</v>
      </c>
      <c r="U981" s="10" t="n">
        <f aca="false">IF(AND($D981="",$E981="",$F981=""),1,0)</f>
        <v>0</v>
      </c>
      <c r="V981" s="10" t="n">
        <f aca="false">IF(OR($I981="",$I981="—"),1,0)</f>
        <v>0</v>
      </c>
      <c r="W981" s="10" t="n">
        <f aca="false">IF(AND(ISNUMBER($D981),ISNUMBER($E981)),IF($E981&gt;$D981,1,0),0)+IF(AND(ISNUMBER($D981),ISNUMBER($F981)),IF($D981&gt;$F981,1,0),0)+IF(AND(ISNUMBER($E981),ISNUMBER($F981)),IF($E981&gt;$F981,1,0),0)</f>
        <v>0</v>
      </c>
      <c r="X981" s="13" t="s">
        <v>76</v>
      </c>
    </row>
    <row r="982" customFormat="false" ht="15" hidden="false" customHeight="false" outlineLevel="0" collapsed="false">
      <c r="A982" s="10" t="s">
        <v>4091</v>
      </c>
      <c r="B982" s="10" t="s">
        <v>4092</v>
      </c>
      <c r="C982" s="11" t="s">
        <v>4093</v>
      </c>
      <c r="D982" s="12" t="n">
        <v>0</v>
      </c>
      <c r="E982" s="12"/>
      <c r="F982" s="12"/>
      <c r="G982" s="10" t="s">
        <v>63</v>
      </c>
      <c r="H982" s="10" t="s">
        <v>3443</v>
      </c>
      <c r="I982" s="11" t="s">
        <v>3536</v>
      </c>
      <c r="J982" s="10" t="s">
        <v>66</v>
      </c>
      <c r="K982" s="10" t="s">
        <v>67</v>
      </c>
      <c r="L982" s="10" t="s">
        <v>68</v>
      </c>
      <c r="M982" s="10" t="s">
        <v>69</v>
      </c>
      <c r="N982" s="10"/>
      <c r="O982" s="11" t="s">
        <v>3422</v>
      </c>
      <c r="P982" s="10" t="s">
        <v>71</v>
      </c>
      <c r="Q982" s="11" t="s">
        <v>72</v>
      </c>
      <c r="R982" s="11" t="s">
        <v>73</v>
      </c>
      <c r="S982" s="11" t="s">
        <v>74</v>
      </c>
      <c r="T982" s="11" t="s">
        <v>4094</v>
      </c>
      <c r="U982" s="10" t="n">
        <f aca="false">IF(AND($D982="",$E982="",$F982=""),1,0)</f>
        <v>0</v>
      </c>
      <c r="V982" s="10" t="n">
        <f aca="false">IF(OR($I982="",$I982="—"),1,0)</f>
        <v>0</v>
      </c>
      <c r="W982" s="10" t="n">
        <f aca="false">IF(AND(ISNUMBER($D982),ISNUMBER($E982)),IF($E982&gt;$D982,1,0),0)+IF(AND(ISNUMBER($D982),ISNUMBER($F982)),IF($D982&gt;$F982,1,0),0)+IF(AND(ISNUMBER($E982),ISNUMBER($F982)),IF($E982&gt;$F982,1,0),0)</f>
        <v>0</v>
      </c>
      <c r="X982" s="13" t="s">
        <v>76</v>
      </c>
    </row>
    <row r="983" customFormat="false" ht="15" hidden="false" customHeight="false" outlineLevel="0" collapsed="false">
      <c r="A983" s="10" t="s">
        <v>4095</v>
      </c>
      <c r="B983" s="10" t="s">
        <v>4096</v>
      </c>
      <c r="C983" s="11" t="s">
        <v>4093</v>
      </c>
      <c r="D983" s="12" t="n">
        <v>0</v>
      </c>
      <c r="E983" s="12"/>
      <c r="F983" s="12"/>
      <c r="G983" s="10" t="s">
        <v>63</v>
      </c>
      <c r="H983" s="10" t="s">
        <v>3448</v>
      </c>
      <c r="I983" s="11" t="s">
        <v>3536</v>
      </c>
      <c r="J983" s="10" t="s">
        <v>66</v>
      </c>
      <c r="K983" s="10" t="s">
        <v>67</v>
      </c>
      <c r="L983" s="10" t="s">
        <v>68</v>
      </c>
      <c r="M983" s="10" t="s">
        <v>69</v>
      </c>
      <c r="N983" s="10"/>
      <c r="O983" s="11" t="s">
        <v>3422</v>
      </c>
      <c r="P983" s="10" t="s">
        <v>71</v>
      </c>
      <c r="Q983" s="11" t="s">
        <v>72</v>
      </c>
      <c r="R983" s="11" t="s">
        <v>73</v>
      </c>
      <c r="S983" s="11" t="s">
        <v>74</v>
      </c>
      <c r="T983" s="11" t="s">
        <v>4094</v>
      </c>
      <c r="U983" s="10" t="n">
        <f aca="false">IF(AND($D983="",$E983="",$F983=""),1,0)</f>
        <v>0</v>
      </c>
      <c r="V983" s="10" t="n">
        <f aca="false">IF(OR($I983="",$I983="—"),1,0)</f>
        <v>0</v>
      </c>
      <c r="W983" s="10" t="n">
        <f aca="false">IF(AND(ISNUMBER($D983),ISNUMBER($E983)),IF($E983&gt;$D983,1,0),0)+IF(AND(ISNUMBER($D983),ISNUMBER($F983)),IF($D983&gt;$F983,1,0),0)+IF(AND(ISNUMBER($E983),ISNUMBER($F983)),IF($E983&gt;$F983,1,0),0)</f>
        <v>0</v>
      </c>
      <c r="X983" s="13" t="s">
        <v>76</v>
      </c>
    </row>
    <row r="984" customFormat="false" ht="15" hidden="false" customHeight="false" outlineLevel="0" collapsed="false">
      <c r="A984" s="10" t="s">
        <v>4097</v>
      </c>
      <c r="B984" s="10" t="s">
        <v>4098</v>
      </c>
      <c r="C984" s="11" t="s">
        <v>4093</v>
      </c>
      <c r="D984" s="12" t="n">
        <v>1.3725</v>
      </c>
      <c r="E984" s="12"/>
      <c r="F984" s="12"/>
      <c r="G984" s="10" t="s">
        <v>63</v>
      </c>
      <c r="H984" s="10" t="s">
        <v>3452</v>
      </c>
      <c r="I984" s="11" t="s">
        <v>3536</v>
      </c>
      <c r="J984" s="10" t="s">
        <v>66</v>
      </c>
      <c r="K984" s="10" t="s">
        <v>67</v>
      </c>
      <c r="L984" s="10" t="s">
        <v>68</v>
      </c>
      <c r="M984" s="10" t="s">
        <v>69</v>
      </c>
      <c r="N984" s="10"/>
      <c r="O984" s="11" t="s">
        <v>3422</v>
      </c>
      <c r="P984" s="10" t="s">
        <v>71</v>
      </c>
      <c r="Q984" s="11" t="s">
        <v>72</v>
      </c>
      <c r="R984" s="11" t="s">
        <v>73</v>
      </c>
      <c r="S984" s="11" t="s">
        <v>74</v>
      </c>
      <c r="T984" s="11" t="s">
        <v>4099</v>
      </c>
      <c r="U984" s="10" t="n">
        <f aca="false">IF(AND($D984="",$E984="",$F984=""),1,0)</f>
        <v>0</v>
      </c>
      <c r="V984" s="10" t="n">
        <f aca="false">IF(OR($I984="",$I984="—"),1,0)</f>
        <v>0</v>
      </c>
      <c r="W984" s="10" t="n">
        <f aca="false">IF(AND(ISNUMBER($D984),ISNUMBER($E984)),IF($E984&gt;$D984,1,0),0)+IF(AND(ISNUMBER($D984),ISNUMBER($F984)),IF($D984&gt;$F984,1,0),0)+IF(AND(ISNUMBER($E984),ISNUMBER($F984)),IF($E984&gt;$F984,1,0),0)</f>
        <v>0</v>
      </c>
      <c r="X984" s="13" t="s">
        <v>76</v>
      </c>
    </row>
    <row r="985" customFormat="false" ht="15" hidden="false" customHeight="false" outlineLevel="0" collapsed="false">
      <c r="A985" s="10" t="s">
        <v>4100</v>
      </c>
      <c r="B985" s="10" t="s">
        <v>4101</v>
      </c>
      <c r="C985" s="11" t="s">
        <v>4093</v>
      </c>
      <c r="D985" s="12" t="n">
        <v>1.3721</v>
      </c>
      <c r="E985" s="12"/>
      <c r="F985" s="12"/>
      <c r="G985" s="10" t="s">
        <v>63</v>
      </c>
      <c r="H985" s="10" t="s">
        <v>440</v>
      </c>
      <c r="I985" s="11" t="s">
        <v>3536</v>
      </c>
      <c r="J985" s="10" t="s">
        <v>66</v>
      </c>
      <c r="K985" s="10" t="s">
        <v>67</v>
      </c>
      <c r="L985" s="10" t="s">
        <v>68</v>
      </c>
      <c r="M985" s="10" t="s">
        <v>69</v>
      </c>
      <c r="N985" s="10"/>
      <c r="O985" s="11" t="s">
        <v>3428</v>
      </c>
      <c r="P985" s="10" t="s">
        <v>71</v>
      </c>
      <c r="Q985" s="11" t="s">
        <v>72</v>
      </c>
      <c r="R985" s="11" t="s">
        <v>73</v>
      </c>
      <c r="S985" s="11" t="s">
        <v>74</v>
      </c>
      <c r="T985" s="11" t="s">
        <v>4102</v>
      </c>
      <c r="U985" s="10" t="n">
        <f aca="false">IF(AND($D985="",$E985="",$F985=""),1,0)</f>
        <v>0</v>
      </c>
      <c r="V985" s="10" t="n">
        <f aca="false">IF(OR($I985="",$I985="—"),1,0)</f>
        <v>0</v>
      </c>
      <c r="W985" s="10" t="n">
        <f aca="false">IF(AND(ISNUMBER($D985),ISNUMBER($E985)),IF($E985&gt;$D985,1,0),0)+IF(AND(ISNUMBER($D985),ISNUMBER($F985)),IF($D985&gt;$F985,1,0),0)+IF(AND(ISNUMBER($E985),ISNUMBER($F985)),IF($E985&gt;$F985,1,0),0)</f>
        <v>0</v>
      </c>
      <c r="X985" s="13" t="s">
        <v>76</v>
      </c>
    </row>
    <row r="986" customFormat="false" ht="15" hidden="false" customHeight="false" outlineLevel="0" collapsed="false">
      <c r="A986" s="10" t="s">
        <v>4103</v>
      </c>
      <c r="B986" s="10" t="s">
        <v>4104</v>
      </c>
      <c r="C986" s="11" t="s">
        <v>4093</v>
      </c>
      <c r="D986" s="12" t="n">
        <v>2.6837</v>
      </c>
      <c r="E986" s="12"/>
      <c r="F986" s="12"/>
      <c r="G986" s="10" t="s">
        <v>63</v>
      </c>
      <c r="H986" s="10" t="s">
        <v>432</v>
      </c>
      <c r="I986" s="11" t="s">
        <v>3536</v>
      </c>
      <c r="J986" s="10" t="s">
        <v>66</v>
      </c>
      <c r="K986" s="10" t="s">
        <v>67</v>
      </c>
      <c r="L986" s="10" t="s">
        <v>68</v>
      </c>
      <c r="M986" s="10" t="s">
        <v>69</v>
      </c>
      <c r="N986" s="10"/>
      <c r="O986" s="11" t="s">
        <v>3513</v>
      </c>
      <c r="P986" s="10" t="s">
        <v>71</v>
      </c>
      <c r="Q986" s="11" t="s">
        <v>72</v>
      </c>
      <c r="R986" s="11" t="s">
        <v>73</v>
      </c>
      <c r="S986" s="11" t="s">
        <v>74</v>
      </c>
      <c r="T986" s="11" t="s">
        <v>4105</v>
      </c>
      <c r="U986" s="10" t="n">
        <f aca="false">IF(AND($D986="",$E986="",$F986=""),1,0)</f>
        <v>0</v>
      </c>
      <c r="V986" s="10" t="n">
        <f aca="false">IF(OR($I986="",$I986="—"),1,0)</f>
        <v>0</v>
      </c>
      <c r="W986" s="10" t="n">
        <f aca="false">IF(AND(ISNUMBER($D986),ISNUMBER($E986)),IF($E986&gt;$D986,1,0),0)+IF(AND(ISNUMBER($D986),ISNUMBER($F986)),IF($D986&gt;$F986,1,0),0)+IF(AND(ISNUMBER($E986),ISNUMBER($F986)),IF($E986&gt;$F986,1,0),0)</f>
        <v>0</v>
      </c>
      <c r="X986" s="13" t="s">
        <v>76</v>
      </c>
    </row>
    <row r="987" customFormat="false" ht="15" hidden="false" customHeight="false" outlineLevel="0" collapsed="false">
      <c r="A987" s="10" t="s">
        <v>4106</v>
      </c>
      <c r="B987" s="10" t="s">
        <v>4107</v>
      </c>
      <c r="C987" s="11" t="s">
        <v>4108</v>
      </c>
      <c r="D987" s="12" t="n">
        <v>2.65</v>
      </c>
      <c r="E987" s="12"/>
      <c r="F987" s="12"/>
      <c r="G987" s="10" t="s">
        <v>401</v>
      </c>
      <c r="H987" s="10" t="s">
        <v>3452</v>
      </c>
      <c r="I987" s="11" t="s">
        <v>3536</v>
      </c>
      <c r="J987" s="10" t="s">
        <v>66</v>
      </c>
      <c r="K987" s="10" t="s">
        <v>67</v>
      </c>
      <c r="L987" s="10" t="s">
        <v>68</v>
      </c>
      <c r="M987" s="10" t="s">
        <v>69</v>
      </c>
      <c r="N987" s="10"/>
      <c r="O987" s="11" t="s">
        <v>3422</v>
      </c>
      <c r="P987" s="10" t="s">
        <v>71</v>
      </c>
      <c r="Q987" s="11" t="s">
        <v>72</v>
      </c>
      <c r="R987" s="11" t="s">
        <v>73</v>
      </c>
      <c r="S987" s="11" t="s">
        <v>74</v>
      </c>
      <c r="T987" s="11" t="s">
        <v>4109</v>
      </c>
      <c r="U987" s="10" t="n">
        <f aca="false">IF(AND($D987="",$E987="",$F987=""),1,0)</f>
        <v>0</v>
      </c>
      <c r="V987" s="10" t="n">
        <f aca="false">IF(OR($I987="",$I987="—"),1,0)</f>
        <v>0</v>
      </c>
      <c r="W987" s="10" t="n">
        <f aca="false">IF(AND(ISNUMBER($D987),ISNUMBER($E987)),IF($E987&gt;$D987,1,0),0)+IF(AND(ISNUMBER($D987),ISNUMBER($F987)),IF($D987&gt;$F987,1,0),0)+IF(AND(ISNUMBER($E987),ISNUMBER($F987)),IF($E987&gt;$F987,1,0),0)</f>
        <v>0</v>
      </c>
      <c r="X987" s="13" t="s">
        <v>76</v>
      </c>
    </row>
    <row r="988" customFormat="false" ht="15" hidden="false" customHeight="false" outlineLevel="0" collapsed="false">
      <c r="A988" s="10" t="s">
        <v>4110</v>
      </c>
      <c r="B988" s="10" t="s">
        <v>4111</v>
      </c>
      <c r="C988" s="11" t="s">
        <v>4112</v>
      </c>
      <c r="D988" s="12"/>
      <c r="E988" s="12" t="n">
        <v>2.11</v>
      </c>
      <c r="F988" s="12" t="n">
        <v>2.2</v>
      </c>
      <c r="G988" s="10" t="s">
        <v>401</v>
      </c>
      <c r="H988" s="10" t="s">
        <v>4113</v>
      </c>
      <c r="I988" s="11" t="s">
        <v>3536</v>
      </c>
      <c r="J988" s="10" t="s">
        <v>66</v>
      </c>
      <c r="K988" s="10" t="s">
        <v>67</v>
      </c>
      <c r="L988" s="10" t="s">
        <v>68</v>
      </c>
      <c r="M988" s="10" t="s">
        <v>69</v>
      </c>
      <c r="N988" s="10"/>
      <c r="O988" s="11" t="s">
        <v>3513</v>
      </c>
      <c r="P988" s="10" t="s">
        <v>71</v>
      </c>
      <c r="Q988" s="11" t="s">
        <v>72</v>
      </c>
      <c r="R988" s="11" t="s">
        <v>73</v>
      </c>
      <c r="S988" s="11" t="s">
        <v>74</v>
      </c>
      <c r="T988" s="11" t="s">
        <v>4114</v>
      </c>
      <c r="U988" s="10" t="n">
        <f aca="false">IF(AND($D988="",$E988="",$F988=""),1,0)</f>
        <v>0</v>
      </c>
      <c r="V988" s="10" t="n">
        <f aca="false">IF(OR($I988="",$I988="—"),1,0)</f>
        <v>0</v>
      </c>
      <c r="W988" s="10" t="n">
        <f aca="false">IF(AND(ISNUMBER($D988),ISNUMBER($E988)),IF($E988&gt;$D988,1,0),0)+IF(AND(ISNUMBER($D988),ISNUMBER($F988)),IF($D988&gt;$F988,1,0),0)+IF(AND(ISNUMBER($E988),ISNUMBER($F988)),IF($E988&gt;$F988,1,0),0)</f>
        <v>0</v>
      </c>
      <c r="X988" s="13" t="s">
        <v>76</v>
      </c>
    </row>
    <row r="989" customFormat="false" ht="15" hidden="false" customHeight="false" outlineLevel="0" collapsed="false">
      <c r="A989" s="10" t="s">
        <v>4115</v>
      </c>
      <c r="B989" s="10" t="s">
        <v>4116</v>
      </c>
      <c r="C989" s="11" t="s">
        <v>4117</v>
      </c>
      <c r="D989" s="12" t="n">
        <v>61.305</v>
      </c>
      <c r="E989" s="12"/>
      <c r="F989" s="12"/>
      <c r="G989" s="10" t="s">
        <v>63</v>
      </c>
      <c r="H989" s="10" t="s">
        <v>432</v>
      </c>
      <c r="I989" s="11" t="s">
        <v>4118</v>
      </c>
      <c r="J989" s="10" t="s">
        <v>66</v>
      </c>
      <c r="K989" s="10" t="s">
        <v>67</v>
      </c>
      <c r="L989" s="10" t="s">
        <v>68</v>
      </c>
      <c r="M989" s="10" t="s">
        <v>69</v>
      </c>
      <c r="N989" s="10"/>
      <c r="O989" s="11" t="s">
        <v>3513</v>
      </c>
      <c r="P989" s="10" t="s">
        <v>71</v>
      </c>
      <c r="Q989" s="11" t="s">
        <v>72</v>
      </c>
      <c r="R989" s="11" t="s">
        <v>73</v>
      </c>
      <c r="S989" s="11" t="s">
        <v>74</v>
      </c>
      <c r="T989" s="11" t="s">
        <v>4119</v>
      </c>
      <c r="U989" s="10" t="n">
        <f aca="false">IF(AND($D989="",$E989="",$F989=""),1,0)</f>
        <v>0</v>
      </c>
      <c r="V989" s="10" t="n">
        <f aca="false">IF(OR($I989="",$I989="—"),1,0)</f>
        <v>0</v>
      </c>
      <c r="W989" s="10" t="n">
        <f aca="false">IF(AND(ISNUMBER($D989),ISNUMBER($E989)),IF($E989&gt;$D989,1,0),0)+IF(AND(ISNUMBER($D989),ISNUMBER($F989)),IF($D989&gt;$F989,1,0),0)+IF(AND(ISNUMBER($E989),ISNUMBER($F989)),IF($E989&gt;$F989,1,0),0)</f>
        <v>0</v>
      </c>
      <c r="X989" s="13" t="s">
        <v>76</v>
      </c>
    </row>
    <row r="990" customFormat="false" ht="15" hidden="false" customHeight="false" outlineLevel="0" collapsed="false">
      <c r="A990" s="10" t="s">
        <v>4120</v>
      </c>
      <c r="B990" s="10" t="s">
        <v>4121</v>
      </c>
      <c r="C990" s="11" t="s">
        <v>4122</v>
      </c>
      <c r="D990" s="12" t="n">
        <v>12</v>
      </c>
      <c r="E990" s="12"/>
      <c r="F990" s="12"/>
      <c r="G990" s="10" t="s">
        <v>4123</v>
      </c>
      <c r="H990" s="10" t="s">
        <v>440</v>
      </c>
      <c r="I990" s="11" t="s">
        <v>4124</v>
      </c>
      <c r="J990" s="10" t="s">
        <v>66</v>
      </c>
      <c r="K990" s="10" t="s">
        <v>67</v>
      </c>
      <c r="L990" s="10" t="s">
        <v>68</v>
      </c>
      <c r="M990" s="10" t="s">
        <v>69</v>
      </c>
      <c r="N990" s="10"/>
      <c r="O990" s="11" t="s">
        <v>3428</v>
      </c>
      <c r="P990" s="10" t="s">
        <v>71</v>
      </c>
      <c r="Q990" s="11" t="s">
        <v>72</v>
      </c>
      <c r="R990" s="11" t="s">
        <v>73</v>
      </c>
      <c r="S990" s="11" t="s">
        <v>74</v>
      </c>
      <c r="T990" s="11" t="s">
        <v>4125</v>
      </c>
      <c r="U990" s="10" t="n">
        <f aca="false">IF(AND($D990="",$E990="",$F990=""),1,0)</f>
        <v>0</v>
      </c>
      <c r="V990" s="10" t="n">
        <f aca="false">IF(OR($I990="",$I990="—"),1,0)</f>
        <v>0</v>
      </c>
      <c r="W990" s="10" t="n">
        <f aca="false">IF(AND(ISNUMBER($D990),ISNUMBER($E990)),IF($E990&gt;$D990,1,0),0)+IF(AND(ISNUMBER($D990),ISNUMBER($F990)),IF($D990&gt;$F990,1,0),0)+IF(AND(ISNUMBER($E990),ISNUMBER($F990)),IF($E990&gt;$F990,1,0),0)</f>
        <v>0</v>
      </c>
      <c r="X990" s="13" t="s">
        <v>76</v>
      </c>
    </row>
    <row r="991" customFormat="false" ht="15" hidden="false" customHeight="false" outlineLevel="0" collapsed="false">
      <c r="A991" s="10" t="s">
        <v>4126</v>
      </c>
      <c r="B991" s="10" t="s">
        <v>4127</v>
      </c>
      <c r="C991" s="11" t="s">
        <v>1713</v>
      </c>
      <c r="D991" s="12" t="n">
        <v>0.0005</v>
      </c>
      <c r="E991" s="12"/>
      <c r="F991" s="12"/>
      <c r="G991" s="10" t="s">
        <v>1714</v>
      </c>
      <c r="H991" s="10" t="s">
        <v>4128</v>
      </c>
      <c r="I991" s="11" t="s">
        <v>4129</v>
      </c>
      <c r="J991" s="10" t="s">
        <v>66</v>
      </c>
      <c r="K991" s="10" t="s">
        <v>67</v>
      </c>
      <c r="L991" s="10" t="s">
        <v>68</v>
      </c>
      <c r="M991" s="10" t="s">
        <v>416</v>
      </c>
      <c r="N991" s="11" t="s">
        <v>4130</v>
      </c>
      <c r="O991" s="11" t="s">
        <v>441</v>
      </c>
      <c r="P991" s="10" t="s">
        <v>71</v>
      </c>
      <c r="Q991" s="11" t="s">
        <v>72</v>
      </c>
      <c r="R991" s="11" t="s">
        <v>4130</v>
      </c>
      <c r="S991" s="11" t="s">
        <v>74</v>
      </c>
      <c r="T991" s="11" t="s">
        <v>4131</v>
      </c>
      <c r="U991" s="10" t="n">
        <f aca="false">IF(AND($D991="",$E991="",$F991=""),1,0)</f>
        <v>0</v>
      </c>
      <c r="V991" s="10" t="n">
        <f aca="false">IF(OR($I991="",$I991="—"),1,0)</f>
        <v>0</v>
      </c>
      <c r="W991" s="10" t="n">
        <f aca="false">IF(AND(ISNUMBER($D991),ISNUMBER($E991)),IF($E991&gt;$D991,1,0),0)+IF(AND(ISNUMBER($D991),ISNUMBER($F991)),IF($D991&gt;$F991,1,0),0)+IF(AND(ISNUMBER($E991),ISNUMBER($F991)),IF($E991&gt;$F991,1,0),0)</f>
        <v>0</v>
      </c>
      <c r="X991" s="13" t="s">
        <v>76</v>
      </c>
    </row>
    <row r="992" customFormat="false" ht="15" hidden="false" customHeight="false" outlineLevel="0" collapsed="false">
      <c r="A992" s="10" t="s">
        <v>4132</v>
      </c>
      <c r="B992" s="10" t="s">
        <v>4133</v>
      </c>
      <c r="C992" s="11" t="s">
        <v>1713</v>
      </c>
      <c r="D992" s="12" t="n">
        <v>0.0021</v>
      </c>
      <c r="E992" s="12"/>
      <c r="F992" s="12"/>
      <c r="G992" s="10" t="s">
        <v>1714</v>
      </c>
      <c r="H992" s="10" t="s">
        <v>4134</v>
      </c>
      <c r="I992" s="11" t="s">
        <v>4129</v>
      </c>
      <c r="J992" s="10" t="s">
        <v>66</v>
      </c>
      <c r="K992" s="10" t="s">
        <v>67</v>
      </c>
      <c r="L992" s="10" t="s">
        <v>68</v>
      </c>
      <c r="M992" s="10" t="s">
        <v>416</v>
      </c>
      <c r="N992" s="11" t="s">
        <v>4130</v>
      </c>
      <c r="O992" s="11" t="s">
        <v>441</v>
      </c>
      <c r="P992" s="10" t="s">
        <v>71</v>
      </c>
      <c r="Q992" s="11" t="s">
        <v>72</v>
      </c>
      <c r="R992" s="11" t="s">
        <v>4130</v>
      </c>
      <c r="S992" s="11" t="s">
        <v>74</v>
      </c>
      <c r="T992" s="11" t="s">
        <v>4135</v>
      </c>
      <c r="U992" s="10" t="n">
        <f aca="false">IF(AND($D992="",$E992="",$F992=""),1,0)</f>
        <v>0</v>
      </c>
      <c r="V992" s="10" t="n">
        <f aca="false">IF(OR($I992="",$I992="—"),1,0)</f>
        <v>0</v>
      </c>
      <c r="W992" s="10" t="n">
        <f aca="false">IF(AND(ISNUMBER($D992),ISNUMBER($E992)),IF($E992&gt;$D992,1,0),0)+IF(AND(ISNUMBER($D992),ISNUMBER($F992)),IF($D992&gt;$F992,1,0),0)+IF(AND(ISNUMBER($E992),ISNUMBER($F992)),IF($E992&gt;$F992,1,0),0)</f>
        <v>0</v>
      </c>
      <c r="X992" s="13" t="s">
        <v>76</v>
      </c>
    </row>
    <row r="993" customFormat="false" ht="15" hidden="false" customHeight="false" outlineLevel="0" collapsed="false">
      <c r="A993" s="10" t="s">
        <v>4136</v>
      </c>
      <c r="B993" s="10" t="s">
        <v>4137</v>
      </c>
      <c r="C993" s="11" t="s">
        <v>1713</v>
      </c>
      <c r="D993" s="12" t="n">
        <v>0.2</v>
      </c>
      <c r="E993" s="12"/>
      <c r="F993" s="12"/>
      <c r="G993" s="10" t="s">
        <v>1714</v>
      </c>
      <c r="H993" s="10" t="s">
        <v>2253</v>
      </c>
      <c r="I993" s="11" t="s">
        <v>4129</v>
      </c>
      <c r="J993" s="10" t="s">
        <v>66</v>
      </c>
      <c r="K993" s="10" t="s">
        <v>67</v>
      </c>
      <c r="L993" s="10" t="s">
        <v>68</v>
      </c>
      <c r="M993" s="10" t="s">
        <v>416</v>
      </c>
      <c r="N993" s="11" t="s">
        <v>4130</v>
      </c>
      <c r="O993" s="11" t="s">
        <v>441</v>
      </c>
      <c r="P993" s="10" t="s">
        <v>71</v>
      </c>
      <c r="Q993" s="11" t="s">
        <v>72</v>
      </c>
      <c r="R993" s="11" t="s">
        <v>4130</v>
      </c>
      <c r="S993" s="11" t="s">
        <v>74</v>
      </c>
      <c r="T993" s="11" t="s">
        <v>4138</v>
      </c>
      <c r="U993" s="10" t="n">
        <f aca="false">IF(AND($D993="",$E993="",$F993=""),1,0)</f>
        <v>0</v>
      </c>
      <c r="V993" s="10" t="n">
        <f aca="false">IF(OR($I993="",$I993="—"),1,0)</f>
        <v>0</v>
      </c>
      <c r="W993" s="10" t="n">
        <f aca="false">IF(AND(ISNUMBER($D993),ISNUMBER($E993)),IF($E993&gt;$D993,1,0),0)+IF(AND(ISNUMBER($D993),ISNUMBER($F993)),IF($D993&gt;$F993,1,0),0)+IF(AND(ISNUMBER($E993),ISNUMBER($F993)),IF($E993&gt;$F993,1,0),0)</f>
        <v>0</v>
      </c>
      <c r="X993" s="13" t="s">
        <v>76</v>
      </c>
    </row>
    <row r="994" customFormat="false" ht="15" hidden="false" customHeight="false" outlineLevel="0" collapsed="false">
      <c r="A994" s="10" t="s">
        <v>4139</v>
      </c>
      <c r="B994" s="10" t="s">
        <v>4140</v>
      </c>
      <c r="C994" s="11" t="s">
        <v>1713</v>
      </c>
      <c r="D994" s="12" t="n">
        <v>4.6</v>
      </c>
      <c r="E994" s="12"/>
      <c r="F994" s="12"/>
      <c r="G994" s="10" t="s">
        <v>1714</v>
      </c>
      <c r="H994" s="10" t="s">
        <v>2097</v>
      </c>
      <c r="I994" s="11" t="s">
        <v>4129</v>
      </c>
      <c r="J994" s="10" t="s">
        <v>66</v>
      </c>
      <c r="K994" s="10" t="s">
        <v>67</v>
      </c>
      <c r="L994" s="10" t="s">
        <v>68</v>
      </c>
      <c r="M994" s="10" t="s">
        <v>416</v>
      </c>
      <c r="N994" s="11" t="s">
        <v>4130</v>
      </c>
      <c r="O994" s="11" t="s">
        <v>441</v>
      </c>
      <c r="P994" s="10" t="s">
        <v>71</v>
      </c>
      <c r="Q994" s="11" t="s">
        <v>72</v>
      </c>
      <c r="R994" s="11" t="s">
        <v>4130</v>
      </c>
      <c r="S994" s="11" t="s">
        <v>74</v>
      </c>
      <c r="T994" s="11" t="s">
        <v>4141</v>
      </c>
      <c r="U994" s="10" t="n">
        <f aca="false">IF(AND($D994="",$E994="",$F994=""),1,0)</f>
        <v>0</v>
      </c>
      <c r="V994" s="10" t="n">
        <f aca="false">IF(OR($I994="",$I994="—"),1,0)</f>
        <v>0</v>
      </c>
      <c r="W994" s="10" t="n">
        <f aca="false">IF(AND(ISNUMBER($D994),ISNUMBER($E994)),IF($E994&gt;$D994,1,0),0)+IF(AND(ISNUMBER($D994),ISNUMBER($F994)),IF($D994&gt;$F994,1,0),0)+IF(AND(ISNUMBER($E994),ISNUMBER($F994)),IF($E994&gt;$F994,1,0),0)</f>
        <v>0</v>
      </c>
      <c r="X994" s="13" t="s">
        <v>76</v>
      </c>
    </row>
    <row r="995" customFormat="false" ht="15" hidden="false" customHeight="false" outlineLevel="0" collapsed="false">
      <c r="A995" s="10" t="s">
        <v>4142</v>
      </c>
      <c r="B995" s="10" t="s">
        <v>4143</v>
      </c>
      <c r="C995" s="11" t="s">
        <v>1713</v>
      </c>
      <c r="D995" s="12" t="n">
        <v>4.2</v>
      </c>
      <c r="E995" s="12"/>
      <c r="F995" s="12"/>
      <c r="G995" s="10" t="s">
        <v>1714</v>
      </c>
      <c r="H995" s="10" t="s">
        <v>1715</v>
      </c>
      <c r="I995" s="11" t="s">
        <v>4144</v>
      </c>
      <c r="J995" s="10" t="s">
        <v>66</v>
      </c>
      <c r="K995" s="10" t="s">
        <v>67</v>
      </c>
      <c r="L995" s="10" t="s">
        <v>68</v>
      </c>
      <c r="M995" s="10" t="s">
        <v>416</v>
      </c>
      <c r="N995" s="11" t="s">
        <v>4145</v>
      </c>
      <c r="O995" s="11" t="s">
        <v>441</v>
      </c>
      <c r="P995" s="10" t="s">
        <v>71</v>
      </c>
      <c r="Q995" s="11" t="s">
        <v>72</v>
      </c>
      <c r="R995" s="11" t="s">
        <v>4145</v>
      </c>
      <c r="S995" s="11" t="s">
        <v>74</v>
      </c>
      <c r="T995" s="11" t="s">
        <v>4146</v>
      </c>
      <c r="U995" s="10" t="n">
        <f aca="false">IF(AND($D995="",$E995="",$F995=""),1,0)</f>
        <v>0</v>
      </c>
      <c r="V995" s="10" t="n">
        <f aca="false">IF(OR($I995="",$I995="—"),1,0)</f>
        <v>0</v>
      </c>
      <c r="W995" s="10" t="n">
        <f aca="false">IF(AND(ISNUMBER($D995),ISNUMBER($E995)),IF($E995&gt;$D995,1,0),0)+IF(AND(ISNUMBER($D995),ISNUMBER($F995)),IF($D995&gt;$F995,1,0),0)+IF(AND(ISNUMBER($E995),ISNUMBER($F995)),IF($E995&gt;$F995,1,0),0)</f>
        <v>0</v>
      </c>
      <c r="X995" s="13" t="s">
        <v>76</v>
      </c>
    </row>
    <row r="996" customFormat="false" ht="15" hidden="false" customHeight="false" outlineLevel="0" collapsed="false">
      <c r="A996" s="10" t="s">
        <v>4147</v>
      </c>
      <c r="B996" s="10" t="s">
        <v>4148</v>
      </c>
      <c r="C996" s="11" t="s">
        <v>4149</v>
      </c>
      <c r="D996" s="12" t="n">
        <v>48</v>
      </c>
      <c r="E996" s="12"/>
      <c r="F996" s="12"/>
      <c r="G996" s="11" t="s">
        <v>1669</v>
      </c>
      <c r="H996" s="10" t="s">
        <v>64</v>
      </c>
      <c r="I996" s="11" t="s">
        <v>4150</v>
      </c>
      <c r="J996" s="10" t="s">
        <v>66</v>
      </c>
      <c r="K996" s="10" t="s">
        <v>67</v>
      </c>
      <c r="L996" s="10" t="s">
        <v>68</v>
      </c>
      <c r="M996" s="10" t="s">
        <v>69</v>
      </c>
      <c r="N996" s="10"/>
      <c r="O996" s="11" t="s">
        <v>441</v>
      </c>
      <c r="P996" s="10" t="s">
        <v>71</v>
      </c>
      <c r="Q996" s="11" t="s">
        <v>72</v>
      </c>
      <c r="R996" s="11" t="s">
        <v>73</v>
      </c>
      <c r="S996" s="11" t="s">
        <v>74</v>
      </c>
      <c r="T996" s="11" t="s">
        <v>4151</v>
      </c>
      <c r="U996" s="10" t="n">
        <f aca="false">IF(AND($D996="",$E996="",$F996=""),1,0)</f>
        <v>0</v>
      </c>
      <c r="V996" s="10" t="n">
        <f aca="false">IF(OR($I996="",$I996="—"),1,0)</f>
        <v>0</v>
      </c>
      <c r="W996" s="10" t="n">
        <f aca="false">IF(AND(ISNUMBER($D996),ISNUMBER($E996)),IF($E996&gt;$D996,1,0),0)+IF(AND(ISNUMBER($D996),ISNUMBER($F996)),IF($D996&gt;$F996,1,0),0)+IF(AND(ISNUMBER($E996),ISNUMBER($F996)),IF($E996&gt;$F996,1,0),0)</f>
        <v>0</v>
      </c>
      <c r="X996" s="13" t="s">
        <v>76</v>
      </c>
    </row>
    <row r="997" customFormat="false" ht="15" hidden="false" customHeight="false" outlineLevel="0" collapsed="false">
      <c r="A997" s="10" t="s">
        <v>4152</v>
      </c>
      <c r="B997" s="10" t="s">
        <v>4153</v>
      </c>
      <c r="C997" s="11" t="s">
        <v>4154</v>
      </c>
      <c r="D997" s="12" t="n">
        <v>0</v>
      </c>
      <c r="E997" s="12"/>
      <c r="F997" s="12"/>
      <c r="G997" s="11" t="s">
        <v>1669</v>
      </c>
      <c r="H997" s="10" t="s">
        <v>64</v>
      </c>
      <c r="I997" s="11" t="s">
        <v>4150</v>
      </c>
      <c r="J997" s="10" t="s">
        <v>66</v>
      </c>
      <c r="K997" s="10" t="s">
        <v>67</v>
      </c>
      <c r="L997" s="10" t="s">
        <v>68</v>
      </c>
      <c r="M997" s="10" t="s">
        <v>69</v>
      </c>
      <c r="N997" s="10"/>
      <c r="O997" s="11" t="s">
        <v>441</v>
      </c>
      <c r="P997" s="10" t="s">
        <v>71</v>
      </c>
      <c r="Q997" s="11" t="s">
        <v>72</v>
      </c>
      <c r="R997" s="11" t="s">
        <v>73</v>
      </c>
      <c r="S997" s="11" t="s">
        <v>74</v>
      </c>
      <c r="T997" s="11" t="s">
        <v>4155</v>
      </c>
      <c r="U997" s="10" t="n">
        <f aca="false">IF(AND($D997="",$E997="",$F997=""),1,0)</f>
        <v>0</v>
      </c>
      <c r="V997" s="10" t="n">
        <f aca="false">IF(OR($I997="",$I997="—"),1,0)</f>
        <v>0</v>
      </c>
      <c r="W997" s="10" t="n">
        <f aca="false">IF(AND(ISNUMBER($D997),ISNUMBER($E997)),IF($E997&gt;$D997,1,0),0)+IF(AND(ISNUMBER($D997),ISNUMBER($F997)),IF($D997&gt;$F997,1,0),0)+IF(AND(ISNUMBER($E997),ISNUMBER($F997)),IF($E997&gt;$F997,1,0),0)</f>
        <v>0</v>
      </c>
      <c r="X997" s="13" t="s">
        <v>76</v>
      </c>
    </row>
    <row r="998" customFormat="false" ht="15" hidden="false" customHeight="false" outlineLevel="0" collapsed="false">
      <c r="A998" s="10" t="s">
        <v>4156</v>
      </c>
      <c r="B998" s="10" t="s">
        <v>4157</v>
      </c>
      <c r="C998" s="11" t="s">
        <v>4158</v>
      </c>
      <c r="D998" s="12" t="n">
        <v>48</v>
      </c>
      <c r="E998" s="12"/>
      <c r="F998" s="12"/>
      <c r="G998" s="11" t="s">
        <v>1669</v>
      </c>
      <c r="H998" s="10" t="s">
        <v>64</v>
      </c>
      <c r="I998" s="11" t="s">
        <v>4150</v>
      </c>
      <c r="J998" s="10" t="s">
        <v>66</v>
      </c>
      <c r="K998" s="10" t="s">
        <v>67</v>
      </c>
      <c r="L998" s="10" t="s">
        <v>68</v>
      </c>
      <c r="M998" s="10" t="s">
        <v>69</v>
      </c>
      <c r="N998" s="10"/>
      <c r="O998" s="11" t="s">
        <v>441</v>
      </c>
      <c r="P998" s="10" t="s">
        <v>71</v>
      </c>
      <c r="Q998" s="11" t="s">
        <v>72</v>
      </c>
      <c r="R998" s="11" t="s">
        <v>73</v>
      </c>
      <c r="S998" s="11" t="s">
        <v>74</v>
      </c>
      <c r="T998" s="11" t="s">
        <v>4155</v>
      </c>
      <c r="U998" s="10" t="n">
        <f aca="false">IF(AND($D998="",$E998="",$F998=""),1,0)</f>
        <v>0</v>
      </c>
      <c r="V998" s="10" t="n">
        <f aca="false">IF(OR($I998="",$I998="—"),1,0)</f>
        <v>0</v>
      </c>
      <c r="W998" s="10" t="n">
        <f aca="false">IF(AND(ISNUMBER($D998),ISNUMBER($E998)),IF($E998&gt;$D998,1,0),0)+IF(AND(ISNUMBER($D998),ISNUMBER($F998)),IF($D998&gt;$F998,1,0),0)+IF(AND(ISNUMBER($E998),ISNUMBER($F998)),IF($E998&gt;$F998,1,0),0)</f>
        <v>0</v>
      </c>
      <c r="X998" s="13" t="s">
        <v>76</v>
      </c>
    </row>
    <row r="999" customFormat="false" ht="15" hidden="false" customHeight="false" outlineLevel="0" collapsed="false">
      <c r="A999" s="10" t="s">
        <v>4159</v>
      </c>
      <c r="B999" s="10" t="s">
        <v>4160</v>
      </c>
      <c r="C999" s="11" t="s">
        <v>4149</v>
      </c>
      <c r="D999" s="12" t="n">
        <v>2873</v>
      </c>
      <c r="E999" s="12"/>
      <c r="F999" s="12"/>
      <c r="G999" s="11" t="s">
        <v>1669</v>
      </c>
      <c r="H999" s="10" t="s">
        <v>79</v>
      </c>
      <c r="I999" s="11" t="s">
        <v>4150</v>
      </c>
      <c r="J999" s="10" t="s">
        <v>66</v>
      </c>
      <c r="K999" s="10" t="s">
        <v>67</v>
      </c>
      <c r="L999" s="10" t="s">
        <v>68</v>
      </c>
      <c r="M999" s="10" t="s">
        <v>69</v>
      </c>
      <c r="N999" s="10"/>
      <c r="O999" s="11" t="s">
        <v>441</v>
      </c>
      <c r="P999" s="10" t="s">
        <v>71</v>
      </c>
      <c r="Q999" s="11" t="s">
        <v>72</v>
      </c>
      <c r="R999" s="11" t="s">
        <v>73</v>
      </c>
      <c r="S999" s="11" t="s">
        <v>74</v>
      </c>
      <c r="T999" s="11" t="s">
        <v>4161</v>
      </c>
      <c r="U999" s="10" t="n">
        <f aca="false">IF(AND($D999="",$E999="",$F999=""),1,0)</f>
        <v>0</v>
      </c>
      <c r="V999" s="10" t="n">
        <f aca="false">IF(OR($I999="",$I999="—"),1,0)</f>
        <v>0</v>
      </c>
      <c r="W999" s="10" t="n">
        <f aca="false">IF(AND(ISNUMBER($D999),ISNUMBER($E999)),IF($E999&gt;$D999,1,0),0)+IF(AND(ISNUMBER($D999),ISNUMBER($F999)),IF($D999&gt;$F999,1,0),0)+IF(AND(ISNUMBER($E999),ISNUMBER($F999)),IF($E999&gt;$F999,1,0),0)</f>
        <v>0</v>
      </c>
      <c r="X999" s="13" t="s">
        <v>76</v>
      </c>
    </row>
    <row r="1000" customFormat="false" ht="15" hidden="false" customHeight="false" outlineLevel="0" collapsed="false">
      <c r="A1000" s="10" t="s">
        <v>4162</v>
      </c>
      <c r="B1000" s="10" t="s">
        <v>4163</v>
      </c>
      <c r="C1000" s="11" t="s">
        <v>4154</v>
      </c>
      <c r="D1000" s="12" t="n">
        <v>2812</v>
      </c>
      <c r="E1000" s="12"/>
      <c r="F1000" s="12"/>
      <c r="G1000" s="11" t="s">
        <v>1669</v>
      </c>
      <c r="H1000" s="10" t="s">
        <v>79</v>
      </c>
      <c r="I1000" s="11" t="s">
        <v>4150</v>
      </c>
      <c r="J1000" s="10" t="s">
        <v>66</v>
      </c>
      <c r="K1000" s="10" t="s">
        <v>67</v>
      </c>
      <c r="L1000" s="10" t="s">
        <v>68</v>
      </c>
      <c r="M1000" s="10" t="s">
        <v>69</v>
      </c>
      <c r="N1000" s="10"/>
      <c r="O1000" s="11" t="s">
        <v>441</v>
      </c>
      <c r="P1000" s="10" t="s">
        <v>71</v>
      </c>
      <c r="Q1000" s="11" t="s">
        <v>72</v>
      </c>
      <c r="R1000" s="11" t="s">
        <v>73</v>
      </c>
      <c r="S1000" s="11" t="s">
        <v>74</v>
      </c>
      <c r="T1000" s="11" t="s">
        <v>4155</v>
      </c>
      <c r="U1000" s="10" t="n">
        <f aca="false">IF(AND($D1000="",$E1000="",$F1000=""),1,0)</f>
        <v>0</v>
      </c>
      <c r="V1000" s="10" t="n">
        <f aca="false">IF(OR($I1000="",$I1000="—"),1,0)</f>
        <v>0</v>
      </c>
      <c r="W1000" s="10" t="n">
        <f aca="false">IF(AND(ISNUMBER($D1000),ISNUMBER($E1000)),IF($E1000&gt;$D1000,1,0),0)+IF(AND(ISNUMBER($D1000),ISNUMBER($F1000)),IF($D1000&gt;$F1000,1,0),0)+IF(AND(ISNUMBER($E1000),ISNUMBER($F1000)),IF($E1000&gt;$F1000,1,0),0)</f>
        <v>0</v>
      </c>
      <c r="X1000" s="13" t="s">
        <v>76</v>
      </c>
    </row>
    <row r="1001" customFormat="false" ht="15" hidden="false" customHeight="false" outlineLevel="0" collapsed="false">
      <c r="A1001" s="10" t="s">
        <v>4164</v>
      </c>
      <c r="B1001" s="10" t="s">
        <v>4165</v>
      </c>
      <c r="C1001" s="11" t="s">
        <v>4158</v>
      </c>
      <c r="D1001" s="12" t="n">
        <v>61</v>
      </c>
      <c r="E1001" s="12"/>
      <c r="F1001" s="12"/>
      <c r="G1001" s="11" t="s">
        <v>1669</v>
      </c>
      <c r="H1001" s="10" t="s">
        <v>79</v>
      </c>
      <c r="I1001" s="11" t="s">
        <v>4150</v>
      </c>
      <c r="J1001" s="10" t="s">
        <v>66</v>
      </c>
      <c r="K1001" s="10" t="s">
        <v>67</v>
      </c>
      <c r="L1001" s="10" t="s">
        <v>68</v>
      </c>
      <c r="M1001" s="10" t="s">
        <v>69</v>
      </c>
      <c r="N1001" s="10"/>
      <c r="O1001" s="11" t="s">
        <v>441</v>
      </c>
      <c r="P1001" s="10" t="s">
        <v>71</v>
      </c>
      <c r="Q1001" s="11" t="s">
        <v>72</v>
      </c>
      <c r="R1001" s="11" t="s">
        <v>73</v>
      </c>
      <c r="S1001" s="11" t="s">
        <v>74</v>
      </c>
      <c r="T1001" s="11" t="s">
        <v>4155</v>
      </c>
      <c r="U1001" s="10" t="n">
        <f aca="false">IF(AND($D1001="",$E1001="",$F1001=""),1,0)</f>
        <v>0</v>
      </c>
      <c r="V1001" s="10" t="n">
        <f aca="false">IF(OR($I1001="",$I1001="—"),1,0)</f>
        <v>0</v>
      </c>
      <c r="W1001" s="10" t="n">
        <f aca="false">IF(AND(ISNUMBER($D1001),ISNUMBER($E1001)),IF($E1001&gt;$D1001,1,0),0)+IF(AND(ISNUMBER($D1001),ISNUMBER($F1001)),IF($D1001&gt;$F1001,1,0),0)+IF(AND(ISNUMBER($E1001),ISNUMBER($F1001)),IF($E1001&gt;$F1001,1,0),0)</f>
        <v>0</v>
      </c>
      <c r="X1001" s="13" t="s">
        <v>76</v>
      </c>
    </row>
    <row r="1002" customFormat="false" ht="15" hidden="false" customHeight="false" outlineLevel="0" collapsed="false">
      <c r="A1002" s="10" t="s">
        <v>4166</v>
      </c>
      <c r="B1002" s="10" t="s">
        <v>4167</v>
      </c>
      <c r="C1002" s="11" t="s">
        <v>4149</v>
      </c>
      <c r="D1002" s="12" t="n">
        <v>5580</v>
      </c>
      <c r="E1002" s="12"/>
      <c r="F1002" s="12"/>
      <c r="G1002" s="11" t="s">
        <v>1669</v>
      </c>
      <c r="H1002" s="10" t="s">
        <v>83</v>
      </c>
      <c r="I1002" s="11" t="s">
        <v>4150</v>
      </c>
      <c r="J1002" s="10" t="s">
        <v>66</v>
      </c>
      <c r="K1002" s="10" t="s">
        <v>67</v>
      </c>
      <c r="L1002" s="10" t="s">
        <v>68</v>
      </c>
      <c r="M1002" s="10" t="s">
        <v>69</v>
      </c>
      <c r="N1002" s="10"/>
      <c r="O1002" s="11" t="s">
        <v>441</v>
      </c>
      <c r="P1002" s="10" t="s">
        <v>71</v>
      </c>
      <c r="Q1002" s="11" t="s">
        <v>72</v>
      </c>
      <c r="R1002" s="11" t="s">
        <v>73</v>
      </c>
      <c r="S1002" s="11" t="s">
        <v>74</v>
      </c>
      <c r="T1002" s="11" t="s">
        <v>4168</v>
      </c>
      <c r="U1002" s="10" t="n">
        <f aca="false">IF(AND($D1002="",$E1002="",$F1002=""),1,0)</f>
        <v>0</v>
      </c>
      <c r="V1002" s="10" t="n">
        <f aca="false">IF(OR($I1002="",$I1002="—"),1,0)</f>
        <v>0</v>
      </c>
      <c r="W1002" s="10" t="n">
        <f aca="false">IF(AND(ISNUMBER($D1002),ISNUMBER($E1002)),IF($E1002&gt;$D1002,1,0),0)+IF(AND(ISNUMBER($D1002),ISNUMBER($F1002)),IF($D1002&gt;$F1002,1,0),0)+IF(AND(ISNUMBER($E1002),ISNUMBER($F1002)),IF($E1002&gt;$F1002,1,0),0)</f>
        <v>0</v>
      </c>
      <c r="X1002" s="13" t="s">
        <v>76</v>
      </c>
    </row>
    <row r="1003" customFormat="false" ht="15" hidden="false" customHeight="false" outlineLevel="0" collapsed="false">
      <c r="A1003" s="10" t="s">
        <v>4169</v>
      </c>
      <c r="B1003" s="10" t="s">
        <v>4170</v>
      </c>
      <c r="C1003" s="11" t="s">
        <v>4154</v>
      </c>
      <c r="D1003" s="12" t="n">
        <v>5457</v>
      </c>
      <c r="E1003" s="12"/>
      <c r="F1003" s="12"/>
      <c r="G1003" s="11" t="s">
        <v>1669</v>
      </c>
      <c r="H1003" s="10" t="s">
        <v>83</v>
      </c>
      <c r="I1003" s="11" t="s">
        <v>4150</v>
      </c>
      <c r="J1003" s="10" t="s">
        <v>66</v>
      </c>
      <c r="K1003" s="10" t="s">
        <v>67</v>
      </c>
      <c r="L1003" s="10" t="s">
        <v>68</v>
      </c>
      <c r="M1003" s="10" t="s">
        <v>69</v>
      </c>
      <c r="N1003" s="10"/>
      <c r="O1003" s="11" t="s">
        <v>441</v>
      </c>
      <c r="P1003" s="10" t="s">
        <v>71</v>
      </c>
      <c r="Q1003" s="11" t="s">
        <v>72</v>
      </c>
      <c r="R1003" s="11" t="s">
        <v>73</v>
      </c>
      <c r="S1003" s="11" t="s">
        <v>74</v>
      </c>
      <c r="T1003" s="11" t="s">
        <v>4155</v>
      </c>
      <c r="U1003" s="10" t="n">
        <f aca="false">IF(AND($D1003="",$E1003="",$F1003=""),1,0)</f>
        <v>0</v>
      </c>
      <c r="V1003" s="10" t="n">
        <f aca="false">IF(OR($I1003="",$I1003="—"),1,0)</f>
        <v>0</v>
      </c>
      <c r="W1003" s="10" t="n">
        <f aca="false">IF(AND(ISNUMBER($D1003),ISNUMBER($E1003)),IF($E1003&gt;$D1003,1,0),0)+IF(AND(ISNUMBER($D1003),ISNUMBER($F1003)),IF($D1003&gt;$F1003,1,0),0)+IF(AND(ISNUMBER($E1003),ISNUMBER($F1003)),IF($E1003&gt;$F1003,1,0),0)</f>
        <v>0</v>
      </c>
      <c r="X1003" s="13" t="s">
        <v>76</v>
      </c>
    </row>
    <row r="1004" customFormat="false" ht="15" hidden="false" customHeight="false" outlineLevel="0" collapsed="false">
      <c r="A1004" s="10" t="s">
        <v>4171</v>
      </c>
      <c r="B1004" s="10" t="s">
        <v>4172</v>
      </c>
      <c r="C1004" s="11" t="s">
        <v>4158</v>
      </c>
      <c r="D1004" s="12" t="n">
        <v>123</v>
      </c>
      <c r="E1004" s="12"/>
      <c r="F1004" s="12"/>
      <c r="G1004" s="11" t="s">
        <v>1669</v>
      </c>
      <c r="H1004" s="10" t="s">
        <v>83</v>
      </c>
      <c r="I1004" s="11" t="s">
        <v>4150</v>
      </c>
      <c r="J1004" s="10" t="s">
        <v>66</v>
      </c>
      <c r="K1004" s="10" t="s">
        <v>67</v>
      </c>
      <c r="L1004" s="10" t="s">
        <v>68</v>
      </c>
      <c r="M1004" s="10" t="s">
        <v>69</v>
      </c>
      <c r="N1004" s="10"/>
      <c r="O1004" s="11" t="s">
        <v>441</v>
      </c>
      <c r="P1004" s="10" t="s">
        <v>71</v>
      </c>
      <c r="Q1004" s="11" t="s">
        <v>72</v>
      </c>
      <c r="R1004" s="11" t="s">
        <v>73</v>
      </c>
      <c r="S1004" s="11" t="s">
        <v>74</v>
      </c>
      <c r="T1004" s="11" t="s">
        <v>4155</v>
      </c>
      <c r="U1004" s="10" t="n">
        <f aca="false">IF(AND($D1004="",$E1004="",$F1004=""),1,0)</f>
        <v>0</v>
      </c>
      <c r="V1004" s="10" t="n">
        <f aca="false">IF(OR($I1004="",$I1004="—"),1,0)</f>
        <v>0</v>
      </c>
      <c r="W1004" s="10" t="n">
        <f aca="false">IF(AND(ISNUMBER($D1004),ISNUMBER($E1004)),IF($E1004&gt;$D1004,1,0),0)+IF(AND(ISNUMBER($D1004),ISNUMBER($F1004)),IF($D1004&gt;$F1004,1,0),0)+IF(AND(ISNUMBER($E1004),ISNUMBER($F1004)),IF($E1004&gt;$F1004,1,0),0)</f>
        <v>0</v>
      </c>
      <c r="X1004" s="13" t="s">
        <v>76</v>
      </c>
    </row>
    <row r="1005" customFormat="false" ht="15" hidden="false" customHeight="false" outlineLevel="0" collapsed="false">
      <c r="A1005" s="10" t="s">
        <v>4173</v>
      </c>
      <c r="B1005" s="10" t="s">
        <v>4174</v>
      </c>
      <c r="C1005" s="11" t="s">
        <v>4149</v>
      </c>
      <c r="D1005" s="12" t="n">
        <v>3156</v>
      </c>
      <c r="E1005" s="12"/>
      <c r="F1005" s="12"/>
      <c r="G1005" s="11" t="s">
        <v>1669</v>
      </c>
      <c r="H1005" s="10" t="s">
        <v>92</v>
      </c>
      <c r="I1005" s="11" t="s">
        <v>4150</v>
      </c>
      <c r="J1005" s="10" t="s">
        <v>66</v>
      </c>
      <c r="K1005" s="10" t="s">
        <v>67</v>
      </c>
      <c r="L1005" s="10" t="s">
        <v>68</v>
      </c>
      <c r="M1005" s="10" t="s">
        <v>69</v>
      </c>
      <c r="N1005" s="10"/>
      <c r="O1005" s="11" t="s">
        <v>441</v>
      </c>
      <c r="P1005" s="10" t="s">
        <v>71</v>
      </c>
      <c r="Q1005" s="11" t="s">
        <v>72</v>
      </c>
      <c r="R1005" s="11" t="s">
        <v>73</v>
      </c>
      <c r="S1005" s="11" t="s">
        <v>74</v>
      </c>
      <c r="T1005" s="11" t="s">
        <v>4175</v>
      </c>
      <c r="U1005" s="10" t="n">
        <f aca="false">IF(AND($D1005="",$E1005="",$F1005=""),1,0)</f>
        <v>0</v>
      </c>
      <c r="V1005" s="10" t="n">
        <f aca="false">IF(OR($I1005="",$I1005="—"),1,0)</f>
        <v>0</v>
      </c>
      <c r="W1005" s="10" t="n">
        <f aca="false">IF(AND(ISNUMBER($D1005),ISNUMBER($E1005)),IF($E1005&gt;$D1005,1,0),0)+IF(AND(ISNUMBER($D1005),ISNUMBER($F1005)),IF($D1005&gt;$F1005,1,0),0)+IF(AND(ISNUMBER($E1005),ISNUMBER($F1005)),IF($E1005&gt;$F1005,1,0),0)</f>
        <v>0</v>
      </c>
      <c r="X1005" s="13" t="s">
        <v>76</v>
      </c>
    </row>
    <row r="1006" customFormat="false" ht="15" hidden="false" customHeight="false" outlineLevel="0" collapsed="false">
      <c r="A1006" s="10" t="s">
        <v>4176</v>
      </c>
      <c r="B1006" s="10" t="s">
        <v>4177</v>
      </c>
      <c r="C1006" s="11" t="s">
        <v>4154</v>
      </c>
      <c r="D1006" s="12" t="n">
        <v>3061</v>
      </c>
      <c r="E1006" s="12"/>
      <c r="F1006" s="12"/>
      <c r="G1006" s="11" t="s">
        <v>1669</v>
      </c>
      <c r="H1006" s="10" t="s">
        <v>92</v>
      </c>
      <c r="I1006" s="11" t="s">
        <v>4150</v>
      </c>
      <c r="J1006" s="10" t="s">
        <v>66</v>
      </c>
      <c r="K1006" s="10" t="s">
        <v>67</v>
      </c>
      <c r="L1006" s="10" t="s">
        <v>68</v>
      </c>
      <c r="M1006" s="10" t="s">
        <v>69</v>
      </c>
      <c r="N1006" s="10"/>
      <c r="O1006" s="11" t="s">
        <v>441</v>
      </c>
      <c r="P1006" s="10" t="s">
        <v>71</v>
      </c>
      <c r="Q1006" s="11" t="s">
        <v>72</v>
      </c>
      <c r="R1006" s="11" t="s">
        <v>73</v>
      </c>
      <c r="S1006" s="11" t="s">
        <v>74</v>
      </c>
      <c r="T1006" s="11" t="s">
        <v>4155</v>
      </c>
      <c r="U1006" s="10" t="n">
        <f aca="false">IF(AND($D1006="",$E1006="",$F1006=""),1,0)</f>
        <v>0</v>
      </c>
      <c r="V1006" s="10" t="n">
        <f aca="false">IF(OR($I1006="",$I1006="—"),1,0)</f>
        <v>0</v>
      </c>
      <c r="W1006" s="10" t="n">
        <f aca="false">IF(AND(ISNUMBER($D1006),ISNUMBER($E1006)),IF($E1006&gt;$D1006,1,0),0)+IF(AND(ISNUMBER($D1006),ISNUMBER($F1006)),IF($D1006&gt;$F1006,1,0),0)+IF(AND(ISNUMBER($E1006),ISNUMBER($F1006)),IF($E1006&gt;$F1006,1,0),0)</f>
        <v>0</v>
      </c>
      <c r="X1006" s="13" t="s">
        <v>76</v>
      </c>
    </row>
    <row r="1007" customFormat="false" ht="15" hidden="false" customHeight="false" outlineLevel="0" collapsed="false">
      <c r="A1007" s="10" t="s">
        <v>4178</v>
      </c>
      <c r="B1007" s="10" t="s">
        <v>4179</v>
      </c>
      <c r="C1007" s="11" t="s">
        <v>4158</v>
      </c>
      <c r="D1007" s="12" t="n">
        <v>95</v>
      </c>
      <c r="E1007" s="12"/>
      <c r="F1007" s="12"/>
      <c r="G1007" s="11" t="s">
        <v>1669</v>
      </c>
      <c r="H1007" s="10" t="s">
        <v>92</v>
      </c>
      <c r="I1007" s="11" t="s">
        <v>4150</v>
      </c>
      <c r="J1007" s="10" t="s">
        <v>66</v>
      </c>
      <c r="K1007" s="10" t="s">
        <v>67</v>
      </c>
      <c r="L1007" s="10" t="s">
        <v>68</v>
      </c>
      <c r="M1007" s="10" t="s">
        <v>69</v>
      </c>
      <c r="N1007" s="10"/>
      <c r="O1007" s="11" t="s">
        <v>441</v>
      </c>
      <c r="P1007" s="10" t="s">
        <v>71</v>
      </c>
      <c r="Q1007" s="11" t="s">
        <v>72</v>
      </c>
      <c r="R1007" s="11" t="s">
        <v>73</v>
      </c>
      <c r="S1007" s="11" t="s">
        <v>74</v>
      </c>
      <c r="T1007" s="11" t="s">
        <v>4155</v>
      </c>
      <c r="U1007" s="10" t="n">
        <f aca="false">IF(AND($D1007="",$E1007="",$F1007=""),1,0)</f>
        <v>0</v>
      </c>
      <c r="V1007" s="10" t="n">
        <f aca="false">IF(OR($I1007="",$I1007="—"),1,0)</f>
        <v>0</v>
      </c>
      <c r="W1007" s="10" t="n">
        <f aca="false">IF(AND(ISNUMBER($D1007),ISNUMBER($E1007)),IF($E1007&gt;$D1007,1,0),0)+IF(AND(ISNUMBER($D1007),ISNUMBER($F1007)),IF($D1007&gt;$F1007,1,0),0)+IF(AND(ISNUMBER($E1007),ISNUMBER($F1007)),IF($E1007&gt;$F1007,1,0),0)</f>
        <v>0</v>
      </c>
      <c r="X1007" s="13" t="s">
        <v>76</v>
      </c>
    </row>
    <row r="1008" customFormat="false" ht="15" hidden="false" customHeight="false" outlineLevel="0" collapsed="false">
      <c r="A1008" s="10" t="s">
        <v>4180</v>
      </c>
      <c r="B1008" s="10" t="s">
        <v>4181</v>
      </c>
      <c r="C1008" s="11" t="s">
        <v>4182</v>
      </c>
      <c r="D1008" s="12" t="n">
        <v>45</v>
      </c>
      <c r="E1008" s="12"/>
      <c r="F1008" s="12"/>
      <c r="G1008" s="11" t="s">
        <v>4183</v>
      </c>
      <c r="H1008" s="10" t="s">
        <v>440</v>
      </c>
      <c r="I1008" s="11" t="s">
        <v>4184</v>
      </c>
      <c r="J1008" s="10" t="s">
        <v>66</v>
      </c>
      <c r="K1008" s="10" t="s">
        <v>67</v>
      </c>
      <c r="L1008" s="10" t="s">
        <v>68</v>
      </c>
      <c r="M1008" s="10" t="s">
        <v>416</v>
      </c>
      <c r="N1008" s="11" t="s">
        <v>4145</v>
      </c>
      <c r="O1008" s="11" t="s">
        <v>441</v>
      </c>
      <c r="P1008" s="10" t="s">
        <v>71</v>
      </c>
      <c r="Q1008" s="11" t="s">
        <v>72</v>
      </c>
      <c r="R1008" s="11" t="s">
        <v>4145</v>
      </c>
      <c r="S1008" s="11" t="s">
        <v>74</v>
      </c>
      <c r="T1008" s="11" t="s">
        <v>4185</v>
      </c>
      <c r="U1008" s="10" t="n">
        <f aca="false">IF(AND($D1008="",$E1008="",$F1008=""),1,0)</f>
        <v>0</v>
      </c>
      <c r="V1008" s="10" t="n">
        <f aca="false">IF(OR($I1008="",$I1008="—"),1,0)</f>
        <v>0</v>
      </c>
      <c r="W1008" s="10" t="n">
        <f aca="false">IF(AND(ISNUMBER($D1008),ISNUMBER($E1008)),IF($E1008&gt;$D1008,1,0),0)+IF(AND(ISNUMBER($D1008),ISNUMBER($F1008)),IF($D1008&gt;$F1008,1,0),0)+IF(AND(ISNUMBER($E1008),ISNUMBER($F1008)),IF($E1008&gt;$F1008,1,0),0)</f>
        <v>0</v>
      </c>
      <c r="X1008" s="13" t="s">
        <v>76</v>
      </c>
    </row>
    <row r="1009" customFormat="false" ht="15" hidden="false" customHeight="false" outlineLevel="0" collapsed="false">
      <c r="A1009" s="10" t="s">
        <v>4186</v>
      </c>
      <c r="B1009" s="10" t="s">
        <v>4187</v>
      </c>
      <c r="C1009" s="10" t="s">
        <v>4188</v>
      </c>
      <c r="D1009" s="12" t="n">
        <v>100</v>
      </c>
      <c r="E1009" s="12"/>
      <c r="F1009" s="12"/>
      <c r="G1009" s="11" t="s">
        <v>4189</v>
      </c>
      <c r="H1009" s="10" t="s">
        <v>440</v>
      </c>
      <c r="I1009" s="11" t="s">
        <v>4150</v>
      </c>
      <c r="J1009" s="10" t="s">
        <v>66</v>
      </c>
      <c r="K1009" s="10" t="s">
        <v>67</v>
      </c>
      <c r="L1009" s="10" t="s">
        <v>68</v>
      </c>
      <c r="M1009" s="10" t="s">
        <v>416</v>
      </c>
      <c r="N1009" s="11" t="s">
        <v>4145</v>
      </c>
      <c r="O1009" s="11" t="s">
        <v>441</v>
      </c>
      <c r="P1009" s="10" t="s">
        <v>71</v>
      </c>
      <c r="Q1009" s="11" t="s">
        <v>72</v>
      </c>
      <c r="R1009" s="11" t="s">
        <v>4145</v>
      </c>
      <c r="S1009" s="11" t="s">
        <v>74</v>
      </c>
      <c r="T1009" s="11" t="s">
        <v>4190</v>
      </c>
      <c r="U1009" s="10" t="n">
        <f aca="false">IF(AND($D1009="",$E1009="",$F1009=""),1,0)</f>
        <v>0</v>
      </c>
      <c r="V1009" s="10" t="n">
        <f aca="false">IF(OR($I1009="",$I1009="—"),1,0)</f>
        <v>0</v>
      </c>
      <c r="W1009" s="10" t="n">
        <f aca="false">IF(AND(ISNUMBER($D1009),ISNUMBER($E1009)),IF($E1009&gt;$D1009,1,0),0)+IF(AND(ISNUMBER($D1009),ISNUMBER($F1009)),IF($D1009&gt;$F1009,1,0),0)+IF(AND(ISNUMBER($E1009),ISNUMBER($F1009)),IF($E1009&gt;$F1009,1,0),0)</f>
        <v>0</v>
      </c>
      <c r="X1009" s="13" t="s">
        <v>76</v>
      </c>
    </row>
    <row r="1010" customFormat="false" ht="15" hidden="false" customHeight="false" outlineLevel="0" collapsed="false">
      <c r="A1010" s="10" t="s">
        <v>4191</v>
      </c>
      <c r="B1010" s="10" t="s">
        <v>4192</v>
      </c>
      <c r="C1010" s="10" t="s">
        <v>4193</v>
      </c>
      <c r="D1010" s="12" t="n">
        <v>60</v>
      </c>
      <c r="E1010" s="12"/>
      <c r="F1010" s="12"/>
      <c r="G1010" s="10" t="s">
        <v>4194</v>
      </c>
      <c r="H1010" s="10" t="s">
        <v>4195</v>
      </c>
      <c r="I1010" s="11" t="s">
        <v>4144</v>
      </c>
      <c r="J1010" s="10" t="s">
        <v>66</v>
      </c>
      <c r="K1010" s="10" t="s">
        <v>67</v>
      </c>
      <c r="L1010" s="10" t="s">
        <v>68</v>
      </c>
      <c r="M1010" s="10" t="s">
        <v>416</v>
      </c>
      <c r="N1010" s="11" t="s">
        <v>4145</v>
      </c>
      <c r="O1010" s="11" t="s">
        <v>4196</v>
      </c>
      <c r="P1010" s="10" t="s">
        <v>71</v>
      </c>
      <c r="Q1010" s="11" t="s">
        <v>72</v>
      </c>
      <c r="R1010" s="11" t="s">
        <v>4145</v>
      </c>
      <c r="S1010" s="11" t="s">
        <v>74</v>
      </c>
      <c r="T1010" s="11" t="s">
        <v>4197</v>
      </c>
      <c r="U1010" s="10" t="n">
        <f aca="false">IF(AND($D1010="",$E1010="",$F1010=""),1,0)</f>
        <v>0</v>
      </c>
      <c r="V1010" s="10" t="n">
        <f aca="false">IF(OR($I1010="",$I1010="—"),1,0)</f>
        <v>0</v>
      </c>
      <c r="W1010" s="10" t="n">
        <f aca="false">IF(AND(ISNUMBER($D1010),ISNUMBER($E1010)),IF($E1010&gt;$D1010,1,0),0)+IF(AND(ISNUMBER($D1010),ISNUMBER($F1010)),IF($D1010&gt;$F1010,1,0),0)+IF(AND(ISNUMBER($E1010),ISNUMBER($F1010)),IF($E1010&gt;$F1010,1,0),0)</f>
        <v>0</v>
      </c>
      <c r="X1010" s="13" t="s">
        <v>76</v>
      </c>
    </row>
    <row r="1011" customFormat="false" ht="15" hidden="false" customHeight="false" outlineLevel="0" collapsed="false">
      <c r="A1011" s="10" t="s">
        <v>4198</v>
      </c>
      <c r="B1011" s="10" t="s">
        <v>4199</v>
      </c>
      <c r="C1011" s="11" t="s">
        <v>1799</v>
      </c>
      <c r="D1011" s="12" t="n">
        <v>0.7653</v>
      </c>
      <c r="E1011" s="12"/>
      <c r="F1011" s="12"/>
      <c r="G1011" s="10" t="s">
        <v>63</v>
      </c>
      <c r="H1011" s="10" t="s">
        <v>92</v>
      </c>
      <c r="I1011" s="11" t="s">
        <v>4200</v>
      </c>
      <c r="J1011" s="10" t="s">
        <v>66</v>
      </c>
      <c r="K1011" s="10" t="s">
        <v>67</v>
      </c>
      <c r="L1011" s="10" t="s">
        <v>68</v>
      </c>
      <c r="M1011" s="10" t="s">
        <v>69</v>
      </c>
      <c r="N1011" s="10"/>
      <c r="O1011" s="11" t="s">
        <v>2865</v>
      </c>
      <c r="P1011" s="10" t="s">
        <v>71</v>
      </c>
      <c r="Q1011" s="11" t="s">
        <v>72</v>
      </c>
      <c r="R1011" s="11" t="s">
        <v>73</v>
      </c>
      <c r="S1011" s="11" t="s">
        <v>74</v>
      </c>
      <c r="T1011" s="11" t="s">
        <v>4201</v>
      </c>
      <c r="U1011" s="10" t="n">
        <f aca="false">IF(AND($D1011="",$E1011="",$F1011=""),1,0)</f>
        <v>0</v>
      </c>
      <c r="V1011" s="10" t="n">
        <f aca="false">IF(OR($I1011="",$I1011="—"),1,0)</f>
        <v>0</v>
      </c>
      <c r="W1011" s="10" t="n">
        <f aca="false">IF(AND(ISNUMBER($D1011),ISNUMBER($E1011)),IF($E1011&gt;$D1011,1,0),0)+IF(AND(ISNUMBER($D1011),ISNUMBER($F1011)),IF($D1011&gt;$F1011,1,0),0)+IF(AND(ISNUMBER($E1011),ISNUMBER($F1011)),IF($E1011&gt;$F1011,1,0),0)</f>
        <v>0</v>
      </c>
      <c r="X1011" s="13" t="s">
        <v>76</v>
      </c>
    </row>
    <row r="1012" customFormat="false" ht="15" hidden="false" customHeight="false" outlineLevel="0" collapsed="false">
      <c r="A1012" s="10" t="s">
        <v>4202</v>
      </c>
      <c r="B1012" s="10" t="s">
        <v>4203</v>
      </c>
      <c r="C1012" s="11" t="s">
        <v>1799</v>
      </c>
      <c r="D1012" s="12" t="n">
        <v>1.4219</v>
      </c>
      <c r="E1012" s="12"/>
      <c r="F1012" s="12"/>
      <c r="G1012" s="10" t="s">
        <v>63</v>
      </c>
      <c r="H1012" s="10" t="s">
        <v>83</v>
      </c>
      <c r="I1012" s="11" t="s">
        <v>4200</v>
      </c>
      <c r="J1012" s="10" t="s">
        <v>66</v>
      </c>
      <c r="K1012" s="10" t="s">
        <v>67</v>
      </c>
      <c r="L1012" s="10" t="s">
        <v>68</v>
      </c>
      <c r="M1012" s="10" t="s">
        <v>69</v>
      </c>
      <c r="N1012" s="10"/>
      <c r="O1012" s="11" t="s">
        <v>2851</v>
      </c>
      <c r="P1012" s="10" t="s">
        <v>71</v>
      </c>
      <c r="Q1012" s="11" t="s">
        <v>72</v>
      </c>
      <c r="R1012" s="11" t="s">
        <v>73</v>
      </c>
      <c r="S1012" s="11" t="s">
        <v>74</v>
      </c>
      <c r="T1012" s="11" t="s">
        <v>4204</v>
      </c>
      <c r="U1012" s="10" t="n">
        <f aca="false">IF(AND($D1012="",$E1012="",$F1012=""),1,0)</f>
        <v>0</v>
      </c>
      <c r="V1012" s="10" t="n">
        <f aca="false">IF(OR($I1012="",$I1012="—"),1,0)</f>
        <v>0</v>
      </c>
      <c r="W1012" s="10" t="n">
        <f aca="false">IF(AND(ISNUMBER($D1012),ISNUMBER($E1012)),IF($E1012&gt;$D1012,1,0),0)+IF(AND(ISNUMBER($D1012),ISNUMBER($F1012)),IF($D1012&gt;$F1012,1,0),0)+IF(AND(ISNUMBER($E1012),ISNUMBER($F1012)),IF($E1012&gt;$F1012,1,0),0)</f>
        <v>0</v>
      </c>
      <c r="X1012" s="13" t="s">
        <v>76</v>
      </c>
    </row>
    <row r="1013" customFormat="false" ht="15" hidden="false" customHeight="false" outlineLevel="0" collapsed="false">
      <c r="A1013" s="10" t="s">
        <v>4205</v>
      </c>
      <c r="B1013" s="10" t="s">
        <v>4206</v>
      </c>
      <c r="C1013" s="11" t="s">
        <v>1799</v>
      </c>
      <c r="D1013" s="12" t="n">
        <v>0.7663</v>
      </c>
      <c r="E1013" s="12"/>
      <c r="F1013" s="12"/>
      <c r="G1013" s="10" t="s">
        <v>63</v>
      </c>
      <c r="H1013" s="10" t="s">
        <v>79</v>
      </c>
      <c r="I1013" s="11" t="s">
        <v>4200</v>
      </c>
      <c r="J1013" s="10" t="s">
        <v>66</v>
      </c>
      <c r="K1013" s="10" t="s">
        <v>67</v>
      </c>
      <c r="L1013" s="10" t="s">
        <v>68</v>
      </c>
      <c r="M1013" s="10" t="s">
        <v>69</v>
      </c>
      <c r="N1013" s="10"/>
      <c r="O1013" s="11" t="s">
        <v>2851</v>
      </c>
      <c r="P1013" s="10" t="s">
        <v>71</v>
      </c>
      <c r="Q1013" s="11" t="s">
        <v>72</v>
      </c>
      <c r="R1013" s="11" t="s">
        <v>73</v>
      </c>
      <c r="S1013" s="11" t="s">
        <v>74</v>
      </c>
      <c r="T1013" s="11" t="s">
        <v>4207</v>
      </c>
      <c r="U1013" s="10" t="n">
        <f aca="false">IF(AND($D1013="",$E1013="",$F1013=""),1,0)</f>
        <v>0</v>
      </c>
      <c r="V1013" s="10" t="n">
        <f aca="false">IF(OR($I1013="",$I1013="—"),1,0)</f>
        <v>0</v>
      </c>
      <c r="W1013" s="10" t="n">
        <f aca="false">IF(AND(ISNUMBER($D1013),ISNUMBER($E1013)),IF($E1013&gt;$D1013,1,0),0)+IF(AND(ISNUMBER($D1013),ISNUMBER($F1013)),IF($D1013&gt;$F1013,1,0),0)+IF(AND(ISNUMBER($E1013),ISNUMBER($F1013)),IF($E1013&gt;$F1013,1,0),0)</f>
        <v>0</v>
      </c>
      <c r="X1013" s="13" t="s">
        <v>76</v>
      </c>
    </row>
    <row r="1014" customFormat="false" ht="15" hidden="false" customHeight="false" outlineLevel="0" collapsed="false">
      <c r="A1014" s="10" t="s">
        <v>4208</v>
      </c>
      <c r="B1014" s="10" t="s">
        <v>4209</v>
      </c>
      <c r="C1014" s="11" t="s">
        <v>1799</v>
      </c>
      <c r="D1014" s="12" t="n">
        <v>0.3182</v>
      </c>
      <c r="E1014" s="12"/>
      <c r="F1014" s="12"/>
      <c r="G1014" s="10" t="s">
        <v>63</v>
      </c>
      <c r="H1014" s="10" t="s">
        <v>64</v>
      </c>
      <c r="I1014" s="11" t="s">
        <v>4200</v>
      </c>
      <c r="J1014" s="10" t="s">
        <v>66</v>
      </c>
      <c r="K1014" s="10" t="s">
        <v>67</v>
      </c>
      <c r="L1014" s="10" t="s">
        <v>68</v>
      </c>
      <c r="M1014" s="10" t="s">
        <v>69</v>
      </c>
      <c r="N1014" s="10"/>
      <c r="O1014" s="11" t="s">
        <v>2851</v>
      </c>
      <c r="P1014" s="10" t="s">
        <v>71</v>
      </c>
      <c r="Q1014" s="11" t="s">
        <v>72</v>
      </c>
      <c r="R1014" s="11" t="s">
        <v>73</v>
      </c>
      <c r="S1014" s="11" t="s">
        <v>74</v>
      </c>
      <c r="T1014" s="11" t="s">
        <v>4210</v>
      </c>
      <c r="U1014" s="10" t="n">
        <f aca="false">IF(AND($D1014="",$E1014="",$F1014=""),1,0)</f>
        <v>0</v>
      </c>
      <c r="V1014" s="10" t="n">
        <f aca="false">IF(OR($I1014="",$I1014="—"),1,0)</f>
        <v>0</v>
      </c>
      <c r="W1014" s="10" t="n">
        <f aca="false">IF(AND(ISNUMBER($D1014),ISNUMBER($E1014)),IF($E1014&gt;$D1014,1,0),0)+IF(AND(ISNUMBER($D1014),ISNUMBER($F1014)),IF($D1014&gt;$F1014,1,0),0)+IF(AND(ISNUMBER($E1014),ISNUMBER($F1014)),IF($E1014&gt;$F1014,1,0),0)</f>
        <v>0</v>
      </c>
      <c r="X1014" s="13" t="s">
        <v>76</v>
      </c>
    </row>
    <row r="1015" customFormat="false" ht="15" hidden="false" customHeight="false" outlineLevel="0" collapsed="false">
      <c r="A1015" s="10" t="s">
        <v>4211</v>
      </c>
      <c r="B1015" s="10" t="s">
        <v>4212</v>
      </c>
      <c r="C1015" s="10" t="s">
        <v>4213</v>
      </c>
      <c r="D1015" s="12" t="n">
        <v>0.2098</v>
      </c>
      <c r="E1015" s="12"/>
      <c r="F1015" s="12"/>
      <c r="G1015" s="10" t="s">
        <v>63</v>
      </c>
      <c r="H1015" s="10" t="s">
        <v>92</v>
      </c>
      <c r="I1015" s="11" t="s">
        <v>4214</v>
      </c>
      <c r="J1015" s="10" t="s">
        <v>66</v>
      </c>
      <c r="K1015" s="10" t="s">
        <v>67</v>
      </c>
      <c r="L1015" s="10" t="s">
        <v>68</v>
      </c>
      <c r="M1015" s="10" t="s">
        <v>69</v>
      </c>
      <c r="N1015" s="10"/>
      <c r="O1015" s="11" t="s">
        <v>2865</v>
      </c>
      <c r="P1015" s="10" t="s">
        <v>71</v>
      </c>
      <c r="Q1015" s="11" t="s">
        <v>72</v>
      </c>
      <c r="R1015" s="11" t="s">
        <v>73</v>
      </c>
      <c r="S1015" s="11" t="s">
        <v>74</v>
      </c>
      <c r="T1015" s="11" t="s">
        <v>4215</v>
      </c>
      <c r="U1015" s="10" t="n">
        <f aca="false">IF(AND($D1015="",$E1015="",$F1015=""),1,0)</f>
        <v>0</v>
      </c>
      <c r="V1015" s="10" t="n">
        <f aca="false">IF(OR($I1015="",$I1015="—"),1,0)</f>
        <v>0</v>
      </c>
      <c r="W1015" s="10" t="n">
        <f aca="false">IF(AND(ISNUMBER($D1015),ISNUMBER($E1015)),IF($E1015&gt;$D1015,1,0),0)+IF(AND(ISNUMBER($D1015),ISNUMBER($F1015)),IF($D1015&gt;$F1015,1,0),0)+IF(AND(ISNUMBER($E1015),ISNUMBER($F1015)),IF($E1015&gt;$F1015,1,0),0)</f>
        <v>0</v>
      </c>
      <c r="X1015" s="13" t="s">
        <v>76</v>
      </c>
    </row>
    <row r="1016" customFormat="false" ht="15" hidden="false" customHeight="false" outlineLevel="0" collapsed="false">
      <c r="A1016" s="10" t="s">
        <v>4216</v>
      </c>
      <c r="B1016" s="10" t="s">
        <v>4217</v>
      </c>
      <c r="C1016" s="10" t="s">
        <v>4218</v>
      </c>
      <c r="D1016" s="12" t="n">
        <v>0.5947</v>
      </c>
      <c r="E1016" s="12"/>
      <c r="F1016" s="12"/>
      <c r="G1016" s="10" t="s">
        <v>63</v>
      </c>
      <c r="H1016" s="10" t="s">
        <v>83</v>
      </c>
      <c r="I1016" s="11" t="s">
        <v>4214</v>
      </c>
      <c r="J1016" s="10" t="s">
        <v>66</v>
      </c>
      <c r="K1016" s="10" t="s">
        <v>67</v>
      </c>
      <c r="L1016" s="10" t="s">
        <v>68</v>
      </c>
      <c r="M1016" s="10" t="s">
        <v>69</v>
      </c>
      <c r="N1016" s="10"/>
      <c r="O1016" s="11" t="s">
        <v>2851</v>
      </c>
      <c r="P1016" s="10" t="s">
        <v>71</v>
      </c>
      <c r="Q1016" s="11" t="s">
        <v>72</v>
      </c>
      <c r="R1016" s="11" t="s">
        <v>73</v>
      </c>
      <c r="S1016" s="11" t="s">
        <v>74</v>
      </c>
      <c r="T1016" s="11" t="s">
        <v>4219</v>
      </c>
      <c r="U1016" s="10" t="n">
        <f aca="false">IF(AND($D1016="",$E1016="",$F1016=""),1,0)</f>
        <v>0</v>
      </c>
      <c r="V1016" s="10" t="n">
        <f aca="false">IF(OR($I1016="",$I1016="—"),1,0)</f>
        <v>0</v>
      </c>
      <c r="W1016" s="10" t="n">
        <f aca="false">IF(AND(ISNUMBER($D1016),ISNUMBER($E1016)),IF($E1016&gt;$D1016,1,0),0)+IF(AND(ISNUMBER($D1016),ISNUMBER($F1016)),IF($D1016&gt;$F1016,1,0),0)+IF(AND(ISNUMBER($E1016),ISNUMBER($F1016)),IF($E1016&gt;$F1016,1,0),0)</f>
        <v>0</v>
      </c>
      <c r="X1016" s="13" t="s">
        <v>76</v>
      </c>
    </row>
    <row r="1017" customFormat="false" ht="15" hidden="false" customHeight="false" outlineLevel="0" collapsed="false">
      <c r="A1017" s="10" t="s">
        <v>4220</v>
      </c>
      <c r="B1017" s="10" t="s">
        <v>4221</v>
      </c>
      <c r="C1017" s="11" t="s">
        <v>4222</v>
      </c>
      <c r="D1017" s="12" t="n">
        <v>74.9</v>
      </c>
      <c r="E1017" s="12"/>
      <c r="F1017" s="12"/>
      <c r="G1017" s="10" t="s">
        <v>401</v>
      </c>
      <c r="H1017" s="10" t="s">
        <v>3443</v>
      </c>
      <c r="I1017" s="11" t="s">
        <v>4223</v>
      </c>
      <c r="J1017" s="10" t="s">
        <v>66</v>
      </c>
      <c r="K1017" s="10" t="s">
        <v>67</v>
      </c>
      <c r="L1017" s="10" t="s">
        <v>68</v>
      </c>
      <c r="M1017" s="10" t="s">
        <v>69</v>
      </c>
      <c r="N1017" s="10"/>
      <c r="O1017" s="11" t="s">
        <v>3422</v>
      </c>
      <c r="P1017" s="10" t="s">
        <v>71</v>
      </c>
      <c r="Q1017" s="11" t="s">
        <v>72</v>
      </c>
      <c r="R1017" s="11" t="s">
        <v>73</v>
      </c>
      <c r="S1017" s="11" t="s">
        <v>74</v>
      </c>
      <c r="T1017" s="11" t="s">
        <v>4224</v>
      </c>
      <c r="U1017" s="10" t="n">
        <f aca="false">IF(AND($D1017="",$E1017="",$F1017=""),1,0)</f>
        <v>0</v>
      </c>
      <c r="V1017" s="10" t="n">
        <f aca="false">IF(OR($I1017="",$I1017="—"),1,0)</f>
        <v>0</v>
      </c>
      <c r="W1017" s="10" t="n">
        <f aca="false">IF(AND(ISNUMBER($D1017),ISNUMBER($E1017)),IF($E1017&gt;$D1017,1,0),0)+IF(AND(ISNUMBER($D1017),ISNUMBER($F1017)),IF($D1017&gt;$F1017,1,0),0)+IF(AND(ISNUMBER($E1017),ISNUMBER($F1017)),IF($E1017&gt;$F1017,1,0),0)</f>
        <v>0</v>
      </c>
      <c r="X1017" s="13" t="s">
        <v>76</v>
      </c>
    </row>
    <row r="1018" customFormat="false" ht="15" hidden="false" customHeight="false" outlineLevel="0" collapsed="false">
      <c r="A1018" s="10" t="s">
        <v>4225</v>
      </c>
      <c r="B1018" s="10" t="s">
        <v>4226</v>
      </c>
      <c r="C1018" s="11" t="s">
        <v>4222</v>
      </c>
      <c r="D1018" s="12" t="n">
        <v>75.3</v>
      </c>
      <c r="E1018" s="12"/>
      <c r="F1018" s="12"/>
      <c r="G1018" s="10" t="s">
        <v>401</v>
      </c>
      <c r="H1018" s="10" t="s">
        <v>3448</v>
      </c>
      <c r="I1018" s="11" t="s">
        <v>4223</v>
      </c>
      <c r="J1018" s="10" t="s">
        <v>66</v>
      </c>
      <c r="K1018" s="10" t="s">
        <v>67</v>
      </c>
      <c r="L1018" s="10" t="s">
        <v>68</v>
      </c>
      <c r="M1018" s="10" t="s">
        <v>69</v>
      </c>
      <c r="N1018" s="10"/>
      <c r="O1018" s="11" t="s">
        <v>3422</v>
      </c>
      <c r="P1018" s="10" t="s">
        <v>71</v>
      </c>
      <c r="Q1018" s="11" t="s">
        <v>72</v>
      </c>
      <c r="R1018" s="11" t="s">
        <v>73</v>
      </c>
      <c r="S1018" s="11" t="s">
        <v>74</v>
      </c>
      <c r="T1018" s="11" t="s">
        <v>4224</v>
      </c>
      <c r="U1018" s="10" t="n">
        <f aca="false">IF(AND($D1018="",$E1018="",$F1018=""),1,0)</f>
        <v>0</v>
      </c>
      <c r="V1018" s="10" t="n">
        <f aca="false">IF(OR($I1018="",$I1018="—"),1,0)</f>
        <v>0</v>
      </c>
      <c r="W1018" s="10" t="n">
        <f aca="false">IF(AND(ISNUMBER($D1018),ISNUMBER($E1018)),IF($E1018&gt;$D1018,1,0),0)+IF(AND(ISNUMBER($D1018),ISNUMBER($F1018)),IF($D1018&gt;$F1018,1,0),0)+IF(AND(ISNUMBER($E1018),ISNUMBER($F1018)),IF($E1018&gt;$F1018,1,0),0)</f>
        <v>0</v>
      </c>
      <c r="X1018" s="13" t="s">
        <v>76</v>
      </c>
    </row>
    <row r="1019" customFormat="false" ht="15" hidden="false" customHeight="false" outlineLevel="0" collapsed="false">
      <c r="A1019" s="10" t="s">
        <v>4227</v>
      </c>
      <c r="B1019" s="10" t="s">
        <v>4228</v>
      </c>
      <c r="C1019" s="11" t="s">
        <v>4222</v>
      </c>
      <c r="D1019" s="12" t="n">
        <v>50.9</v>
      </c>
      <c r="E1019" s="12"/>
      <c r="F1019" s="12"/>
      <c r="G1019" s="10" t="s">
        <v>401</v>
      </c>
      <c r="H1019" s="10" t="s">
        <v>3452</v>
      </c>
      <c r="I1019" s="11" t="s">
        <v>4223</v>
      </c>
      <c r="J1019" s="10" t="s">
        <v>66</v>
      </c>
      <c r="K1019" s="10" t="s">
        <v>67</v>
      </c>
      <c r="L1019" s="10" t="s">
        <v>68</v>
      </c>
      <c r="M1019" s="10" t="s">
        <v>69</v>
      </c>
      <c r="N1019" s="10"/>
      <c r="O1019" s="11" t="s">
        <v>3422</v>
      </c>
      <c r="P1019" s="10" t="s">
        <v>71</v>
      </c>
      <c r="Q1019" s="11" t="s">
        <v>72</v>
      </c>
      <c r="R1019" s="11" t="s">
        <v>73</v>
      </c>
      <c r="S1019" s="11" t="s">
        <v>74</v>
      </c>
      <c r="T1019" s="11" t="s">
        <v>4224</v>
      </c>
      <c r="U1019" s="10" t="n">
        <f aca="false">IF(AND($D1019="",$E1019="",$F1019=""),1,0)</f>
        <v>0</v>
      </c>
      <c r="V1019" s="10" t="n">
        <f aca="false">IF(OR($I1019="",$I1019="—"),1,0)</f>
        <v>0</v>
      </c>
      <c r="W1019" s="10" t="n">
        <f aca="false">IF(AND(ISNUMBER($D1019),ISNUMBER($E1019)),IF($E1019&gt;$D1019,1,0),0)+IF(AND(ISNUMBER($D1019),ISNUMBER($F1019)),IF($D1019&gt;$F1019,1,0),0)+IF(AND(ISNUMBER($E1019),ISNUMBER($F1019)),IF($E1019&gt;$F1019,1,0),0)</f>
        <v>0</v>
      </c>
      <c r="X1019" s="13" t="s">
        <v>76</v>
      </c>
    </row>
    <row r="1020" customFormat="false" ht="15" hidden="false" customHeight="false" outlineLevel="0" collapsed="false">
      <c r="A1020" s="10" t="s">
        <v>4229</v>
      </c>
      <c r="B1020" s="10" t="s">
        <v>4230</v>
      </c>
      <c r="C1020" s="11" t="s">
        <v>4222</v>
      </c>
      <c r="D1020" s="12" t="n">
        <v>39</v>
      </c>
      <c r="E1020" s="12"/>
      <c r="F1020" s="12"/>
      <c r="G1020" s="10" t="s">
        <v>401</v>
      </c>
      <c r="H1020" s="10" t="s">
        <v>440</v>
      </c>
      <c r="I1020" s="11" t="s">
        <v>4223</v>
      </c>
      <c r="J1020" s="10" t="s">
        <v>66</v>
      </c>
      <c r="K1020" s="10" t="s">
        <v>67</v>
      </c>
      <c r="L1020" s="10" t="s">
        <v>68</v>
      </c>
      <c r="M1020" s="10" t="s">
        <v>69</v>
      </c>
      <c r="N1020" s="10"/>
      <c r="O1020" s="11" t="s">
        <v>3428</v>
      </c>
      <c r="P1020" s="10" t="s">
        <v>71</v>
      </c>
      <c r="Q1020" s="11" t="s">
        <v>72</v>
      </c>
      <c r="R1020" s="11" t="s">
        <v>73</v>
      </c>
      <c r="S1020" s="11" t="s">
        <v>74</v>
      </c>
      <c r="T1020" s="11" t="s">
        <v>4224</v>
      </c>
      <c r="U1020" s="10" t="n">
        <f aca="false">IF(AND($D1020="",$E1020="",$F1020=""),1,0)</f>
        <v>0</v>
      </c>
      <c r="V1020" s="10" t="n">
        <f aca="false">IF(OR($I1020="",$I1020="—"),1,0)</f>
        <v>0</v>
      </c>
      <c r="W1020" s="10" t="n">
        <f aca="false">IF(AND(ISNUMBER($D1020),ISNUMBER($E1020)),IF($E1020&gt;$D1020,1,0),0)+IF(AND(ISNUMBER($D1020),ISNUMBER($F1020)),IF($D1020&gt;$F1020,1,0),0)+IF(AND(ISNUMBER($E1020),ISNUMBER($F1020)),IF($E1020&gt;$F1020,1,0),0)</f>
        <v>0</v>
      </c>
      <c r="X1020" s="13" t="s">
        <v>76</v>
      </c>
    </row>
    <row r="1021" customFormat="false" ht="15" hidden="false" customHeight="false" outlineLevel="0" collapsed="false">
      <c r="A1021" s="10" t="s">
        <v>4231</v>
      </c>
      <c r="B1021" s="10" t="s">
        <v>4232</v>
      </c>
      <c r="C1021" s="11" t="s">
        <v>4233</v>
      </c>
      <c r="D1021" s="12"/>
      <c r="E1021" s="12"/>
      <c r="F1021" s="12"/>
      <c r="G1021" s="11" t="s">
        <v>2957</v>
      </c>
      <c r="H1021" s="10" t="s">
        <v>2958</v>
      </c>
      <c r="I1021" s="11" t="s">
        <v>4234</v>
      </c>
      <c r="J1021" s="10" t="s">
        <v>66</v>
      </c>
      <c r="K1021" s="10" t="s">
        <v>67</v>
      </c>
      <c r="L1021" s="10" t="s">
        <v>68</v>
      </c>
      <c r="M1021" s="10" t="s">
        <v>69</v>
      </c>
      <c r="N1021" s="10"/>
      <c r="O1021" s="11" t="s">
        <v>2960</v>
      </c>
      <c r="P1021" s="10" t="s">
        <v>71</v>
      </c>
      <c r="Q1021" s="11" t="s">
        <v>72</v>
      </c>
      <c r="R1021" s="11" t="s">
        <v>73</v>
      </c>
      <c r="S1021" s="11" t="s">
        <v>74</v>
      </c>
      <c r="T1021" s="11" t="s">
        <v>4235</v>
      </c>
      <c r="U1021" s="10" t="n">
        <f aca="false">IF(AND($D1021="",$E1021="",$F1021=""),1,0)</f>
        <v>1</v>
      </c>
      <c r="V1021" s="10" t="n">
        <f aca="false">IF(OR($I1021="",$I1021="—"),1,0)</f>
        <v>0</v>
      </c>
      <c r="W1021" s="10" t="n">
        <f aca="false">IF(AND(ISNUMBER($D1021),ISNUMBER($E1021)),IF($E1021&gt;$D1021,1,0),0)+IF(AND(ISNUMBER($D1021),ISNUMBER($F1021)),IF($D1021&gt;$F1021,1,0),0)+IF(AND(ISNUMBER($E1021),ISNUMBER($F1021)),IF($E1021&gt;$F1021,1,0),0)</f>
        <v>0</v>
      </c>
      <c r="X1021" s="13" t="s">
        <v>76</v>
      </c>
    </row>
    <row r="1022" customFormat="false" ht="15" hidden="false" customHeight="false" outlineLevel="0" collapsed="false">
      <c r="A1022" s="10" t="s">
        <v>4236</v>
      </c>
      <c r="B1022" s="10" t="s">
        <v>4237</v>
      </c>
      <c r="C1022" s="11" t="s">
        <v>4238</v>
      </c>
      <c r="D1022" s="12" t="n">
        <v>0</v>
      </c>
      <c r="E1022" s="12"/>
      <c r="F1022" s="12"/>
      <c r="G1022" s="10" t="s">
        <v>63</v>
      </c>
      <c r="H1022" s="10" t="s">
        <v>64</v>
      </c>
      <c r="I1022" s="11" t="s">
        <v>4239</v>
      </c>
      <c r="J1022" s="10" t="s">
        <v>66</v>
      </c>
      <c r="K1022" s="10" t="s">
        <v>67</v>
      </c>
      <c r="L1022" s="10" t="s">
        <v>68</v>
      </c>
      <c r="M1022" s="10" t="s">
        <v>69</v>
      </c>
      <c r="N1022" s="10"/>
      <c r="O1022" s="11" t="s">
        <v>3422</v>
      </c>
      <c r="P1022" s="10" t="s">
        <v>71</v>
      </c>
      <c r="Q1022" s="11" t="s">
        <v>72</v>
      </c>
      <c r="R1022" s="11" t="s">
        <v>73</v>
      </c>
      <c r="S1022" s="11" t="s">
        <v>74</v>
      </c>
      <c r="T1022" s="11" t="s">
        <v>4240</v>
      </c>
      <c r="U1022" s="10" t="n">
        <f aca="false">IF(AND($D1022="",$E1022="",$F1022=""),1,0)</f>
        <v>0</v>
      </c>
      <c r="V1022" s="10" t="n">
        <f aca="false">IF(OR($I1022="",$I1022="—"),1,0)</f>
        <v>0</v>
      </c>
      <c r="W1022" s="10" t="n">
        <f aca="false">IF(AND(ISNUMBER($D1022),ISNUMBER($E1022)),IF($E1022&gt;$D1022,1,0),0)+IF(AND(ISNUMBER($D1022),ISNUMBER($F1022)),IF($D1022&gt;$F1022,1,0),0)+IF(AND(ISNUMBER($E1022),ISNUMBER($F1022)),IF($E1022&gt;$F1022,1,0),0)</f>
        <v>0</v>
      </c>
      <c r="X1022" s="13" t="s">
        <v>76</v>
      </c>
    </row>
    <row r="1023" customFormat="false" ht="15" hidden="false" customHeight="false" outlineLevel="0" collapsed="false">
      <c r="A1023" s="10" t="s">
        <v>4241</v>
      </c>
      <c r="B1023" s="10" t="s">
        <v>4242</v>
      </c>
      <c r="C1023" s="11" t="s">
        <v>4238</v>
      </c>
      <c r="D1023" s="12" t="n">
        <v>0</v>
      </c>
      <c r="E1023" s="12"/>
      <c r="F1023" s="12"/>
      <c r="G1023" s="10" t="s">
        <v>63</v>
      </c>
      <c r="H1023" s="10" t="s">
        <v>79</v>
      </c>
      <c r="I1023" s="11" t="s">
        <v>4239</v>
      </c>
      <c r="J1023" s="10" t="s">
        <v>66</v>
      </c>
      <c r="K1023" s="10" t="s">
        <v>67</v>
      </c>
      <c r="L1023" s="10" t="s">
        <v>68</v>
      </c>
      <c r="M1023" s="10" t="s">
        <v>69</v>
      </c>
      <c r="N1023" s="10"/>
      <c r="O1023" s="11" t="s">
        <v>3422</v>
      </c>
      <c r="P1023" s="10" t="s">
        <v>71</v>
      </c>
      <c r="Q1023" s="11" t="s">
        <v>72</v>
      </c>
      <c r="R1023" s="11" t="s">
        <v>73</v>
      </c>
      <c r="S1023" s="11" t="s">
        <v>74</v>
      </c>
      <c r="T1023" s="11" t="s">
        <v>4240</v>
      </c>
      <c r="U1023" s="10" t="n">
        <f aca="false">IF(AND($D1023="",$E1023="",$F1023=""),1,0)</f>
        <v>0</v>
      </c>
      <c r="V1023" s="10" t="n">
        <f aca="false">IF(OR($I1023="",$I1023="—"),1,0)</f>
        <v>0</v>
      </c>
      <c r="W1023" s="10" t="n">
        <f aca="false">IF(AND(ISNUMBER($D1023),ISNUMBER($E1023)),IF($E1023&gt;$D1023,1,0),0)+IF(AND(ISNUMBER($D1023),ISNUMBER($F1023)),IF($D1023&gt;$F1023,1,0),0)+IF(AND(ISNUMBER($E1023),ISNUMBER($F1023)),IF($E1023&gt;$F1023,1,0),0)</f>
        <v>0</v>
      </c>
      <c r="X1023" s="13" t="s">
        <v>76</v>
      </c>
    </row>
    <row r="1024" customFormat="false" ht="15" hidden="false" customHeight="false" outlineLevel="0" collapsed="false">
      <c r="A1024" s="10" t="s">
        <v>4243</v>
      </c>
      <c r="B1024" s="10" t="s">
        <v>4244</v>
      </c>
      <c r="C1024" s="11" t="s">
        <v>4238</v>
      </c>
      <c r="D1024" s="12" t="n">
        <v>0.3786</v>
      </c>
      <c r="E1024" s="12"/>
      <c r="F1024" s="12"/>
      <c r="G1024" s="10" t="s">
        <v>63</v>
      </c>
      <c r="H1024" s="10" t="s">
        <v>83</v>
      </c>
      <c r="I1024" s="11" t="s">
        <v>4239</v>
      </c>
      <c r="J1024" s="10" t="s">
        <v>66</v>
      </c>
      <c r="K1024" s="10" t="s">
        <v>67</v>
      </c>
      <c r="L1024" s="10" t="s">
        <v>68</v>
      </c>
      <c r="M1024" s="10" t="s">
        <v>69</v>
      </c>
      <c r="N1024" s="10"/>
      <c r="O1024" s="11" t="s">
        <v>3422</v>
      </c>
      <c r="P1024" s="10" t="s">
        <v>71</v>
      </c>
      <c r="Q1024" s="11" t="s">
        <v>72</v>
      </c>
      <c r="R1024" s="11" t="s">
        <v>73</v>
      </c>
      <c r="S1024" s="11" t="s">
        <v>74</v>
      </c>
      <c r="T1024" s="11" t="s">
        <v>4245</v>
      </c>
      <c r="U1024" s="10" t="n">
        <f aca="false">IF(AND($D1024="",$E1024="",$F1024=""),1,0)</f>
        <v>0</v>
      </c>
      <c r="V1024" s="10" t="n">
        <f aca="false">IF(OR($I1024="",$I1024="—"),1,0)</f>
        <v>0</v>
      </c>
      <c r="W1024" s="10" t="n">
        <f aca="false">IF(AND(ISNUMBER($D1024),ISNUMBER($E1024)),IF($E1024&gt;$D1024,1,0),0)+IF(AND(ISNUMBER($D1024),ISNUMBER($F1024)),IF($D1024&gt;$F1024,1,0),0)+IF(AND(ISNUMBER($E1024),ISNUMBER($F1024)),IF($E1024&gt;$F1024,1,0),0)</f>
        <v>0</v>
      </c>
      <c r="X1024" s="13" t="s">
        <v>76</v>
      </c>
    </row>
    <row r="1025" customFormat="false" ht="15" hidden="false" customHeight="false" outlineLevel="0" collapsed="false">
      <c r="A1025" s="10" t="s">
        <v>4246</v>
      </c>
      <c r="B1025" s="10" t="s">
        <v>4247</v>
      </c>
      <c r="C1025" s="11" t="s">
        <v>4238</v>
      </c>
      <c r="D1025" s="12" t="n">
        <v>0</v>
      </c>
      <c r="E1025" s="12"/>
      <c r="F1025" s="12"/>
      <c r="G1025" s="10" t="s">
        <v>63</v>
      </c>
      <c r="H1025" s="10" t="s">
        <v>87</v>
      </c>
      <c r="I1025" s="11" t="s">
        <v>4239</v>
      </c>
      <c r="J1025" s="10" t="s">
        <v>66</v>
      </c>
      <c r="K1025" s="10" t="s">
        <v>67</v>
      </c>
      <c r="L1025" s="10" t="s">
        <v>68</v>
      </c>
      <c r="M1025" s="10" t="s">
        <v>69</v>
      </c>
      <c r="N1025" s="10"/>
      <c r="O1025" s="11" t="s">
        <v>3608</v>
      </c>
      <c r="P1025" s="10" t="s">
        <v>71</v>
      </c>
      <c r="Q1025" s="11" t="s">
        <v>72</v>
      </c>
      <c r="R1025" s="11" t="s">
        <v>73</v>
      </c>
      <c r="S1025" s="11" t="s">
        <v>74</v>
      </c>
      <c r="T1025" s="11" t="s">
        <v>4240</v>
      </c>
      <c r="U1025" s="10" t="n">
        <f aca="false">IF(AND($D1025="",$E1025="",$F1025=""),1,0)</f>
        <v>0</v>
      </c>
      <c r="V1025" s="10" t="n">
        <f aca="false">IF(OR($I1025="",$I1025="—"),1,0)</f>
        <v>0</v>
      </c>
      <c r="W1025" s="10" t="n">
        <f aca="false">IF(AND(ISNUMBER($D1025),ISNUMBER($E1025)),IF($E1025&gt;$D1025,1,0),0)+IF(AND(ISNUMBER($D1025),ISNUMBER($F1025)),IF($D1025&gt;$F1025,1,0),0)+IF(AND(ISNUMBER($E1025),ISNUMBER($F1025)),IF($E1025&gt;$F1025,1,0),0)</f>
        <v>0</v>
      </c>
      <c r="X1025" s="13" t="s">
        <v>76</v>
      </c>
    </row>
    <row r="1026" customFormat="false" ht="15" hidden="false" customHeight="false" outlineLevel="0" collapsed="false">
      <c r="A1026" s="10" t="s">
        <v>4248</v>
      </c>
      <c r="B1026" s="10" t="s">
        <v>4249</v>
      </c>
      <c r="C1026" s="11" t="s">
        <v>4238</v>
      </c>
      <c r="D1026" s="12" t="n">
        <v>0.2972</v>
      </c>
      <c r="E1026" s="12"/>
      <c r="F1026" s="12"/>
      <c r="G1026" s="10" t="s">
        <v>63</v>
      </c>
      <c r="H1026" s="10" t="s">
        <v>92</v>
      </c>
      <c r="I1026" s="11" t="s">
        <v>4239</v>
      </c>
      <c r="J1026" s="10" t="s">
        <v>66</v>
      </c>
      <c r="K1026" s="10" t="s">
        <v>67</v>
      </c>
      <c r="L1026" s="10" t="s">
        <v>68</v>
      </c>
      <c r="M1026" s="10" t="s">
        <v>69</v>
      </c>
      <c r="N1026" s="10"/>
      <c r="O1026" s="11" t="s">
        <v>3428</v>
      </c>
      <c r="P1026" s="10" t="s">
        <v>71</v>
      </c>
      <c r="Q1026" s="11" t="s">
        <v>72</v>
      </c>
      <c r="R1026" s="11" t="s">
        <v>73</v>
      </c>
      <c r="S1026" s="11" t="s">
        <v>74</v>
      </c>
      <c r="T1026" s="11" t="s">
        <v>4250</v>
      </c>
      <c r="U1026" s="10" t="n">
        <f aca="false">IF(AND($D1026="",$E1026="",$F1026=""),1,0)</f>
        <v>0</v>
      </c>
      <c r="V1026" s="10" t="n">
        <f aca="false">IF(OR($I1026="",$I1026="—"),1,0)</f>
        <v>0</v>
      </c>
      <c r="W1026" s="10" t="n">
        <f aca="false">IF(AND(ISNUMBER($D1026),ISNUMBER($E1026)),IF($E1026&gt;$D1026,1,0),0)+IF(AND(ISNUMBER($D1026),ISNUMBER($F1026)),IF($D1026&gt;$F1026,1,0),0)+IF(AND(ISNUMBER($E1026),ISNUMBER($F1026)),IF($E1026&gt;$F1026,1,0),0)</f>
        <v>0</v>
      </c>
      <c r="X1026" s="13" t="s">
        <v>76</v>
      </c>
    </row>
    <row r="1027" customFormat="false" ht="15" hidden="false" customHeight="false" outlineLevel="0" collapsed="false">
      <c r="A1027" s="10" t="s">
        <v>4251</v>
      </c>
      <c r="B1027" s="10" t="s">
        <v>4252</v>
      </c>
      <c r="C1027" s="11" t="s">
        <v>4253</v>
      </c>
      <c r="D1027" s="12" t="n">
        <v>4173.4</v>
      </c>
      <c r="E1027" s="12"/>
      <c r="F1027" s="12"/>
      <c r="G1027" s="10" t="s">
        <v>2312</v>
      </c>
      <c r="H1027" s="10" t="s">
        <v>67</v>
      </c>
      <c r="I1027" s="11" t="s">
        <v>4254</v>
      </c>
      <c r="J1027" s="10" t="s">
        <v>66</v>
      </c>
      <c r="K1027" s="10" t="s">
        <v>67</v>
      </c>
      <c r="L1027" s="10" t="s">
        <v>68</v>
      </c>
      <c r="M1027" s="10" t="s">
        <v>69</v>
      </c>
      <c r="N1027" s="10"/>
      <c r="O1027" s="11" t="s">
        <v>4255</v>
      </c>
      <c r="P1027" s="10" t="s">
        <v>71</v>
      </c>
      <c r="Q1027" s="11" t="s">
        <v>72</v>
      </c>
      <c r="R1027" s="11" t="s">
        <v>73</v>
      </c>
      <c r="S1027" s="11" t="s">
        <v>74</v>
      </c>
      <c r="T1027" s="11" t="s">
        <v>4256</v>
      </c>
      <c r="U1027" s="10" t="n">
        <f aca="false">IF(AND($D1027="",$E1027="",$F1027=""),1,0)</f>
        <v>0</v>
      </c>
      <c r="V1027" s="10" t="n">
        <f aca="false">IF(OR($I1027="",$I1027="—"),1,0)</f>
        <v>0</v>
      </c>
      <c r="W1027" s="10" t="n">
        <f aca="false">IF(AND(ISNUMBER($D1027),ISNUMBER($E1027)),IF($E1027&gt;$D1027,1,0),0)+IF(AND(ISNUMBER($D1027),ISNUMBER($F1027)),IF($D1027&gt;$F1027,1,0),0)+IF(AND(ISNUMBER($E1027),ISNUMBER($F1027)),IF($E1027&gt;$F1027,1,0),0)</f>
        <v>0</v>
      </c>
      <c r="X1027" s="13" t="s">
        <v>76</v>
      </c>
    </row>
    <row r="1028" customFormat="false" ht="15" hidden="false" customHeight="false" outlineLevel="0" collapsed="false">
      <c r="A1028" s="10" t="s">
        <v>4257</v>
      </c>
      <c r="B1028" s="10" t="s">
        <v>4258</v>
      </c>
      <c r="C1028" s="10" t="s">
        <v>4259</v>
      </c>
      <c r="D1028" s="12" t="n">
        <v>70</v>
      </c>
      <c r="E1028" s="12"/>
      <c r="F1028" s="12"/>
      <c r="G1028" s="10" t="s">
        <v>401</v>
      </c>
      <c r="H1028" s="10" t="s">
        <v>4260</v>
      </c>
      <c r="I1028" s="11" t="s">
        <v>4261</v>
      </c>
      <c r="J1028" s="10" t="s">
        <v>66</v>
      </c>
      <c r="K1028" s="10" t="s">
        <v>67</v>
      </c>
      <c r="L1028" s="10" t="s">
        <v>68</v>
      </c>
      <c r="M1028" s="10" t="s">
        <v>69</v>
      </c>
      <c r="N1028" s="10"/>
      <c r="O1028" s="11" t="s">
        <v>4262</v>
      </c>
      <c r="P1028" s="10" t="s">
        <v>71</v>
      </c>
      <c r="Q1028" s="11" t="s">
        <v>72</v>
      </c>
      <c r="R1028" s="11" t="s">
        <v>73</v>
      </c>
      <c r="S1028" s="11" t="s">
        <v>74</v>
      </c>
      <c r="T1028" s="11" t="s">
        <v>4263</v>
      </c>
      <c r="U1028" s="10" t="n">
        <f aca="false">IF(AND($D1028="",$E1028="",$F1028=""),1,0)</f>
        <v>0</v>
      </c>
      <c r="V1028" s="10" t="n">
        <f aca="false">IF(OR($I1028="",$I1028="—"),1,0)</f>
        <v>0</v>
      </c>
      <c r="W1028" s="10" t="n">
        <f aca="false">IF(AND(ISNUMBER($D1028),ISNUMBER($E1028)),IF($E1028&gt;$D1028,1,0),0)+IF(AND(ISNUMBER($D1028),ISNUMBER($F1028)),IF($D1028&gt;$F1028,1,0),0)+IF(AND(ISNUMBER($E1028),ISNUMBER($F1028)),IF($E1028&gt;$F1028,1,0),0)</f>
        <v>0</v>
      </c>
      <c r="X1028" s="13" t="s">
        <v>76</v>
      </c>
    </row>
    <row r="1029" customFormat="false" ht="15" hidden="false" customHeight="false" outlineLevel="0" collapsed="false">
      <c r="A1029" s="10" t="s">
        <v>4264</v>
      </c>
      <c r="B1029" s="10" t="s">
        <v>4265</v>
      </c>
      <c r="C1029" s="10" t="s">
        <v>4266</v>
      </c>
      <c r="D1029" s="12" t="n">
        <v>60</v>
      </c>
      <c r="E1029" s="12"/>
      <c r="F1029" s="12"/>
      <c r="G1029" s="10" t="s">
        <v>401</v>
      </c>
      <c r="H1029" s="10" t="s">
        <v>4260</v>
      </c>
      <c r="I1029" s="11" t="s">
        <v>4261</v>
      </c>
      <c r="J1029" s="10" t="s">
        <v>66</v>
      </c>
      <c r="K1029" s="10" t="s">
        <v>67</v>
      </c>
      <c r="L1029" s="10" t="s">
        <v>68</v>
      </c>
      <c r="M1029" s="10" t="s">
        <v>69</v>
      </c>
      <c r="N1029" s="10"/>
      <c r="O1029" s="11" t="s">
        <v>4262</v>
      </c>
      <c r="P1029" s="10" t="s">
        <v>71</v>
      </c>
      <c r="Q1029" s="11" t="s">
        <v>72</v>
      </c>
      <c r="R1029" s="11" t="s">
        <v>73</v>
      </c>
      <c r="S1029" s="11" t="s">
        <v>74</v>
      </c>
      <c r="T1029" s="11" t="s">
        <v>4267</v>
      </c>
      <c r="U1029" s="10" t="n">
        <f aca="false">IF(AND($D1029="",$E1029="",$F1029=""),1,0)</f>
        <v>0</v>
      </c>
      <c r="V1029" s="10" t="n">
        <f aca="false">IF(OR($I1029="",$I1029="—"),1,0)</f>
        <v>0</v>
      </c>
      <c r="W1029" s="10" t="n">
        <f aca="false">IF(AND(ISNUMBER($D1029),ISNUMBER($E1029)),IF($E1029&gt;$D1029,1,0),0)+IF(AND(ISNUMBER($D1029),ISNUMBER($F1029)),IF($D1029&gt;$F1029,1,0),0)+IF(AND(ISNUMBER($E1029),ISNUMBER($F1029)),IF($E1029&gt;$F1029,1,0),0)</f>
        <v>0</v>
      </c>
      <c r="X1029" s="13" t="s">
        <v>76</v>
      </c>
    </row>
    <row r="1030" customFormat="false" ht="15" hidden="false" customHeight="false" outlineLevel="0" collapsed="false">
      <c r="A1030" s="10" t="s">
        <v>4268</v>
      </c>
      <c r="B1030" s="10" t="s">
        <v>4269</v>
      </c>
      <c r="C1030" s="10" t="s">
        <v>4270</v>
      </c>
      <c r="D1030" s="12" t="n">
        <v>10</v>
      </c>
      <c r="E1030" s="12"/>
      <c r="F1030" s="12"/>
      <c r="G1030" s="10" t="s">
        <v>401</v>
      </c>
      <c r="H1030" s="10" t="s">
        <v>4260</v>
      </c>
      <c r="I1030" s="11" t="s">
        <v>4261</v>
      </c>
      <c r="J1030" s="10" t="s">
        <v>66</v>
      </c>
      <c r="K1030" s="10" t="s">
        <v>67</v>
      </c>
      <c r="L1030" s="10" t="s">
        <v>68</v>
      </c>
      <c r="M1030" s="10" t="s">
        <v>69</v>
      </c>
      <c r="N1030" s="10"/>
      <c r="O1030" s="11" t="s">
        <v>4262</v>
      </c>
      <c r="P1030" s="10" t="s">
        <v>71</v>
      </c>
      <c r="Q1030" s="11" t="s">
        <v>72</v>
      </c>
      <c r="R1030" s="11" t="s">
        <v>73</v>
      </c>
      <c r="S1030" s="11" t="s">
        <v>74</v>
      </c>
      <c r="T1030" s="11" t="s">
        <v>4271</v>
      </c>
      <c r="U1030" s="10" t="n">
        <f aca="false">IF(AND($D1030="",$E1030="",$F1030=""),1,0)</f>
        <v>0</v>
      </c>
      <c r="V1030" s="10" t="n">
        <f aca="false">IF(OR($I1030="",$I1030="—"),1,0)</f>
        <v>0</v>
      </c>
      <c r="W1030" s="10" t="n">
        <f aca="false">IF(AND(ISNUMBER($D1030),ISNUMBER($E1030)),IF($E1030&gt;$D1030,1,0),0)+IF(AND(ISNUMBER($D1030),ISNUMBER($F1030)),IF($D1030&gt;$F1030,1,0),0)+IF(AND(ISNUMBER($E1030),ISNUMBER($F1030)),IF($E1030&gt;$F1030,1,0),0)</f>
        <v>0</v>
      </c>
      <c r="X1030" s="13" t="s">
        <v>76</v>
      </c>
    </row>
    <row r="1031" customFormat="false" ht="15" hidden="false" customHeight="false" outlineLevel="0" collapsed="false">
      <c r="A1031" s="10" t="s">
        <v>4272</v>
      </c>
      <c r="B1031" s="10" t="s">
        <v>4273</v>
      </c>
      <c r="C1031" s="10" t="s">
        <v>4274</v>
      </c>
      <c r="D1031" s="12" t="n">
        <v>10</v>
      </c>
      <c r="E1031" s="12"/>
      <c r="F1031" s="12"/>
      <c r="G1031" s="10" t="s">
        <v>401</v>
      </c>
      <c r="H1031" s="10" t="s">
        <v>4260</v>
      </c>
      <c r="I1031" s="11" t="s">
        <v>4261</v>
      </c>
      <c r="J1031" s="10" t="s">
        <v>66</v>
      </c>
      <c r="K1031" s="10" t="s">
        <v>67</v>
      </c>
      <c r="L1031" s="10" t="s">
        <v>68</v>
      </c>
      <c r="M1031" s="10" t="s">
        <v>69</v>
      </c>
      <c r="N1031" s="10"/>
      <c r="O1031" s="11" t="s">
        <v>4262</v>
      </c>
      <c r="P1031" s="10" t="s">
        <v>71</v>
      </c>
      <c r="Q1031" s="11" t="s">
        <v>72</v>
      </c>
      <c r="R1031" s="11" t="s">
        <v>73</v>
      </c>
      <c r="S1031" s="11" t="s">
        <v>74</v>
      </c>
      <c r="T1031" s="11" t="s">
        <v>4275</v>
      </c>
      <c r="U1031" s="10" t="n">
        <f aca="false">IF(AND($D1031="",$E1031="",$F1031=""),1,0)</f>
        <v>0</v>
      </c>
      <c r="V1031" s="10" t="n">
        <f aca="false">IF(OR($I1031="",$I1031="—"),1,0)</f>
        <v>0</v>
      </c>
      <c r="W1031" s="10" t="n">
        <f aca="false">IF(AND(ISNUMBER($D1031),ISNUMBER($E1031)),IF($E1031&gt;$D1031,1,0),0)+IF(AND(ISNUMBER($D1031),ISNUMBER($F1031)),IF($D1031&gt;$F1031,1,0),0)+IF(AND(ISNUMBER($E1031),ISNUMBER($F1031)),IF($E1031&gt;$F1031,1,0),0)</f>
        <v>0</v>
      </c>
      <c r="X1031" s="13" t="s">
        <v>76</v>
      </c>
    </row>
    <row r="1032" customFormat="false" ht="15" hidden="false" customHeight="false" outlineLevel="0" collapsed="false">
      <c r="A1032" s="10" t="s">
        <v>4276</v>
      </c>
      <c r="B1032" s="10" t="s">
        <v>4277</v>
      </c>
      <c r="C1032" s="10" t="s">
        <v>4278</v>
      </c>
      <c r="D1032" s="12" t="n">
        <v>10</v>
      </c>
      <c r="E1032" s="12"/>
      <c r="F1032" s="12"/>
      <c r="G1032" s="10" t="s">
        <v>401</v>
      </c>
      <c r="H1032" s="10" t="s">
        <v>4260</v>
      </c>
      <c r="I1032" s="11" t="s">
        <v>4261</v>
      </c>
      <c r="J1032" s="10" t="s">
        <v>66</v>
      </c>
      <c r="K1032" s="10" t="s">
        <v>67</v>
      </c>
      <c r="L1032" s="10" t="s">
        <v>68</v>
      </c>
      <c r="M1032" s="10" t="s">
        <v>69</v>
      </c>
      <c r="N1032" s="10"/>
      <c r="O1032" s="11" t="s">
        <v>4262</v>
      </c>
      <c r="P1032" s="10" t="s">
        <v>71</v>
      </c>
      <c r="Q1032" s="11" t="s">
        <v>72</v>
      </c>
      <c r="R1032" s="11" t="s">
        <v>73</v>
      </c>
      <c r="S1032" s="11" t="s">
        <v>74</v>
      </c>
      <c r="T1032" s="11" t="s">
        <v>4279</v>
      </c>
      <c r="U1032" s="10" t="n">
        <f aca="false">IF(AND($D1032="",$E1032="",$F1032=""),1,0)</f>
        <v>0</v>
      </c>
      <c r="V1032" s="10" t="n">
        <f aca="false">IF(OR($I1032="",$I1032="—"),1,0)</f>
        <v>0</v>
      </c>
      <c r="W1032" s="10" t="n">
        <f aca="false">IF(AND(ISNUMBER($D1032),ISNUMBER($E1032)),IF($E1032&gt;$D1032,1,0),0)+IF(AND(ISNUMBER($D1032),ISNUMBER($F1032)),IF($D1032&gt;$F1032,1,0),0)+IF(AND(ISNUMBER($E1032),ISNUMBER($F1032)),IF($E1032&gt;$F1032,1,0),0)</f>
        <v>0</v>
      </c>
      <c r="X1032" s="13" t="s">
        <v>76</v>
      </c>
    </row>
    <row r="1033" customFormat="false" ht="15" hidden="false" customHeight="false" outlineLevel="0" collapsed="false">
      <c r="A1033" s="10" t="s">
        <v>4280</v>
      </c>
      <c r="B1033" s="10" t="s">
        <v>4281</v>
      </c>
      <c r="C1033" s="10" t="s">
        <v>4282</v>
      </c>
      <c r="D1033" s="12" t="n">
        <v>10</v>
      </c>
      <c r="E1033" s="12"/>
      <c r="F1033" s="12"/>
      <c r="G1033" s="10" t="s">
        <v>401</v>
      </c>
      <c r="H1033" s="10" t="s">
        <v>4260</v>
      </c>
      <c r="I1033" s="11" t="s">
        <v>4261</v>
      </c>
      <c r="J1033" s="10" t="s">
        <v>66</v>
      </c>
      <c r="K1033" s="10" t="s">
        <v>67</v>
      </c>
      <c r="L1033" s="10" t="s">
        <v>68</v>
      </c>
      <c r="M1033" s="10" t="s">
        <v>69</v>
      </c>
      <c r="N1033" s="10"/>
      <c r="O1033" s="11" t="s">
        <v>4262</v>
      </c>
      <c r="P1033" s="10" t="s">
        <v>71</v>
      </c>
      <c r="Q1033" s="11" t="s">
        <v>72</v>
      </c>
      <c r="R1033" s="11" t="s">
        <v>73</v>
      </c>
      <c r="S1033" s="11" t="s">
        <v>74</v>
      </c>
      <c r="T1033" s="11" t="s">
        <v>4283</v>
      </c>
      <c r="U1033" s="10" t="n">
        <f aca="false">IF(AND($D1033="",$E1033="",$F1033=""),1,0)</f>
        <v>0</v>
      </c>
      <c r="V1033" s="10" t="n">
        <f aca="false">IF(OR($I1033="",$I1033="—"),1,0)</f>
        <v>0</v>
      </c>
      <c r="W1033" s="10" t="n">
        <f aca="false">IF(AND(ISNUMBER($D1033),ISNUMBER($E1033)),IF($E1033&gt;$D1033,1,0),0)+IF(AND(ISNUMBER($D1033),ISNUMBER($F1033)),IF($D1033&gt;$F1033,1,0),0)+IF(AND(ISNUMBER($E1033),ISNUMBER($F1033)),IF($E1033&gt;$F1033,1,0),0)</f>
        <v>0</v>
      </c>
      <c r="X1033" s="13" t="s">
        <v>76</v>
      </c>
    </row>
    <row r="1034" customFormat="false" ht="15" hidden="false" customHeight="false" outlineLevel="0" collapsed="false">
      <c r="A1034" s="10" t="s">
        <v>4284</v>
      </c>
      <c r="B1034" s="10" t="s">
        <v>4285</v>
      </c>
      <c r="C1034" s="11" t="s">
        <v>4286</v>
      </c>
      <c r="D1034" s="12" t="n">
        <v>632.6</v>
      </c>
      <c r="E1034" s="12"/>
      <c r="F1034" s="12"/>
      <c r="G1034" s="10" t="s">
        <v>2312</v>
      </c>
      <c r="H1034" s="10" t="s">
        <v>67</v>
      </c>
      <c r="I1034" s="11" t="s">
        <v>4287</v>
      </c>
      <c r="J1034" s="10" t="s">
        <v>66</v>
      </c>
      <c r="K1034" s="10" t="s">
        <v>67</v>
      </c>
      <c r="L1034" s="10" t="s">
        <v>68</v>
      </c>
      <c r="M1034" s="10" t="s">
        <v>69</v>
      </c>
      <c r="N1034" s="10"/>
      <c r="O1034" s="11" t="s">
        <v>4255</v>
      </c>
      <c r="P1034" s="10" t="s">
        <v>71</v>
      </c>
      <c r="Q1034" s="11" t="s">
        <v>72</v>
      </c>
      <c r="R1034" s="11" t="s">
        <v>73</v>
      </c>
      <c r="S1034" s="11" t="s">
        <v>74</v>
      </c>
      <c r="T1034" s="11" t="s">
        <v>4288</v>
      </c>
      <c r="U1034" s="10" t="n">
        <f aca="false">IF(AND($D1034="",$E1034="",$F1034=""),1,0)</f>
        <v>0</v>
      </c>
      <c r="V1034" s="10" t="n">
        <f aca="false">IF(OR($I1034="",$I1034="—"),1,0)</f>
        <v>0</v>
      </c>
      <c r="W1034" s="10" t="n">
        <f aca="false">IF(AND(ISNUMBER($D1034),ISNUMBER($E1034)),IF($E1034&gt;$D1034,1,0),0)+IF(AND(ISNUMBER($D1034),ISNUMBER($F1034)),IF($D1034&gt;$F1034,1,0),0)+IF(AND(ISNUMBER($E1034),ISNUMBER($F1034)),IF($E1034&gt;$F1034,1,0),0)</f>
        <v>0</v>
      </c>
      <c r="X1034" s="13" t="s">
        <v>76</v>
      </c>
    </row>
    <row r="1035" customFormat="false" ht="15" hidden="false" customHeight="false" outlineLevel="0" collapsed="false">
      <c r="A1035" s="10" t="s">
        <v>4289</v>
      </c>
      <c r="B1035" s="10" t="s">
        <v>4290</v>
      </c>
      <c r="C1035" s="11" t="s">
        <v>4291</v>
      </c>
      <c r="D1035" s="12" t="n">
        <v>158.5</v>
      </c>
      <c r="E1035" s="12"/>
      <c r="F1035" s="12"/>
      <c r="G1035" s="10" t="s">
        <v>2508</v>
      </c>
      <c r="H1035" s="10" t="s">
        <v>67</v>
      </c>
      <c r="I1035" s="11" t="s">
        <v>4292</v>
      </c>
      <c r="J1035" s="10" t="s">
        <v>66</v>
      </c>
      <c r="K1035" s="10" t="s">
        <v>67</v>
      </c>
      <c r="L1035" s="10" t="s">
        <v>68</v>
      </c>
      <c r="M1035" s="10" t="s">
        <v>69</v>
      </c>
      <c r="N1035" s="10"/>
      <c r="O1035" s="11" t="s">
        <v>4255</v>
      </c>
      <c r="P1035" s="10" t="s">
        <v>71</v>
      </c>
      <c r="Q1035" s="11" t="s">
        <v>72</v>
      </c>
      <c r="R1035" s="11" t="s">
        <v>73</v>
      </c>
      <c r="S1035" s="11" t="s">
        <v>74</v>
      </c>
      <c r="T1035" s="11" t="s">
        <v>4293</v>
      </c>
      <c r="U1035" s="10" t="n">
        <f aca="false">IF(AND($D1035="",$E1035="",$F1035=""),1,0)</f>
        <v>0</v>
      </c>
      <c r="V1035" s="10" t="n">
        <f aca="false">IF(OR($I1035="",$I1035="—"),1,0)</f>
        <v>0</v>
      </c>
      <c r="W1035" s="10" t="n">
        <f aca="false">IF(AND(ISNUMBER($D1035),ISNUMBER($E1035)),IF($E1035&gt;$D1035,1,0),0)+IF(AND(ISNUMBER($D1035),ISNUMBER($F1035)),IF($D1035&gt;$F1035,1,0),0)+IF(AND(ISNUMBER($E1035),ISNUMBER($F1035)),IF($E1035&gt;$F1035,1,0),0)</f>
        <v>0</v>
      </c>
      <c r="X1035" s="13" t="s">
        <v>76</v>
      </c>
    </row>
    <row r="1036" customFormat="false" ht="15" hidden="false" customHeight="false" outlineLevel="0" collapsed="false">
      <c r="A1036" s="10" t="s">
        <v>4294</v>
      </c>
      <c r="B1036" s="10" t="s">
        <v>4295</v>
      </c>
      <c r="C1036" s="11" t="s">
        <v>4296</v>
      </c>
      <c r="D1036" s="12" t="n">
        <v>27.3</v>
      </c>
      <c r="E1036" s="12" t="n">
        <v>27.3</v>
      </c>
      <c r="F1036" s="12" t="n">
        <v>38.9</v>
      </c>
      <c r="G1036" s="11" t="s">
        <v>4297</v>
      </c>
      <c r="H1036" s="10" t="s">
        <v>432</v>
      </c>
      <c r="I1036" s="11" t="s">
        <v>4298</v>
      </c>
      <c r="J1036" s="10" t="s">
        <v>66</v>
      </c>
      <c r="K1036" s="10" t="s">
        <v>67</v>
      </c>
      <c r="L1036" s="10" t="s">
        <v>68</v>
      </c>
      <c r="M1036" s="10" t="s">
        <v>416</v>
      </c>
      <c r="N1036" s="11" t="s">
        <v>4145</v>
      </c>
      <c r="O1036" s="11" t="s">
        <v>441</v>
      </c>
      <c r="P1036" s="10" t="s">
        <v>71</v>
      </c>
      <c r="Q1036" s="11" t="s">
        <v>72</v>
      </c>
      <c r="R1036" s="11" t="s">
        <v>4145</v>
      </c>
      <c r="S1036" s="11" t="s">
        <v>74</v>
      </c>
      <c r="T1036" s="11" t="s">
        <v>4299</v>
      </c>
      <c r="U1036" s="10" t="n">
        <f aca="false">IF(AND($D1036="",$E1036="",$F1036=""),1,0)</f>
        <v>0</v>
      </c>
      <c r="V1036" s="10" t="n">
        <f aca="false">IF(OR($I1036="",$I1036="—"),1,0)</f>
        <v>0</v>
      </c>
      <c r="W1036" s="10" t="n">
        <f aca="false">IF(AND(ISNUMBER($D1036),ISNUMBER($E1036)),IF($E1036&gt;$D1036,1,0),0)+IF(AND(ISNUMBER($D1036),ISNUMBER($F1036)),IF($D1036&gt;$F1036,1,0),0)+IF(AND(ISNUMBER($E1036),ISNUMBER($F1036)),IF($E1036&gt;$F1036,1,0),0)</f>
        <v>0</v>
      </c>
      <c r="X1036" s="13" t="s">
        <v>76</v>
      </c>
    </row>
    <row r="1037" customFormat="false" ht="15" hidden="false" customHeight="false" outlineLevel="0" collapsed="false">
      <c r="A1037" s="10" t="s">
        <v>4300</v>
      </c>
      <c r="B1037" s="10" t="s">
        <v>4301</v>
      </c>
      <c r="C1037" s="11" t="s">
        <v>4302</v>
      </c>
      <c r="D1037" s="12" t="n">
        <v>0.029</v>
      </c>
      <c r="E1037" s="12"/>
      <c r="F1037" s="12"/>
      <c r="G1037" s="10" t="s">
        <v>63</v>
      </c>
      <c r="H1037" s="10" t="s">
        <v>64</v>
      </c>
      <c r="I1037" s="11" t="s">
        <v>4303</v>
      </c>
      <c r="J1037" s="10" t="s">
        <v>66</v>
      </c>
      <c r="K1037" s="10" t="s">
        <v>67</v>
      </c>
      <c r="L1037" s="10" t="s">
        <v>68</v>
      </c>
      <c r="M1037" s="10" t="s">
        <v>69</v>
      </c>
      <c r="N1037" s="10"/>
      <c r="O1037" s="11" t="s">
        <v>3422</v>
      </c>
      <c r="P1037" s="10" t="s">
        <v>71</v>
      </c>
      <c r="Q1037" s="11" t="s">
        <v>72</v>
      </c>
      <c r="R1037" s="11" t="s">
        <v>73</v>
      </c>
      <c r="S1037" s="11" t="s">
        <v>74</v>
      </c>
      <c r="T1037" s="11" t="s">
        <v>4304</v>
      </c>
      <c r="U1037" s="10" t="n">
        <f aca="false">IF(AND($D1037="",$E1037="",$F1037=""),1,0)</f>
        <v>0</v>
      </c>
      <c r="V1037" s="10" t="n">
        <f aca="false">IF(OR($I1037="",$I1037="—"),1,0)</f>
        <v>0</v>
      </c>
      <c r="W1037" s="10" t="n">
        <f aca="false">IF(AND(ISNUMBER($D1037),ISNUMBER($E1037)),IF($E1037&gt;$D1037,1,0),0)+IF(AND(ISNUMBER($D1037),ISNUMBER($F1037)),IF($D1037&gt;$F1037,1,0),0)+IF(AND(ISNUMBER($E1037),ISNUMBER($F1037)),IF($E1037&gt;$F1037,1,0),0)</f>
        <v>0</v>
      </c>
      <c r="X1037" s="13" t="s">
        <v>76</v>
      </c>
    </row>
    <row r="1038" customFormat="false" ht="15" hidden="false" customHeight="false" outlineLevel="0" collapsed="false">
      <c r="A1038" s="10" t="s">
        <v>4305</v>
      </c>
      <c r="B1038" s="10" t="s">
        <v>4306</v>
      </c>
      <c r="C1038" s="11" t="s">
        <v>4302</v>
      </c>
      <c r="D1038" s="12" t="n">
        <v>0.112</v>
      </c>
      <c r="E1038" s="12"/>
      <c r="F1038" s="12"/>
      <c r="G1038" s="10" t="s">
        <v>63</v>
      </c>
      <c r="H1038" s="10" t="s">
        <v>79</v>
      </c>
      <c r="I1038" s="11" t="s">
        <v>4303</v>
      </c>
      <c r="J1038" s="10" t="s">
        <v>66</v>
      </c>
      <c r="K1038" s="10" t="s">
        <v>67</v>
      </c>
      <c r="L1038" s="10" t="s">
        <v>68</v>
      </c>
      <c r="M1038" s="10" t="s">
        <v>69</v>
      </c>
      <c r="N1038" s="10"/>
      <c r="O1038" s="11" t="s">
        <v>3422</v>
      </c>
      <c r="P1038" s="10" t="s">
        <v>71</v>
      </c>
      <c r="Q1038" s="11" t="s">
        <v>72</v>
      </c>
      <c r="R1038" s="11" t="s">
        <v>73</v>
      </c>
      <c r="S1038" s="11" t="s">
        <v>74</v>
      </c>
      <c r="T1038" s="11" t="s">
        <v>4307</v>
      </c>
      <c r="U1038" s="10" t="n">
        <f aca="false">IF(AND($D1038="",$E1038="",$F1038=""),1,0)</f>
        <v>0</v>
      </c>
      <c r="V1038" s="10" t="n">
        <f aca="false">IF(OR($I1038="",$I1038="—"),1,0)</f>
        <v>0</v>
      </c>
      <c r="W1038" s="10" t="n">
        <f aca="false">IF(AND(ISNUMBER($D1038),ISNUMBER($E1038)),IF($E1038&gt;$D1038,1,0),0)+IF(AND(ISNUMBER($D1038),ISNUMBER($F1038)),IF($D1038&gt;$F1038,1,0),0)+IF(AND(ISNUMBER($E1038),ISNUMBER($F1038)),IF($E1038&gt;$F1038,1,0),0)</f>
        <v>0</v>
      </c>
      <c r="X1038" s="13" t="s">
        <v>76</v>
      </c>
    </row>
    <row r="1039" customFormat="false" ht="15" hidden="false" customHeight="false" outlineLevel="0" collapsed="false">
      <c r="A1039" s="10" t="s">
        <v>4308</v>
      </c>
      <c r="B1039" s="10" t="s">
        <v>4309</v>
      </c>
      <c r="C1039" s="11" t="s">
        <v>4302</v>
      </c>
      <c r="D1039" s="12" t="n">
        <v>0.363</v>
      </c>
      <c r="E1039" s="12"/>
      <c r="F1039" s="12"/>
      <c r="G1039" s="10" t="s">
        <v>63</v>
      </c>
      <c r="H1039" s="10" t="s">
        <v>83</v>
      </c>
      <c r="I1039" s="11" t="s">
        <v>4303</v>
      </c>
      <c r="J1039" s="10" t="s">
        <v>66</v>
      </c>
      <c r="K1039" s="10" t="s">
        <v>67</v>
      </c>
      <c r="L1039" s="10" t="s">
        <v>68</v>
      </c>
      <c r="M1039" s="10" t="s">
        <v>69</v>
      </c>
      <c r="N1039" s="10"/>
      <c r="O1039" s="11" t="s">
        <v>3422</v>
      </c>
      <c r="P1039" s="10" t="s">
        <v>71</v>
      </c>
      <c r="Q1039" s="11" t="s">
        <v>72</v>
      </c>
      <c r="R1039" s="11" t="s">
        <v>73</v>
      </c>
      <c r="S1039" s="11" t="s">
        <v>74</v>
      </c>
      <c r="T1039" s="11" t="s">
        <v>4310</v>
      </c>
      <c r="U1039" s="10" t="n">
        <f aca="false">IF(AND($D1039="",$E1039="",$F1039=""),1,0)</f>
        <v>0</v>
      </c>
      <c r="V1039" s="10" t="n">
        <f aca="false">IF(OR($I1039="",$I1039="—"),1,0)</f>
        <v>0</v>
      </c>
      <c r="W1039" s="10" t="n">
        <f aca="false">IF(AND(ISNUMBER($D1039),ISNUMBER($E1039)),IF($E1039&gt;$D1039,1,0),0)+IF(AND(ISNUMBER($D1039),ISNUMBER($F1039)),IF($D1039&gt;$F1039,1,0),0)+IF(AND(ISNUMBER($E1039),ISNUMBER($F1039)),IF($E1039&gt;$F1039,1,0),0)</f>
        <v>0</v>
      </c>
      <c r="X1039" s="13" t="s">
        <v>76</v>
      </c>
    </row>
    <row r="1040" customFormat="false" ht="15" hidden="false" customHeight="false" outlineLevel="0" collapsed="false">
      <c r="A1040" s="10" t="s">
        <v>4311</v>
      </c>
      <c r="B1040" s="10" t="s">
        <v>4312</v>
      </c>
      <c r="C1040" s="11" t="s">
        <v>4302</v>
      </c>
      <c r="D1040" s="12" t="n">
        <v>0.057</v>
      </c>
      <c r="E1040" s="12"/>
      <c r="F1040" s="12"/>
      <c r="G1040" s="10" t="s">
        <v>63</v>
      </c>
      <c r="H1040" s="10" t="s">
        <v>92</v>
      </c>
      <c r="I1040" s="11" t="s">
        <v>4303</v>
      </c>
      <c r="J1040" s="10" t="s">
        <v>66</v>
      </c>
      <c r="K1040" s="10" t="s">
        <v>67</v>
      </c>
      <c r="L1040" s="10" t="s">
        <v>68</v>
      </c>
      <c r="M1040" s="10" t="s">
        <v>69</v>
      </c>
      <c r="N1040" s="10"/>
      <c r="O1040" s="11" t="s">
        <v>3428</v>
      </c>
      <c r="P1040" s="10" t="s">
        <v>71</v>
      </c>
      <c r="Q1040" s="11" t="s">
        <v>72</v>
      </c>
      <c r="R1040" s="11" t="s">
        <v>73</v>
      </c>
      <c r="S1040" s="11" t="s">
        <v>74</v>
      </c>
      <c r="T1040" s="11" t="s">
        <v>4313</v>
      </c>
      <c r="U1040" s="10" t="n">
        <f aca="false">IF(AND($D1040="",$E1040="",$F1040=""),1,0)</f>
        <v>0</v>
      </c>
      <c r="V1040" s="10" t="n">
        <f aca="false">IF(OR($I1040="",$I1040="—"),1,0)</f>
        <v>0</v>
      </c>
      <c r="W1040" s="10" t="n">
        <f aca="false">IF(AND(ISNUMBER($D1040),ISNUMBER($E1040)),IF($E1040&gt;$D1040,1,0),0)+IF(AND(ISNUMBER($D1040),ISNUMBER($F1040)),IF($D1040&gt;$F1040,1,0),0)+IF(AND(ISNUMBER($E1040),ISNUMBER($F1040)),IF($E1040&gt;$F1040,1,0),0)</f>
        <v>0</v>
      </c>
      <c r="X1040" s="13" t="s">
        <v>76</v>
      </c>
    </row>
    <row r="1041" customFormat="false" ht="15" hidden="false" customHeight="false" outlineLevel="0" collapsed="false">
      <c r="A1041" s="10" t="s">
        <v>4314</v>
      </c>
      <c r="B1041" s="10" t="s">
        <v>4315</v>
      </c>
      <c r="C1041" s="11" t="s">
        <v>4316</v>
      </c>
      <c r="D1041" s="12" t="n">
        <v>0.1031</v>
      </c>
      <c r="E1041" s="12"/>
      <c r="F1041" s="12"/>
      <c r="G1041" s="10" t="s">
        <v>63</v>
      </c>
      <c r="H1041" s="10" t="s">
        <v>3443</v>
      </c>
      <c r="I1041" s="11" t="s">
        <v>4303</v>
      </c>
      <c r="J1041" s="10" t="s">
        <v>66</v>
      </c>
      <c r="K1041" s="10" t="s">
        <v>67</v>
      </c>
      <c r="L1041" s="10" t="s">
        <v>68</v>
      </c>
      <c r="M1041" s="10" t="s">
        <v>69</v>
      </c>
      <c r="N1041" s="10"/>
      <c r="O1041" s="11" t="s">
        <v>3422</v>
      </c>
      <c r="P1041" s="10" t="s">
        <v>71</v>
      </c>
      <c r="Q1041" s="11" t="s">
        <v>72</v>
      </c>
      <c r="R1041" s="11" t="s">
        <v>73</v>
      </c>
      <c r="S1041" s="11" t="s">
        <v>74</v>
      </c>
      <c r="T1041" s="11" t="s">
        <v>4317</v>
      </c>
      <c r="U1041" s="10" t="n">
        <f aca="false">IF(AND($D1041="",$E1041="",$F1041=""),1,0)</f>
        <v>0</v>
      </c>
      <c r="V1041" s="10" t="n">
        <f aca="false">IF(OR($I1041="",$I1041="—"),1,0)</f>
        <v>0</v>
      </c>
      <c r="W1041" s="10" t="n">
        <f aca="false">IF(AND(ISNUMBER($D1041),ISNUMBER($E1041)),IF($E1041&gt;$D1041,1,0),0)+IF(AND(ISNUMBER($D1041),ISNUMBER($F1041)),IF($D1041&gt;$F1041,1,0),0)+IF(AND(ISNUMBER($E1041),ISNUMBER($F1041)),IF($E1041&gt;$F1041,1,0),0)</f>
        <v>0</v>
      </c>
      <c r="X1041" s="13" t="s">
        <v>76</v>
      </c>
    </row>
    <row r="1042" customFormat="false" ht="15" hidden="false" customHeight="false" outlineLevel="0" collapsed="false">
      <c r="A1042" s="10" t="s">
        <v>4318</v>
      </c>
      <c r="B1042" s="10" t="s">
        <v>4319</v>
      </c>
      <c r="C1042" s="11" t="s">
        <v>4316</v>
      </c>
      <c r="D1042" s="12" t="n">
        <v>0.2974</v>
      </c>
      <c r="E1042" s="12"/>
      <c r="F1042" s="12"/>
      <c r="G1042" s="10" t="s">
        <v>63</v>
      </c>
      <c r="H1042" s="10" t="s">
        <v>3448</v>
      </c>
      <c r="I1042" s="11" t="s">
        <v>4303</v>
      </c>
      <c r="J1042" s="10" t="s">
        <v>66</v>
      </c>
      <c r="K1042" s="10" t="s">
        <v>67</v>
      </c>
      <c r="L1042" s="10" t="s">
        <v>68</v>
      </c>
      <c r="M1042" s="10" t="s">
        <v>69</v>
      </c>
      <c r="N1042" s="10"/>
      <c r="O1042" s="11" t="s">
        <v>3422</v>
      </c>
      <c r="P1042" s="10" t="s">
        <v>71</v>
      </c>
      <c r="Q1042" s="11" t="s">
        <v>72</v>
      </c>
      <c r="R1042" s="11" t="s">
        <v>73</v>
      </c>
      <c r="S1042" s="11" t="s">
        <v>74</v>
      </c>
      <c r="T1042" s="11" t="s">
        <v>4320</v>
      </c>
      <c r="U1042" s="10" t="n">
        <f aca="false">IF(AND($D1042="",$E1042="",$F1042=""),1,0)</f>
        <v>0</v>
      </c>
      <c r="V1042" s="10" t="n">
        <f aca="false">IF(OR($I1042="",$I1042="—"),1,0)</f>
        <v>0</v>
      </c>
      <c r="W1042" s="10" t="n">
        <f aca="false">IF(AND(ISNUMBER($D1042),ISNUMBER($E1042)),IF($E1042&gt;$D1042,1,0),0)+IF(AND(ISNUMBER($D1042),ISNUMBER($F1042)),IF($D1042&gt;$F1042,1,0),0)+IF(AND(ISNUMBER($E1042),ISNUMBER($F1042)),IF($E1042&gt;$F1042,1,0),0)</f>
        <v>0</v>
      </c>
      <c r="X1042" s="13" t="s">
        <v>76</v>
      </c>
    </row>
    <row r="1043" customFormat="false" ht="15" hidden="false" customHeight="false" outlineLevel="0" collapsed="false">
      <c r="A1043" s="10" t="s">
        <v>4321</v>
      </c>
      <c r="B1043" s="10" t="s">
        <v>4322</v>
      </c>
      <c r="C1043" s="11" t="s">
        <v>4316</v>
      </c>
      <c r="D1043" s="12" t="n">
        <v>0.3475</v>
      </c>
      <c r="E1043" s="12"/>
      <c r="F1043" s="12"/>
      <c r="G1043" s="10" t="s">
        <v>63</v>
      </c>
      <c r="H1043" s="10" t="s">
        <v>3452</v>
      </c>
      <c r="I1043" s="11" t="s">
        <v>4303</v>
      </c>
      <c r="J1043" s="10" t="s">
        <v>66</v>
      </c>
      <c r="K1043" s="10" t="s">
        <v>67</v>
      </c>
      <c r="L1043" s="10" t="s">
        <v>68</v>
      </c>
      <c r="M1043" s="10" t="s">
        <v>69</v>
      </c>
      <c r="N1043" s="10"/>
      <c r="O1043" s="11" t="s">
        <v>3422</v>
      </c>
      <c r="P1043" s="10" t="s">
        <v>71</v>
      </c>
      <c r="Q1043" s="11" t="s">
        <v>72</v>
      </c>
      <c r="R1043" s="11" t="s">
        <v>73</v>
      </c>
      <c r="S1043" s="11" t="s">
        <v>74</v>
      </c>
      <c r="T1043" s="11" t="s">
        <v>4323</v>
      </c>
      <c r="U1043" s="10" t="n">
        <f aca="false">IF(AND($D1043="",$E1043="",$F1043=""),1,0)</f>
        <v>0</v>
      </c>
      <c r="V1043" s="10" t="n">
        <f aca="false">IF(OR($I1043="",$I1043="—"),1,0)</f>
        <v>0</v>
      </c>
      <c r="W1043" s="10" t="n">
        <f aca="false">IF(AND(ISNUMBER($D1043),ISNUMBER($E1043)),IF($E1043&gt;$D1043,1,0),0)+IF(AND(ISNUMBER($D1043),ISNUMBER($F1043)),IF($D1043&gt;$F1043,1,0),0)+IF(AND(ISNUMBER($E1043),ISNUMBER($F1043)),IF($E1043&gt;$F1043,1,0),0)</f>
        <v>0</v>
      </c>
      <c r="X1043" s="13" t="s">
        <v>76</v>
      </c>
    </row>
    <row r="1044" customFormat="false" ht="15" hidden="false" customHeight="false" outlineLevel="0" collapsed="false">
      <c r="A1044" s="10" t="s">
        <v>4324</v>
      </c>
      <c r="B1044" s="10" t="s">
        <v>4325</v>
      </c>
      <c r="C1044" s="11" t="s">
        <v>4316</v>
      </c>
      <c r="D1044" s="12" t="n">
        <v>0.362</v>
      </c>
      <c r="E1044" s="12"/>
      <c r="F1044" s="12"/>
      <c r="G1044" s="10" t="s">
        <v>63</v>
      </c>
      <c r="H1044" s="10" t="s">
        <v>440</v>
      </c>
      <c r="I1044" s="11" t="s">
        <v>4303</v>
      </c>
      <c r="J1044" s="10" t="s">
        <v>66</v>
      </c>
      <c r="K1044" s="10" t="s">
        <v>67</v>
      </c>
      <c r="L1044" s="10" t="s">
        <v>68</v>
      </c>
      <c r="M1044" s="10" t="s">
        <v>69</v>
      </c>
      <c r="N1044" s="10"/>
      <c r="O1044" s="11" t="s">
        <v>3428</v>
      </c>
      <c r="P1044" s="10" t="s">
        <v>71</v>
      </c>
      <c r="Q1044" s="11" t="s">
        <v>72</v>
      </c>
      <c r="R1044" s="11" t="s">
        <v>73</v>
      </c>
      <c r="S1044" s="11" t="s">
        <v>74</v>
      </c>
      <c r="T1044" s="11" t="s">
        <v>4326</v>
      </c>
      <c r="U1044" s="10" t="n">
        <f aca="false">IF(AND($D1044="",$E1044="",$F1044=""),1,0)</f>
        <v>0</v>
      </c>
      <c r="V1044" s="10" t="n">
        <f aca="false">IF(OR($I1044="",$I1044="—"),1,0)</f>
        <v>0</v>
      </c>
      <c r="W1044" s="10" t="n">
        <f aca="false">IF(AND(ISNUMBER($D1044),ISNUMBER($E1044)),IF($E1044&gt;$D1044,1,0),0)+IF(AND(ISNUMBER($D1044),ISNUMBER($F1044)),IF($D1044&gt;$F1044,1,0),0)+IF(AND(ISNUMBER($E1044),ISNUMBER($F1044)),IF($E1044&gt;$F1044,1,0),0)</f>
        <v>0</v>
      </c>
      <c r="X1044" s="13" t="s">
        <v>76</v>
      </c>
    </row>
    <row r="1045" customFormat="false" ht="15" hidden="false" customHeight="false" outlineLevel="0" collapsed="false">
      <c r="A1045" s="10" t="s">
        <v>4327</v>
      </c>
      <c r="B1045" s="10" t="s">
        <v>4328</v>
      </c>
      <c r="C1045" s="11" t="s">
        <v>4329</v>
      </c>
      <c r="D1045" s="12" t="n">
        <v>0.098</v>
      </c>
      <c r="E1045" s="12"/>
      <c r="F1045" s="12"/>
      <c r="G1045" s="10" t="s">
        <v>63</v>
      </c>
      <c r="H1045" s="10" t="s">
        <v>64</v>
      </c>
      <c r="I1045" s="11" t="s">
        <v>4330</v>
      </c>
      <c r="J1045" s="10" t="s">
        <v>66</v>
      </c>
      <c r="K1045" s="10" t="s">
        <v>67</v>
      </c>
      <c r="L1045" s="10" t="s">
        <v>68</v>
      </c>
      <c r="M1045" s="10" t="s">
        <v>636</v>
      </c>
      <c r="N1045" s="10"/>
      <c r="O1045" s="11" t="s">
        <v>3279</v>
      </c>
      <c r="P1045" s="10" t="s">
        <v>637</v>
      </c>
      <c r="Q1045" s="11" t="s">
        <v>638</v>
      </c>
      <c r="R1045" s="11" t="s">
        <v>639</v>
      </c>
      <c r="S1045" s="11" t="s">
        <v>74</v>
      </c>
      <c r="T1045" s="10" t="s">
        <v>4331</v>
      </c>
      <c r="U1045" s="10" t="n">
        <f aca="false">IF(AND($D1045="",$E1045="",$F1045=""),1,0)</f>
        <v>0</v>
      </c>
      <c r="V1045" s="10" t="n">
        <f aca="false">IF(OR($I1045="",$I1045="—"),1,0)</f>
        <v>0</v>
      </c>
      <c r="W1045" s="10" t="n">
        <f aca="false">IF(AND(ISNUMBER($D1045),ISNUMBER($E1045)),IF($E1045&gt;$D1045,1,0),0)+IF(AND(ISNUMBER($D1045),ISNUMBER($F1045)),IF($D1045&gt;$F1045,1,0),0)+IF(AND(ISNUMBER($E1045),ISNUMBER($F1045)),IF($E1045&gt;$F1045,1,0),0)</f>
        <v>0</v>
      </c>
      <c r="X1045" s="13" t="s">
        <v>76</v>
      </c>
    </row>
    <row r="1046" customFormat="false" ht="15" hidden="false" customHeight="false" outlineLevel="0" collapsed="false">
      <c r="A1046" s="10" t="s">
        <v>4332</v>
      </c>
      <c r="B1046" s="10" t="s">
        <v>4333</v>
      </c>
      <c r="C1046" s="11" t="s">
        <v>4329</v>
      </c>
      <c r="D1046" s="12" t="n">
        <v>0.306</v>
      </c>
      <c r="E1046" s="12"/>
      <c r="F1046" s="12"/>
      <c r="G1046" s="10" t="s">
        <v>63</v>
      </c>
      <c r="H1046" s="10" t="s">
        <v>79</v>
      </c>
      <c r="I1046" s="11" t="s">
        <v>4330</v>
      </c>
      <c r="J1046" s="10" t="s">
        <v>66</v>
      </c>
      <c r="K1046" s="10" t="s">
        <v>67</v>
      </c>
      <c r="L1046" s="10" t="s">
        <v>68</v>
      </c>
      <c r="M1046" s="10" t="s">
        <v>636</v>
      </c>
      <c r="N1046" s="10"/>
      <c r="O1046" s="11" t="s">
        <v>3279</v>
      </c>
      <c r="P1046" s="10" t="s">
        <v>637</v>
      </c>
      <c r="Q1046" s="11" t="s">
        <v>638</v>
      </c>
      <c r="R1046" s="11" t="s">
        <v>639</v>
      </c>
      <c r="S1046" s="11" t="s">
        <v>74</v>
      </c>
      <c r="T1046" s="10" t="s">
        <v>4334</v>
      </c>
      <c r="U1046" s="10" t="n">
        <f aca="false">IF(AND($D1046="",$E1046="",$F1046=""),1,0)</f>
        <v>0</v>
      </c>
      <c r="V1046" s="10" t="n">
        <f aca="false">IF(OR($I1046="",$I1046="—"),1,0)</f>
        <v>0</v>
      </c>
      <c r="W1046" s="10" t="n">
        <f aca="false">IF(AND(ISNUMBER($D1046),ISNUMBER($E1046)),IF($E1046&gt;$D1046,1,0),0)+IF(AND(ISNUMBER($D1046),ISNUMBER($F1046)),IF($D1046&gt;$F1046,1,0),0)+IF(AND(ISNUMBER($E1046),ISNUMBER($F1046)),IF($E1046&gt;$F1046,1,0),0)</f>
        <v>0</v>
      </c>
      <c r="X1046" s="13" t="s">
        <v>76</v>
      </c>
    </row>
    <row r="1047" customFormat="false" ht="15" hidden="false" customHeight="false" outlineLevel="0" collapsed="false">
      <c r="A1047" s="10" t="s">
        <v>4335</v>
      </c>
      <c r="B1047" s="10" t="s">
        <v>4336</v>
      </c>
      <c r="C1047" s="11" t="s">
        <v>4329</v>
      </c>
      <c r="D1047" s="12" t="n">
        <v>0.413</v>
      </c>
      <c r="E1047" s="12"/>
      <c r="F1047" s="12"/>
      <c r="G1047" s="10" t="s">
        <v>63</v>
      </c>
      <c r="H1047" s="10" t="s">
        <v>83</v>
      </c>
      <c r="I1047" s="11" t="s">
        <v>4330</v>
      </c>
      <c r="J1047" s="10" t="s">
        <v>66</v>
      </c>
      <c r="K1047" s="10" t="s">
        <v>67</v>
      </c>
      <c r="L1047" s="10" t="s">
        <v>68</v>
      </c>
      <c r="M1047" s="10" t="s">
        <v>636</v>
      </c>
      <c r="N1047" s="10"/>
      <c r="O1047" s="11" t="s">
        <v>3279</v>
      </c>
      <c r="P1047" s="10" t="s">
        <v>637</v>
      </c>
      <c r="Q1047" s="11" t="s">
        <v>638</v>
      </c>
      <c r="R1047" s="11" t="s">
        <v>639</v>
      </c>
      <c r="S1047" s="11" t="s">
        <v>74</v>
      </c>
      <c r="T1047" s="10" t="s">
        <v>4337</v>
      </c>
      <c r="U1047" s="10" t="n">
        <f aca="false">IF(AND($D1047="",$E1047="",$F1047=""),1,0)</f>
        <v>0</v>
      </c>
      <c r="V1047" s="10" t="n">
        <f aca="false">IF(OR($I1047="",$I1047="—"),1,0)</f>
        <v>0</v>
      </c>
      <c r="W1047" s="10" t="n">
        <f aca="false">IF(AND(ISNUMBER($D1047),ISNUMBER($E1047)),IF($E1047&gt;$D1047,1,0),0)+IF(AND(ISNUMBER($D1047),ISNUMBER($F1047)),IF($D1047&gt;$F1047,1,0),0)+IF(AND(ISNUMBER($E1047),ISNUMBER($F1047)),IF($E1047&gt;$F1047,1,0),0)</f>
        <v>0</v>
      </c>
      <c r="X1047" s="13" t="s">
        <v>76</v>
      </c>
    </row>
    <row r="1048" customFormat="false" ht="15" hidden="false" customHeight="false" outlineLevel="0" collapsed="false">
      <c r="A1048" s="10" t="s">
        <v>4338</v>
      </c>
      <c r="B1048" s="10" t="s">
        <v>4339</v>
      </c>
      <c r="C1048" s="11" t="s">
        <v>4329</v>
      </c>
      <c r="D1048" s="12" t="n">
        <v>0.072</v>
      </c>
      <c r="E1048" s="12"/>
      <c r="F1048" s="12"/>
      <c r="G1048" s="10" t="s">
        <v>63</v>
      </c>
      <c r="H1048" s="10" t="s">
        <v>92</v>
      </c>
      <c r="I1048" s="11" t="s">
        <v>4330</v>
      </c>
      <c r="J1048" s="10" t="s">
        <v>66</v>
      </c>
      <c r="K1048" s="10" t="s">
        <v>67</v>
      </c>
      <c r="L1048" s="10" t="s">
        <v>68</v>
      </c>
      <c r="M1048" s="10" t="s">
        <v>636</v>
      </c>
      <c r="N1048" s="10"/>
      <c r="O1048" s="11" t="s">
        <v>3279</v>
      </c>
      <c r="P1048" s="10" t="s">
        <v>637</v>
      </c>
      <c r="Q1048" s="11" t="s">
        <v>638</v>
      </c>
      <c r="R1048" s="11" t="s">
        <v>639</v>
      </c>
      <c r="S1048" s="11" t="s">
        <v>74</v>
      </c>
      <c r="T1048" s="10" t="s">
        <v>4340</v>
      </c>
      <c r="U1048" s="10" t="n">
        <f aca="false">IF(AND($D1048="",$E1048="",$F1048=""),1,0)</f>
        <v>0</v>
      </c>
      <c r="V1048" s="10" t="n">
        <f aca="false">IF(OR($I1048="",$I1048="—"),1,0)</f>
        <v>0</v>
      </c>
      <c r="W1048" s="10" t="n">
        <f aca="false">IF(AND(ISNUMBER($D1048),ISNUMBER($E1048)),IF($E1048&gt;$D1048,1,0),0)+IF(AND(ISNUMBER($D1048),ISNUMBER($F1048)),IF($D1048&gt;$F1048,1,0),0)+IF(AND(ISNUMBER($E1048),ISNUMBER($F1048)),IF($E1048&gt;$F1048,1,0),0)</f>
        <v>0</v>
      </c>
      <c r="X1048" s="13" t="s">
        <v>76</v>
      </c>
    </row>
    <row r="1049" customFormat="false" ht="15" hidden="false" customHeight="false" outlineLevel="0" collapsed="false">
      <c r="A1049" s="10" t="s">
        <v>4341</v>
      </c>
      <c r="B1049" s="10" t="s">
        <v>4342</v>
      </c>
      <c r="C1049" s="11" t="s">
        <v>4343</v>
      </c>
      <c r="D1049" s="12" t="n">
        <v>0.0143</v>
      </c>
      <c r="E1049" s="12"/>
      <c r="F1049" s="12"/>
      <c r="G1049" s="10" t="s">
        <v>63</v>
      </c>
      <c r="H1049" s="10" t="s">
        <v>64</v>
      </c>
      <c r="I1049" s="11" t="s">
        <v>4344</v>
      </c>
      <c r="J1049" s="10" t="s">
        <v>66</v>
      </c>
      <c r="K1049" s="10" t="s">
        <v>67</v>
      </c>
      <c r="L1049" s="10" t="s">
        <v>68</v>
      </c>
      <c r="M1049" s="10" t="s">
        <v>69</v>
      </c>
      <c r="N1049" s="10"/>
      <c r="O1049" s="11" t="s">
        <v>2851</v>
      </c>
      <c r="P1049" s="10" t="s">
        <v>71</v>
      </c>
      <c r="Q1049" s="11" t="s">
        <v>72</v>
      </c>
      <c r="R1049" s="11" t="s">
        <v>73</v>
      </c>
      <c r="S1049" s="11" t="s">
        <v>74</v>
      </c>
      <c r="T1049" s="11" t="s">
        <v>4345</v>
      </c>
      <c r="U1049" s="10" t="n">
        <f aca="false">IF(AND($D1049="",$E1049="",$F1049=""),1,0)</f>
        <v>0</v>
      </c>
      <c r="V1049" s="10" t="n">
        <f aca="false">IF(OR($I1049="",$I1049="—"),1,0)</f>
        <v>0</v>
      </c>
      <c r="W1049" s="10" t="n">
        <f aca="false">IF(AND(ISNUMBER($D1049),ISNUMBER($E1049)),IF($E1049&gt;$D1049,1,0),0)+IF(AND(ISNUMBER($D1049),ISNUMBER($F1049)),IF($D1049&gt;$F1049,1,0),0)+IF(AND(ISNUMBER($E1049),ISNUMBER($F1049)),IF($E1049&gt;$F1049,1,0),0)</f>
        <v>0</v>
      </c>
      <c r="X1049" s="13" t="s">
        <v>76</v>
      </c>
    </row>
    <row r="1050" customFormat="false" ht="15" hidden="false" customHeight="false" outlineLevel="0" collapsed="false">
      <c r="A1050" s="10" t="s">
        <v>4346</v>
      </c>
      <c r="B1050" s="10" t="s">
        <v>4347</v>
      </c>
      <c r="C1050" s="11" t="s">
        <v>4343</v>
      </c>
      <c r="D1050" s="12" t="n">
        <v>0.1124</v>
      </c>
      <c r="E1050" s="12"/>
      <c r="F1050" s="12"/>
      <c r="G1050" s="10" t="s">
        <v>63</v>
      </c>
      <c r="H1050" s="10" t="s">
        <v>79</v>
      </c>
      <c r="I1050" s="11" t="s">
        <v>4344</v>
      </c>
      <c r="J1050" s="10" t="s">
        <v>66</v>
      </c>
      <c r="K1050" s="10" t="s">
        <v>67</v>
      </c>
      <c r="L1050" s="10" t="s">
        <v>68</v>
      </c>
      <c r="M1050" s="10" t="s">
        <v>69</v>
      </c>
      <c r="N1050" s="10"/>
      <c r="O1050" s="11" t="s">
        <v>2851</v>
      </c>
      <c r="P1050" s="10" t="s">
        <v>71</v>
      </c>
      <c r="Q1050" s="11" t="s">
        <v>72</v>
      </c>
      <c r="R1050" s="11" t="s">
        <v>73</v>
      </c>
      <c r="S1050" s="11" t="s">
        <v>74</v>
      </c>
      <c r="T1050" s="11" t="s">
        <v>4348</v>
      </c>
      <c r="U1050" s="10" t="n">
        <f aca="false">IF(AND($D1050="",$E1050="",$F1050=""),1,0)</f>
        <v>0</v>
      </c>
      <c r="V1050" s="10" t="n">
        <f aca="false">IF(OR($I1050="",$I1050="—"),1,0)</f>
        <v>0</v>
      </c>
      <c r="W1050" s="10" t="n">
        <f aca="false">IF(AND(ISNUMBER($D1050),ISNUMBER($E1050)),IF($E1050&gt;$D1050,1,0),0)+IF(AND(ISNUMBER($D1050),ISNUMBER($F1050)),IF($D1050&gt;$F1050,1,0),0)+IF(AND(ISNUMBER($E1050),ISNUMBER($F1050)),IF($E1050&gt;$F1050,1,0),0)</f>
        <v>0</v>
      </c>
      <c r="X1050" s="13" t="s">
        <v>76</v>
      </c>
    </row>
    <row r="1051" customFormat="false" ht="15" hidden="false" customHeight="false" outlineLevel="0" collapsed="false">
      <c r="A1051" s="10" t="s">
        <v>4349</v>
      </c>
      <c r="B1051" s="10" t="s">
        <v>4350</v>
      </c>
      <c r="C1051" s="11" t="s">
        <v>4343</v>
      </c>
      <c r="D1051" s="12" t="n">
        <v>0.1341</v>
      </c>
      <c r="E1051" s="12"/>
      <c r="F1051" s="12"/>
      <c r="G1051" s="10" t="s">
        <v>63</v>
      </c>
      <c r="H1051" s="10" t="s">
        <v>83</v>
      </c>
      <c r="I1051" s="11" t="s">
        <v>4344</v>
      </c>
      <c r="J1051" s="10" t="s">
        <v>66</v>
      </c>
      <c r="K1051" s="10" t="s">
        <v>67</v>
      </c>
      <c r="L1051" s="10" t="s">
        <v>68</v>
      </c>
      <c r="M1051" s="10" t="s">
        <v>69</v>
      </c>
      <c r="N1051" s="10"/>
      <c r="O1051" s="11" t="s">
        <v>2851</v>
      </c>
      <c r="P1051" s="10" t="s">
        <v>71</v>
      </c>
      <c r="Q1051" s="11" t="s">
        <v>72</v>
      </c>
      <c r="R1051" s="11" t="s">
        <v>73</v>
      </c>
      <c r="S1051" s="11" t="s">
        <v>74</v>
      </c>
      <c r="T1051" s="11" t="s">
        <v>4351</v>
      </c>
      <c r="U1051" s="10" t="n">
        <f aca="false">IF(AND($D1051="",$E1051="",$F1051=""),1,0)</f>
        <v>0</v>
      </c>
      <c r="V1051" s="10" t="n">
        <f aca="false">IF(OR($I1051="",$I1051="—"),1,0)</f>
        <v>0</v>
      </c>
      <c r="W1051" s="10" t="n">
        <f aca="false">IF(AND(ISNUMBER($D1051),ISNUMBER($E1051)),IF($E1051&gt;$D1051,1,0),0)+IF(AND(ISNUMBER($D1051),ISNUMBER($F1051)),IF($D1051&gt;$F1051,1,0),0)+IF(AND(ISNUMBER($E1051),ISNUMBER($F1051)),IF($E1051&gt;$F1051,1,0),0)</f>
        <v>0</v>
      </c>
      <c r="X1051" s="13" t="s">
        <v>76</v>
      </c>
    </row>
    <row r="1052" customFormat="false" ht="15" hidden="false" customHeight="false" outlineLevel="0" collapsed="false">
      <c r="A1052" s="10" t="s">
        <v>4352</v>
      </c>
      <c r="B1052" s="10" t="s">
        <v>4353</v>
      </c>
      <c r="C1052" s="11" t="s">
        <v>4343</v>
      </c>
      <c r="D1052" s="12" t="n">
        <v>0.0416</v>
      </c>
      <c r="E1052" s="12"/>
      <c r="F1052" s="12"/>
      <c r="G1052" s="10" t="s">
        <v>63</v>
      </c>
      <c r="H1052" s="10" t="s">
        <v>87</v>
      </c>
      <c r="I1052" s="11" t="s">
        <v>4344</v>
      </c>
      <c r="J1052" s="10" t="s">
        <v>66</v>
      </c>
      <c r="K1052" s="10" t="s">
        <v>67</v>
      </c>
      <c r="L1052" s="10" t="s">
        <v>68</v>
      </c>
      <c r="M1052" s="10" t="s">
        <v>69</v>
      </c>
      <c r="N1052" s="10"/>
      <c r="O1052" s="11" t="s">
        <v>2861</v>
      </c>
      <c r="P1052" s="10" t="s">
        <v>71</v>
      </c>
      <c r="Q1052" s="11" t="s">
        <v>72</v>
      </c>
      <c r="R1052" s="11" t="s">
        <v>73</v>
      </c>
      <c r="S1052" s="11" t="s">
        <v>74</v>
      </c>
      <c r="T1052" s="11" t="s">
        <v>4354</v>
      </c>
      <c r="U1052" s="10" t="n">
        <f aca="false">IF(AND($D1052="",$E1052="",$F1052=""),1,0)</f>
        <v>0</v>
      </c>
      <c r="V1052" s="10" t="n">
        <f aca="false">IF(OR($I1052="",$I1052="—"),1,0)</f>
        <v>0</v>
      </c>
      <c r="W1052" s="10" t="n">
        <f aca="false">IF(AND(ISNUMBER($D1052),ISNUMBER($E1052)),IF($E1052&gt;$D1052,1,0),0)+IF(AND(ISNUMBER($D1052),ISNUMBER($F1052)),IF($D1052&gt;$F1052,1,0),0)+IF(AND(ISNUMBER($E1052),ISNUMBER($F1052)),IF($E1052&gt;$F1052,1,0),0)</f>
        <v>0</v>
      </c>
      <c r="X1052" s="13" t="s">
        <v>76</v>
      </c>
    </row>
    <row r="1053" customFormat="false" ht="15" hidden="false" customHeight="false" outlineLevel="0" collapsed="false">
      <c r="A1053" s="10" t="s">
        <v>4355</v>
      </c>
      <c r="B1053" s="10" t="s">
        <v>4356</v>
      </c>
      <c r="C1053" s="11" t="s">
        <v>4343</v>
      </c>
      <c r="D1053" s="12" t="n">
        <v>0.0461</v>
      </c>
      <c r="E1053" s="12"/>
      <c r="F1053" s="12"/>
      <c r="G1053" s="10" t="s">
        <v>63</v>
      </c>
      <c r="H1053" s="10" t="s">
        <v>92</v>
      </c>
      <c r="I1053" s="11" t="s">
        <v>4344</v>
      </c>
      <c r="J1053" s="10" t="s">
        <v>66</v>
      </c>
      <c r="K1053" s="10" t="s">
        <v>67</v>
      </c>
      <c r="L1053" s="10" t="s">
        <v>68</v>
      </c>
      <c r="M1053" s="10" t="s">
        <v>69</v>
      </c>
      <c r="N1053" s="10"/>
      <c r="O1053" s="11" t="s">
        <v>2865</v>
      </c>
      <c r="P1053" s="10" t="s">
        <v>71</v>
      </c>
      <c r="Q1053" s="11" t="s">
        <v>72</v>
      </c>
      <c r="R1053" s="11" t="s">
        <v>73</v>
      </c>
      <c r="S1053" s="11" t="s">
        <v>74</v>
      </c>
      <c r="T1053" s="11" t="s">
        <v>4357</v>
      </c>
      <c r="U1053" s="10" t="n">
        <f aca="false">IF(AND($D1053="",$E1053="",$F1053=""),1,0)</f>
        <v>0</v>
      </c>
      <c r="V1053" s="10" t="n">
        <f aca="false">IF(OR($I1053="",$I1053="—"),1,0)</f>
        <v>0</v>
      </c>
      <c r="W1053" s="10" t="n">
        <f aca="false">IF(AND(ISNUMBER($D1053),ISNUMBER($E1053)),IF($E1053&gt;$D1053,1,0),0)+IF(AND(ISNUMBER($D1053),ISNUMBER($F1053)),IF($D1053&gt;$F1053,1,0),0)+IF(AND(ISNUMBER($E1053),ISNUMBER($F1053)),IF($E1053&gt;$F1053,1,0),0)</f>
        <v>0</v>
      </c>
      <c r="X1053" s="13" t="s">
        <v>76</v>
      </c>
    </row>
    <row r="1054" customFormat="false" ht="15" hidden="false" customHeight="false" outlineLevel="0" collapsed="false">
      <c r="A1054" s="10" t="s">
        <v>4358</v>
      </c>
      <c r="B1054" s="10" t="s">
        <v>4359</v>
      </c>
      <c r="C1054" s="11" t="s">
        <v>4360</v>
      </c>
      <c r="D1054" s="12"/>
      <c r="E1054" s="12"/>
      <c r="F1054" s="12"/>
      <c r="G1054" s="11" t="s">
        <v>1401</v>
      </c>
      <c r="H1054" s="10" t="s">
        <v>4361</v>
      </c>
      <c r="I1054" s="11" t="s">
        <v>3531</v>
      </c>
      <c r="J1054" s="10" t="s">
        <v>66</v>
      </c>
      <c r="K1054" s="10" t="s">
        <v>67</v>
      </c>
      <c r="L1054" s="10" t="s">
        <v>68</v>
      </c>
      <c r="M1054" s="10" t="s">
        <v>69</v>
      </c>
      <c r="N1054" s="10"/>
      <c r="O1054" s="11" t="s">
        <v>441</v>
      </c>
      <c r="P1054" s="10" t="s">
        <v>71</v>
      </c>
      <c r="Q1054" s="11" t="s">
        <v>72</v>
      </c>
      <c r="R1054" s="11" t="s">
        <v>73</v>
      </c>
      <c r="S1054" s="11" t="s">
        <v>74</v>
      </c>
      <c r="T1054" s="11" t="s">
        <v>4362</v>
      </c>
      <c r="U1054" s="10" t="n">
        <f aca="false">IF(AND($D1054="",$E1054="",$F1054=""),1,0)</f>
        <v>1</v>
      </c>
      <c r="V1054" s="10" t="n">
        <f aca="false">IF(OR($I1054="",$I1054="—"),1,0)</f>
        <v>0</v>
      </c>
      <c r="W1054" s="10" t="n">
        <f aca="false">IF(AND(ISNUMBER($D1054),ISNUMBER($E1054)),IF($E1054&gt;$D1054,1,0),0)+IF(AND(ISNUMBER($D1054),ISNUMBER($F1054)),IF($D1054&gt;$F1054,1,0),0)+IF(AND(ISNUMBER($E1054),ISNUMBER($F1054)),IF($E1054&gt;$F1054,1,0),0)</f>
        <v>0</v>
      </c>
      <c r="X1054" s="13" t="s">
        <v>76</v>
      </c>
    </row>
    <row r="1055" customFormat="false" ht="15" hidden="false" customHeight="false" outlineLevel="0" collapsed="false">
      <c r="A1055" s="10" t="s">
        <v>4363</v>
      </c>
      <c r="B1055" s="10" t="s">
        <v>4364</v>
      </c>
      <c r="C1055" s="11" t="s">
        <v>4365</v>
      </c>
      <c r="D1055" s="12" t="n">
        <v>0</v>
      </c>
      <c r="E1055" s="12"/>
      <c r="F1055" s="12"/>
      <c r="G1055" s="11" t="s">
        <v>4366</v>
      </c>
      <c r="H1055" s="10" t="s">
        <v>4367</v>
      </c>
      <c r="I1055" s="11" t="s">
        <v>3531</v>
      </c>
      <c r="J1055" s="10" t="s">
        <v>66</v>
      </c>
      <c r="K1055" s="10" t="s">
        <v>67</v>
      </c>
      <c r="L1055" s="10" t="s">
        <v>68</v>
      </c>
      <c r="M1055" s="10" t="s">
        <v>69</v>
      </c>
      <c r="N1055" s="10"/>
      <c r="O1055" s="11" t="s">
        <v>441</v>
      </c>
      <c r="P1055" s="10" t="s">
        <v>71</v>
      </c>
      <c r="Q1055" s="11" t="s">
        <v>72</v>
      </c>
      <c r="R1055" s="11" t="s">
        <v>73</v>
      </c>
      <c r="S1055" s="11" t="s">
        <v>74</v>
      </c>
      <c r="T1055" s="11" t="s">
        <v>4368</v>
      </c>
      <c r="U1055" s="10" t="n">
        <f aca="false">IF(AND($D1055="",$E1055="",$F1055=""),1,0)</f>
        <v>0</v>
      </c>
      <c r="V1055" s="10" t="n">
        <f aca="false">IF(OR($I1055="",$I1055="—"),1,0)</f>
        <v>0</v>
      </c>
      <c r="W1055" s="10" t="n">
        <f aca="false">IF(AND(ISNUMBER($D1055),ISNUMBER($E1055)),IF($E1055&gt;$D1055,1,0),0)+IF(AND(ISNUMBER($D1055),ISNUMBER($F1055)),IF($D1055&gt;$F1055,1,0),0)+IF(AND(ISNUMBER($E1055),ISNUMBER($F1055)),IF($E1055&gt;$F1055,1,0),0)</f>
        <v>0</v>
      </c>
      <c r="X1055" s="13" t="s">
        <v>76</v>
      </c>
    </row>
    <row r="1056" customFormat="false" ht="15" hidden="false" customHeight="false" outlineLevel="0" collapsed="false">
      <c r="A1056" s="10" t="s">
        <v>4369</v>
      </c>
      <c r="B1056" s="10" t="s">
        <v>4370</v>
      </c>
      <c r="C1056" s="11" t="s">
        <v>4371</v>
      </c>
      <c r="D1056" s="12" t="n">
        <v>40</v>
      </c>
      <c r="E1056" s="12"/>
      <c r="F1056" s="12"/>
      <c r="G1056" s="11" t="s">
        <v>4372</v>
      </c>
      <c r="H1056" s="10" t="s">
        <v>440</v>
      </c>
      <c r="I1056" s="11" t="s">
        <v>4373</v>
      </c>
      <c r="J1056" s="10" t="s">
        <v>66</v>
      </c>
      <c r="K1056" s="10" t="s">
        <v>67</v>
      </c>
      <c r="L1056" s="10" t="s">
        <v>68</v>
      </c>
      <c r="M1056" s="10" t="s">
        <v>416</v>
      </c>
      <c r="N1056" s="11" t="s">
        <v>4145</v>
      </c>
      <c r="O1056" s="11" t="s">
        <v>441</v>
      </c>
      <c r="P1056" s="10" t="s">
        <v>71</v>
      </c>
      <c r="Q1056" s="11" t="s">
        <v>72</v>
      </c>
      <c r="R1056" s="11" t="s">
        <v>4145</v>
      </c>
      <c r="S1056" s="11" t="s">
        <v>74</v>
      </c>
      <c r="T1056" s="11" t="s">
        <v>4374</v>
      </c>
      <c r="U1056" s="10" t="n">
        <f aca="false">IF(AND($D1056="",$E1056="",$F1056=""),1,0)</f>
        <v>0</v>
      </c>
      <c r="V1056" s="10" t="n">
        <f aca="false">IF(OR($I1056="",$I1056="—"),1,0)</f>
        <v>0</v>
      </c>
      <c r="W1056" s="10" t="n">
        <f aca="false">IF(AND(ISNUMBER($D1056),ISNUMBER($E1056)),IF($E1056&gt;$D1056,1,0),0)+IF(AND(ISNUMBER($D1056),ISNUMBER($F1056)),IF($D1056&gt;$F1056,1,0),0)+IF(AND(ISNUMBER($E1056),ISNUMBER($F1056)),IF($E1056&gt;$F1056,1,0),0)</f>
        <v>0</v>
      </c>
      <c r="X1056" s="13" t="s">
        <v>76</v>
      </c>
    </row>
    <row r="1057" customFormat="false" ht="15" hidden="false" customHeight="false" outlineLevel="0" collapsed="false">
      <c r="A1057" s="10" t="s">
        <v>4375</v>
      </c>
      <c r="B1057" s="10" t="s">
        <v>4376</v>
      </c>
      <c r="C1057" s="11" t="s">
        <v>4377</v>
      </c>
      <c r="D1057" s="12" t="n">
        <v>2.0269</v>
      </c>
      <c r="E1057" s="12"/>
      <c r="F1057" s="12"/>
      <c r="G1057" s="10" t="s">
        <v>63</v>
      </c>
      <c r="H1057" s="10" t="s">
        <v>440</v>
      </c>
      <c r="I1057" s="11" t="s">
        <v>3875</v>
      </c>
      <c r="J1057" s="10" t="s">
        <v>66</v>
      </c>
      <c r="K1057" s="10" t="s">
        <v>67</v>
      </c>
      <c r="L1057" s="10" t="s">
        <v>68</v>
      </c>
      <c r="M1057" s="10" t="s">
        <v>69</v>
      </c>
      <c r="N1057" s="10"/>
      <c r="O1057" s="11" t="s">
        <v>3428</v>
      </c>
      <c r="P1057" s="10" t="s">
        <v>71</v>
      </c>
      <c r="Q1057" s="11" t="s">
        <v>72</v>
      </c>
      <c r="R1057" s="11" t="s">
        <v>73</v>
      </c>
      <c r="S1057" s="11" t="s">
        <v>74</v>
      </c>
      <c r="T1057" s="11" t="s">
        <v>4378</v>
      </c>
      <c r="U1057" s="10" t="n">
        <f aca="false">IF(AND($D1057="",$E1057="",$F1057=""),1,0)</f>
        <v>0</v>
      </c>
      <c r="V1057" s="10" t="n">
        <f aca="false">IF(OR($I1057="",$I1057="—"),1,0)</f>
        <v>0</v>
      </c>
      <c r="W1057" s="10" t="n">
        <f aca="false">IF(AND(ISNUMBER($D1057),ISNUMBER($E1057)),IF($E1057&gt;$D1057,1,0),0)+IF(AND(ISNUMBER($D1057),ISNUMBER($F1057)),IF($D1057&gt;$F1057,1,0),0)+IF(AND(ISNUMBER($E1057),ISNUMBER($F1057)),IF($E1057&gt;$F1057,1,0),0)</f>
        <v>0</v>
      </c>
      <c r="X1057" s="13" t="s">
        <v>76</v>
      </c>
    </row>
    <row r="1058" customFormat="false" ht="15" hidden="false" customHeight="false" outlineLevel="0" collapsed="false">
      <c r="A1058" s="10" t="s">
        <v>4379</v>
      </c>
      <c r="B1058" s="10" t="s">
        <v>4380</v>
      </c>
      <c r="C1058" s="11" t="s">
        <v>4381</v>
      </c>
      <c r="D1058" s="12" t="n">
        <v>25000</v>
      </c>
      <c r="E1058" s="12"/>
      <c r="F1058" s="12"/>
      <c r="G1058" s="10" t="s">
        <v>4382</v>
      </c>
      <c r="H1058" s="10" t="s">
        <v>4383</v>
      </c>
      <c r="I1058" s="11" t="s">
        <v>4384</v>
      </c>
      <c r="J1058" s="10" t="s">
        <v>66</v>
      </c>
      <c r="K1058" s="10" t="s">
        <v>67</v>
      </c>
      <c r="L1058" s="10" t="s">
        <v>68</v>
      </c>
      <c r="M1058" s="10" t="s">
        <v>416</v>
      </c>
      <c r="N1058" s="11" t="s">
        <v>4385</v>
      </c>
      <c r="O1058" s="11" t="s">
        <v>4386</v>
      </c>
      <c r="P1058" s="10" t="s">
        <v>71</v>
      </c>
      <c r="Q1058" s="11" t="s">
        <v>72</v>
      </c>
      <c r="R1058" s="11" t="s">
        <v>4385</v>
      </c>
      <c r="S1058" s="11" t="s">
        <v>74</v>
      </c>
      <c r="T1058" s="11" t="s">
        <v>4387</v>
      </c>
      <c r="U1058" s="10" t="n">
        <f aca="false">IF(AND($D1058="",$E1058="",$F1058=""),1,0)</f>
        <v>0</v>
      </c>
      <c r="V1058" s="10" t="n">
        <f aca="false">IF(OR($I1058="",$I1058="—"),1,0)</f>
        <v>0</v>
      </c>
      <c r="W1058" s="10" t="n">
        <f aca="false">IF(AND(ISNUMBER($D1058),ISNUMBER($E1058)),IF($E1058&gt;$D1058,1,0),0)+IF(AND(ISNUMBER($D1058),ISNUMBER($F1058)),IF($D1058&gt;$F1058,1,0),0)+IF(AND(ISNUMBER($E1058),ISNUMBER($F1058)),IF($E1058&gt;$F1058,1,0),0)</f>
        <v>0</v>
      </c>
      <c r="X1058" s="13"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60"/>
  </cols>
  <sheetData>
    <row r="1" customFormat="false" ht="20.1" hidden="false" customHeight="false" outlineLevel="0" collapsed="false">
      <c r="A1" s="7" t="s">
        <v>4388</v>
      </c>
    </row>
    <row r="2" customFormat="false" ht="15" hidden="false" customHeight="false" outlineLevel="0" collapsed="false">
      <c r="A2" s="2" t="s">
        <v>4389</v>
      </c>
    </row>
    <row r="3" customFormat="false" ht="15" hidden="false" customHeight="false" outlineLevel="0" collapsed="false">
      <c r="A3" s="6" t="s">
        <v>4390</v>
      </c>
      <c r="B3" s="10" t="s">
        <v>4391</v>
      </c>
    </row>
    <row r="4" customFormat="false" ht="15" hidden="false" customHeight="false" outlineLevel="0" collapsed="false">
      <c r="A4" s="6" t="s">
        <v>4392</v>
      </c>
      <c r="B4" s="10" t="s">
        <v>4393</v>
      </c>
    </row>
    <row r="5" customFormat="false" ht="15" hidden="false" customHeight="false" outlineLevel="0" collapsed="false">
      <c r="A5" s="6" t="s">
        <v>4394</v>
      </c>
      <c r="B5" s="10" t="s">
        <v>4395</v>
      </c>
    </row>
    <row r="6" customFormat="false" ht="15" hidden="false" customHeight="false" outlineLevel="0" collapsed="false">
      <c r="A6" s="3" t="s">
        <v>4396</v>
      </c>
      <c r="B6" s="10" t="s">
        <v>68</v>
      </c>
    </row>
    <row r="7" customFormat="false" ht="15" hidden="false" customHeight="false" outlineLevel="0" collapsed="false">
      <c r="I7" s="3" t="s">
        <v>4397</v>
      </c>
      <c r="J7" s="10" t="s">
        <v>4398</v>
      </c>
      <c r="K7" s="10" t="s">
        <v>4398</v>
      </c>
      <c r="L7" s="10" t="s">
        <v>4398</v>
      </c>
      <c r="M7" s="10" t="s">
        <v>4399</v>
      </c>
      <c r="N7" s="10" t="s">
        <v>4399</v>
      </c>
      <c r="O7" s="10" t="s">
        <v>4399</v>
      </c>
      <c r="P7" s="10" t="s">
        <v>4400</v>
      </c>
      <c r="Q7" s="10" t="s">
        <v>4400</v>
      </c>
      <c r="R7" s="10" t="s">
        <v>4400</v>
      </c>
      <c r="S7" s="10" t="s">
        <v>4401</v>
      </c>
      <c r="T7" s="10" t="s">
        <v>4401</v>
      </c>
      <c r="U7" s="10" t="s">
        <v>4401</v>
      </c>
      <c r="V7" s="10" t="s">
        <v>4402</v>
      </c>
      <c r="W7" s="10" t="s">
        <v>4402</v>
      </c>
      <c r="X7" s="10" t="s">
        <v>4402</v>
      </c>
    </row>
    <row r="8" customFormat="false" ht="15" hidden="false" customHeight="false" outlineLevel="0" collapsed="false">
      <c r="I8" s="3" t="s">
        <v>4403</v>
      </c>
      <c r="J8" s="11" t="s">
        <v>4404</v>
      </c>
      <c r="K8" s="11" t="s">
        <v>4405</v>
      </c>
      <c r="L8" s="11" t="s">
        <v>4406</v>
      </c>
      <c r="M8" s="11" t="s">
        <v>4404</v>
      </c>
      <c r="N8" s="11" t="s">
        <v>4405</v>
      </c>
      <c r="O8" s="11" t="s">
        <v>4406</v>
      </c>
      <c r="P8" s="11" t="s">
        <v>4404</v>
      </c>
      <c r="Q8" s="11" t="s">
        <v>4405</v>
      </c>
      <c r="R8" s="11" t="s">
        <v>4406</v>
      </c>
      <c r="S8" s="11" t="s">
        <v>4404</v>
      </c>
      <c r="T8" s="11" t="s">
        <v>4405</v>
      </c>
      <c r="U8" s="11" t="s">
        <v>4406</v>
      </c>
      <c r="V8" s="11" t="s">
        <v>4404</v>
      </c>
      <c r="W8" s="11" t="s">
        <v>4405</v>
      </c>
      <c r="X8" s="11" t="s">
        <v>4406</v>
      </c>
    </row>
    <row r="9" customFormat="false" ht="26.85" hidden="false" customHeight="false" outlineLevel="0" collapsed="false">
      <c r="A9" s="8" t="s">
        <v>4407</v>
      </c>
      <c r="B9" s="9" t="s">
        <v>4408</v>
      </c>
      <c r="C9" s="9" t="s">
        <v>4409</v>
      </c>
      <c r="D9" s="9" t="s">
        <v>43</v>
      </c>
      <c r="E9" s="9" t="s">
        <v>4410</v>
      </c>
      <c r="F9" s="9" t="s">
        <v>4411</v>
      </c>
      <c r="G9" s="8" t="s">
        <v>4392</v>
      </c>
      <c r="H9" s="9" t="s">
        <v>4412</v>
      </c>
      <c r="I9" s="9" t="s">
        <v>4396</v>
      </c>
      <c r="J9" s="9" t="s">
        <v>4413</v>
      </c>
      <c r="K9" s="9" t="s">
        <v>4414</v>
      </c>
      <c r="L9" s="9" t="s">
        <v>4415</v>
      </c>
      <c r="M9" s="9" t="s">
        <v>4416</v>
      </c>
      <c r="N9" s="9" t="s">
        <v>4417</v>
      </c>
      <c r="O9" s="9" t="s">
        <v>4418</v>
      </c>
      <c r="P9" s="9" t="s">
        <v>4419</v>
      </c>
      <c r="Q9" s="9" t="s">
        <v>4420</v>
      </c>
      <c r="R9" s="9" t="s">
        <v>4421</v>
      </c>
      <c r="S9" s="9" t="s">
        <v>4422</v>
      </c>
      <c r="T9" s="9" t="s">
        <v>4423</v>
      </c>
      <c r="U9" s="9" t="s">
        <v>4424</v>
      </c>
      <c r="V9" s="9" t="s">
        <v>4425</v>
      </c>
      <c r="W9" s="9" t="s">
        <v>4426</v>
      </c>
      <c r="X9" s="9" t="s">
        <v>4427</v>
      </c>
    </row>
    <row r="10" customFormat="false" ht="15" hidden="false" customHeight="false" outlineLevel="0" collapsed="false">
      <c r="A10" s="10" t="s">
        <v>4428</v>
      </c>
      <c r="B10" s="10" t="s">
        <v>4429</v>
      </c>
      <c r="C10" s="11" t="s">
        <v>4430</v>
      </c>
      <c r="D10" s="10" t="s">
        <v>4431</v>
      </c>
      <c r="E10" s="10" t="n">
        <v>15</v>
      </c>
      <c r="F10" s="10" t="s">
        <v>4432</v>
      </c>
      <c r="G10" s="10" t="s">
        <v>4393</v>
      </c>
      <c r="H10" s="10" t="s">
        <v>4433</v>
      </c>
      <c r="I10" s="10" t="s">
        <v>68</v>
      </c>
      <c r="J10" s="12" t="n">
        <v>3876518295.93805</v>
      </c>
      <c r="K10" s="12" t="n">
        <v>3876518295.93805</v>
      </c>
      <c r="L10" s="12" t="n">
        <v>3876518295.93805</v>
      </c>
      <c r="M10" s="12" t="n">
        <v>20041838664.2467</v>
      </c>
      <c r="N10" s="12" t="n">
        <v>20041838664.2467</v>
      </c>
      <c r="O10" s="12" t="n">
        <v>20041838664.2467</v>
      </c>
      <c r="P10" s="12" t="n">
        <v>24234237528.7831</v>
      </c>
      <c r="Q10" s="12" t="n">
        <v>24234237528.7831</v>
      </c>
      <c r="R10" s="12" t="n">
        <v>24234237528.7831</v>
      </c>
      <c r="S10" s="12" t="n">
        <v>51167890551.5595</v>
      </c>
      <c r="T10" s="12" t="n">
        <v>51167890551.5595</v>
      </c>
      <c r="U10" s="12" t="n">
        <v>51167890551.5595</v>
      </c>
      <c r="V10" s="12" t="n">
        <v>74400955991.7707</v>
      </c>
      <c r="W10" s="12" t="n">
        <v>74400955991.7707</v>
      </c>
      <c r="X10" s="12" t="n">
        <v>74400955991.7707</v>
      </c>
    </row>
    <row r="11" customFormat="false" ht="15" hidden="false" customHeight="false" outlineLevel="0" collapsed="false">
      <c r="A11" s="10" t="s">
        <v>4434</v>
      </c>
      <c r="B11" s="10" t="s">
        <v>4435</v>
      </c>
      <c r="C11" s="11" t="s">
        <v>4430</v>
      </c>
      <c r="D11" s="10" t="s">
        <v>4431</v>
      </c>
      <c r="E11" s="10" t="n">
        <v>15</v>
      </c>
      <c r="F11" s="10" t="s">
        <v>4432</v>
      </c>
      <c r="G11" s="10" t="s">
        <v>4393</v>
      </c>
      <c r="H11" s="10" t="s">
        <v>4433</v>
      </c>
      <c r="I11" s="10" t="s">
        <v>68</v>
      </c>
      <c r="J11" s="12" t="n">
        <v>74067251304.9223</v>
      </c>
      <c r="K11" s="12" t="n">
        <v>74067251304.9223</v>
      </c>
      <c r="L11" s="12" t="n">
        <v>74067251304.9223</v>
      </c>
      <c r="M11" s="12" t="n">
        <v>362306894085.614</v>
      </c>
      <c r="N11" s="12" t="n">
        <v>362306894085.614</v>
      </c>
      <c r="O11" s="12" t="n">
        <v>362306894085.614</v>
      </c>
      <c r="P11" s="12" t="n">
        <v>527473919843.971</v>
      </c>
      <c r="Q11" s="12" t="n">
        <v>527473919843.971</v>
      </c>
      <c r="R11" s="12" t="n">
        <v>527473919843.971</v>
      </c>
      <c r="S11" s="12" t="n">
        <v>772778400993.445</v>
      </c>
      <c r="T11" s="12" t="n">
        <v>772778400993.445</v>
      </c>
      <c r="U11" s="12" t="n">
        <v>772778400993.445</v>
      </c>
      <c r="V11" s="12" t="n">
        <v>1044373713057.39</v>
      </c>
      <c r="W11" s="12" t="n">
        <v>1044373713057.39</v>
      </c>
      <c r="X11" s="12" t="n">
        <v>1044373713057.39</v>
      </c>
    </row>
    <row r="12" customFormat="false" ht="15" hidden="false" customHeight="false" outlineLevel="0" collapsed="false">
      <c r="A12" s="10" t="s">
        <v>4436</v>
      </c>
      <c r="B12" s="10" t="s">
        <v>4437</v>
      </c>
      <c r="C12" s="11" t="s">
        <v>4430</v>
      </c>
      <c r="D12" s="10" t="s">
        <v>4431</v>
      </c>
      <c r="E12" s="10" t="n">
        <v>15</v>
      </c>
      <c r="F12" s="10" t="s">
        <v>4432</v>
      </c>
      <c r="G12" s="10" t="s">
        <v>4393</v>
      </c>
      <c r="H12" s="10" t="s">
        <v>4433</v>
      </c>
      <c r="I12" s="10" t="s">
        <v>68</v>
      </c>
      <c r="J12" s="12" t="n">
        <v>21490429685.4234</v>
      </c>
      <c r="K12" s="12" t="n">
        <v>21490429685.4234</v>
      </c>
      <c r="L12" s="12" t="n">
        <v>21490429685.4234</v>
      </c>
      <c r="M12" s="12" t="n">
        <v>104125401080.667</v>
      </c>
      <c r="N12" s="12" t="n">
        <v>104125401080.667</v>
      </c>
      <c r="O12" s="12" t="n">
        <v>104125401080.667</v>
      </c>
      <c r="P12" s="12" t="n">
        <v>151593674754.548</v>
      </c>
      <c r="Q12" s="12" t="n">
        <v>151593674754.548</v>
      </c>
      <c r="R12" s="12" t="n">
        <v>151593674754.548</v>
      </c>
      <c r="S12" s="12" t="n">
        <v>237287338734.99</v>
      </c>
      <c r="T12" s="12" t="n">
        <v>237287338734.99</v>
      </c>
      <c r="U12" s="12" t="n">
        <v>237287338734.99</v>
      </c>
      <c r="V12" s="12" t="n">
        <v>326185670522.351</v>
      </c>
      <c r="W12" s="12" t="n">
        <v>326185670522.351</v>
      </c>
      <c r="X12" s="12" t="n">
        <v>326185670522.351</v>
      </c>
    </row>
    <row r="13" customFormat="false" ht="15" hidden="false" customHeight="false" outlineLevel="0" collapsed="false">
      <c r="A13" s="10" t="s">
        <v>4438</v>
      </c>
      <c r="B13" s="10" t="s">
        <v>4439</v>
      </c>
      <c r="C13" s="11" t="s">
        <v>4440</v>
      </c>
      <c r="D13" s="10" t="s">
        <v>401</v>
      </c>
      <c r="E13" s="10" t="n">
        <v>1</v>
      </c>
      <c r="F13" s="10" t="s">
        <v>4432</v>
      </c>
      <c r="G13" s="10" t="s">
        <v>4393</v>
      </c>
      <c r="H13" s="10" t="s">
        <v>4433</v>
      </c>
      <c r="I13" s="10" t="s">
        <v>68</v>
      </c>
      <c r="J13" s="12" t="n">
        <v>0.6</v>
      </c>
    </row>
    <row r="14" customFormat="false" ht="15" hidden="false" customHeight="false" outlineLevel="0" collapsed="false">
      <c r="A14" s="10" t="s">
        <v>4441</v>
      </c>
      <c r="B14" s="10" t="s">
        <v>4442</v>
      </c>
      <c r="C14" s="11" t="s">
        <v>4443</v>
      </c>
      <c r="D14" s="10" t="s">
        <v>4444</v>
      </c>
      <c r="E14" s="10" t="n">
        <v>15</v>
      </c>
      <c r="F14" s="10" t="s">
        <v>4432</v>
      </c>
      <c r="G14" s="10" t="s">
        <v>4393</v>
      </c>
      <c r="H14" s="10" t="s">
        <v>4433</v>
      </c>
      <c r="I14" s="10" t="s">
        <v>68</v>
      </c>
      <c r="J14" s="12" t="n">
        <v>7.0000433103819</v>
      </c>
      <c r="K14" s="12" t="n">
        <v>10.0957952959174</v>
      </c>
      <c r="L14" s="12" t="n">
        <v>17.4059720636914</v>
      </c>
      <c r="M14" s="12" t="n">
        <v>6.81316695089878</v>
      </c>
      <c r="N14" s="12" t="n">
        <v>9.17098191725462</v>
      </c>
      <c r="O14" s="12" t="n">
        <v>14.9200285257983</v>
      </c>
      <c r="P14" s="12" t="n">
        <v>8.70747076237914</v>
      </c>
      <c r="Q14" s="12" t="n">
        <v>12.7247463559608</v>
      </c>
      <c r="R14" s="12" t="n">
        <v>23.87186935202</v>
      </c>
      <c r="S14" s="12" t="n">
        <v>9.83668060375303</v>
      </c>
      <c r="T14" s="12" t="n">
        <v>12.7620157762701</v>
      </c>
      <c r="U14" s="12" t="n">
        <v>20.6780894215396</v>
      </c>
      <c r="V14" s="12" t="n">
        <v>10.4522416094636</v>
      </c>
      <c r="W14" s="12" t="n">
        <v>16.0694566753819</v>
      </c>
      <c r="X14" s="12" t="n">
        <v>29.454615058956</v>
      </c>
    </row>
    <row r="15" customFormat="false" ht="15" hidden="false" customHeight="false" outlineLevel="0" collapsed="false">
      <c r="A15" s="10" t="s">
        <v>4445</v>
      </c>
      <c r="B15" s="10" t="s">
        <v>4446</v>
      </c>
      <c r="C15" s="11" t="s">
        <v>4447</v>
      </c>
      <c r="D15" s="10" t="s">
        <v>4448</v>
      </c>
      <c r="E15" s="10" t="n">
        <v>15</v>
      </c>
      <c r="F15" s="10" t="s">
        <v>4432</v>
      </c>
      <c r="G15" s="10" t="s">
        <v>4393</v>
      </c>
      <c r="H15" s="10" t="s">
        <v>4433</v>
      </c>
      <c r="I15" s="10" t="s">
        <v>68</v>
      </c>
      <c r="J15" s="12" t="n">
        <v>6.98232343835803</v>
      </c>
      <c r="K15" s="12" t="n">
        <v>10.0701401279639</v>
      </c>
      <c r="L15" s="12" t="n">
        <v>17.3615788262088</v>
      </c>
      <c r="M15" s="12" t="n">
        <v>0.929824661004986</v>
      </c>
      <c r="N15" s="12" t="n">
        <v>1.25152940803565</v>
      </c>
      <c r="O15" s="12" t="n">
        <v>2.03594023384679</v>
      </c>
      <c r="P15" s="12" t="n">
        <v>0.933052266852849</v>
      </c>
      <c r="Q15" s="12" t="n">
        <v>1.36342193413465</v>
      </c>
      <c r="R15" s="12" t="n">
        <v>2.55761025983181</v>
      </c>
      <c r="S15" s="12" t="n">
        <v>0.425384609769744</v>
      </c>
      <c r="T15" s="12" t="n">
        <v>0.551823554780618</v>
      </c>
      <c r="U15" s="12" t="n">
        <v>0.8939723826276</v>
      </c>
      <c r="V15" s="12" t="n">
        <v>0.278094026413058</v>
      </c>
      <c r="W15" s="12" t="n">
        <v>0.427426585241239</v>
      </c>
      <c r="X15" s="12" t="n">
        <v>0.783268390883916</v>
      </c>
    </row>
    <row r="16" customFormat="false" ht="15" hidden="false" customHeight="false" outlineLevel="0" collapsed="false">
      <c r="A16" s="10" t="s">
        <v>4449</v>
      </c>
      <c r="B16" s="10" t="s">
        <v>4450</v>
      </c>
      <c r="C16" s="11" t="s">
        <v>4447</v>
      </c>
      <c r="D16" s="10" t="s">
        <v>4448</v>
      </c>
      <c r="E16" s="10" t="n">
        <v>15</v>
      </c>
      <c r="F16" s="10" t="s">
        <v>4432</v>
      </c>
      <c r="G16" s="10" t="s">
        <v>4393</v>
      </c>
      <c r="H16" s="10" t="s">
        <v>4433</v>
      </c>
      <c r="I16" s="10" t="s">
        <v>68</v>
      </c>
      <c r="J16" s="12" t="n">
        <v>0.133329814173381</v>
      </c>
      <c r="K16" s="12" t="n">
        <v>0.192289806873558</v>
      </c>
      <c r="L16" s="12" t="n">
        <v>0.331515420191033</v>
      </c>
      <c r="M16" s="12" t="n">
        <v>0.0276536496722329</v>
      </c>
      <c r="N16" s="12" t="n">
        <v>0.0372199275435518</v>
      </c>
      <c r="O16" s="12" t="n">
        <v>0.0605453276013408</v>
      </c>
      <c r="P16" s="12" t="n">
        <v>0.0242079987569706</v>
      </c>
      <c r="Q16" s="12" t="n">
        <v>0.0353715947566594</v>
      </c>
      <c r="R16" s="12" t="n">
        <v>0.0663483039188753</v>
      </c>
      <c r="S16" s="12" t="n">
        <v>0.018368231651997</v>
      </c>
      <c r="T16" s="12" t="n">
        <v>0.0238275474334597</v>
      </c>
      <c r="U16" s="12" t="n">
        <v>0.0386006736669421</v>
      </c>
      <c r="V16" s="12" t="n">
        <v>0.014351217590964</v>
      </c>
      <c r="W16" s="12" t="n">
        <v>0.0220579881248366</v>
      </c>
      <c r="X16" s="12" t="n">
        <v>0.0404223097702075</v>
      </c>
    </row>
    <row r="17" customFormat="false" ht="15" hidden="false" customHeight="false" outlineLevel="0" collapsed="false">
      <c r="A17" s="10" t="s">
        <v>4451</v>
      </c>
      <c r="B17" s="10" t="s">
        <v>4452</v>
      </c>
      <c r="C17" s="11" t="s">
        <v>4447</v>
      </c>
      <c r="D17" s="10" t="s">
        <v>4448</v>
      </c>
      <c r="E17" s="10" t="n">
        <v>15</v>
      </c>
      <c r="F17" s="10" t="s">
        <v>4432</v>
      </c>
      <c r="G17" s="10" t="s">
        <v>4393</v>
      </c>
      <c r="H17" s="10" t="s">
        <v>4433</v>
      </c>
      <c r="I17" s="10" t="s">
        <v>68</v>
      </c>
      <c r="J17" s="12" t="n">
        <v>0.531910528331284</v>
      </c>
      <c r="K17" s="12" t="n">
        <v>0.767139858927169</v>
      </c>
      <c r="L17" s="12" t="n">
        <v>1.32260037244879</v>
      </c>
      <c r="M17" s="12" t="n">
        <v>0.103191989823563</v>
      </c>
      <c r="N17" s="12" t="n">
        <v>0.138898055360943</v>
      </c>
      <c r="O17" s="12" t="n">
        <v>0.22595994864402</v>
      </c>
      <c r="P17" s="12" t="n">
        <v>0.0903712380397286</v>
      </c>
      <c r="Q17" s="12" t="n">
        <v>0.132057790392487</v>
      </c>
      <c r="R17" s="12" t="n">
        <v>0.247729497631164</v>
      </c>
      <c r="S17" s="12" t="n">
        <v>0.0615718912295467</v>
      </c>
      <c r="T17" s="12" t="n">
        <v>0.0798782155803801</v>
      </c>
      <c r="U17" s="12" t="n">
        <v>0.129415859367946</v>
      </c>
      <c r="V17" s="12" t="n">
        <v>0.0464745260500349</v>
      </c>
      <c r="W17" s="12" t="n">
        <v>0.0714424801387287</v>
      </c>
      <c r="X17" s="12" t="n">
        <v>0.130938158347436</v>
      </c>
    </row>
    <row r="18" customFormat="false" ht="15" hidden="false" customHeight="false" outlineLevel="0" collapsed="false">
      <c r="A18" s="10" t="s">
        <v>4453</v>
      </c>
      <c r="B18" s="10" t="s">
        <v>4454</v>
      </c>
      <c r="C18" s="11" t="s">
        <v>4455</v>
      </c>
      <c r="D18" s="10" t="s">
        <v>4448</v>
      </c>
      <c r="E18" s="10" t="n">
        <v>1</v>
      </c>
      <c r="F18" s="10" t="s">
        <v>4432</v>
      </c>
      <c r="G18" s="10" t="s">
        <v>4393</v>
      </c>
      <c r="H18" s="10" t="s">
        <v>4433</v>
      </c>
      <c r="I18" s="10" t="s">
        <v>68</v>
      </c>
      <c r="J18" s="12" t="n">
        <v>0.8</v>
      </c>
    </row>
    <row r="19" customFormat="false" ht="15" hidden="false" customHeight="false" outlineLevel="0" collapsed="false">
      <c r="A19" s="10" t="s">
        <v>4456</v>
      </c>
      <c r="B19" s="10" t="s">
        <v>4457</v>
      </c>
      <c r="C19" s="11" t="s">
        <v>4455</v>
      </c>
      <c r="D19" s="10" t="s">
        <v>4448</v>
      </c>
      <c r="E19" s="10" t="n">
        <v>1</v>
      </c>
      <c r="F19" s="10" t="s">
        <v>4432</v>
      </c>
      <c r="G19" s="10" t="s">
        <v>4393</v>
      </c>
      <c r="H19" s="10" t="s">
        <v>4433</v>
      </c>
      <c r="I19" s="10" t="s">
        <v>68</v>
      </c>
      <c r="J19" s="12" t="n">
        <v>0.008</v>
      </c>
    </row>
    <row r="20" customFormat="false" ht="15" hidden="false" customHeight="false" outlineLevel="0" collapsed="false">
      <c r="A20" s="10" t="s">
        <v>4458</v>
      </c>
      <c r="B20" s="10" t="s">
        <v>4459</v>
      </c>
      <c r="C20" s="11" t="s">
        <v>4455</v>
      </c>
      <c r="D20" s="10" t="s">
        <v>4448</v>
      </c>
      <c r="E20" s="10" t="n">
        <v>1</v>
      </c>
      <c r="F20" s="10" t="s">
        <v>4432</v>
      </c>
      <c r="G20" s="10" t="s">
        <v>4393</v>
      </c>
      <c r="H20" s="10" t="s">
        <v>4433</v>
      </c>
      <c r="I20" s="10" t="s">
        <v>68</v>
      </c>
      <c r="J20" s="12" t="n">
        <v>0.16</v>
      </c>
    </row>
    <row r="21" customFormat="false" ht="15" hidden="false" customHeight="false" outlineLevel="0" collapsed="false">
      <c r="A21" s="10" t="s">
        <v>4460</v>
      </c>
      <c r="B21" s="10" t="s">
        <v>4461</v>
      </c>
      <c r="C21" s="11" t="s">
        <v>4462</v>
      </c>
      <c r="D21" s="10" t="s">
        <v>4448</v>
      </c>
      <c r="E21" s="10" t="n">
        <v>1</v>
      </c>
      <c r="F21" s="10" t="s">
        <v>4432</v>
      </c>
      <c r="G21" s="10" t="s">
        <v>4393</v>
      </c>
      <c r="H21" s="10" t="s">
        <v>4433</v>
      </c>
      <c r="I21" s="10" t="s">
        <v>68</v>
      </c>
      <c r="J21" s="12" t="n">
        <v>8</v>
      </c>
    </row>
    <row r="22" customFormat="false" ht="15" hidden="false" customHeight="false" outlineLevel="0" collapsed="false">
      <c r="A22" s="10" t="s">
        <v>4463</v>
      </c>
      <c r="B22" s="10" t="s">
        <v>4464</v>
      </c>
      <c r="C22" s="11" t="s">
        <v>4462</v>
      </c>
      <c r="D22" s="10" t="s">
        <v>4448</v>
      </c>
      <c r="E22" s="10" t="n">
        <v>1</v>
      </c>
      <c r="F22" s="10" t="s">
        <v>4432</v>
      </c>
      <c r="G22" s="10" t="s">
        <v>4393</v>
      </c>
      <c r="H22" s="10" t="s">
        <v>4433</v>
      </c>
      <c r="I22" s="10" t="s">
        <v>68</v>
      </c>
      <c r="J22" s="12" t="n">
        <v>0.08</v>
      </c>
    </row>
    <row r="23" customFormat="false" ht="15" hidden="false" customHeight="false" outlineLevel="0" collapsed="false">
      <c r="A23" s="10" t="s">
        <v>4465</v>
      </c>
      <c r="B23" s="10" t="s">
        <v>4466</v>
      </c>
      <c r="C23" s="11" t="s">
        <v>4462</v>
      </c>
      <c r="D23" s="10" t="s">
        <v>4448</v>
      </c>
      <c r="E23" s="10" t="n">
        <v>1</v>
      </c>
      <c r="F23" s="10" t="s">
        <v>4432</v>
      </c>
      <c r="G23" s="10" t="s">
        <v>4393</v>
      </c>
      <c r="H23" s="10" t="s">
        <v>4433</v>
      </c>
      <c r="I23" s="10" t="s">
        <v>68</v>
      </c>
      <c r="J23" s="12" t="n">
        <v>1.6</v>
      </c>
    </row>
    <row r="24" customFormat="false" ht="15" hidden="false" customHeight="false" outlineLevel="0" collapsed="false">
      <c r="A24" s="10" t="s">
        <v>4467</v>
      </c>
      <c r="B24" s="10" t="s">
        <v>4468</v>
      </c>
      <c r="C24" s="11" t="s">
        <v>4469</v>
      </c>
      <c r="D24" s="10" t="s">
        <v>4448</v>
      </c>
      <c r="E24" s="10" t="n">
        <v>1</v>
      </c>
      <c r="F24" s="10" t="s">
        <v>4432</v>
      </c>
      <c r="G24" s="10" t="s">
        <v>4393</v>
      </c>
      <c r="H24" s="10" t="s">
        <v>4433</v>
      </c>
      <c r="I24" s="10" t="s">
        <v>68</v>
      </c>
      <c r="J24" s="12" t="n">
        <v>40</v>
      </c>
    </row>
    <row r="25" customFormat="false" ht="15" hidden="false" customHeight="false" outlineLevel="0" collapsed="false">
      <c r="A25" s="10" t="s">
        <v>4470</v>
      </c>
      <c r="B25" s="10" t="s">
        <v>4471</v>
      </c>
      <c r="C25" s="11" t="s">
        <v>4469</v>
      </c>
      <c r="D25" s="10" t="s">
        <v>4448</v>
      </c>
      <c r="E25" s="10" t="n">
        <v>1</v>
      </c>
      <c r="F25" s="10" t="s">
        <v>4432</v>
      </c>
      <c r="G25" s="10" t="s">
        <v>4393</v>
      </c>
      <c r="H25" s="10" t="s">
        <v>4433</v>
      </c>
      <c r="I25" s="10" t="s">
        <v>68</v>
      </c>
      <c r="J25" s="12" t="n">
        <v>0.4</v>
      </c>
    </row>
    <row r="26" customFormat="false" ht="15" hidden="false" customHeight="false" outlineLevel="0" collapsed="false">
      <c r="A26" s="10" t="s">
        <v>4472</v>
      </c>
      <c r="B26" s="10" t="s">
        <v>4473</v>
      </c>
      <c r="C26" s="11" t="s">
        <v>4469</v>
      </c>
      <c r="D26" s="10" t="s">
        <v>4448</v>
      </c>
      <c r="E26" s="10" t="n">
        <v>1</v>
      </c>
      <c r="F26" s="10" t="s">
        <v>4432</v>
      </c>
      <c r="G26" s="10" t="s">
        <v>4393</v>
      </c>
      <c r="H26" s="10" t="s">
        <v>4433</v>
      </c>
      <c r="I26" s="10" t="s">
        <v>68</v>
      </c>
      <c r="J26" s="12" t="n">
        <v>8</v>
      </c>
    </row>
    <row r="27" customFormat="false" ht="15" hidden="false" customHeight="false" outlineLevel="0" collapsed="false">
      <c r="A27" s="10" t="s">
        <v>4474</v>
      </c>
      <c r="B27" s="10" t="s">
        <v>4475</v>
      </c>
      <c r="C27" s="11" t="s">
        <v>4476</v>
      </c>
      <c r="D27" s="10" t="s">
        <v>4448</v>
      </c>
      <c r="E27" s="10" t="n">
        <v>1</v>
      </c>
      <c r="F27" s="10" t="s">
        <v>4432</v>
      </c>
      <c r="G27" s="10" t="s">
        <v>4393</v>
      </c>
      <c r="H27" s="10" t="s">
        <v>4433</v>
      </c>
      <c r="I27" s="10" t="s">
        <v>68</v>
      </c>
      <c r="J27" s="12" t="n">
        <v>8.03555555555555</v>
      </c>
    </row>
    <row r="28" customFormat="false" ht="15" hidden="false" customHeight="false" outlineLevel="0" collapsed="false">
      <c r="A28" s="10" t="s">
        <v>4477</v>
      </c>
      <c r="B28" s="10" t="s">
        <v>4478</v>
      </c>
      <c r="C28" s="11" t="s">
        <v>4476</v>
      </c>
      <c r="D28" s="10" t="s">
        <v>4448</v>
      </c>
      <c r="E28" s="10" t="n">
        <v>1</v>
      </c>
      <c r="F28" s="10" t="s">
        <v>4432</v>
      </c>
      <c r="G28" s="10" t="s">
        <v>4393</v>
      </c>
      <c r="H28" s="10" t="s">
        <v>4433</v>
      </c>
      <c r="I28" s="10" t="s">
        <v>68</v>
      </c>
      <c r="J28" s="12" t="n">
        <v>0.0803555555555556</v>
      </c>
    </row>
    <row r="29" customFormat="false" ht="15" hidden="false" customHeight="false" outlineLevel="0" collapsed="false">
      <c r="A29" s="10" t="s">
        <v>4479</v>
      </c>
      <c r="B29" s="10" t="s">
        <v>4480</v>
      </c>
      <c r="C29" s="11" t="s">
        <v>4476</v>
      </c>
      <c r="D29" s="10" t="s">
        <v>4448</v>
      </c>
      <c r="E29" s="10" t="n">
        <v>1</v>
      </c>
      <c r="F29" s="10" t="s">
        <v>4432</v>
      </c>
      <c r="G29" s="10" t="s">
        <v>4393</v>
      </c>
      <c r="H29" s="10" t="s">
        <v>4433</v>
      </c>
      <c r="I29" s="10" t="s">
        <v>68</v>
      </c>
      <c r="J29" s="12" t="n">
        <v>1.60711111111111</v>
      </c>
    </row>
    <row r="30" customFormat="false" ht="15" hidden="false" customHeight="false" outlineLevel="0" collapsed="false">
      <c r="A30" s="10" t="s">
        <v>4481</v>
      </c>
      <c r="B30" s="10" t="s">
        <v>4482</v>
      </c>
      <c r="C30" s="11" t="s">
        <v>4483</v>
      </c>
      <c r="D30" s="10" t="s">
        <v>4448</v>
      </c>
      <c r="E30" s="10" t="n">
        <v>1</v>
      </c>
      <c r="F30" s="10" t="s">
        <v>4432</v>
      </c>
      <c r="G30" s="10" t="s">
        <v>4393</v>
      </c>
      <c r="H30" s="10" t="s">
        <v>4433</v>
      </c>
      <c r="I30" s="10" t="s">
        <v>68</v>
      </c>
      <c r="J30" s="12" t="n">
        <v>40</v>
      </c>
    </row>
    <row r="31" customFormat="false" ht="15" hidden="false" customHeight="false" outlineLevel="0" collapsed="false">
      <c r="A31" s="10" t="s">
        <v>4484</v>
      </c>
      <c r="B31" s="10" t="s">
        <v>4485</v>
      </c>
      <c r="C31" s="11" t="s">
        <v>4483</v>
      </c>
      <c r="D31" s="10" t="s">
        <v>4448</v>
      </c>
      <c r="E31" s="10" t="n">
        <v>1</v>
      </c>
      <c r="F31" s="10" t="s">
        <v>4432</v>
      </c>
      <c r="G31" s="10" t="s">
        <v>4393</v>
      </c>
      <c r="H31" s="10" t="s">
        <v>4433</v>
      </c>
      <c r="I31" s="10" t="s">
        <v>68</v>
      </c>
      <c r="J31" s="12" t="n">
        <v>0.4</v>
      </c>
    </row>
    <row r="32" customFormat="false" ht="15" hidden="false" customHeight="false" outlineLevel="0" collapsed="false">
      <c r="A32" s="10" t="s">
        <v>4486</v>
      </c>
      <c r="B32" s="10" t="s">
        <v>4487</v>
      </c>
      <c r="C32" s="11" t="s">
        <v>4483</v>
      </c>
      <c r="D32" s="10" t="s">
        <v>4448</v>
      </c>
      <c r="E32" s="10" t="n">
        <v>1</v>
      </c>
      <c r="F32" s="10" t="s">
        <v>4432</v>
      </c>
      <c r="G32" s="10" t="s">
        <v>4393</v>
      </c>
      <c r="H32" s="10" t="s">
        <v>4433</v>
      </c>
      <c r="I32" s="10" t="s">
        <v>68</v>
      </c>
      <c r="J32" s="12" t="n">
        <v>8</v>
      </c>
    </row>
    <row r="33" customFormat="false" ht="15" hidden="false" customHeight="false" outlineLevel="0" collapsed="false">
      <c r="A33" s="10" t="s">
        <v>4488</v>
      </c>
      <c r="B33" s="10" t="s">
        <v>4489</v>
      </c>
      <c r="C33" s="11" t="s">
        <v>4490</v>
      </c>
      <c r="D33" s="10" t="s">
        <v>4448</v>
      </c>
      <c r="E33" s="10" t="n">
        <v>1</v>
      </c>
      <c r="F33" s="10" t="s">
        <v>4432</v>
      </c>
      <c r="G33" s="10" t="s">
        <v>4393</v>
      </c>
      <c r="H33" s="10" t="s">
        <v>4433</v>
      </c>
      <c r="I33" s="10" t="s">
        <v>68</v>
      </c>
      <c r="J33" s="12" t="n">
        <v>7.74222222222222</v>
      </c>
    </row>
    <row r="34" customFormat="false" ht="15" hidden="false" customHeight="false" outlineLevel="0" collapsed="false">
      <c r="A34" s="10" t="s">
        <v>4491</v>
      </c>
      <c r="B34" s="10" t="s">
        <v>4492</v>
      </c>
      <c r="C34" s="11" t="s">
        <v>4490</v>
      </c>
      <c r="D34" s="10" t="s">
        <v>4448</v>
      </c>
      <c r="E34" s="10" t="n">
        <v>1</v>
      </c>
      <c r="F34" s="10" t="s">
        <v>4432</v>
      </c>
      <c r="G34" s="10" t="s">
        <v>4393</v>
      </c>
      <c r="H34" s="10" t="s">
        <v>4433</v>
      </c>
      <c r="I34" s="10" t="s">
        <v>68</v>
      </c>
      <c r="J34" s="12" t="n">
        <v>0.0803555555555556</v>
      </c>
    </row>
    <row r="35" customFormat="false" ht="15" hidden="false" customHeight="false" outlineLevel="0" collapsed="false">
      <c r="A35" s="10" t="s">
        <v>4493</v>
      </c>
      <c r="B35" s="10" t="s">
        <v>4494</v>
      </c>
      <c r="C35" s="11" t="s">
        <v>4490</v>
      </c>
      <c r="D35" s="10" t="s">
        <v>4448</v>
      </c>
      <c r="E35" s="10" t="n">
        <v>1</v>
      </c>
      <c r="F35" s="10" t="s">
        <v>4432</v>
      </c>
      <c r="G35" s="10" t="s">
        <v>4393</v>
      </c>
      <c r="H35" s="10" t="s">
        <v>4433</v>
      </c>
      <c r="I35" s="10" t="s">
        <v>68</v>
      </c>
      <c r="J35" s="12" t="n">
        <v>1.60711111111111</v>
      </c>
    </row>
    <row r="36" customFormat="false" ht="15" hidden="false" customHeight="false" outlineLevel="0" collapsed="false">
      <c r="A36" s="10" t="s">
        <v>4495</v>
      </c>
      <c r="B36" s="10" t="s">
        <v>4496</v>
      </c>
      <c r="C36" s="11" t="s">
        <v>4497</v>
      </c>
      <c r="D36" s="10" t="s">
        <v>401</v>
      </c>
      <c r="E36" s="10" t="n">
        <v>15</v>
      </c>
      <c r="F36" s="10" t="s">
        <v>4432</v>
      </c>
      <c r="G36" s="10" t="s">
        <v>4393</v>
      </c>
      <c r="H36" s="10" t="s">
        <v>4433</v>
      </c>
      <c r="I36" s="10" t="s">
        <v>68</v>
      </c>
      <c r="J36" s="12" t="n">
        <v>0.142679390737942</v>
      </c>
      <c r="K36" s="12" t="n">
        <v>0.142679390737942</v>
      </c>
      <c r="L36" s="12" t="n">
        <v>0.142679390737942</v>
      </c>
      <c r="M36" s="12" t="n">
        <v>0.0703975899347298</v>
      </c>
      <c r="N36" s="12" t="n">
        <v>0.0703975899347298</v>
      </c>
      <c r="O36" s="12" t="n">
        <v>0.0703975899347298</v>
      </c>
      <c r="P36" s="12" t="n">
        <v>0.0655864074968763</v>
      </c>
      <c r="Q36" s="12" t="n">
        <v>0.0655864074968763</v>
      </c>
      <c r="R36" s="12" t="n">
        <v>0.0655864074968763</v>
      </c>
      <c r="S36" s="12" t="n">
        <v>0.0400178434586299</v>
      </c>
      <c r="T36" s="12" t="n">
        <v>0.0400178434586299</v>
      </c>
      <c r="U36" s="12" t="n">
        <v>0.0400178434586299</v>
      </c>
      <c r="V36" s="12" t="n">
        <v>0.0272504145323638</v>
      </c>
      <c r="W36" s="12" t="n">
        <v>0.0272504145323638</v>
      </c>
      <c r="X36" s="12" t="n">
        <v>0.0272504145323638</v>
      </c>
    </row>
    <row r="37" customFormat="false" ht="15" hidden="false" customHeight="false" outlineLevel="0" collapsed="false">
      <c r="A37" s="10" t="s">
        <v>4498</v>
      </c>
      <c r="B37" s="10" t="s">
        <v>4499</v>
      </c>
      <c r="C37" s="11" t="s">
        <v>4497</v>
      </c>
      <c r="D37" s="10" t="s">
        <v>401</v>
      </c>
      <c r="E37" s="10" t="n">
        <v>15</v>
      </c>
      <c r="F37" s="10" t="s">
        <v>4432</v>
      </c>
      <c r="G37" s="10" t="s">
        <v>4393</v>
      </c>
      <c r="H37" s="10" t="s">
        <v>4433</v>
      </c>
      <c r="I37" s="10" t="s">
        <v>68</v>
      </c>
      <c r="J37" s="12" t="n">
        <v>0.00813235831640886</v>
      </c>
      <c r="K37" s="12" t="n">
        <v>0.00813235831640886</v>
      </c>
      <c r="L37" s="12" t="n">
        <v>0.00813235831640886</v>
      </c>
      <c r="M37" s="12" t="n">
        <v>0.00378530041866208</v>
      </c>
      <c r="N37" s="12" t="n">
        <v>0.00378530041866208</v>
      </c>
      <c r="O37" s="12" t="n">
        <v>0.00378530041866208</v>
      </c>
      <c r="P37" s="12" t="n">
        <v>0.00332896549749013</v>
      </c>
      <c r="Q37" s="12" t="n">
        <v>0.00332896549749013</v>
      </c>
      <c r="R37" s="12" t="n">
        <v>0.00332896549749013</v>
      </c>
      <c r="S37" s="12" t="n">
        <v>0.00220433968028437</v>
      </c>
      <c r="T37" s="12" t="n">
        <v>0.00220433968028437</v>
      </c>
      <c r="U37" s="12" t="n">
        <v>0.00220433968028437</v>
      </c>
      <c r="V37" s="12" t="n">
        <v>0.00143044852589726</v>
      </c>
      <c r="W37" s="12" t="n">
        <v>0.00143044852589726</v>
      </c>
      <c r="X37" s="12" t="n">
        <v>0.00143044852589726</v>
      </c>
    </row>
    <row r="38" customFormat="false" ht="15" hidden="false" customHeight="false" outlineLevel="0" collapsed="false">
      <c r="A38" s="10" t="s">
        <v>4500</v>
      </c>
      <c r="B38" s="10" t="s">
        <v>4501</v>
      </c>
      <c r="C38" s="11" t="s">
        <v>4497</v>
      </c>
      <c r="D38" s="10" t="s">
        <v>401</v>
      </c>
      <c r="E38" s="10" t="n">
        <v>15</v>
      </c>
      <c r="F38" s="10" t="s">
        <v>4432</v>
      </c>
      <c r="G38" s="10" t="s">
        <v>4393</v>
      </c>
      <c r="H38" s="10" t="s">
        <v>4433</v>
      </c>
      <c r="I38" s="10" t="s">
        <v>68</v>
      </c>
      <c r="J38" s="12" t="n">
        <v>0.0231462920032773</v>
      </c>
      <c r="K38" s="12" t="n">
        <v>0.0231462920032773</v>
      </c>
      <c r="L38" s="12" t="n">
        <v>0.0231462920032773</v>
      </c>
      <c r="M38" s="12" t="n">
        <v>0.0111975472382432</v>
      </c>
      <c r="N38" s="12" t="n">
        <v>0.0111975472382432</v>
      </c>
      <c r="O38" s="12" t="n">
        <v>0.0111975472382432</v>
      </c>
      <c r="P38" s="12" t="n">
        <v>0.0102273044724078</v>
      </c>
      <c r="Q38" s="12" t="n">
        <v>0.0102273044724078</v>
      </c>
      <c r="R38" s="12" t="n">
        <v>0.0102273044724078</v>
      </c>
      <c r="S38" s="12" t="n">
        <v>0.00642112099901794</v>
      </c>
      <c r="T38" s="12" t="n">
        <v>0.00642112099901794</v>
      </c>
      <c r="U38" s="12" t="n">
        <v>0.00642112099901794</v>
      </c>
      <c r="V38" s="12" t="n">
        <v>0.00430948556016603</v>
      </c>
      <c r="W38" s="12" t="n">
        <v>0.00430948556016603</v>
      </c>
      <c r="X38" s="12" t="n">
        <v>0.00430948556016603</v>
      </c>
    </row>
    <row r="39" customFormat="false" ht="15" hidden="false" customHeight="false" outlineLevel="0" collapsed="false">
      <c r="A39" s="10" t="s">
        <v>4502</v>
      </c>
      <c r="B39" s="10" t="s">
        <v>4503</v>
      </c>
      <c r="C39" s="11" t="s">
        <v>4504</v>
      </c>
      <c r="D39" s="10" t="s">
        <v>4505</v>
      </c>
      <c r="E39" s="10" t="n">
        <v>1</v>
      </c>
      <c r="F39" s="10" t="s">
        <v>4432</v>
      </c>
      <c r="G39" s="10" t="s">
        <v>4393</v>
      </c>
      <c r="H39" s="10" t="s">
        <v>4433</v>
      </c>
      <c r="I39" s="10" t="s">
        <v>68</v>
      </c>
      <c r="J39" s="12" t="n">
        <v>8</v>
      </c>
    </row>
    <row r="40" customFormat="false" ht="15" hidden="false" customHeight="false" outlineLevel="0" collapsed="false">
      <c r="A40" s="10" t="s">
        <v>4506</v>
      </c>
      <c r="B40" s="10" t="s">
        <v>4507</v>
      </c>
      <c r="C40" s="11" t="s">
        <v>4508</v>
      </c>
      <c r="D40" s="11" t="s">
        <v>4509</v>
      </c>
      <c r="E40" s="10" t="n">
        <v>1</v>
      </c>
      <c r="F40" s="10" t="s">
        <v>4432</v>
      </c>
      <c r="G40" s="10" t="s">
        <v>4393</v>
      </c>
      <c r="H40" s="10" t="s">
        <v>4433</v>
      </c>
      <c r="I40" s="10" t="s">
        <v>68</v>
      </c>
      <c r="J40" s="12" t="n">
        <v>4</v>
      </c>
    </row>
    <row r="41" customFormat="false" ht="15" hidden="false" customHeight="false" outlineLevel="0" collapsed="false">
      <c r="A41" s="10" t="s">
        <v>4510</v>
      </c>
      <c r="B41" s="10" t="s">
        <v>4511</v>
      </c>
      <c r="C41" s="10" t="s">
        <v>4512</v>
      </c>
      <c r="D41" s="10" t="s">
        <v>4513</v>
      </c>
      <c r="E41" s="10" t="n">
        <v>1</v>
      </c>
      <c r="F41" s="10" t="s">
        <v>4432</v>
      </c>
      <c r="G41" s="10" t="s">
        <v>4393</v>
      </c>
      <c r="H41" s="10" t="s">
        <v>4433</v>
      </c>
      <c r="I41" s="10" t="s">
        <v>68</v>
      </c>
      <c r="J41" s="12" t="n">
        <v>8.4</v>
      </c>
    </row>
    <row r="42" customFormat="false" ht="15" hidden="false" customHeight="false" outlineLevel="0" collapsed="false">
      <c r="A42" s="10" t="s">
        <v>4514</v>
      </c>
      <c r="B42" s="10" t="s">
        <v>4515</v>
      </c>
      <c r="C42" s="10" t="s">
        <v>4516</v>
      </c>
      <c r="D42" s="10" t="s">
        <v>4513</v>
      </c>
      <c r="E42" s="10" t="n">
        <v>1</v>
      </c>
      <c r="F42" s="10" t="s">
        <v>4432</v>
      </c>
      <c r="G42" s="10" t="s">
        <v>4393</v>
      </c>
      <c r="H42" s="10" t="s">
        <v>4433</v>
      </c>
      <c r="I42" s="10" t="s">
        <v>68</v>
      </c>
      <c r="J42" s="12" t="n">
        <v>3.9</v>
      </c>
    </row>
    <row r="43" customFormat="false" ht="15" hidden="false" customHeight="false" outlineLevel="0" collapsed="false">
      <c r="A43" s="10" t="s">
        <v>4517</v>
      </c>
      <c r="B43" s="10" t="s">
        <v>4518</v>
      </c>
      <c r="C43" s="10" t="s">
        <v>4519</v>
      </c>
      <c r="D43" s="10" t="s">
        <v>4513</v>
      </c>
      <c r="E43" s="10" t="n">
        <v>1</v>
      </c>
      <c r="F43" s="10" t="s">
        <v>4432</v>
      </c>
      <c r="G43" s="10" t="s">
        <v>4393</v>
      </c>
      <c r="H43" s="10" t="s">
        <v>4433</v>
      </c>
      <c r="I43" s="10" t="s">
        <v>68</v>
      </c>
      <c r="J43" s="12" t="n">
        <v>12</v>
      </c>
    </row>
    <row r="44" customFormat="false" ht="15" hidden="false" customHeight="false" outlineLevel="0" collapsed="false">
      <c r="A44" s="10" t="s">
        <v>4520</v>
      </c>
      <c r="B44" s="10" t="s">
        <v>4521</v>
      </c>
      <c r="C44" s="10" t="s">
        <v>4522</v>
      </c>
      <c r="D44" s="10" t="s">
        <v>4513</v>
      </c>
      <c r="E44" s="10" t="n">
        <v>1</v>
      </c>
      <c r="F44" s="10" t="s">
        <v>4432</v>
      </c>
      <c r="G44" s="10" t="s">
        <v>4393</v>
      </c>
      <c r="H44" s="10" t="s">
        <v>4433</v>
      </c>
      <c r="I44" s="10" t="s">
        <v>68</v>
      </c>
      <c r="J44" s="12" t="n">
        <v>13.07</v>
      </c>
    </row>
    <row r="45" customFormat="false" ht="15" hidden="false" customHeight="false" outlineLevel="0" collapsed="false">
      <c r="A45" s="10" t="s">
        <v>4523</v>
      </c>
      <c r="B45" s="10" t="s">
        <v>4524</v>
      </c>
      <c r="C45" s="10" t="s">
        <v>4525</v>
      </c>
      <c r="D45" s="10" t="s">
        <v>4526</v>
      </c>
      <c r="E45" s="10" t="n">
        <v>1</v>
      </c>
      <c r="F45" s="10" t="s">
        <v>4432</v>
      </c>
      <c r="G45" s="10" t="s">
        <v>4393</v>
      </c>
      <c r="H45" s="10" t="s">
        <v>4433</v>
      </c>
      <c r="I45" s="10" t="s">
        <v>68</v>
      </c>
      <c r="J45" s="12" t="n">
        <v>0.6</v>
      </c>
    </row>
    <row r="46" customFormat="false" ht="15" hidden="false" customHeight="false" outlineLevel="0" collapsed="false">
      <c r="A46" s="10" t="s">
        <v>4527</v>
      </c>
      <c r="B46" s="10" t="s">
        <v>4528</v>
      </c>
      <c r="C46" s="10" t="s">
        <v>4529</v>
      </c>
      <c r="D46" s="10" t="s">
        <v>4526</v>
      </c>
      <c r="E46" s="10" t="n">
        <v>1</v>
      </c>
      <c r="F46" s="10" t="s">
        <v>4432</v>
      </c>
      <c r="G46" s="10" t="s">
        <v>4393</v>
      </c>
      <c r="H46" s="10" t="s">
        <v>4433</v>
      </c>
      <c r="I46" s="10" t="s">
        <v>68</v>
      </c>
      <c r="J46" s="12" t="n">
        <v>1.9</v>
      </c>
    </row>
    <row r="47" customFormat="false" ht="15" hidden="false" customHeight="false" outlineLevel="0" collapsed="false">
      <c r="A47" s="10" t="s">
        <v>4530</v>
      </c>
      <c r="B47" s="10" t="s">
        <v>4531</v>
      </c>
      <c r="C47" s="10" t="s">
        <v>4532</v>
      </c>
      <c r="D47" s="10" t="s">
        <v>4533</v>
      </c>
      <c r="E47" s="10" t="n">
        <v>1</v>
      </c>
      <c r="F47" s="10" t="s">
        <v>4432</v>
      </c>
      <c r="G47" s="10" t="s">
        <v>4393</v>
      </c>
      <c r="H47" s="10" t="s">
        <v>4433</v>
      </c>
      <c r="I47" s="10" t="s">
        <v>68</v>
      </c>
      <c r="J47" s="12" t="n">
        <v>6</v>
      </c>
    </row>
    <row r="48" customFormat="false" ht="15" hidden="false" customHeight="false" outlineLevel="0" collapsed="false">
      <c r="A48" s="10" t="s">
        <v>4534</v>
      </c>
      <c r="B48" s="10" t="s">
        <v>4535</v>
      </c>
      <c r="C48" s="10" t="s">
        <v>4536</v>
      </c>
      <c r="D48" s="10" t="s">
        <v>4533</v>
      </c>
      <c r="E48" s="10" t="n">
        <v>1</v>
      </c>
      <c r="F48" s="10" t="s">
        <v>4432</v>
      </c>
      <c r="G48" s="10" t="s">
        <v>4393</v>
      </c>
      <c r="H48" s="10" t="s">
        <v>4433</v>
      </c>
      <c r="I48" s="10" t="s">
        <v>68</v>
      </c>
      <c r="J48" s="12" t="n">
        <v>15</v>
      </c>
    </row>
    <row r="49" customFormat="false" ht="15" hidden="false" customHeight="false" outlineLevel="0" collapsed="false">
      <c r="A49" s="10" t="s">
        <v>4537</v>
      </c>
      <c r="B49" s="10" t="s">
        <v>4538</v>
      </c>
      <c r="C49" s="10" t="s">
        <v>4539</v>
      </c>
      <c r="D49" s="10" t="s">
        <v>4540</v>
      </c>
      <c r="E49" s="10" t="n">
        <v>1</v>
      </c>
      <c r="F49" s="10" t="s">
        <v>4432</v>
      </c>
      <c r="G49" s="10" t="s">
        <v>4393</v>
      </c>
      <c r="H49" s="10" t="s">
        <v>4433</v>
      </c>
      <c r="I49" s="10" t="s">
        <v>68</v>
      </c>
      <c r="J49" s="12" t="n">
        <v>2.5</v>
      </c>
    </row>
    <row r="50" customFormat="false" ht="15" hidden="false" customHeight="false" outlineLevel="0" collapsed="false">
      <c r="A50" s="10" t="s">
        <v>4541</v>
      </c>
      <c r="B50" s="10" t="s">
        <v>4542</v>
      </c>
      <c r="C50" s="11" t="s">
        <v>4543</v>
      </c>
      <c r="D50" s="10" t="s">
        <v>4544</v>
      </c>
      <c r="E50" s="10" t="n">
        <v>1</v>
      </c>
      <c r="F50" s="10" t="s">
        <v>4432</v>
      </c>
      <c r="G50" s="10" t="s">
        <v>4393</v>
      </c>
      <c r="H50" s="10" t="s">
        <v>4433</v>
      </c>
      <c r="I50" s="10" t="s">
        <v>68</v>
      </c>
      <c r="J50" s="12"/>
    </row>
    <row r="51" customFormat="false" ht="15" hidden="false" customHeight="false" outlineLevel="0" collapsed="false">
      <c r="A51" s="10" t="s">
        <v>4545</v>
      </c>
      <c r="B51" s="10" t="s">
        <v>4546</v>
      </c>
      <c r="C51" s="11" t="s">
        <v>4543</v>
      </c>
      <c r="D51" s="10" t="s">
        <v>4544</v>
      </c>
      <c r="E51" s="10" t="n">
        <v>1</v>
      </c>
      <c r="F51" s="10" t="s">
        <v>4432</v>
      </c>
      <c r="G51" s="10" t="s">
        <v>4393</v>
      </c>
      <c r="H51" s="10" t="s">
        <v>4433</v>
      </c>
      <c r="I51" s="10" t="s">
        <v>68</v>
      </c>
      <c r="J51" s="12" t="n">
        <v>10</v>
      </c>
    </row>
    <row r="52" customFormat="false" ht="15" hidden="false" customHeight="false" outlineLevel="0" collapsed="false">
      <c r="A52" s="10" t="s">
        <v>4547</v>
      </c>
      <c r="B52" s="10" t="s">
        <v>4548</v>
      </c>
      <c r="C52" s="11" t="s">
        <v>4543</v>
      </c>
      <c r="D52" s="10" t="s">
        <v>4544</v>
      </c>
      <c r="E52" s="10" t="n">
        <v>1</v>
      </c>
      <c r="F52" s="10" t="s">
        <v>4432</v>
      </c>
      <c r="G52" s="10" t="s">
        <v>4393</v>
      </c>
      <c r="H52" s="10" t="s">
        <v>4433</v>
      </c>
      <c r="I52" s="10" t="s">
        <v>68</v>
      </c>
      <c r="J52" s="12" t="n">
        <v>100</v>
      </c>
    </row>
    <row r="53" customFormat="false" ht="15" hidden="false" customHeight="false" outlineLevel="0" collapsed="false">
      <c r="A53" s="10" t="s">
        <v>4549</v>
      </c>
      <c r="B53" s="10" t="s">
        <v>4550</v>
      </c>
      <c r="C53" s="11" t="s">
        <v>4551</v>
      </c>
      <c r="D53" s="10" t="s">
        <v>401</v>
      </c>
      <c r="E53" s="10" t="n">
        <v>1</v>
      </c>
      <c r="F53" s="10" t="s">
        <v>4432</v>
      </c>
      <c r="G53" s="10" t="s">
        <v>4393</v>
      </c>
      <c r="H53" s="10" t="s">
        <v>4433</v>
      </c>
      <c r="I53" s="10" t="s">
        <v>68</v>
      </c>
      <c r="J53" s="12" t="n">
        <v>0.63609601991434</v>
      </c>
    </row>
    <row r="54" customFormat="false" ht="15" hidden="false" customHeight="false" outlineLevel="0" collapsed="false">
      <c r="A54" s="10" t="s">
        <v>4552</v>
      </c>
      <c r="B54" s="10" t="s">
        <v>4553</v>
      </c>
      <c r="C54" s="11" t="s">
        <v>4554</v>
      </c>
      <c r="D54" s="10" t="s">
        <v>401</v>
      </c>
      <c r="E54" s="10" t="n">
        <v>1</v>
      </c>
      <c r="F54" s="10" t="s">
        <v>4432</v>
      </c>
      <c r="G54" s="10" t="s">
        <v>4393</v>
      </c>
      <c r="H54" s="10" t="s">
        <v>4433</v>
      </c>
      <c r="I54" s="10" t="s">
        <v>68</v>
      </c>
      <c r="J54" s="12" t="n">
        <v>0.667220154597978</v>
      </c>
    </row>
    <row r="55" customFormat="false" ht="15" hidden="false" customHeight="false" outlineLevel="0" collapsed="false">
      <c r="A55" s="10" t="s">
        <v>4555</v>
      </c>
      <c r="B55" s="10" t="s">
        <v>4556</v>
      </c>
      <c r="C55" s="11" t="s">
        <v>4557</v>
      </c>
      <c r="D55" s="10" t="s">
        <v>401</v>
      </c>
      <c r="E55" s="10" t="n">
        <v>1</v>
      </c>
      <c r="F55" s="10" t="s">
        <v>4432</v>
      </c>
      <c r="G55" s="10" t="s">
        <v>4393</v>
      </c>
      <c r="H55" s="10" t="s">
        <v>4433</v>
      </c>
      <c r="I55" s="10" t="s">
        <v>68</v>
      </c>
      <c r="J55" s="12" t="n">
        <v>0.663556558253475</v>
      </c>
    </row>
    <row r="56" customFormat="false" ht="15" hidden="false" customHeight="false" outlineLevel="0" collapsed="false">
      <c r="A56" s="10" t="s">
        <v>4558</v>
      </c>
      <c r="B56" s="10" t="s">
        <v>4559</v>
      </c>
      <c r="C56" s="11" t="s">
        <v>4560</v>
      </c>
      <c r="D56" s="10" t="s">
        <v>4526</v>
      </c>
      <c r="E56" s="10" t="n">
        <v>1</v>
      </c>
      <c r="F56" s="10" t="s">
        <v>4432</v>
      </c>
      <c r="G56" s="10" t="s">
        <v>4393</v>
      </c>
      <c r="H56" s="10" t="s">
        <v>4433</v>
      </c>
      <c r="I56" s="10" t="s">
        <v>68</v>
      </c>
      <c r="J56" s="12" t="n">
        <v>0.0518797846974362</v>
      </c>
    </row>
    <row r="57" customFormat="false" ht="15" hidden="false" customHeight="false" outlineLevel="0" collapsed="false">
      <c r="A57" s="10" t="s">
        <v>4561</v>
      </c>
      <c r="B57" s="10" t="s">
        <v>4562</v>
      </c>
      <c r="C57" s="11" t="s">
        <v>4563</v>
      </c>
      <c r="D57" s="10" t="s">
        <v>4564</v>
      </c>
      <c r="E57" s="10" t="n">
        <v>1</v>
      </c>
      <c r="F57" s="10" t="s">
        <v>4432</v>
      </c>
      <c r="G57" s="10" t="s">
        <v>4393</v>
      </c>
      <c r="H57" s="10" t="s">
        <v>4433</v>
      </c>
      <c r="I57" s="10" t="s">
        <v>68</v>
      </c>
      <c r="J57" s="12" t="n">
        <v>0.0906847035646163</v>
      </c>
    </row>
    <row r="58" customFormat="false" ht="15" hidden="false" customHeight="false" outlineLevel="0" collapsed="false">
      <c r="A58" s="10" t="s">
        <v>4565</v>
      </c>
      <c r="B58" s="10" t="s">
        <v>4566</v>
      </c>
      <c r="C58" s="11" t="s">
        <v>4567</v>
      </c>
      <c r="D58" s="10" t="s">
        <v>4431</v>
      </c>
      <c r="E58" s="10" t="n">
        <v>1</v>
      </c>
      <c r="F58" s="10" t="s">
        <v>4432</v>
      </c>
      <c r="G58" s="10" t="s">
        <v>4393</v>
      </c>
      <c r="H58" s="10" t="s">
        <v>4433</v>
      </c>
      <c r="I58" s="10" t="s">
        <v>68</v>
      </c>
      <c r="J58" s="12" t="n">
        <v>4190200000</v>
      </c>
    </row>
    <row r="59" customFormat="false" ht="15" hidden="false" customHeight="false" outlineLevel="0" collapsed="false">
      <c r="A59" s="10" t="s">
        <v>4568</v>
      </c>
      <c r="B59" s="10" t="s">
        <v>4569</v>
      </c>
      <c r="C59" s="11" t="s">
        <v>4570</v>
      </c>
      <c r="D59" s="11" t="s">
        <v>1691</v>
      </c>
      <c r="E59" s="10" t="n">
        <v>1</v>
      </c>
      <c r="F59" s="10" t="s">
        <v>4432</v>
      </c>
      <c r="G59" s="10" t="s">
        <v>4393</v>
      </c>
      <c r="H59" s="10" t="s">
        <v>4433</v>
      </c>
      <c r="I59" s="10" t="s">
        <v>68</v>
      </c>
      <c r="J59" s="12" t="n">
        <v>1.52362137919411</v>
      </c>
    </row>
    <row r="60" customFormat="false" ht="15" hidden="false" customHeight="false" outlineLevel="0" collapsed="false">
      <c r="A60" s="10" t="s">
        <v>4571</v>
      </c>
      <c r="B60" s="10" t="s">
        <v>4572</v>
      </c>
      <c r="C60" s="11" t="s">
        <v>4573</v>
      </c>
      <c r="D60" s="10" t="s">
        <v>4574</v>
      </c>
      <c r="E60" s="10" t="n">
        <v>15</v>
      </c>
      <c r="F60" s="10" t="s">
        <v>4432</v>
      </c>
      <c r="G60" s="10" t="s">
        <v>4393</v>
      </c>
      <c r="H60" s="10" t="s">
        <v>4433</v>
      </c>
      <c r="I60" s="10" t="s">
        <v>68</v>
      </c>
      <c r="J60" s="12" t="n">
        <v>124.845239333062</v>
      </c>
      <c r="K60" s="12" t="n">
        <v>180.057740229558</v>
      </c>
      <c r="L60" s="12" t="n">
        <v>310.434186156141</v>
      </c>
      <c r="M60" s="12" t="n">
        <v>59.9538166457782</v>
      </c>
      <c r="N60" s="12" t="n">
        <v>80.7018780387141</v>
      </c>
      <c r="O60" s="12" t="n">
        <v>131.291756246702</v>
      </c>
      <c r="P60" s="12" t="n">
        <v>71.3864657110668</v>
      </c>
      <c r="Q60" s="12" t="n">
        <v>104.321299974554</v>
      </c>
      <c r="R60" s="12" t="n">
        <v>195.708768879222</v>
      </c>
      <c r="S60" s="12" t="n">
        <v>49.2053430691912</v>
      </c>
      <c r="T60" s="12" t="n">
        <v>63.8385436939176</v>
      </c>
      <c r="U60" s="12" t="n">
        <v>103.43656818684</v>
      </c>
      <c r="V60" s="12" t="n">
        <v>35.603489581288</v>
      </c>
      <c r="W60" s="12" t="n">
        <v>54.7374194642521</v>
      </c>
      <c r="X60" s="12" t="n">
        <v>100.33130878097</v>
      </c>
    </row>
    <row r="61" customFormat="false" ht="15" hidden="false" customHeight="false" outlineLevel="0" collapsed="false">
      <c r="A61" s="10" t="s">
        <v>4575</v>
      </c>
      <c r="B61" s="10" t="s">
        <v>4576</v>
      </c>
      <c r="C61" s="11" t="s">
        <v>4573</v>
      </c>
      <c r="D61" s="10" t="s">
        <v>4574</v>
      </c>
      <c r="E61" s="10" t="n">
        <v>15</v>
      </c>
      <c r="F61" s="10" t="s">
        <v>4432</v>
      </c>
      <c r="G61" s="10" t="s">
        <v>4393</v>
      </c>
      <c r="H61" s="10" t="s">
        <v>4433</v>
      </c>
      <c r="I61" s="10" t="s">
        <v>68</v>
      </c>
      <c r="J61" s="12" t="n">
        <v>7.1158575538008</v>
      </c>
      <c r="K61" s="12" t="n">
        <v>10.2628281044394</v>
      </c>
      <c r="L61" s="12" t="n">
        <v>17.6939502084177</v>
      </c>
      <c r="M61" s="12" t="n">
        <v>3.22373546395647</v>
      </c>
      <c r="N61" s="12" t="n">
        <v>4.33936521136578</v>
      </c>
      <c r="O61" s="12" t="n">
        <v>7.05959877814428</v>
      </c>
      <c r="P61" s="12" t="n">
        <v>3.62335871729553</v>
      </c>
      <c r="Q61" s="12" t="n">
        <v>5.29503019791332</v>
      </c>
      <c r="R61" s="12" t="n">
        <v>9.93357867918331</v>
      </c>
      <c r="S61" s="12" t="n">
        <v>2.71042317214205</v>
      </c>
      <c r="T61" s="12" t="n">
        <v>3.51647722200591</v>
      </c>
      <c r="U61" s="12" t="n">
        <v>5.69769162804601</v>
      </c>
      <c r="V61" s="12" t="n">
        <v>1.86892420032239</v>
      </c>
      <c r="W61" s="12" t="n">
        <v>2.87331632665873</v>
      </c>
      <c r="X61" s="12" t="n">
        <v>5.26666383649436</v>
      </c>
    </row>
    <row r="62" customFormat="false" ht="15" hidden="false" customHeight="false" outlineLevel="0" collapsed="false">
      <c r="A62" s="10" t="s">
        <v>4577</v>
      </c>
      <c r="B62" s="10" t="s">
        <v>4578</v>
      </c>
      <c r="C62" s="11" t="s">
        <v>4573</v>
      </c>
      <c r="D62" s="10" t="s">
        <v>4574</v>
      </c>
      <c r="E62" s="10" t="n">
        <v>15</v>
      </c>
      <c r="F62" s="10" t="s">
        <v>4432</v>
      </c>
      <c r="G62" s="10" t="s">
        <v>4393</v>
      </c>
      <c r="H62" s="10" t="s">
        <v>4433</v>
      </c>
      <c r="I62" s="10" t="s">
        <v>68</v>
      </c>
      <c r="J62" s="12" t="n">
        <v>20.2531308122109</v>
      </c>
      <c r="K62" s="12" t="n">
        <v>29.2100282405771</v>
      </c>
      <c r="L62" s="12" t="n">
        <v>50.3604639983862</v>
      </c>
      <c r="M62" s="12" t="n">
        <v>9.53634484684077</v>
      </c>
      <c r="N62" s="12" t="n">
        <v>12.8365629049415</v>
      </c>
      <c r="O62" s="12" t="n">
        <v>20.8834655266952</v>
      </c>
      <c r="P62" s="12" t="n">
        <v>11.13174433393</v>
      </c>
      <c r="Q62" s="12" t="n">
        <v>16.2674819145715</v>
      </c>
      <c r="R62" s="12" t="n">
        <v>30.5181095235811</v>
      </c>
      <c r="S62" s="12" t="n">
        <v>7.89531454817388</v>
      </c>
      <c r="T62" s="12" t="n">
        <v>10.2433059363508</v>
      </c>
      <c r="U62" s="12" t="n">
        <v>16.5970642755273</v>
      </c>
      <c r="V62" s="12" t="n">
        <v>5.63047303591872</v>
      </c>
      <c r="W62" s="12" t="n">
        <v>8.65638643778396</v>
      </c>
      <c r="X62" s="12" t="n">
        <v>15.8667797846025</v>
      </c>
    </row>
    <row r="63" customFormat="false" ht="15" hidden="false" customHeight="false" outlineLevel="0" collapsed="false">
      <c r="A63" s="10" t="s">
        <v>4579</v>
      </c>
      <c r="B63" s="10" t="s">
        <v>4580</v>
      </c>
      <c r="C63" s="11" t="s">
        <v>4581</v>
      </c>
      <c r="D63" s="10" t="s">
        <v>4444</v>
      </c>
      <c r="E63" s="10" t="n">
        <v>15</v>
      </c>
      <c r="F63" s="10" t="s">
        <v>4432</v>
      </c>
      <c r="G63" s="10" t="s">
        <v>4393</v>
      </c>
      <c r="H63" s="10" t="s">
        <v>4433</v>
      </c>
      <c r="I63" s="10" t="s">
        <v>68</v>
      </c>
      <c r="J63" s="12" t="n">
        <v>18.6899868774826</v>
      </c>
      <c r="K63" s="12" t="n">
        <v>18.6899868774826</v>
      </c>
      <c r="L63" s="12" t="n">
        <v>18.6899868774826</v>
      </c>
      <c r="M63" s="12" t="n">
        <v>96.6283848132214</v>
      </c>
      <c r="N63" s="12" t="n">
        <v>96.6283848132214</v>
      </c>
      <c r="O63" s="12" t="n">
        <v>96.6283848132214</v>
      </c>
      <c r="P63" s="12" t="n">
        <v>116.841337205439</v>
      </c>
      <c r="Q63" s="12" t="n">
        <v>116.841337205439</v>
      </c>
      <c r="R63" s="12" t="n">
        <v>116.841337205439</v>
      </c>
      <c r="S63" s="12" t="n">
        <v>246.697456312585</v>
      </c>
      <c r="T63" s="12" t="n">
        <v>246.697456312585</v>
      </c>
      <c r="U63" s="12" t="n">
        <v>246.697456312585</v>
      </c>
      <c r="V63" s="12" t="n">
        <v>358.71180915499</v>
      </c>
      <c r="W63" s="12" t="n">
        <v>358.71180915499</v>
      </c>
      <c r="X63" s="12" t="n">
        <v>358.71180915499</v>
      </c>
    </row>
    <row r="64" customFormat="false" ht="15" hidden="false" customHeight="false" outlineLevel="0" collapsed="false">
      <c r="A64" s="10" t="s">
        <v>4582</v>
      </c>
      <c r="B64" s="10" t="s">
        <v>4583</v>
      </c>
      <c r="C64" s="11" t="s">
        <v>4581</v>
      </c>
      <c r="D64" s="10" t="s">
        <v>4444</v>
      </c>
      <c r="E64" s="10" t="n">
        <v>15</v>
      </c>
      <c r="F64" s="10" t="s">
        <v>4432</v>
      </c>
      <c r="G64" s="10" t="s">
        <v>4393</v>
      </c>
      <c r="H64" s="10" t="s">
        <v>4433</v>
      </c>
      <c r="I64" s="10" t="s">
        <v>68</v>
      </c>
      <c r="J64" s="12" t="n">
        <v>3.57102907624799</v>
      </c>
      <c r="K64" s="12" t="n">
        <v>3.57102907624799</v>
      </c>
      <c r="L64" s="12" t="n">
        <v>3.57102907624799</v>
      </c>
      <c r="M64" s="12" t="n">
        <v>17.4680230535144</v>
      </c>
      <c r="N64" s="12" t="n">
        <v>17.4680230535144</v>
      </c>
      <c r="O64" s="12" t="n">
        <v>17.4680230535144</v>
      </c>
      <c r="P64" s="12" t="n">
        <v>25.4312759220773</v>
      </c>
      <c r="Q64" s="12" t="n">
        <v>25.4312759220773</v>
      </c>
      <c r="R64" s="12" t="n">
        <v>25.4312759220773</v>
      </c>
      <c r="S64" s="12" t="n">
        <v>37.2582226398973</v>
      </c>
      <c r="T64" s="12" t="n">
        <v>37.2582226398973</v>
      </c>
      <c r="U64" s="12" t="n">
        <v>37.2582226398973</v>
      </c>
      <c r="V64" s="12" t="n">
        <v>50.3527379522069</v>
      </c>
      <c r="W64" s="12" t="n">
        <v>50.3527379522069</v>
      </c>
      <c r="X64" s="12" t="n">
        <v>50.3527379522069</v>
      </c>
    </row>
    <row r="65" customFormat="false" ht="15" hidden="false" customHeight="false" outlineLevel="0" collapsed="false">
      <c r="A65" s="10" t="s">
        <v>4584</v>
      </c>
      <c r="B65" s="10" t="s">
        <v>4585</v>
      </c>
      <c r="C65" s="11" t="s">
        <v>4581</v>
      </c>
      <c r="D65" s="10" t="s">
        <v>4444</v>
      </c>
      <c r="E65" s="10" t="n">
        <v>15</v>
      </c>
      <c r="F65" s="10" t="s">
        <v>4432</v>
      </c>
      <c r="G65" s="10" t="s">
        <v>4393</v>
      </c>
      <c r="H65" s="10" t="s">
        <v>4433</v>
      </c>
      <c r="I65" s="10" t="s">
        <v>68</v>
      </c>
      <c r="J65" s="12" t="n">
        <v>20.7225049979976</v>
      </c>
      <c r="K65" s="12" t="n">
        <v>20.7225049979976</v>
      </c>
      <c r="L65" s="12" t="n">
        <v>20.7225049979976</v>
      </c>
      <c r="M65" s="12" t="n">
        <v>100.404653415384</v>
      </c>
      <c r="N65" s="12" t="n">
        <v>100.404653415384</v>
      </c>
      <c r="O65" s="12" t="n">
        <v>100.404653415384</v>
      </c>
      <c r="P65" s="12" t="n">
        <v>146.176727443319</v>
      </c>
      <c r="Q65" s="12" t="n">
        <v>146.176727443319</v>
      </c>
      <c r="R65" s="12" t="n">
        <v>146.176727443319</v>
      </c>
      <c r="S65" s="12" t="n">
        <v>228.808271164193</v>
      </c>
      <c r="T65" s="12" t="n">
        <v>228.808271164193</v>
      </c>
      <c r="U65" s="12" t="n">
        <v>228.808271164193</v>
      </c>
      <c r="V65" s="12" t="n">
        <v>314.529969229019</v>
      </c>
      <c r="W65" s="12" t="n">
        <v>314.529969229019</v>
      </c>
      <c r="X65" s="12" t="n">
        <v>314.529969229019</v>
      </c>
    </row>
    <row r="66" customFormat="false" ht="15" hidden="false" customHeight="false" outlineLevel="0" collapsed="false">
      <c r="A66" s="10" t="s">
        <v>4586</v>
      </c>
      <c r="B66" s="10" t="s">
        <v>4587</v>
      </c>
      <c r="C66" s="11" t="s">
        <v>4588</v>
      </c>
      <c r="D66" s="10" t="s">
        <v>4448</v>
      </c>
      <c r="E66" s="10" t="n">
        <v>15</v>
      </c>
      <c r="F66" s="10" t="s">
        <v>4432</v>
      </c>
      <c r="G66" s="10" t="s">
        <v>4393</v>
      </c>
      <c r="H66" s="10" t="s">
        <v>4433</v>
      </c>
      <c r="I66" s="10" t="s">
        <v>68</v>
      </c>
      <c r="J66" s="12" t="n">
        <v>12.1259494958246</v>
      </c>
      <c r="K66" s="12" t="n">
        <v>17.4882236341092</v>
      </c>
      <c r="L66" s="12" t="n">
        <v>30.1504691923057</v>
      </c>
      <c r="M66" s="12" t="n">
        <v>2.47874275603365</v>
      </c>
      <c r="N66" s="12" t="n">
        <v>3.33624632374847</v>
      </c>
      <c r="O66" s="12" t="n">
        <v>5.42709231808209</v>
      </c>
      <c r="P66" s="12" t="n">
        <v>2.50359127783313</v>
      </c>
      <c r="Q66" s="12" t="n">
        <v>3.65821842869405</v>
      </c>
      <c r="R66" s="12" t="n">
        <v>6.86207401823829</v>
      </c>
      <c r="S66" s="12" t="n">
        <v>1.43636730002922</v>
      </c>
      <c r="T66" s="12" t="n">
        <v>1.86327342843922</v>
      </c>
      <c r="U66" s="12" t="n">
        <v>3.01849843781912</v>
      </c>
      <c r="V66" s="12" t="n">
        <v>1.06974114187471</v>
      </c>
      <c r="W66" s="12" t="n">
        <v>1.64418091652518</v>
      </c>
      <c r="X66" s="12" t="n">
        <v>3.01300288173229</v>
      </c>
    </row>
    <row r="67" customFormat="false" ht="15" hidden="false" customHeight="false" outlineLevel="0" collapsed="false">
      <c r="A67" s="10" t="s">
        <v>4589</v>
      </c>
      <c r="B67" s="10" t="s">
        <v>4590</v>
      </c>
      <c r="C67" s="11" t="s">
        <v>4588</v>
      </c>
      <c r="D67" s="10" t="s">
        <v>4448</v>
      </c>
      <c r="E67" s="10" t="n">
        <v>15</v>
      </c>
      <c r="F67" s="10" t="s">
        <v>4432</v>
      </c>
      <c r="G67" s="10" t="s">
        <v>4393</v>
      </c>
      <c r="H67" s="10" t="s">
        <v>4433</v>
      </c>
      <c r="I67" s="10" t="s">
        <v>68</v>
      </c>
      <c r="J67" s="12" t="n">
        <v>0.14312525381939</v>
      </c>
      <c r="K67" s="12" t="n">
        <v>0.206416687105845</v>
      </c>
      <c r="L67" s="12" t="n">
        <v>0.355870379575896</v>
      </c>
      <c r="M67" s="12" t="n">
        <v>0.0305159047022073</v>
      </c>
      <c r="N67" s="12" t="n">
        <v>0.0410722884251396</v>
      </c>
      <c r="O67" s="12" t="n">
        <v>0.0668118578598896</v>
      </c>
      <c r="P67" s="12" t="n">
        <v>0.026689888040409</v>
      </c>
      <c r="Q67" s="12" t="n">
        <v>0.0389980126855996</v>
      </c>
      <c r="R67" s="12" t="n">
        <v>0.0731505561381752</v>
      </c>
      <c r="S67" s="12" t="n">
        <v>0.0204678080994292</v>
      </c>
      <c r="T67" s="12" t="n">
        <v>0.0265511244968956</v>
      </c>
      <c r="U67" s="12" t="n">
        <v>0.043012821283724</v>
      </c>
      <c r="V67" s="12" t="n">
        <v>0.0159747161030332</v>
      </c>
      <c r="W67" s="12" t="n">
        <v>0.0245532903975434</v>
      </c>
      <c r="X67" s="12" t="n">
        <v>0.0449950171767023</v>
      </c>
    </row>
    <row r="68" customFormat="false" ht="15" hidden="false" customHeight="false" outlineLevel="0" collapsed="false">
      <c r="A68" s="10" t="s">
        <v>4591</v>
      </c>
      <c r="B68" s="10" t="s">
        <v>4592</v>
      </c>
      <c r="C68" s="11" t="s">
        <v>4588</v>
      </c>
      <c r="D68" s="10" t="s">
        <v>4448</v>
      </c>
      <c r="E68" s="10" t="n">
        <v>15</v>
      </c>
      <c r="F68" s="10" t="s">
        <v>4432</v>
      </c>
      <c r="G68" s="10" t="s">
        <v>4393</v>
      </c>
      <c r="H68" s="10" t="s">
        <v>4433</v>
      </c>
      <c r="I68" s="10" t="s">
        <v>68</v>
      </c>
      <c r="J68" s="12" t="n">
        <v>0.652311022264843</v>
      </c>
      <c r="K68" s="12" t="n">
        <v>0.940780187403963</v>
      </c>
      <c r="L68" s="12" t="n">
        <v>1.62195897661968</v>
      </c>
      <c r="M68" s="12" t="n">
        <v>0.139221764502238</v>
      </c>
      <c r="N68" s="12" t="n">
        <v>0.187391181616638</v>
      </c>
      <c r="O68" s="12" t="n">
        <v>0.304842393034249</v>
      </c>
      <c r="P68" s="12" t="n">
        <v>0.124510333313163</v>
      </c>
      <c r="Q68" s="12" t="n">
        <v>0.181940203763427</v>
      </c>
      <c r="R68" s="12" t="n">
        <v>0.341296417855299</v>
      </c>
      <c r="S68" s="12" t="n">
        <v>0.0863304123367692</v>
      </c>
      <c r="T68" s="12" t="n">
        <v>0.111995045760437</v>
      </c>
      <c r="U68" s="12" t="n">
        <v>0.181444567363731</v>
      </c>
      <c r="V68" s="12" t="n">
        <v>0.0658875303105049</v>
      </c>
      <c r="W68" s="12" t="n">
        <v>0.101280089037722</v>
      </c>
      <c r="X68" s="12" t="n">
        <v>0.185616365752151</v>
      </c>
    </row>
    <row r="69" customFormat="false" ht="15" hidden="false" customHeight="false" outlineLevel="0" collapsed="false">
      <c r="A69" s="10" t="s">
        <v>4593</v>
      </c>
      <c r="B69" s="10" t="s">
        <v>4594</v>
      </c>
      <c r="C69" s="11" t="s">
        <v>4595</v>
      </c>
      <c r="D69" s="10" t="s">
        <v>4444</v>
      </c>
      <c r="E69" s="10" t="n">
        <v>1</v>
      </c>
      <c r="F69" s="10" t="s">
        <v>4432</v>
      </c>
      <c r="G69" s="10" t="s">
        <v>4393</v>
      </c>
      <c r="H69" s="10" t="s">
        <v>4433</v>
      </c>
      <c r="I69" s="10" t="s">
        <v>68</v>
      </c>
      <c r="J69" s="12" t="n">
        <v>1.15731961755801</v>
      </c>
    </row>
    <row r="70" customFormat="false" ht="15" hidden="false" customHeight="false" outlineLevel="0" collapsed="false">
      <c r="A70" s="10" t="s">
        <v>4596</v>
      </c>
      <c r="B70" s="10" t="s">
        <v>4597</v>
      </c>
      <c r="C70" s="11" t="s">
        <v>4598</v>
      </c>
      <c r="D70" s="10" t="s">
        <v>4444</v>
      </c>
      <c r="E70" s="10" t="n">
        <v>1</v>
      </c>
      <c r="F70" s="10" t="s">
        <v>4432</v>
      </c>
      <c r="G70" s="10" t="s">
        <v>4393</v>
      </c>
      <c r="H70" s="10" t="s">
        <v>4433</v>
      </c>
      <c r="I70" s="10" t="s">
        <v>68</v>
      </c>
      <c r="J70" s="12" t="n">
        <v>0.578659808779004</v>
      </c>
    </row>
    <row r="71" customFormat="false" ht="15" hidden="false" customHeight="false" outlineLevel="0" collapsed="false">
      <c r="A71" s="10" t="s">
        <v>4599</v>
      </c>
      <c r="B71" s="10" t="s">
        <v>4600</v>
      </c>
      <c r="C71" s="11" t="s">
        <v>4601</v>
      </c>
      <c r="D71" s="10" t="s">
        <v>4444</v>
      </c>
      <c r="E71" s="10" t="n">
        <v>1</v>
      </c>
      <c r="F71" s="10" t="s">
        <v>4432</v>
      </c>
      <c r="G71" s="10" t="s">
        <v>4393</v>
      </c>
      <c r="H71" s="10" t="s">
        <v>4433</v>
      </c>
      <c r="I71" s="10" t="s">
        <v>68</v>
      </c>
      <c r="J71" s="12" t="n">
        <v>8.10123732290606</v>
      </c>
    </row>
    <row r="72" customFormat="false" ht="15" hidden="false" customHeight="false" outlineLevel="0" collapsed="false">
      <c r="A72" s="10" t="s">
        <v>4602</v>
      </c>
      <c r="B72" s="10" t="s">
        <v>4603</v>
      </c>
      <c r="C72" s="11" t="s">
        <v>4604</v>
      </c>
      <c r="D72" s="10" t="s">
        <v>4513</v>
      </c>
      <c r="E72" s="10" t="n">
        <v>15</v>
      </c>
      <c r="F72" s="10" t="s">
        <v>4432</v>
      </c>
      <c r="G72" s="10" t="s">
        <v>4393</v>
      </c>
      <c r="H72" s="10" t="s">
        <v>4433</v>
      </c>
      <c r="I72" s="10" t="s">
        <v>68</v>
      </c>
      <c r="J72" s="12" t="n">
        <v>31.6322694</v>
      </c>
      <c r="K72" s="12" t="n">
        <v>40.180214</v>
      </c>
      <c r="L72" s="12" t="n">
        <v>50.3067434</v>
      </c>
      <c r="M72" s="12" t="n">
        <v>30.8513904</v>
      </c>
      <c r="N72" s="12" t="n">
        <v>36.685174</v>
      </c>
      <c r="O72" s="12" t="n">
        <v>43.8362044</v>
      </c>
      <c r="P72" s="12" t="n">
        <v>38.7669024</v>
      </c>
      <c r="Q72" s="12" t="n">
        <v>50.115504</v>
      </c>
      <c r="R72" s="12" t="n">
        <v>67.1365064</v>
      </c>
      <c r="S72" s="12" t="n">
        <v>43.4854032</v>
      </c>
      <c r="T72" s="12" t="n">
        <v>50.256352</v>
      </c>
      <c r="U72" s="12" t="n">
        <v>58.8235752</v>
      </c>
      <c r="V72" s="12" t="n">
        <v>46.057578</v>
      </c>
      <c r="W72" s="12" t="n">
        <v>62.75578</v>
      </c>
      <c r="X72" s="12" t="n">
        <v>81.667558</v>
      </c>
    </row>
    <row r="73" customFormat="false" ht="15" hidden="false" customHeight="false" outlineLevel="0" collapsed="false">
      <c r="A73" s="10" t="s">
        <v>4605</v>
      </c>
      <c r="B73" s="10" t="s">
        <v>4606</v>
      </c>
      <c r="C73" s="11" t="s">
        <v>4607</v>
      </c>
      <c r="D73" s="10" t="s">
        <v>4448</v>
      </c>
      <c r="E73" s="10" t="n">
        <v>15</v>
      </c>
      <c r="F73" s="10" t="s">
        <v>4432</v>
      </c>
      <c r="G73" s="10" t="s">
        <v>4393</v>
      </c>
      <c r="H73" s="10" t="s">
        <v>4433</v>
      </c>
      <c r="I73" s="10" t="s">
        <v>68</v>
      </c>
      <c r="J73" s="12" t="n">
        <v>0.000178058670640044</v>
      </c>
      <c r="K73" s="12" t="n">
        <v>0.000256804681019464</v>
      </c>
      <c r="L73" s="12" t="n">
        <v>0.000442752153013402</v>
      </c>
      <c r="M73" s="12" t="n">
        <v>0.000248005862262775</v>
      </c>
      <c r="N73" s="12" t="n">
        <v>0.000333832605978488</v>
      </c>
      <c r="O73" s="12" t="n">
        <v>0.000543103459256589</v>
      </c>
      <c r="P73" s="12" t="n">
        <v>0.00032656663108191</v>
      </c>
      <c r="Q73" s="12" t="n">
        <v>0.000477231295084189</v>
      </c>
      <c r="R73" s="12" t="n">
        <v>0.000895295105163995</v>
      </c>
      <c r="S73" s="12" t="n">
        <v>0.000615832370692479</v>
      </c>
      <c r="T73" s="12" t="n">
        <v>0.000798975055397919</v>
      </c>
      <c r="U73" s="12" t="n">
        <v>0.00129456646432123</v>
      </c>
      <c r="V73" s="12" t="n">
        <v>0.000980224494492091</v>
      </c>
      <c r="W73" s="12" t="n">
        <v>0.00150701405831712</v>
      </c>
      <c r="X73" s="12" t="n">
        <v>0.00276229121325355</v>
      </c>
    </row>
    <row r="74" customFormat="false" ht="15" hidden="false" customHeight="false" outlineLevel="0" collapsed="false">
      <c r="A74" s="10" t="s">
        <v>4608</v>
      </c>
      <c r="B74" s="10" t="s">
        <v>4609</v>
      </c>
      <c r="C74" s="11" t="s">
        <v>4607</v>
      </c>
      <c r="D74" s="10" t="s">
        <v>4448</v>
      </c>
      <c r="E74" s="10" t="n">
        <v>15</v>
      </c>
      <c r="F74" s="10" t="s">
        <v>4432</v>
      </c>
      <c r="G74" s="10" t="s">
        <v>4393</v>
      </c>
      <c r="H74" s="10" t="s">
        <v>4433</v>
      </c>
      <c r="I74" s="10" t="s">
        <v>68</v>
      </c>
      <c r="J74" s="12" t="n">
        <v>8.64017334095354E-006</v>
      </c>
      <c r="K74" s="12" t="n">
        <v>1.24612688098854E-005</v>
      </c>
      <c r="L74" s="12" t="n">
        <v>2.14842407582024E-005</v>
      </c>
      <c r="M74" s="12" t="n">
        <v>1.20343122400079E-005</v>
      </c>
      <c r="N74" s="12" t="n">
        <v>1.61989953769075E-005</v>
      </c>
      <c r="O74" s="12" t="n">
        <v>2.6353718205246E-005</v>
      </c>
      <c r="P74" s="12" t="n">
        <v>1.5846418990867E-005</v>
      </c>
      <c r="Q74" s="12" t="n">
        <v>2.31573171833387E-005</v>
      </c>
      <c r="R74" s="12" t="n">
        <v>4.3443573245371E-005</v>
      </c>
      <c r="S74" s="12" t="n">
        <v>2.9882838126484E-005</v>
      </c>
      <c r="T74" s="12" t="n">
        <v>3.87697097193956E-005</v>
      </c>
      <c r="U74" s="12" t="n">
        <v>6.28179386766985E-005</v>
      </c>
      <c r="V74" s="12" t="n">
        <v>4.75647128837742E-005</v>
      </c>
      <c r="W74" s="12" t="n">
        <v>7.31268106422977E-005</v>
      </c>
      <c r="X74" s="12" t="n">
        <v>0.000134038262865341</v>
      </c>
    </row>
    <row r="75" customFormat="false" ht="15" hidden="false" customHeight="false" outlineLevel="0" collapsed="false">
      <c r="A75" s="10" t="s">
        <v>4610</v>
      </c>
      <c r="B75" s="10" t="s">
        <v>4611</v>
      </c>
      <c r="C75" s="11" t="s">
        <v>4607</v>
      </c>
      <c r="D75" s="10" t="s">
        <v>4448</v>
      </c>
      <c r="E75" s="10" t="n">
        <v>15</v>
      </c>
      <c r="F75" s="10" t="s">
        <v>4432</v>
      </c>
      <c r="G75" s="10" t="s">
        <v>4393</v>
      </c>
      <c r="H75" s="10" t="s">
        <v>4433</v>
      </c>
      <c r="I75" s="10" t="s">
        <v>68</v>
      </c>
      <c r="J75" s="12" t="n">
        <v>1.22569900883294E-005</v>
      </c>
      <c r="K75" s="12" t="n">
        <v>1.76776138930933E-005</v>
      </c>
      <c r="L75" s="12" t="n">
        <v>3.04776438662871E-005</v>
      </c>
      <c r="M75" s="12" t="n">
        <v>1.70719313172205E-005</v>
      </c>
      <c r="N75" s="12" t="n">
        <v>2.29799701858456E-005</v>
      </c>
      <c r="O75" s="12" t="n">
        <v>3.73855072213954E-005</v>
      </c>
      <c r="P75" s="12" t="n">
        <v>2.24798036847183E-005</v>
      </c>
      <c r="Q75" s="12" t="n">
        <v>3.28510778647363E-005</v>
      </c>
      <c r="R75" s="12" t="n">
        <v>6.16292550690146E-005</v>
      </c>
      <c r="S75" s="12" t="n">
        <v>4.2391933156175E-005</v>
      </c>
      <c r="T75" s="12" t="n">
        <v>5.49988905321658E-005</v>
      </c>
      <c r="U75" s="12" t="n">
        <v>8.91138199832235E-005</v>
      </c>
      <c r="V75" s="12" t="n">
        <v>6.74755229281448E-005</v>
      </c>
      <c r="W75" s="12" t="n">
        <v>0.000103738033701864</v>
      </c>
      <c r="X75" s="12" t="n">
        <v>0.000190147303134554</v>
      </c>
    </row>
    <row r="76" customFormat="false" ht="15" hidden="false" customHeight="false" outlineLevel="0" collapsed="false">
      <c r="A76" s="10" t="s">
        <v>4612</v>
      </c>
      <c r="B76" s="10" t="s">
        <v>4613</v>
      </c>
      <c r="C76" s="10" t="s">
        <v>4614</v>
      </c>
      <c r="D76" s="10" t="s">
        <v>4448</v>
      </c>
      <c r="E76" s="10" t="n">
        <v>15</v>
      </c>
      <c r="F76" s="10" t="s">
        <v>4432</v>
      </c>
      <c r="G76" s="10" t="s">
        <v>4393</v>
      </c>
      <c r="H76" s="10" t="s">
        <v>4433</v>
      </c>
      <c r="I76" s="10" t="s">
        <v>68</v>
      </c>
      <c r="J76" s="12" t="n">
        <v>12.5799112589712</v>
      </c>
      <c r="K76" s="12" t="n">
        <v>18.1433461594468</v>
      </c>
      <c r="L76" s="12" t="n">
        <v>31.2806041660653</v>
      </c>
      <c r="M76" s="12" t="n">
        <v>2.55371841545571</v>
      </c>
      <c r="N76" s="12" t="n">
        <v>3.43747710553532</v>
      </c>
      <c r="O76" s="12" t="n">
        <v>5.59234081302371</v>
      </c>
      <c r="P76" s="12" t="n">
        <v>2.78972017225788</v>
      </c>
      <c r="Q76" s="12" t="n">
        <v>4.07678447218689</v>
      </c>
      <c r="R76" s="12" t="n">
        <v>7.64812622381274</v>
      </c>
      <c r="S76" s="12" t="n">
        <v>1.37133586956278</v>
      </c>
      <c r="T76" s="12" t="n">
        <v>1.77915810291208</v>
      </c>
      <c r="U76" s="12" t="n">
        <v>2.88274133115239</v>
      </c>
      <c r="V76" s="12" t="n">
        <v>0.978773295038209</v>
      </c>
      <c r="W76" s="12" t="n">
        <v>1.50478295922634</v>
      </c>
      <c r="X76" s="12" t="n">
        <v>2.75820170567374</v>
      </c>
    </row>
    <row r="77" customFormat="false" ht="15" hidden="false" customHeight="false" outlineLevel="0" collapsed="false">
      <c r="A77" s="10" t="s">
        <v>4615</v>
      </c>
      <c r="B77" s="10" t="s">
        <v>4616</v>
      </c>
      <c r="C77" s="10" t="s">
        <v>4614</v>
      </c>
      <c r="D77" s="10" t="s">
        <v>4448</v>
      </c>
      <c r="E77" s="10" t="n">
        <v>15</v>
      </c>
      <c r="F77" s="10" t="s">
        <v>4432</v>
      </c>
      <c r="G77" s="10" t="s">
        <v>4393</v>
      </c>
      <c r="H77" s="10" t="s">
        <v>4433</v>
      </c>
      <c r="I77" s="10" t="s">
        <v>68</v>
      </c>
      <c r="J77" s="12" t="n">
        <v>0.531682545444821</v>
      </c>
      <c r="K77" s="12" t="n">
        <v>0.766817847149911</v>
      </c>
      <c r="L77" s="12" t="n">
        <v>1.32205632485723</v>
      </c>
      <c r="M77" s="12" t="n">
        <v>0.125315671755568</v>
      </c>
      <c r="N77" s="12" t="n">
        <v>0.168683340346932</v>
      </c>
      <c r="O77" s="12" t="n">
        <v>0.274426476086278</v>
      </c>
      <c r="P77" s="12" t="n">
        <v>0.110007928505123</v>
      </c>
      <c r="Q77" s="12" t="n">
        <v>0.16076114701646</v>
      </c>
      <c r="R77" s="12" t="n">
        <v>0.301591009447516</v>
      </c>
      <c r="S77" s="12" t="n">
        <v>0.0833946358175752</v>
      </c>
      <c r="T77" s="12" t="n">
        <v>0.108195406645015</v>
      </c>
      <c r="U77" s="12" t="n">
        <v>0.175307281610283</v>
      </c>
      <c r="V77" s="12" t="n">
        <v>0.0652695784736312</v>
      </c>
      <c r="W77" s="12" t="n">
        <v>0.10034657661882</v>
      </c>
      <c r="X77" s="12" t="n">
        <v>0.18393090983091</v>
      </c>
    </row>
    <row r="78" customFormat="false" ht="15" hidden="false" customHeight="false" outlineLevel="0" collapsed="false">
      <c r="A78" s="10" t="s">
        <v>4617</v>
      </c>
      <c r="B78" s="10" t="s">
        <v>4618</v>
      </c>
      <c r="C78" s="10" t="s">
        <v>4614</v>
      </c>
      <c r="D78" s="10" t="s">
        <v>4448</v>
      </c>
      <c r="E78" s="10" t="n">
        <v>15</v>
      </c>
      <c r="F78" s="10" t="s">
        <v>4432</v>
      </c>
      <c r="G78" s="10" t="s">
        <v>4393</v>
      </c>
      <c r="H78" s="10" t="s">
        <v>4433</v>
      </c>
      <c r="I78" s="10" t="s">
        <v>68</v>
      </c>
      <c r="J78" s="12" t="n">
        <v>1.82471646211512</v>
      </c>
      <c r="K78" s="12" t="n">
        <v>2.63169284214039</v>
      </c>
      <c r="L78" s="12" t="n">
        <v>4.53725246479951</v>
      </c>
      <c r="M78" s="12" t="n">
        <v>0.436422590130554</v>
      </c>
      <c r="N78" s="12" t="n">
        <v>0.587454220807071</v>
      </c>
      <c r="O78" s="12" t="n">
        <v>0.955713773194952</v>
      </c>
      <c r="P78" s="12" t="n">
        <v>0.383112059493625</v>
      </c>
      <c r="Q78" s="12" t="n">
        <v>0.559864502104182</v>
      </c>
      <c r="R78" s="12" t="n">
        <v>1.05031659376095</v>
      </c>
      <c r="S78" s="12" t="n">
        <v>0.264921171426474</v>
      </c>
      <c r="T78" s="12" t="n">
        <v>0.343706205925063</v>
      </c>
      <c r="U78" s="12" t="n">
        <v>0.556901651388943</v>
      </c>
      <c r="V78" s="12" t="n">
        <v>0.202306055290649</v>
      </c>
      <c r="W78" s="12" t="n">
        <v>0.311028821579961</v>
      </c>
      <c r="X78" s="12" t="n">
        <v>0.570102300092905</v>
      </c>
    </row>
    <row r="79" customFormat="false" ht="15" hidden="false" customHeight="false" outlineLevel="0" collapsed="false">
      <c r="A79" s="10" t="s">
        <v>4619</v>
      </c>
      <c r="B79" s="10" t="s">
        <v>4620</v>
      </c>
      <c r="C79" s="11" t="s">
        <v>4621</v>
      </c>
      <c r="D79" s="10" t="s">
        <v>4448</v>
      </c>
      <c r="E79" s="10" t="n">
        <v>15</v>
      </c>
      <c r="F79" s="10" t="s">
        <v>4432</v>
      </c>
      <c r="G79" s="10" t="s">
        <v>4393</v>
      </c>
      <c r="H79" s="10" t="s">
        <v>4433</v>
      </c>
      <c r="I79" s="10" t="s">
        <v>68</v>
      </c>
      <c r="J79" s="12" t="n">
        <v>0.458985762161673</v>
      </c>
      <c r="K79" s="12" t="n">
        <v>0.661971089757736</v>
      </c>
      <c r="L79" s="12" t="n">
        <v>1.14129198914661</v>
      </c>
      <c r="M79" s="12" t="n">
        <v>0.0632257988615471</v>
      </c>
      <c r="N79" s="12" t="n">
        <v>0.0851061866298072</v>
      </c>
      <c r="O79" s="12" t="n">
        <v>0.138457009695942</v>
      </c>
      <c r="P79" s="12" t="n">
        <v>0.0555025485911051</v>
      </c>
      <c r="Q79" s="12" t="n">
        <v>0.0811091845387063</v>
      </c>
      <c r="R79" s="12" t="n">
        <v>0.152162393056257</v>
      </c>
      <c r="S79" s="12" t="n">
        <v>0.044856651194314</v>
      </c>
      <c r="T79" s="12" t="n">
        <v>0.0581965922522752</v>
      </c>
      <c r="U79" s="12" t="n">
        <v>0.0942950047796553</v>
      </c>
      <c r="V79" s="12" t="n">
        <v>0.0356993155394807</v>
      </c>
      <c r="W79" s="12" t="n">
        <v>0.0548847439465106</v>
      </c>
      <c r="X79" s="12" t="n">
        <v>0.100601348148283</v>
      </c>
    </row>
    <row r="80" customFormat="false" ht="15" hidden="false" customHeight="false" outlineLevel="0" collapsed="false">
      <c r="A80" s="10" t="s">
        <v>4622</v>
      </c>
      <c r="B80" s="10" t="s">
        <v>4623</v>
      </c>
      <c r="C80" s="11" t="s">
        <v>4621</v>
      </c>
      <c r="D80" s="10" t="s">
        <v>4448</v>
      </c>
      <c r="E80" s="10" t="n">
        <v>15</v>
      </c>
      <c r="F80" s="10" t="s">
        <v>4432</v>
      </c>
      <c r="G80" s="10" t="s">
        <v>4393</v>
      </c>
      <c r="H80" s="10" t="s">
        <v>4433</v>
      </c>
      <c r="I80" s="10" t="s">
        <v>68</v>
      </c>
      <c r="J80" s="12" t="n">
        <v>0.0398626327246416</v>
      </c>
      <c r="K80" s="12" t="n">
        <v>0.0574917842790264</v>
      </c>
      <c r="L80" s="12" t="n">
        <v>0.0991205112347298</v>
      </c>
      <c r="M80" s="12" t="n">
        <v>0.00549112196175739</v>
      </c>
      <c r="N80" s="12" t="n">
        <v>0.00739142025722318</v>
      </c>
      <c r="O80" s="12" t="n">
        <v>0.0120249066107575</v>
      </c>
      <c r="P80" s="12" t="n">
        <v>0.0048203623993667</v>
      </c>
      <c r="Q80" s="12" t="n">
        <v>0.00704428307020721</v>
      </c>
      <c r="R80" s="12" t="n">
        <v>0.0132152107732867</v>
      </c>
      <c r="S80" s="12" t="n">
        <v>0.00389577272156528</v>
      </c>
      <c r="T80" s="12" t="n">
        <v>0.00505433844364223</v>
      </c>
      <c r="U80" s="12" t="n">
        <v>0.00818946349358809</v>
      </c>
      <c r="V80" s="12" t="n">
        <v>0.00310046372063748</v>
      </c>
      <c r="W80" s="12" t="n">
        <v>0.00476670644383758</v>
      </c>
      <c r="X80" s="12" t="n">
        <v>0.00873716555814697</v>
      </c>
    </row>
    <row r="81" customFormat="false" ht="15" hidden="false" customHeight="false" outlineLevel="0" collapsed="false">
      <c r="A81" s="10" t="s">
        <v>4624</v>
      </c>
      <c r="B81" s="10" t="s">
        <v>4625</v>
      </c>
      <c r="C81" s="11" t="s">
        <v>4621</v>
      </c>
      <c r="D81" s="10" t="s">
        <v>4448</v>
      </c>
      <c r="E81" s="10" t="n">
        <v>15</v>
      </c>
      <c r="F81" s="10" t="s">
        <v>4432</v>
      </c>
      <c r="G81" s="10" t="s">
        <v>4393</v>
      </c>
      <c r="H81" s="10" t="s">
        <v>4433</v>
      </c>
      <c r="I81" s="10" t="s">
        <v>68</v>
      </c>
      <c r="J81" s="12" t="n">
        <v>0.13835489399644</v>
      </c>
      <c r="K81" s="12" t="n">
        <v>0.199542006533699</v>
      </c>
      <c r="L81" s="12" t="n">
        <v>0.344026645693087</v>
      </c>
      <c r="M81" s="12" t="n">
        <v>0.019058540417749</v>
      </c>
      <c r="N81" s="12" t="n">
        <v>0.0256540799308293</v>
      </c>
      <c r="O81" s="12" t="n">
        <v>0.0417359458152398</v>
      </c>
      <c r="P81" s="12" t="n">
        <v>0.0167304737094431</v>
      </c>
      <c r="Q81" s="12" t="n">
        <v>0.0244492390703779</v>
      </c>
      <c r="R81" s="12" t="n">
        <v>0.0458672435990019</v>
      </c>
      <c r="S81" s="12" t="n">
        <v>0.0135214155484817</v>
      </c>
      <c r="T81" s="12" t="n">
        <v>0.017542555817192</v>
      </c>
      <c r="U81" s="12" t="n">
        <v>0.028423921755742</v>
      </c>
      <c r="V81" s="12" t="n">
        <v>0.0107610636851749</v>
      </c>
      <c r="W81" s="12" t="n">
        <v>0.0165442450654198</v>
      </c>
      <c r="X81" s="12" t="n">
        <v>0.0303248815244336</v>
      </c>
    </row>
    <row r="82" customFormat="false" ht="15" hidden="false" customHeight="false" outlineLevel="0" collapsed="false">
      <c r="A82" s="10" t="s">
        <v>4626</v>
      </c>
      <c r="B82" s="10" t="s">
        <v>4627</v>
      </c>
      <c r="C82" s="11" t="s">
        <v>4628</v>
      </c>
      <c r="D82" s="10" t="s">
        <v>4444</v>
      </c>
      <c r="E82" s="10" t="n">
        <v>15</v>
      </c>
      <c r="F82" s="10" t="s">
        <v>4432</v>
      </c>
      <c r="G82" s="10" t="s">
        <v>4393</v>
      </c>
      <c r="H82" s="10" t="s">
        <v>4433</v>
      </c>
      <c r="I82" s="10" t="s">
        <v>68</v>
      </c>
      <c r="J82" s="12" t="n">
        <v>1.3211941962</v>
      </c>
      <c r="K82" s="12" t="n">
        <v>2.27737549</v>
      </c>
      <c r="L82" s="12" t="n">
        <v>3.6068536832</v>
      </c>
      <c r="M82" s="12" t="n">
        <v>1.3032339792</v>
      </c>
      <c r="N82" s="12" t="n">
        <v>2.15504909</v>
      </c>
      <c r="O82" s="12" t="n">
        <v>3.2962678112</v>
      </c>
      <c r="P82" s="12" t="n">
        <v>1.4852907552</v>
      </c>
      <c r="Q82" s="12" t="n">
        <v>2.62511064</v>
      </c>
      <c r="R82" s="12" t="n">
        <v>4.4146823072</v>
      </c>
      <c r="S82" s="12" t="n">
        <v>1.5938162736</v>
      </c>
      <c r="T82" s="12" t="n">
        <v>2.63004032</v>
      </c>
      <c r="U82" s="12" t="n">
        <v>4.0156616096</v>
      </c>
      <c r="V82" s="12" t="n">
        <v>1.652976294</v>
      </c>
      <c r="W82" s="12" t="n">
        <v>3.0675203</v>
      </c>
      <c r="X82" s="12" t="n">
        <v>5.112172784</v>
      </c>
    </row>
    <row r="83" customFormat="false" ht="15" hidden="false" customHeight="false" outlineLevel="0" collapsed="false">
      <c r="A83" s="10" t="s">
        <v>4629</v>
      </c>
      <c r="B83" s="10" t="s">
        <v>4630</v>
      </c>
      <c r="C83" s="10" t="s">
        <v>4631</v>
      </c>
      <c r="D83" s="11" t="s">
        <v>2665</v>
      </c>
      <c r="E83" s="10" t="n">
        <v>15</v>
      </c>
      <c r="F83" s="10" t="s">
        <v>4432</v>
      </c>
      <c r="G83" s="10" t="s">
        <v>4393</v>
      </c>
      <c r="H83" s="10" t="s">
        <v>4433</v>
      </c>
      <c r="I83" s="10" t="s">
        <v>68</v>
      </c>
      <c r="J83" s="12" t="n">
        <v>6</v>
      </c>
      <c r="K83" s="12" t="n">
        <v>6</v>
      </c>
      <c r="L83" s="12" t="n">
        <v>4</v>
      </c>
      <c r="M83" s="12" t="n">
        <v>6</v>
      </c>
      <c r="N83" s="12" t="n">
        <v>6</v>
      </c>
      <c r="O83" s="12" t="n">
        <v>4</v>
      </c>
      <c r="P83" s="12" t="n">
        <v>6</v>
      </c>
      <c r="Q83" s="12" t="n">
        <v>6</v>
      </c>
      <c r="R83" s="12" t="n">
        <v>4</v>
      </c>
      <c r="S83" s="12" t="n">
        <v>6</v>
      </c>
      <c r="T83" s="12" t="n">
        <v>6</v>
      </c>
      <c r="U83" s="12" t="n">
        <v>4</v>
      </c>
      <c r="V83" s="12" t="n">
        <v>6</v>
      </c>
      <c r="W83" s="12" t="n">
        <v>6</v>
      </c>
      <c r="X83" s="12" t="n">
        <v>4</v>
      </c>
    </row>
    <row r="84" customFormat="false" ht="15" hidden="false" customHeight="false" outlineLevel="0" collapsed="false">
      <c r="A84" s="11" t="s">
        <v>4632</v>
      </c>
      <c r="B84" s="10" t="s">
        <v>4633</v>
      </c>
      <c r="C84" s="10" t="s">
        <v>4634</v>
      </c>
      <c r="D84" s="10" t="s">
        <v>4635</v>
      </c>
      <c r="E84" s="10" t="n">
        <v>5</v>
      </c>
      <c r="F84" s="11" t="s">
        <v>4636</v>
      </c>
      <c r="G84" s="10" t="s">
        <v>4393</v>
      </c>
      <c r="H84" s="10" t="s">
        <v>4433</v>
      </c>
      <c r="I84" s="10" t="s">
        <v>68</v>
      </c>
      <c r="J84" s="12" t="n">
        <v>1.4</v>
      </c>
      <c r="K84" s="12" t="n">
        <v>0.26</v>
      </c>
      <c r="L84" s="12" t="n">
        <v>4.4</v>
      </c>
      <c r="M84" s="12" t="n">
        <v>0</v>
      </c>
      <c r="N84" s="12" t="n">
        <v>45</v>
      </c>
    </row>
    <row r="85" customFormat="false" ht="15" hidden="false" customHeight="false" outlineLevel="0" collapsed="false">
      <c r="A85" s="11" t="s">
        <v>4637</v>
      </c>
      <c r="B85" s="10" t="s">
        <v>4638</v>
      </c>
      <c r="C85" s="10" t="s">
        <v>4639</v>
      </c>
      <c r="D85" s="10" t="s">
        <v>4635</v>
      </c>
      <c r="E85" s="10" t="n">
        <v>5</v>
      </c>
      <c r="F85" s="11" t="s">
        <v>4636</v>
      </c>
      <c r="G85" s="10" t="s">
        <v>4393</v>
      </c>
      <c r="H85" s="10" t="s">
        <v>4433</v>
      </c>
      <c r="I85" s="10" t="s">
        <v>68</v>
      </c>
      <c r="J85" s="12" t="n">
        <v>0.15</v>
      </c>
      <c r="K85" s="12" t="n">
        <v>0.03</v>
      </c>
      <c r="L85" s="12" t="n">
        <v>0.5</v>
      </c>
      <c r="M85" s="12" t="n">
        <v>0</v>
      </c>
      <c r="N85" s="12" t="n">
        <v>42</v>
      </c>
    </row>
    <row r="86" customFormat="false" ht="15" hidden="false" customHeight="false" outlineLevel="0" collapsed="false">
      <c r="A86" s="11" t="s">
        <v>4640</v>
      </c>
      <c r="B86" s="10" t="s">
        <v>4641</v>
      </c>
      <c r="C86" s="10" t="s">
        <v>4642</v>
      </c>
      <c r="D86" s="10" t="s">
        <v>4448</v>
      </c>
      <c r="E86" s="10" t="n">
        <v>3</v>
      </c>
      <c r="F86" s="11" t="s">
        <v>4636</v>
      </c>
      <c r="G86" s="10" t="s">
        <v>4393</v>
      </c>
      <c r="H86" s="10" t="s">
        <v>4433</v>
      </c>
      <c r="I86" s="10" t="s">
        <v>68</v>
      </c>
      <c r="J86" s="12" t="n">
        <v>1.176</v>
      </c>
      <c r="K86" s="12" t="n">
        <v>1.176</v>
      </c>
      <c r="L86" s="12" t="n">
        <v>1.176</v>
      </c>
    </row>
    <row r="87" customFormat="false" ht="15" hidden="false" customHeight="false" outlineLevel="0" collapsed="false">
      <c r="A87" s="11" t="s">
        <v>4643</v>
      </c>
      <c r="B87" s="10" t="s">
        <v>4644</v>
      </c>
      <c r="C87" s="10" t="s">
        <v>4645</v>
      </c>
      <c r="D87" s="10" t="s">
        <v>4448</v>
      </c>
      <c r="E87" s="10" t="n">
        <v>3</v>
      </c>
      <c r="F87" s="11" t="s">
        <v>4636</v>
      </c>
      <c r="G87" s="10" t="s">
        <v>4393</v>
      </c>
      <c r="H87" s="10" t="s">
        <v>4433</v>
      </c>
      <c r="I87" s="10" t="s">
        <v>68</v>
      </c>
      <c r="J87" s="12" t="n">
        <v>0.130222222222222</v>
      </c>
      <c r="K87" s="12" t="n">
        <v>0.130222222222222</v>
      </c>
      <c r="L87" s="12" t="n">
        <v>0.130222222222222</v>
      </c>
    </row>
    <row r="88" customFormat="false" ht="15" hidden="false" customHeight="false" outlineLevel="0" collapsed="false">
      <c r="A88" s="11" t="s">
        <v>4646</v>
      </c>
      <c r="B88" s="10" t="s">
        <v>4647</v>
      </c>
      <c r="C88" s="10" t="s">
        <v>4648</v>
      </c>
      <c r="D88" s="10" t="s">
        <v>4448</v>
      </c>
      <c r="E88" s="10" t="n">
        <v>3</v>
      </c>
      <c r="F88" s="11" t="s">
        <v>4636</v>
      </c>
      <c r="G88" s="10" t="s">
        <v>4393</v>
      </c>
      <c r="H88" s="10" t="s">
        <v>4433</v>
      </c>
      <c r="I88" s="10" t="s">
        <v>68</v>
      </c>
      <c r="J88" s="12" t="n">
        <v>0.130222222222222</v>
      </c>
      <c r="K88" s="14" t="s">
        <v>4649</v>
      </c>
      <c r="L88" s="14" t="s">
        <v>4649</v>
      </c>
    </row>
    <row r="89" customFormat="false" ht="15" hidden="false" customHeight="false" outlineLevel="0" collapsed="false">
      <c r="A89" s="11" t="s">
        <v>4650</v>
      </c>
      <c r="B89" s="10" t="s">
        <v>4651</v>
      </c>
      <c r="C89" s="10" t="s">
        <v>4652</v>
      </c>
      <c r="D89" s="11" t="s">
        <v>2957</v>
      </c>
      <c r="E89" s="10" t="n">
        <v>3</v>
      </c>
      <c r="F89" s="11" t="s">
        <v>4636</v>
      </c>
      <c r="G89" s="10" t="s">
        <v>4393</v>
      </c>
      <c r="H89" s="10" t="s">
        <v>4433</v>
      </c>
      <c r="I89" s="10" t="s">
        <v>68</v>
      </c>
      <c r="J89" s="12" t="s">
        <v>4653</v>
      </c>
      <c r="K89" s="12" t="s">
        <v>2121</v>
      </c>
      <c r="L89" s="12" t="s">
        <v>2121</v>
      </c>
    </row>
    <row r="90" customFormat="false" ht="15" hidden="false" customHeight="false" outlineLevel="0" collapsed="false">
      <c r="A90" s="11" t="s">
        <v>4654</v>
      </c>
      <c r="B90" s="10" t="s">
        <v>4655</v>
      </c>
      <c r="C90" s="10" t="s">
        <v>4656</v>
      </c>
      <c r="D90" s="10" t="s">
        <v>4505</v>
      </c>
      <c r="E90" s="10" t="n">
        <v>3</v>
      </c>
      <c r="F90" s="11" t="s">
        <v>4636</v>
      </c>
      <c r="G90" s="10" t="s">
        <v>4393</v>
      </c>
      <c r="H90" s="10" t="s">
        <v>4433</v>
      </c>
      <c r="I90" s="10" t="s">
        <v>68</v>
      </c>
      <c r="J90" s="12" t="n">
        <v>1.29646017699115</v>
      </c>
      <c r="K90" s="12" t="s">
        <v>2121</v>
      </c>
      <c r="L90" s="12" t="s">
        <v>2121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4"/>
  </cols>
  <sheetData>
    <row r="1" customFormat="false" ht="20.1" hidden="false" customHeight="false" outlineLevel="0" collapsed="false">
      <c r="A1" s="7" t="s">
        <v>4657</v>
      </c>
    </row>
    <row r="2" customFormat="false" ht="15" hidden="false" customHeight="false" outlineLevel="0" collapsed="false">
      <c r="A2" s="2" t="s">
        <v>4658</v>
      </c>
    </row>
    <row r="3" customFormat="false" ht="15" hidden="false" customHeight="false" outlineLevel="0" collapsed="false">
      <c r="A3" s="6" t="s">
        <v>4659</v>
      </c>
      <c r="B3" s="10" t="s">
        <v>4660</v>
      </c>
    </row>
    <row r="4" customFormat="false" ht="15" hidden="false" customHeight="false" outlineLevel="0" collapsed="false">
      <c r="A4" s="6" t="s">
        <v>4661</v>
      </c>
      <c r="B4" s="10" t="s">
        <v>4662</v>
      </c>
    </row>
    <row r="5" customFormat="false" ht="15" hidden="false" customHeight="false" outlineLevel="0" collapsed="false">
      <c r="A5" s="3" t="s">
        <v>4663</v>
      </c>
      <c r="B5" s="10" t="s">
        <v>4664</v>
      </c>
    </row>
    <row r="6" customFormat="false" ht="15" hidden="false" customHeight="false" outlineLevel="0" collapsed="false">
      <c r="A6" s="3" t="s">
        <v>4396</v>
      </c>
      <c r="B6" s="10" t="s">
        <v>68</v>
      </c>
    </row>
    <row r="9" customFormat="false" ht="15" hidden="false" customHeight="false" outlineLevel="0" collapsed="false">
      <c r="A9" s="8" t="s">
        <v>4665</v>
      </c>
      <c r="B9" s="9" t="s">
        <v>4408</v>
      </c>
      <c r="C9" s="9" t="s">
        <v>4409</v>
      </c>
      <c r="D9" s="9" t="s">
        <v>43</v>
      </c>
      <c r="E9" s="9" t="s">
        <v>4411</v>
      </c>
      <c r="F9" s="8" t="s">
        <v>4383</v>
      </c>
      <c r="G9" s="8" t="s">
        <v>1908</v>
      </c>
      <c r="H9" s="8" t="s">
        <v>4666</v>
      </c>
      <c r="I9" s="8" t="s">
        <v>4667</v>
      </c>
      <c r="J9" s="8" t="s">
        <v>4668</v>
      </c>
      <c r="K9" s="8" t="s">
        <v>4669</v>
      </c>
    </row>
    <row r="10" customFormat="false" ht="15" hidden="false" customHeight="false" outlineLevel="0" collapsed="false">
      <c r="A10" s="10" t="s">
        <v>4670</v>
      </c>
      <c r="B10" s="10" t="s">
        <v>4671</v>
      </c>
      <c r="C10" s="11" t="s">
        <v>4672</v>
      </c>
      <c r="D10" s="10" t="s">
        <v>4513</v>
      </c>
      <c r="E10" s="10" t="s">
        <v>4432</v>
      </c>
      <c r="F10" s="12" t="n">
        <v>13.07</v>
      </c>
      <c r="G10" s="12" t="n">
        <v>34.2037814299461</v>
      </c>
      <c r="H10" s="12" t="n">
        <v>54.7956532383272</v>
      </c>
      <c r="I10" s="12" t="n">
        <v>78.4240890026059</v>
      </c>
      <c r="J10" s="12" t="n">
        <v>102.127374380687</v>
      </c>
      <c r="K10" s="12" t="n">
        <v>126.38309270298</v>
      </c>
    </row>
    <row r="11" customFormat="false" ht="15" hidden="false" customHeight="false" outlineLevel="0" collapsed="false">
      <c r="A11" s="10" t="s">
        <v>4673</v>
      </c>
      <c r="B11" s="10" t="s">
        <v>4674</v>
      </c>
      <c r="C11" s="11" t="s">
        <v>4675</v>
      </c>
      <c r="D11" s="10" t="s">
        <v>4513</v>
      </c>
      <c r="E11" s="10" t="s">
        <v>4432</v>
      </c>
      <c r="F11" s="12" t="n">
        <v>10.456</v>
      </c>
      <c r="G11" s="12" t="n">
        <v>27.3630251439569</v>
      </c>
      <c r="H11" s="12" t="n">
        <v>43.8365225906617</v>
      </c>
      <c r="I11" s="12" t="n">
        <v>62.7392712020847</v>
      </c>
      <c r="J11" s="12" t="n">
        <v>97.6120791148627</v>
      </c>
      <c r="K11" s="12" t="n">
        <v>126.38309270298</v>
      </c>
    </row>
    <row r="12" customFormat="false" ht="15" hidden="false" customHeight="false" outlineLevel="0" collapsed="false">
      <c r="A12" s="10" t="s">
        <v>4676</v>
      </c>
      <c r="B12" s="10" t="s">
        <v>4677</v>
      </c>
      <c r="C12" s="10" t="s">
        <v>4678</v>
      </c>
      <c r="D12" s="10" t="s">
        <v>4679</v>
      </c>
      <c r="E12" s="10" t="s">
        <v>4432</v>
      </c>
      <c r="F12" s="12" t="n">
        <v>3538.06010994171</v>
      </c>
      <c r="G12" s="12" t="n">
        <v>10018.6243193776</v>
      </c>
      <c r="H12" s="12" t="n">
        <v>22447.299009042</v>
      </c>
      <c r="I12" s="12" t="n">
        <v>47137.5517848678</v>
      </c>
      <c r="J12" s="12" t="n">
        <v>92412.3198790402</v>
      </c>
      <c r="K12" s="12" t="n">
        <v>173673.865896334</v>
      </c>
    </row>
    <row r="13" customFormat="false" ht="15" hidden="false" customHeight="false" outlineLevel="0" collapsed="false">
      <c r="A13" s="10" t="s">
        <v>4680</v>
      </c>
      <c r="B13" s="10" t="s">
        <v>4681</v>
      </c>
      <c r="C13" s="11" t="s">
        <v>4682</v>
      </c>
      <c r="D13" s="10" t="s">
        <v>4526</v>
      </c>
      <c r="E13" s="10" t="s">
        <v>4432</v>
      </c>
      <c r="F13" s="12" t="n">
        <v>0.7</v>
      </c>
      <c r="G13" s="12" t="n">
        <v>0.695673315790576</v>
      </c>
      <c r="H13" s="12" t="n">
        <v>1.04296669691285</v>
      </c>
      <c r="I13" s="12" t="n">
        <v>1.77037335789445</v>
      </c>
      <c r="J13" s="12" t="n">
        <v>3.16500718994562</v>
      </c>
      <c r="K13" s="12" t="n">
        <v>5.5973070706251</v>
      </c>
    </row>
    <row r="14" customFormat="false" ht="15" hidden="false" customHeight="false" outlineLevel="0" collapsed="false">
      <c r="A14" s="10" t="s">
        <v>4683</v>
      </c>
      <c r="B14" s="10" t="s">
        <v>4684</v>
      </c>
      <c r="C14" s="11" t="s">
        <v>4685</v>
      </c>
      <c r="D14" s="10" t="s">
        <v>4526</v>
      </c>
      <c r="E14" s="10" t="s">
        <v>4432</v>
      </c>
      <c r="F14" s="12" t="n">
        <v>0.282644620596551</v>
      </c>
      <c r="G14" s="12" t="n">
        <v>1.15652519056375</v>
      </c>
      <c r="H14" s="12" t="n">
        <v>5.75203207098036</v>
      </c>
      <c r="I14" s="12" t="n">
        <v>8.94117740372192</v>
      </c>
      <c r="J14" s="12" t="n">
        <v>12.1464088498934</v>
      </c>
      <c r="K14" s="12" t="n">
        <v>14.9447258544384</v>
      </c>
    </row>
    <row r="15" customFormat="false" ht="15" hidden="false" customHeight="false" outlineLevel="0" collapsed="false">
      <c r="A15" s="10" t="s">
        <v>4686</v>
      </c>
      <c r="B15" s="10" t="s">
        <v>4687</v>
      </c>
      <c r="C15" s="11" t="s">
        <v>4688</v>
      </c>
      <c r="D15" s="10" t="s">
        <v>4513</v>
      </c>
      <c r="E15" s="10" t="s">
        <v>4432</v>
      </c>
      <c r="F15" s="12" t="n">
        <v>14.7552380952381</v>
      </c>
      <c r="G15" s="12" t="n">
        <v>53.2406349206349</v>
      </c>
      <c r="H15" s="12" t="n">
        <v>141.726031746032</v>
      </c>
      <c r="I15" s="12" t="n">
        <v>175.211428571429</v>
      </c>
      <c r="J15" s="12" t="n">
        <v>208.696825396825</v>
      </c>
      <c r="K15" s="12" t="n">
        <v>228.222222222222</v>
      </c>
    </row>
    <row r="16" customFormat="false" ht="15" hidden="false" customHeight="false" outlineLevel="0" collapsed="false">
      <c r="A16" s="10" t="s">
        <v>4689</v>
      </c>
      <c r="B16" s="10" t="s">
        <v>4690</v>
      </c>
      <c r="C16" s="11" t="s">
        <v>4691</v>
      </c>
      <c r="D16" s="10" t="s">
        <v>4513</v>
      </c>
      <c r="E16" s="10" t="s">
        <v>4432</v>
      </c>
      <c r="F16" s="12" t="n">
        <v>29.2352380952381</v>
      </c>
      <c r="G16" s="12" t="n">
        <v>76.0789549206349</v>
      </c>
      <c r="H16" s="12" t="n">
        <v>171.943842226032</v>
      </c>
      <c r="I16" s="12" t="n">
        <v>212.125402324709</v>
      </c>
      <c r="J16" s="12" t="n">
        <v>251.920901307586</v>
      </c>
      <c r="K16" s="12" t="n">
        <v>276.644521629114</v>
      </c>
    </row>
    <row r="17" customFormat="false" ht="15" hidden="false" customHeight="false" outlineLevel="0" collapsed="false">
      <c r="A17" s="10" t="s">
        <v>4692</v>
      </c>
      <c r="B17" s="10" t="s">
        <v>4693</v>
      </c>
      <c r="C17" s="11" t="s">
        <v>4694</v>
      </c>
      <c r="D17" s="10" t="s">
        <v>4695</v>
      </c>
      <c r="E17" s="10" t="s">
        <v>4432</v>
      </c>
      <c r="F17" s="12" t="n">
        <v>36.9934512743654</v>
      </c>
      <c r="G17" s="12" t="n">
        <v>23.6596879749924</v>
      </c>
      <c r="H17" s="12" t="n">
        <v>7.62104975245563</v>
      </c>
      <c r="I17" s="12" t="n">
        <v>7.01689144160907</v>
      </c>
      <c r="J17" s="12" t="n">
        <v>8.03629124633981</v>
      </c>
      <c r="K17" s="12" t="n">
        <v>8.45670197860781</v>
      </c>
    </row>
    <row r="18" customFormat="false" ht="15" hidden="false" customHeight="false" outlineLevel="0" collapsed="false">
      <c r="A18" s="10" t="s">
        <v>4696</v>
      </c>
      <c r="B18" s="10" t="s">
        <v>4697</v>
      </c>
      <c r="C18" s="11" t="s">
        <v>4698</v>
      </c>
      <c r="D18" s="10" t="s">
        <v>4695</v>
      </c>
      <c r="E18" s="10" t="s">
        <v>4432</v>
      </c>
      <c r="F18" s="12" t="n">
        <v>103.434617059168</v>
      </c>
      <c r="G18" s="12" t="n">
        <v>65.7823586908213</v>
      </c>
      <c r="H18" s="12" t="n">
        <v>29.8927127151303</v>
      </c>
      <c r="I18" s="12" t="n">
        <v>23.7245490998096</v>
      </c>
      <c r="J18" s="12" t="n">
        <v>20.7403607453734</v>
      </c>
      <c r="K18" s="12" t="n">
        <v>18.5111807552464</v>
      </c>
    </row>
    <row r="19" customFormat="false" ht="15" hidden="false" customHeight="false" outlineLevel="0" collapsed="false">
      <c r="A19" s="10" t="s">
        <v>4699</v>
      </c>
      <c r="B19" s="10" t="s">
        <v>4700</v>
      </c>
      <c r="C19" s="11" t="s">
        <v>4701</v>
      </c>
      <c r="D19" s="10" t="s">
        <v>4695</v>
      </c>
      <c r="E19" s="10" t="s">
        <v>4432</v>
      </c>
      <c r="F19" s="12" t="n">
        <v>-66.4411657848026</v>
      </c>
      <c r="G19" s="12" t="n">
        <v>-42.1226707158289</v>
      </c>
      <c r="H19" s="12" t="n">
        <v>-22.2716629626746</v>
      </c>
      <c r="I19" s="12" t="n">
        <v>-16.7076576582005</v>
      </c>
      <c r="J19" s="12" t="n">
        <v>-12.7040694990336</v>
      </c>
      <c r="K19" s="12" t="n">
        <v>-10.0544787766386</v>
      </c>
    </row>
    <row r="20" customFormat="false" ht="15" hidden="false" customHeight="false" outlineLevel="0" collapsed="false">
      <c r="A20" s="10" t="s">
        <v>4702</v>
      </c>
      <c r="B20" s="10" t="s">
        <v>4703</v>
      </c>
      <c r="C20" s="11" t="s">
        <v>4704</v>
      </c>
      <c r="D20" s="11" t="s">
        <v>4705</v>
      </c>
      <c r="E20" s="10" t="s">
        <v>4432</v>
      </c>
      <c r="F20" s="12" t="n">
        <v>0.357650584747695</v>
      </c>
      <c r="G20" s="12" t="n">
        <v>0.359666154359005</v>
      </c>
      <c r="H20" s="12" t="n">
        <v>0.254946743210703</v>
      </c>
      <c r="I20" s="12" t="n">
        <v>0.295765007465006</v>
      </c>
      <c r="J20" s="12" t="n">
        <v>0.387471141172531</v>
      </c>
      <c r="K20" s="12" t="n">
        <v>0.456842925927943</v>
      </c>
    </row>
    <row r="21" customFormat="false" ht="15" hidden="false" customHeight="false" outlineLevel="0" collapsed="false">
      <c r="A21" s="10" t="s">
        <v>4706</v>
      </c>
      <c r="B21" s="10" t="s">
        <v>4707</v>
      </c>
      <c r="C21" s="11" t="s">
        <v>4708</v>
      </c>
      <c r="D21" s="10" t="s">
        <v>4513</v>
      </c>
      <c r="E21" s="10" t="s">
        <v>4432</v>
      </c>
      <c r="F21" s="12" t="n">
        <v>-12.7792380952381</v>
      </c>
      <c r="G21" s="12" t="n">
        <v>-39.415929776678</v>
      </c>
      <c r="H21" s="12" t="n">
        <v>-116.01731963537</v>
      </c>
      <c r="I21" s="12" t="n">
        <v>-134.878131122624</v>
      </c>
      <c r="J21" s="12" t="n">
        <v>-137.624622192723</v>
      </c>
      <c r="K21" s="12" t="n">
        <v>-131.908808926133</v>
      </c>
    </row>
    <row r="22" customFormat="false" ht="15" hidden="false" customHeight="false" outlineLevel="0" collapsed="false">
      <c r="A22" s="10" t="s">
        <v>4709</v>
      </c>
      <c r="B22" s="10" t="s">
        <v>4710</v>
      </c>
      <c r="C22" s="11" t="s">
        <v>4711</v>
      </c>
      <c r="D22" s="10" t="s">
        <v>4513</v>
      </c>
      <c r="E22" s="10" t="s">
        <v>4432</v>
      </c>
      <c r="F22" s="12"/>
      <c r="G22" s="12" t="n">
        <v>0</v>
      </c>
      <c r="H22" s="12" t="n">
        <v>38.4332494120481</v>
      </c>
      <c r="I22" s="12" t="n">
        <v>134.878131122624</v>
      </c>
      <c r="J22" s="12" t="n">
        <v>137.624622192723</v>
      </c>
      <c r="K22" s="12" t="n">
        <v>131.908808926133</v>
      </c>
    </row>
    <row r="23" customFormat="false" ht="15" hidden="false" customHeight="false" outlineLevel="0" collapsed="false">
      <c r="A23" s="10" t="s">
        <v>4712</v>
      </c>
      <c r="B23" s="10" t="s">
        <v>4713</v>
      </c>
      <c r="C23" s="11" t="s">
        <v>4714</v>
      </c>
      <c r="D23" s="10" t="s">
        <v>4513</v>
      </c>
      <c r="E23" s="10" t="s">
        <v>4432</v>
      </c>
      <c r="F23" s="12"/>
      <c r="G23" s="12" t="n">
        <v>0</v>
      </c>
      <c r="H23" s="12" t="n">
        <v>38.4332494120481</v>
      </c>
      <c r="I23" s="12" t="n">
        <v>173.311380534672</v>
      </c>
      <c r="J23" s="12" t="n">
        <v>310.936002727395</v>
      </c>
      <c r="K23" s="12" t="n">
        <v>442.844811653528</v>
      </c>
    </row>
    <row r="24" customFormat="false" ht="15" hidden="false" customHeight="false" outlineLevel="0" collapsed="false">
      <c r="A24" s="10" t="s">
        <v>4715</v>
      </c>
      <c r="B24" s="10" t="s">
        <v>4716</v>
      </c>
      <c r="C24" s="11" t="s">
        <v>4717</v>
      </c>
      <c r="D24" s="10" t="s">
        <v>4513</v>
      </c>
      <c r="E24" s="10" t="s">
        <v>4432</v>
      </c>
      <c r="F24" s="12" t="n">
        <v>40</v>
      </c>
      <c r="G24" s="12" t="n">
        <v>87.584070223322</v>
      </c>
      <c r="H24" s="12" t="n">
        <v>10</v>
      </c>
      <c r="I24" s="12" t="n">
        <v>10</v>
      </c>
      <c r="J24" s="12" t="n">
        <v>10</v>
      </c>
      <c r="K24" s="12" t="n">
        <v>10</v>
      </c>
    </row>
    <row r="25" customFormat="false" ht="15" hidden="false" customHeight="false" outlineLevel="0" collapsed="false">
      <c r="A25" s="10" t="s">
        <v>4718</v>
      </c>
      <c r="B25" s="10" t="s">
        <v>4719</v>
      </c>
      <c r="C25" s="11" t="s">
        <v>4720</v>
      </c>
      <c r="D25" s="10" t="s">
        <v>4513</v>
      </c>
      <c r="E25" s="10" t="s">
        <v>4432</v>
      </c>
      <c r="F25" s="12" t="n">
        <v>0</v>
      </c>
      <c r="G25" s="12" t="n">
        <v>87</v>
      </c>
      <c r="H25" s="12" t="n">
        <v>0</v>
      </c>
      <c r="I25" s="12" t="n">
        <v>0</v>
      </c>
      <c r="J25" s="12" t="n">
        <v>0</v>
      </c>
      <c r="K25" s="12" t="n">
        <v>0</v>
      </c>
    </row>
    <row r="26" customFormat="false" ht="15" hidden="false" customHeight="false" outlineLevel="0" collapsed="false">
      <c r="A26" s="10" t="s">
        <v>4721</v>
      </c>
      <c r="B26" s="10" t="s">
        <v>4722</v>
      </c>
      <c r="C26" s="11" t="s">
        <v>4723</v>
      </c>
      <c r="D26" s="10" t="s">
        <v>4513</v>
      </c>
      <c r="E26" s="10" t="s">
        <v>4432</v>
      </c>
      <c r="F26" s="12"/>
      <c r="G26" s="12" t="n">
        <v>0</v>
      </c>
      <c r="H26" s="12" t="n">
        <v>20.7527971466667</v>
      </c>
      <c r="I26" s="12" t="n">
        <v>92.6501994713753</v>
      </c>
      <c r="J26" s="12" t="n">
        <v>92.6501994713753</v>
      </c>
      <c r="K26" s="12" t="n">
        <v>92.6501994713753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46"/>
    <col collapsed="false" customWidth="true" hidden="false" outlineLevel="0" max="5" min="4" style="0" width="12"/>
    <col collapsed="false" customWidth="true" hidden="false" outlineLevel="0" max="6" min="6" style="0" width="10"/>
    <col collapsed="false" customWidth="true" hidden="false" outlineLevel="0" max="8" min="7" style="0" width="9"/>
    <col collapsed="false" customWidth="true" hidden="false" outlineLevel="0" max="9" min="9" style="0" width="12"/>
    <col collapsed="false" customWidth="true" hidden="false" outlineLevel="0" max="10" min="10" style="0" width="70"/>
    <col collapsed="false" customWidth="true" hidden="false" outlineLevel="0" max="11" min="11" style="0" width="36"/>
  </cols>
  <sheetData>
    <row r="1" customFormat="false" ht="20.1" hidden="false" customHeight="false" outlineLevel="0" collapsed="false">
      <c r="A1" s="7" t="s">
        <v>4724</v>
      </c>
    </row>
    <row r="2" customFormat="false" ht="15" hidden="false" customHeight="false" outlineLevel="0" collapsed="false">
      <c r="A2" s="2" t="s">
        <v>4725</v>
      </c>
    </row>
    <row r="3" customFormat="false" ht="15" hidden="false" customHeight="false" outlineLevel="0" collapsed="false">
      <c r="A3" s="13" t="s">
        <v>4726</v>
      </c>
    </row>
    <row r="4" customFormat="false" ht="66.4" hidden="false" customHeight="false" outlineLevel="0" collapsed="false">
      <c r="A4" s="8" t="s">
        <v>4727</v>
      </c>
      <c r="B4" s="9" t="s">
        <v>38</v>
      </c>
      <c r="C4" s="9" t="s">
        <v>4728</v>
      </c>
      <c r="D4" s="9" t="s">
        <v>4509</v>
      </c>
      <c r="E4" s="9" t="s">
        <v>43</v>
      </c>
      <c r="F4" s="9" t="s">
        <v>40</v>
      </c>
      <c r="G4" s="9" t="s">
        <v>41</v>
      </c>
      <c r="H4" s="9" t="s">
        <v>42</v>
      </c>
      <c r="I4" s="9" t="s">
        <v>30</v>
      </c>
      <c r="J4" s="9" t="s">
        <v>4729</v>
      </c>
      <c r="K4" s="9" t="s">
        <v>4730</v>
      </c>
      <c r="L4" s="9" t="s">
        <v>58</v>
      </c>
      <c r="M4" s="8" t="s">
        <v>4731</v>
      </c>
    </row>
    <row r="5" customFormat="false" ht="15" hidden="false" customHeight="false" outlineLevel="0" collapsed="false">
      <c r="A5" s="10" t="s">
        <v>4732</v>
      </c>
      <c r="B5" s="10" t="s">
        <v>4733</v>
      </c>
      <c r="C5" s="11" t="s">
        <v>4734</v>
      </c>
      <c r="D5" s="11" t="s">
        <v>4735</v>
      </c>
      <c r="E5" s="11" t="s">
        <v>2665</v>
      </c>
      <c r="F5" s="12" t="n">
        <v>2025</v>
      </c>
      <c r="G5" s="12" t="n">
        <v>2025</v>
      </c>
      <c r="H5" s="12" t="n">
        <v>2025</v>
      </c>
      <c r="I5" s="10" t="s">
        <v>4736</v>
      </c>
      <c r="J5" s="11" t="s">
        <v>4737</v>
      </c>
      <c r="K5" s="11" t="s">
        <v>4738</v>
      </c>
      <c r="L5" s="10" t="n">
        <f aca="false">IF(AND(ISNUMBER($F5),ISNUMBER($G5),ISNUMBER($H5)),IF(AND($G5&lt;=$F5,$F5&lt;=$H5),0,1),0)</f>
        <v>0</v>
      </c>
      <c r="M5" s="10" t="n">
        <f aca="false">IF(AND(OR($I5="Analogy",$I5="Assumed"),OR($G5="",$H5="")),1,0)</f>
        <v>0</v>
      </c>
    </row>
    <row r="6" customFormat="false" ht="15" hidden="false" customHeight="false" outlineLevel="0" collapsed="false">
      <c r="A6" s="10" t="s">
        <v>4739</v>
      </c>
      <c r="B6" s="10" t="s">
        <v>4740</v>
      </c>
      <c r="C6" s="11" t="s">
        <v>4734</v>
      </c>
      <c r="D6" s="11" t="s">
        <v>4741</v>
      </c>
      <c r="E6" s="11" t="s">
        <v>2665</v>
      </c>
      <c r="F6" s="12" t="n">
        <v>2026</v>
      </c>
      <c r="G6" s="12" t="n">
        <v>2026</v>
      </c>
      <c r="H6" s="12" t="n">
        <v>2026</v>
      </c>
      <c r="I6" s="10" t="s">
        <v>4736</v>
      </c>
      <c r="J6" s="10" t="s">
        <v>4742</v>
      </c>
      <c r="K6" s="11" t="s">
        <v>4738</v>
      </c>
      <c r="L6" s="10" t="n">
        <f aca="false">IF(AND(ISNUMBER($F6),ISNUMBER($G6),ISNUMBER($H6)),IF(AND($G6&lt;=$F6,$F6&lt;=$H6),0,1),0)</f>
        <v>0</v>
      </c>
      <c r="M6" s="10" t="n">
        <f aca="false">IF(AND(OR($I6="Analogy",$I6="Assumed"),OR($G6="",$H6="")),1,0)</f>
        <v>0</v>
      </c>
    </row>
    <row r="7" customFormat="false" ht="15" hidden="false" customHeight="false" outlineLevel="0" collapsed="false">
      <c r="A7" s="10" t="s">
        <v>4743</v>
      </c>
      <c r="B7" s="10" t="s">
        <v>4744</v>
      </c>
      <c r="C7" s="11" t="s">
        <v>4734</v>
      </c>
      <c r="D7" s="11" t="s">
        <v>4745</v>
      </c>
      <c r="E7" s="11" t="s">
        <v>2665</v>
      </c>
      <c r="F7" s="12" t="n">
        <v>2027</v>
      </c>
      <c r="G7" s="12" t="n">
        <v>2027</v>
      </c>
      <c r="H7" s="12" t="n">
        <v>2027</v>
      </c>
      <c r="I7" s="10" t="s">
        <v>4736</v>
      </c>
      <c r="J7" s="11" t="s">
        <v>4738</v>
      </c>
      <c r="K7" s="11" t="s">
        <v>4738</v>
      </c>
      <c r="L7" s="10" t="n">
        <f aca="false">IF(AND(ISNUMBER($F7),ISNUMBER($G7),ISNUMBER($H7)),IF(AND($G7&lt;=$F7,$F7&lt;=$H7),0,1),0)</f>
        <v>0</v>
      </c>
      <c r="M7" s="10" t="n">
        <f aca="false">IF(AND(OR($I7="Analogy",$I7="Assumed"),OR($G7="",$H7="")),1,0)</f>
        <v>0</v>
      </c>
    </row>
    <row r="8" customFormat="false" ht="15" hidden="false" customHeight="false" outlineLevel="0" collapsed="false">
      <c r="A8" s="10" t="s">
        <v>4746</v>
      </c>
      <c r="B8" s="10" t="s">
        <v>4747</v>
      </c>
      <c r="C8" s="11" t="s">
        <v>4734</v>
      </c>
      <c r="D8" s="11" t="s">
        <v>4748</v>
      </c>
      <c r="E8" s="11" t="s">
        <v>2665</v>
      </c>
      <c r="F8" s="12" t="n">
        <v>2028</v>
      </c>
      <c r="G8" s="12" t="n">
        <v>2028</v>
      </c>
      <c r="H8" s="12" t="n">
        <v>2028</v>
      </c>
      <c r="I8" s="10" t="s">
        <v>4736</v>
      </c>
      <c r="J8" s="11" t="s">
        <v>4738</v>
      </c>
      <c r="K8" s="11" t="s">
        <v>4738</v>
      </c>
      <c r="L8" s="10" t="n">
        <f aca="false">IF(AND(ISNUMBER($F8),ISNUMBER($G8),ISNUMBER($H8)),IF(AND($G8&lt;=$F8,$F8&lt;=$H8),0,1),0)</f>
        <v>0</v>
      </c>
      <c r="M8" s="10" t="n">
        <f aca="false">IF(AND(OR($I8="Analogy",$I8="Assumed"),OR($G8="",$H8="")),1,0)</f>
        <v>0</v>
      </c>
    </row>
    <row r="9" customFormat="false" ht="15" hidden="false" customHeight="false" outlineLevel="0" collapsed="false">
      <c r="A9" s="10" t="s">
        <v>4749</v>
      </c>
      <c r="B9" s="10" t="s">
        <v>4750</v>
      </c>
      <c r="C9" s="11" t="s">
        <v>4734</v>
      </c>
      <c r="D9" s="11" t="s">
        <v>4751</v>
      </c>
      <c r="E9" s="11" t="s">
        <v>2665</v>
      </c>
      <c r="F9" s="12" t="n">
        <v>2029</v>
      </c>
      <c r="G9" s="12" t="n">
        <v>2029</v>
      </c>
      <c r="H9" s="12" t="n">
        <v>2029</v>
      </c>
      <c r="I9" s="10" t="s">
        <v>4736</v>
      </c>
      <c r="J9" s="11" t="s">
        <v>4738</v>
      </c>
      <c r="K9" s="11" t="s">
        <v>4738</v>
      </c>
      <c r="L9" s="10" t="n">
        <f aca="false">IF(AND(ISNUMBER($F9),ISNUMBER($G9),ISNUMBER($H9)),IF(AND($G9&lt;=$F9,$F9&lt;=$H9),0,1),0)</f>
        <v>0</v>
      </c>
      <c r="M9" s="10" t="n">
        <f aca="false">IF(AND(OR($I9="Analogy",$I9="Assumed"),OR($G9="",$H9="")),1,0)</f>
        <v>0</v>
      </c>
    </row>
    <row r="10" customFormat="false" ht="15" hidden="false" customHeight="false" outlineLevel="0" collapsed="false">
      <c r="A10" s="10" t="s">
        <v>4752</v>
      </c>
      <c r="B10" s="10" t="s">
        <v>4753</v>
      </c>
      <c r="C10" s="11" t="s">
        <v>4734</v>
      </c>
      <c r="D10" s="11" t="s">
        <v>4754</v>
      </c>
      <c r="E10" s="11" t="s">
        <v>2665</v>
      </c>
      <c r="F10" s="12" t="n">
        <v>2030</v>
      </c>
      <c r="G10" s="12" t="n">
        <v>2030</v>
      </c>
      <c r="H10" s="12" t="n">
        <v>2030</v>
      </c>
      <c r="I10" s="10" t="s">
        <v>4736</v>
      </c>
      <c r="J10" s="11" t="s">
        <v>4738</v>
      </c>
      <c r="K10" s="11" t="s">
        <v>4738</v>
      </c>
      <c r="L10" s="10" t="n">
        <f aca="false">IF(AND(ISNUMBER($F10),ISNUMBER($G10),ISNUMBER($H10)),IF(AND($G10&lt;=$F10,$F10&lt;=$H10),0,1),0)</f>
        <v>0</v>
      </c>
      <c r="M10" s="10" t="n">
        <f aca="false">IF(AND(OR($I10="Analogy",$I10="Assumed"),OR($G10="",$H10="")),1,0)</f>
        <v>0</v>
      </c>
    </row>
    <row r="11" customFormat="false" ht="15" hidden="false" customHeight="false" outlineLevel="0" collapsed="false">
      <c r="A11" s="10" t="s">
        <v>4755</v>
      </c>
      <c r="B11" s="10" t="s">
        <v>4756</v>
      </c>
      <c r="C11" s="11" t="s">
        <v>4757</v>
      </c>
      <c r="D11" s="10" t="s">
        <v>2121</v>
      </c>
      <c r="E11" s="11" t="s">
        <v>4758</v>
      </c>
      <c r="F11" s="12" t="n">
        <v>365</v>
      </c>
      <c r="G11" s="12" t="n">
        <v>365</v>
      </c>
      <c r="H11" s="12" t="n">
        <v>365</v>
      </c>
      <c r="I11" s="10" t="s">
        <v>4736</v>
      </c>
      <c r="J11" s="11" t="s">
        <v>4759</v>
      </c>
      <c r="K11" s="11" t="s">
        <v>4738</v>
      </c>
      <c r="L11" s="10" t="n">
        <f aca="false">IF(AND(ISNUMBER($F11),ISNUMBER($G11),ISNUMBER($H11)),IF(AND($G11&lt;=$F11,$F11&lt;=$H11),0,1),0)</f>
        <v>0</v>
      </c>
      <c r="M11" s="10" t="n">
        <f aca="false">IF(AND(OR($I11="Analogy",$I11="Assumed"),OR($G11="",$H11="")),1,0)</f>
        <v>0</v>
      </c>
    </row>
    <row r="12" customFormat="false" ht="15" hidden="false" customHeight="false" outlineLevel="0" collapsed="false">
      <c r="A12" s="10" t="s">
        <v>4760</v>
      </c>
      <c r="B12" s="10" t="s">
        <v>4761</v>
      </c>
      <c r="C12" s="10" t="s">
        <v>4762</v>
      </c>
      <c r="D12" s="10" t="s">
        <v>662</v>
      </c>
      <c r="E12" s="11" t="s">
        <v>4758</v>
      </c>
      <c r="F12" s="12" t="n">
        <v>181</v>
      </c>
      <c r="G12" s="12" t="n">
        <v>181</v>
      </c>
      <c r="H12" s="12" t="n">
        <v>181</v>
      </c>
      <c r="I12" s="10" t="s">
        <v>4736</v>
      </c>
      <c r="J12" s="10" t="s">
        <v>4763</v>
      </c>
      <c r="K12" s="11" t="s">
        <v>4738</v>
      </c>
      <c r="L12" s="10" t="n">
        <f aca="false">IF(AND(ISNUMBER($F12),ISNUMBER($G12),ISNUMBER($H12)),IF(AND($G12&lt;=$F12,$F12&lt;=$H12),0,1),0)</f>
        <v>0</v>
      </c>
      <c r="M12" s="10" t="n">
        <f aca="false">IF(AND(OR($I12="Analogy",$I12="Assumed"),OR($G12="",$H12="")),1,0)</f>
        <v>0</v>
      </c>
    </row>
    <row r="13" customFormat="false" ht="15" hidden="false" customHeight="false" outlineLevel="0" collapsed="false">
      <c r="A13" s="10" t="s">
        <v>4764</v>
      </c>
      <c r="B13" s="10" t="s">
        <v>4765</v>
      </c>
      <c r="C13" s="10" t="s">
        <v>4766</v>
      </c>
      <c r="D13" s="10" t="s">
        <v>4767</v>
      </c>
      <c r="E13" s="11" t="s">
        <v>4758</v>
      </c>
      <c r="F13" s="12" t="n">
        <v>184</v>
      </c>
      <c r="G13" s="12" t="n">
        <v>184</v>
      </c>
      <c r="H13" s="12" t="n">
        <v>184</v>
      </c>
      <c r="I13" s="10" t="s">
        <v>4736</v>
      </c>
      <c r="J13" s="10" t="s">
        <v>4768</v>
      </c>
      <c r="K13" s="11" t="s">
        <v>4738</v>
      </c>
      <c r="L13" s="10" t="n">
        <f aca="false">IF(AND(ISNUMBER($F13),ISNUMBER($G13),ISNUMBER($H13)),IF(AND($G13&lt;=$F13,$F13&lt;=$H13),0,1),0)</f>
        <v>0</v>
      </c>
      <c r="M13" s="10" t="n">
        <f aca="false">IF(AND(OR($I13="Analogy",$I13="Assumed"),OR($G13="",$H13="")),1,0)</f>
        <v>0</v>
      </c>
    </row>
    <row r="14" customFormat="false" ht="15" hidden="false" customHeight="false" outlineLevel="0" collapsed="false">
      <c r="A14" s="10" t="s">
        <v>4769</v>
      </c>
      <c r="B14" s="10" t="s">
        <v>4770</v>
      </c>
      <c r="C14" s="11" t="s">
        <v>4771</v>
      </c>
      <c r="D14" s="10" t="s">
        <v>2121</v>
      </c>
      <c r="E14" s="11" t="s">
        <v>4297</v>
      </c>
      <c r="F14" s="12" t="n">
        <v>12</v>
      </c>
      <c r="G14" s="12" t="n">
        <v>12</v>
      </c>
      <c r="H14" s="12" t="n">
        <v>12</v>
      </c>
      <c r="I14" s="10" t="s">
        <v>4736</v>
      </c>
      <c r="J14" s="11" t="s">
        <v>4772</v>
      </c>
      <c r="K14" s="11" t="s">
        <v>4738</v>
      </c>
      <c r="L14" s="10" t="n">
        <f aca="false">IF(AND(ISNUMBER($F14),ISNUMBER($G14),ISNUMBER($H14)),IF(AND($G14&lt;=$F14,$F14&lt;=$H14),0,1),0)</f>
        <v>0</v>
      </c>
      <c r="M14" s="10" t="n">
        <f aca="false">IF(AND(OR($I14="Analogy",$I14="Assumed"),OR($G14="",$H14="")),1,0)</f>
        <v>0</v>
      </c>
    </row>
    <row r="15" customFormat="false" ht="15" hidden="false" customHeight="false" outlineLevel="0" collapsed="false">
      <c r="A15" s="10" t="s">
        <v>4773</v>
      </c>
      <c r="B15" s="10" t="s">
        <v>4774</v>
      </c>
      <c r="C15" s="11" t="s">
        <v>4775</v>
      </c>
      <c r="D15" s="10" t="s">
        <v>2121</v>
      </c>
      <c r="E15" s="11" t="s">
        <v>4297</v>
      </c>
      <c r="F15" s="12" t="n">
        <v>6</v>
      </c>
      <c r="G15" s="12" t="n">
        <v>6</v>
      </c>
      <c r="H15" s="12" t="n">
        <v>6</v>
      </c>
      <c r="I15" s="10" t="s">
        <v>4736</v>
      </c>
      <c r="J15" s="11" t="s">
        <v>4738</v>
      </c>
      <c r="K15" s="11" t="s">
        <v>4738</v>
      </c>
      <c r="L15" s="10" t="n">
        <f aca="false">IF(AND(ISNUMBER($F15),ISNUMBER($G15),ISNUMBER($H15)),IF(AND($G15&lt;=$F15,$F15&lt;=$H15),0,1),0)</f>
        <v>0</v>
      </c>
      <c r="M15" s="10" t="n">
        <f aca="false">IF(AND(OR($I15="Analogy",$I15="Assumed"),OR($G15="",$H15="")),1,0)</f>
        <v>0</v>
      </c>
    </row>
    <row r="16" customFormat="false" ht="15" hidden="false" customHeight="false" outlineLevel="0" collapsed="false">
      <c r="A16" s="10" t="s">
        <v>4776</v>
      </c>
      <c r="B16" s="10" t="s">
        <v>4777</v>
      </c>
      <c r="C16" s="11" t="s">
        <v>4778</v>
      </c>
      <c r="D16" s="10" t="s">
        <v>2121</v>
      </c>
      <c r="E16" s="11" t="s">
        <v>4297</v>
      </c>
      <c r="F16" s="12" t="n">
        <v>3</v>
      </c>
      <c r="G16" s="12" t="n">
        <v>3</v>
      </c>
      <c r="H16" s="12" t="n">
        <v>3</v>
      </c>
      <c r="I16" s="10" t="s">
        <v>4736</v>
      </c>
      <c r="J16" s="11" t="s">
        <v>4779</v>
      </c>
      <c r="K16" s="11" t="s">
        <v>4738</v>
      </c>
      <c r="L16" s="10" t="n">
        <f aca="false">IF(AND(ISNUMBER($F16),ISNUMBER($G16),ISNUMBER($H16)),IF(AND($G16&lt;=$F16,$F16&lt;=$H16),0,1),0)</f>
        <v>0</v>
      </c>
      <c r="M16" s="10" t="n">
        <f aca="false">IF(AND(OR($I16="Analogy",$I16="Assumed"),OR($G16="",$H16="")),1,0)</f>
        <v>0</v>
      </c>
    </row>
    <row r="17" customFormat="false" ht="15" hidden="false" customHeight="false" outlineLevel="0" collapsed="false">
      <c r="A17" s="10" t="s">
        <v>4780</v>
      </c>
      <c r="B17" s="10" t="s">
        <v>4781</v>
      </c>
      <c r="C17" s="11" t="s">
        <v>4782</v>
      </c>
      <c r="D17" s="10" t="s">
        <v>2121</v>
      </c>
      <c r="E17" s="11" t="s">
        <v>1691</v>
      </c>
      <c r="F17" s="12" t="n">
        <v>2</v>
      </c>
      <c r="G17" s="12" t="n">
        <v>2</v>
      </c>
      <c r="H17" s="12" t="n">
        <v>2</v>
      </c>
      <c r="I17" s="10" t="s">
        <v>4736</v>
      </c>
      <c r="J17" s="11" t="s">
        <v>4783</v>
      </c>
      <c r="K17" s="11" t="s">
        <v>4738</v>
      </c>
      <c r="L17" s="10" t="n">
        <f aca="false">IF(AND(ISNUMBER($F17),ISNUMBER($G17),ISNUMBER($H17)),IF(AND($G17&lt;=$F17,$F17&lt;=$H17),0,1),0)</f>
        <v>0</v>
      </c>
      <c r="M17" s="10" t="n">
        <f aca="false">IF(AND(OR($I17="Analogy",$I17="Assumed"),OR($G17="",$H17="")),1,0)</f>
        <v>0</v>
      </c>
    </row>
    <row r="18" customFormat="false" ht="15" hidden="false" customHeight="false" outlineLevel="0" collapsed="false">
      <c r="A18" s="10" t="s">
        <v>4784</v>
      </c>
      <c r="B18" s="10" t="s">
        <v>4785</v>
      </c>
      <c r="C18" s="11" t="s">
        <v>4786</v>
      </c>
      <c r="D18" s="10" t="s">
        <v>2121</v>
      </c>
      <c r="E18" s="10" t="s">
        <v>4787</v>
      </c>
      <c r="F18" s="12" t="n">
        <v>100</v>
      </c>
      <c r="G18" s="12" t="n">
        <v>100</v>
      </c>
      <c r="H18" s="12" t="n">
        <v>100</v>
      </c>
      <c r="I18" s="10" t="s">
        <v>4736</v>
      </c>
      <c r="J18" s="10" t="s">
        <v>4788</v>
      </c>
      <c r="K18" s="11" t="s">
        <v>4738</v>
      </c>
      <c r="L18" s="10" t="n">
        <f aca="false">IF(AND(ISNUMBER($F18),ISNUMBER($G18),ISNUMBER($H18)),IF(AND($G18&lt;=$F18,$F18&lt;=$H18),0,1),0)</f>
        <v>0</v>
      </c>
      <c r="M18" s="10" t="n">
        <f aca="false">IF(AND(OR($I18="Analogy",$I18="Assumed"),OR($G18="",$H18="")),1,0)</f>
        <v>0</v>
      </c>
    </row>
    <row r="19" customFormat="false" ht="15" hidden="false" customHeight="false" outlineLevel="0" collapsed="false">
      <c r="A19" s="10" t="s">
        <v>4789</v>
      </c>
      <c r="B19" s="10" t="s">
        <v>4790</v>
      </c>
      <c r="C19" s="11" t="s">
        <v>4791</v>
      </c>
      <c r="D19" s="10" t="s">
        <v>2121</v>
      </c>
      <c r="E19" s="10" t="s">
        <v>2121</v>
      </c>
      <c r="F19" s="12" t="n">
        <v>100</v>
      </c>
      <c r="G19" s="12" t="n">
        <v>100</v>
      </c>
      <c r="H19" s="12" t="n">
        <v>100</v>
      </c>
      <c r="I19" s="10" t="s">
        <v>4736</v>
      </c>
      <c r="J19" s="10" t="s">
        <v>4792</v>
      </c>
      <c r="K19" s="11" t="s">
        <v>4738</v>
      </c>
      <c r="L19" s="10" t="n">
        <f aca="false">IF(AND(ISNUMBER($F19),ISNUMBER($G19),ISNUMBER($H19)),IF(AND($G19&lt;=$F19,$F19&lt;=$H19),0,1),0)</f>
        <v>0</v>
      </c>
      <c r="M19" s="10" t="n">
        <f aca="false">IF(AND(OR($I19="Analogy",$I19="Assumed"),OR($G19="",$H19="")),1,0)</f>
        <v>0</v>
      </c>
    </row>
    <row r="20" customFormat="false" ht="15" hidden="false" customHeight="false" outlineLevel="0" collapsed="false">
      <c r="A20" s="10" t="s">
        <v>4793</v>
      </c>
      <c r="B20" s="10" t="s">
        <v>4794</v>
      </c>
      <c r="C20" s="11" t="s">
        <v>4795</v>
      </c>
      <c r="D20" s="10" t="s">
        <v>2121</v>
      </c>
      <c r="E20" s="10" t="s">
        <v>2121</v>
      </c>
      <c r="F20" s="12" t="n">
        <v>100</v>
      </c>
      <c r="G20" s="12" t="n">
        <v>100</v>
      </c>
      <c r="H20" s="12" t="n">
        <v>100</v>
      </c>
      <c r="I20" s="10" t="s">
        <v>4736</v>
      </c>
      <c r="J20" s="10" t="s">
        <v>4796</v>
      </c>
      <c r="K20" s="11" t="s">
        <v>4738</v>
      </c>
      <c r="L20" s="10" t="n">
        <f aca="false">IF(AND(ISNUMBER($F20),ISNUMBER($G20),ISNUMBER($H20)),IF(AND($G20&lt;=$F20,$F20&lt;=$H20),0,1),0)</f>
        <v>0</v>
      </c>
      <c r="M20" s="10" t="n">
        <f aca="false">IF(AND(OR($I20="Analogy",$I20="Assumed"),OR($G20="",$H20="")),1,0)</f>
        <v>0</v>
      </c>
    </row>
    <row r="21" customFormat="false" ht="15" hidden="false" customHeight="false" outlineLevel="0" collapsed="false">
      <c r="A21" s="10" t="s">
        <v>4797</v>
      </c>
      <c r="B21" s="10" t="s">
        <v>4798</v>
      </c>
      <c r="C21" s="11" t="s">
        <v>4799</v>
      </c>
      <c r="D21" s="10" t="s">
        <v>2121</v>
      </c>
      <c r="E21" s="10" t="s">
        <v>2121</v>
      </c>
      <c r="F21" s="12" t="n">
        <v>10000</v>
      </c>
      <c r="G21" s="12" t="n">
        <v>10000</v>
      </c>
      <c r="H21" s="12" t="n">
        <v>10000</v>
      </c>
      <c r="I21" s="10" t="s">
        <v>4736</v>
      </c>
      <c r="J21" s="10" t="s">
        <v>4800</v>
      </c>
      <c r="K21" s="11" t="s">
        <v>4738</v>
      </c>
      <c r="L21" s="10" t="n">
        <f aca="false">IF(AND(ISNUMBER($F21),ISNUMBER($G21),ISNUMBER($H21)),IF(AND($G21&lt;=$F21,$F21&lt;=$H21),0,1),0)</f>
        <v>0</v>
      </c>
      <c r="M21" s="10" t="n">
        <f aca="false">IF(AND(OR($I21="Analogy",$I21="Assumed"),OR($G21="",$H21="")),1,0)</f>
        <v>0</v>
      </c>
    </row>
    <row r="22" customFormat="false" ht="15" hidden="false" customHeight="false" outlineLevel="0" collapsed="false">
      <c r="A22" s="10" t="s">
        <v>4801</v>
      </c>
      <c r="B22" s="10" t="s">
        <v>4802</v>
      </c>
      <c r="C22" s="11" t="s">
        <v>4803</v>
      </c>
      <c r="D22" s="10" t="s">
        <v>2121</v>
      </c>
      <c r="E22" s="10" t="s">
        <v>2121</v>
      </c>
      <c r="F22" s="12" t="n">
        <v>1000</v>
      </c>
      <c r="G22" s="12" t="n">
        <v>1000</v>
      </c>
      <c r="H22" s="12" t="n">
        <v>1000</v>
      </c>
      <c r="I22" s="10" t="s">
        <v>4736</v>
      </c>
      <c r="J22" s="10" t="s">
        <v>4804</v>
      </c>
      <c r="K22" s="11" t="s">
        <v>4738</v>
      </c>
      <c r="L22" s="10" t="n">
        <f aca="false">IF(AND(ISNUMBER($F22),ISNUMBER($G22),ISNUMBER($H22)),IF(AND($G22&lt;=$F22,$F22&lt;=$H22),0,1),0)</f>
        <v>0</v>
      </c>
      <c r="M22" s="10" t="n">
        <f aca="false">IF(AND(OR($I22="Analogy",$I22="Assumed"),OR($G22="",$H22="")),1,0)</f>
        <v>0</v>
      </c>
    </row>
    <row r="23" customFormat="false" ht="15" hidden="false" customHeight="false" outlineLevel="0" collapsed="false">
      <c r="A23" s="10" t="s">
        <v>4805</v>
      </c>
      <c r="B23" s="10" t="s">
        <v>4806</v>
      </c>
      <c r="C23" s="11" t="s">
        <v>4807</v>
      </c>
      <c r="D23" s="10" t="s">
        <v>2121</v>
      </c>
      <c r="E23" s="10" t="s">
        <v>2121</v>
      </c>
      <c r="F23" s="12" t="n">
        <v>1000</v>
      </c>
      <c r="G23" s="12" t="n">
        <v>1000</v>
      </c>
      <c r="H23" s="12" t="n">
        <v>1000</v>
      </c>
      <c r="I23" s="10" t="s">
        <v>4736</v>
      </c>
      <c r="J23" s="11" t="s">
        <v>4738</v>
      </c>
      <c r="K23" s="11" t="s">
        <v>4738</v>
      </c>
      <c r="L23" s="10" t="n">
        <f aca="false">IF(AND(ISNUMBER($F23),ISNUMBER($G23),ISNUMBER($H23)),IF(AND($G23&lt;=$F23,$F23&lt;=$H23),0,1),0)</f>
        <v>0</v>
      </c>
      <c r="M23" s="10" t="n">
        <f aca="false">IF(AND(OR($I23="Analogy",$I23="Assumed"),OR($G23="",$H23="")),1,0)</f>
        <v>0</v>
      </c>
    </row>
    <row r="24" customFormat="false" ht="15" hidden="false" customHeight="false" outlineLevel="0" collapsed="false">
      <c r="A24" s="10" t="s">
        <v>4808</v>
      </c>
      <c r="B24" s="10" t="s">
        <v>4809</v>
      </c>
      <c r="C24" s="11" t="s">
        <v>4810</v>
      </c>
      <c r="D24" s="10" t="s">
        <v>2121</v>
      </c>
      <c r="E24" s="10" t="s">
        <v>2121</v>
      </c>
      <c r="F24" s="12" t="n">
        <v>100</v>
      </c>
      <c r="G24" s="12" t="n">
        <v>100</v>
      </c>
      <c r="H24" s="12" t="n">
        <v>100</v>
      </c>
      <c r="I24" s="10" t="s">
        <v>4736</v>
      </c>
      <c r="J24" s="11" t="s">
        <v>4811</v>
      </c>
      <c r="K24" s="11" t="s">
        <v>4738</v>
      </c>
      <c r="L24" s="10" t="n">
        <f aca="false">IF(AND(ISNUMBER($F24),ISNUMBER($G24),ISNUMBER($H24)),IF(AND($G24&lt;=$F24,$F24&lt;=$H24),0,1),0)</f>
        <v>0</v>
      </c>
      <c r="M24" s="10" t="n">
        <f aca="false">IF(AND(OR($I24="Analogy",$I24="Assumed"),OR($G24="",$H24="")),1,0)</f>
        <v>0</v>
      </c>
    </row>
    <row r="25" customFormat="false" ht="15" hidden="false" customHeight="false" outlineLevel="0" collapsed="false">
      <c r="A25" s="10" t="s">
        <v>4812</v>
      </c>
      <c r="B25" s="10" t="s">
        <v>4813</v>
      </c>
      <c r="C25" s="11" t="s">
        <v>4814</v>
      </c>
      <c r="D25" s="10" t="s">
        <v>2121</v>
      </c>
      <c r="E25" s="10" t="s">
        <v>2121</v>
      </c>
      <c r="F25" s="12" t="n">
        <v>10</v>
      </c>
      <c r="G25" s="12" t="n">
        <v>10</v>
      </c>
      <c r="H25" s="12" t="n">
        <v>10</v>
      </c>
      <c r="I25" s="10" t="s">
        <v>4736</v>
      </c>
      <c r="J25" s="11" t="s">
        <v>4815</v>
      </c>
      <c r="K25" s="11" t="s">
        <v>4738</v>
      </c>
      <c r="L25" s="10" t="n">
        <f aca="false">IF(AND(ISNUMBER($F25),ISNUMBER($G25),ISNUMBER($H25)),IF(AND($G25&lt;=$F25,$F25&lt;=$H25),0,1),0)</f>
        <v>0</v>
      </c>
      <c r="M25" s="10" t="n">
        <f aca="false">IF(AND(OR($I25="Analogy",$I25="Assumed"),OR($G25="",$H25="")),1,0)</f>
        <v>0</v>
      </c>
    </row>
    <row r="26" customFormat="false" ht="15" hidden="false" customHeight="false" outlineLevel="0" collapsed="false">
      <c r="A26" s="10" t="s">
        <v>4816</v>
      </c>
      <c r="B26" s="10" t="s">
        <v>4817</v>
      </c>
      <c r="C26" s="11" t="s">
        <v>4818</v>
      </c>
      <c r="D26" s="10" t="s">
        <v>2121</v>
      </c>
      <c r="E26" s="11" t="s">
        <v>4819</v>
      </c>
      <c r="F26" s="12" t="n">
        <v>4.8</v>
      </c>
      <c r="G26" s="12" t="n">
        <v>4.8</v>
      </c>
      <c r="H26" s="12" t="n">
        <v>4.8</v>
      </c>
      <c r="I26" s="10" t="s">
        <v>4736</v>
      </c>
      <c r="J26" s="10" t="s">
        <v>4820</v>
      </c>
      <c r="K26" s="11" t="s">
        <v>4738</v>
      </c>
      <c r="L26" s="10" t="n">
        <f aca="false">IF(AND(ISNUMBER($F26),ISNUMBER($G26),ISNUMBER($H26)),IF(AND($G26&lt;=$F26,$F26&lt;=$H26),0,1),0)</f>
        <v>0</v>
      </c>
      <c r="M26" s="10" t="n">
        <f aca="false">IF(AND(OR($I26="Analogy",$I26="Assumed"),OR($G26="",$H26="")),1,0)</f>
        <v>0</v>
      </c>
    </row>
    <row r="27" customFormat="false" ht="15" hidden="false" customHeight="false" outlineLevel="0" collapsed="false">
      <c r="A27" s="10" t="s">
        <v>4821</v>
      </c>
      <c r="B27" s="10" t="s">
        <v>4822</v>
      </c>
      <c r="C27" s="11" t="s">
        <v>4823</v>
      </c>
      <c r="D27" s="10" t="s">
        <v>1103</v>
      </c>
      <c r="E27" s="11" t="s">
        <v>4824</v>
      </c>
      <c r="F27" s="12" t="n">
        <v>6.7399</v>
      </c>
      <c r="G27" s="12" t="n">
        <v>6.4029</v>
      </c>
      <c r="H27" s="12" t="n">
        <v>7.0769</v>
      </c>
      <c r="I27" s="10" t="s">
        <v>69</v>
      </c>
      <c r="J27" s="11" t="s">
        <v>4825</v>
      </c>
      <c r="K27" s="10" t="s">
        <v>4826</v>
      </c>
      <c r="L27" s="10" t="n">
        <f aca="false">IF(AND(ISNUMBER($F27),ISNUMBER($G27),ISNUMBER($H27)),IF(AND($G27&lt;=$F27,$F27&lt;=$H27),0,1),0)</f>
        <v>0</v>
      </c>
      <c r="M27" s="10" t="n">
        <f aca="false">IF(AND(OR($I27="Analogy",$I27="Assumed"),OR($G27="",$H27="")),1,0)</f>
        <v>0</v>
      </c>
    </row>
    <row r="28" customFormat="false" ht="15" hidden="false" customHeight="false" outlineLevel="0" collapsed="false">
      <c r="A28" s="10" t="s">
        <v>4827</v>
      </c>
      <c r="B28" s="10" t="s">
        <v>4828</v>
      </c>
      <c r="C28" s="11" t="s">
        <v>4829</v>
      </c>
      <c r="D28" s="10" t="s">
        <v>1103</v>
      </c>
      <c r="E28" s="11" t="s">
        <v>4830</v>
      </c>
      <c r="F28" s="12" t="n">
        <v>0.85923</v>
      </c>
      <c r="G28" s="12" t="n">
        <v>0.81627</v>
      </c>
      <c r="H28" s="12" t="n">
        <v>0.90219</v>
      </c>
      <c r="I28" s="10" t="s">
        <v>69</v>
      </c>
      <c r="J28" s="11" t="s">
        <v>4831</v>
      </c>
      <c r="K28" s="10" t="s">
        <v>4826</v>
      </c>
      <c r="L28" s="10" t="n">
        <f aca="false">IF(AND(ISNUMBER($F28),ISNUMBER($G28),ISNUMBER($H28)),IF(AND($G28&lt;=$F28,$F28&lt;=$H28),0,1),0)</f>
        <v>0</v>
      </c>
      <c r="M28" s="10" t="n">
        <f aca="false">IF(AND(OR($I28="Analogy",$I28="Assumed"),OR($G28="",$H28="")),1,0)</f>
        <v>0</v>
      </c>
    </row>
    <row r="29" customFormat="false" ht="15" hidden="false" customHeight="false" outlineLevel="0" collapsed="false">
      <c r="A29" s="10" t="s">
        <v>4832</v>
      </c>
      <c r="B29" s="10" t="s">
        <v>4833</v>
      </c>
      <c r="C29" s="10" t="s">
        <v>4834</v>
      </c>
      <c r="D29" s="10" t="s">
        <v>2121</v>
      </c>
      <c r="E29" s="11" t="s">
        <v>4705</v>
      </c>
      <c r="F29" s="12" t="n">
        <v>0.6</v>
      </c>
      <c r="G29" s="12" t="n">
        <v>0.3</v>
      </c>
      <c r="H29" s="12" t="n">
        <v>0.9</v>
      </c>
      <c r="I29" s="10" t="s">
        <v>4835</v>
      </c>
      <c r="J29" s="11" t="s">
        <v>4836</v>
      </c>
      <c r="K29" s="10" t="s">
        <v>4837</v>
      </c>
      <c r="L29" s="10" t="n">
        <f aca="false">IF(AND(ISNUMBER($F29),ISNUMBER($G29),ISNUMBER($H29)),IF(AND($G29&lt;=$F29,$F29&lt;=$H29),0,1),0)</f>
        <v>0</v>
      </c>
      <c r="M29" s="10" t="n">
        <f aca="false">IF(AND(OR($I29="Analogy",$I29="Assumed"),OR($G29="",$H29="")),1,0)</f>
        <v>0</v>
      </c>
    </row>
    <row r="30" customFormat="false" ht="15" hidden="false" customHeight="false" outlineLevel="0" collapsed="false">
      <c r="A30" s="10" t="s">
        <v>4838</v>
      </c>
      <c r="B30" s="10" t="s">
        <v>4839</v>
      </c>
      <c r="C30" s="10" t="s">
        <v>4840</v>
      </c>
      <c r="D30" s="10" t="s">
        <v>662</v>
      </c>
      <c r="E30" s="11" t="s">
        <v>4758</v>
      </c>
      <c r="F30" s="12" t="n">
        <v>42</v>
      </c>
      <c r="G30" s="12" t="n">
        <v>42</v>
      </c>
      <c r="H30" s="12" t="n">
        <v>42</v>
      </c>
      <c r="I30" s="10" t="s">
        <v>636</v>
      </c>
      <c r="J30" s="10" t="s">
        <v>4841</v>
      </c>
      <c r="K30" s="11" t="s">
        <v>4842</v>
      </c>
      <c r="L30" s="10" t="n">
        <f aca="false">IF(AND(ISNUMBER($F30),ISNUMBER($G30),ISNUMBER($H30)),IF(AND($G30&lt;=$F30,$F30&lt;=$H30),0,1),0)</f>
        <v>0</v>
      </c>
      <c r="M30" s="10" t="n">
        <f aca="false">IF(AND(OR($I30="Analogy",$I30="Assumed"),OR($G30="",$H30="")),1,0)</f>
        <v>0</v>
      </c>
    </row>
    <row r="31" customFormat="false" ht="15" hidden="false" customHeight="false" outlineLevel="0" collapsed="false">
      <c r="A31" s="10" t="s">
        <v>4843</v>
      </c>
      <c r="B31" s="10" t="s">
        <v>4844</v>
      </c>
      <c r="C31" s="10" t="s">
        <v>4845</v>
      </c>
      <c r="D31" s="10" t="s">
        <v>662</v>
      </c>
      <c r="E31" s="11" t="s">
        <v>4758</v>
      </c>
      <c r="F31" s="12" t="n">
        <v>54</v>
      </c>
      <c r="G31" s="12" t="n">
        <v>54</v>
      </c>
      <c r="H31" s="12" t="n">
        <v>54</v>
      </c>
      <c r="I31" s="10" t="s">
        <v>636</v>
      </c>
      <c r="J31" s="10" t="s">
        <v>4846</v>
      </c>
      <c r="K31" s="11" t="s">
        <v>4842</v>
      </c>
      <c r="L31" s="10" t="n">
        <f aca="false">IF(AND(ISNUMBER($F31),ISNUMBER($G31),ISNUMBER($H31)),IF(AND($G31&lt;=$F31,$F31&lt;=$H31),0,1),0)</f>
        <v>0</v>
      </c>
      <c r="M31" s="10" t="n">
        <f aca="false">IF(AND(OR($I31="Analogy",$I31="Assumed"),OR($G31="",$H31="")),1,0)</f>
        <v>0</v>
      </c>
    </row>
    <row r="32" customFormat="false" ht="15" hidden="false" customHeight="false" outlineLevel="0" collapsed="false">
      <c r="A32" s="10" t="s">
        <v>4847</v>
      </c>
      <c r="B32" s="10" t="s">
        <v>4848</v>
      </c>
      <c r="C32" s="10" t="s">
        <v>4849</v>
      </c>
      <c r="D32" s="10" t="s">
        <v>4767</v>
      </c>
      <c r="E32" s="11" t="s">
        <v>4758</v>
      </c>
      <c r="F32" s="12" t="n">
        <v>128</v>
      </c>
      <c r="G32" s="12" t="n">
        <v>128</v>
      </c>
      <c r="H32" s="12" t="n">
        <v>128</v>
      </c>
      <c r="I32" s="10" t="s">
        <v>636</v>
      </c>
      <c r="J32" s="10" t="s">
        <v>4850</v>
      </c>
      <c r="K32" s="11" t="s">
        <v>4842</v>
      </c>
      <c r="L32" s="10" t="n">
        <f aca="false">IF(AND(ISNUMBER($F32),ISNUMBER($G32),ISNUMBER($H32)),IF(AND($G32&lt;=$F32,$F32&lt;=$H32),0,1),0)</f>
        <v>0</v>
      </c>
      <c r="M32" s="10" t="n">
        <f aca="false">IF(AND(OR($I32="Analogy",$I32="Assumed"),OR($G32="",$H32="")),1,0)</f>
        <v>0</v>
      </c>
    </row>
    <row r="33" customFormat="false" ht="15" hidden="false" customHeight="false" outlineLevel="0" collapsed="false">
      <c r="A33" s="10" t="s">
        <v>4851</v>
      </c>
      <c r="B33" s="10" t="s">
        <v>4852</v>
      </c>
      <c r="C33" s="10" t="s">
        <v>4853</v>
      </c>
      <c r="D33" s="10" t="s">
        <v>2121</v>
      </c>
      <c r="E33" s="11" t="s">
        <v>4705</v>
      </c>
      <c r="F33" s="12" t="n">
        <v>0.15</v>
      </c>
      <c r="G33" s="12" t="n">
        <v>0.05</v>
      </c>
      <c r="H33" s="12" t="n">
        <v>0.3</v>
      </c>
      <c r="I33" s="10" t="s">
        <v>1308</v>
      </c>
      <c r="J33" s="10" t="s">
        <v>4854</v>
      </c>
      <c r="K33" s="10" t="s">
        <v>4855</v>
      </c>
      <c r="L33" s="10" t="n">
        <f aca="false">IF(AND(ISNUMBER($F33),ISNUMBER($G33),ISNUMBER($H33)),IF(AND($G33&lt;=$F33,$F33&lt;=$H33),0,1),0)</f>
        <v>0</v>
      </c>
      <c r="M33" s="10" t="n">
        <f aca="false">IF(AND(OR($I33="Analogy",$I33="Assumed"),OR($G33="",$H33="")),1,0)</f>
        <v>0</v>
      </c>
    </row>
    <row r="34" customFormat="false" ht="15" hidden="false" customHeight="false" outlineLevel="0" collapsed="false">
      <c r="A34" s="10" t="s">
        <v>4856</v>
      </c>
      <c r="B34" s="10" t="s">
        <v>4857</v>
      </c>
      <c r="C34" s="10" t="s">
        <v>4858</v>
      </c>
      <c r="D34" s="10" t="s">
        <v>2121</v>
      </c>
      <c r="E34" s="11" t="s">
        <v>4705</v>
      </c>
      <c r="F34" s="12" t="n">
        <v>0.5</v>
      </c>
      <c r="G34" s="12" t="n">
        <v>0.3</v>
      </c>
      <c r="H34" s="12" t="n">
        <v>0.75</v>
      </c>
      <c r="I34" s="10" t="s">
        <v>1308</v>
      </c>
      <c r="J34" s="10" t="s">
        <v>4859</v>
      </c>
      <c r="K34" s="11" t="s">
        <v>4860</v>
      </c>
      <c r="L34" s="10" t="n">
        <f aca="false">IF(AND(ISNUMBER($F34),ISNUMBER($G34),ISNUMBER($H34)),IF(AND($G34&lt;=$F34,$F34&lt;=$H34),0,1),0)</f>
        <v>0</v>
      </c>
      <c r="M34" s="10" t="n">
        <f aca="false">IF(AND(OR($I34="Analogy",$I34="Assumed"),OR($G34="",$H34="")),1,0)</f>
        <v>0</v>
      </c>
    </row>
    <row r="35" customFormat="false" ht="15" hidden="false" customHeight="false" outlineLevel="0" collapsed="false">
      <c r="A35" s="10" t="s">
        <v>4861</v>
      </c>
      <c r="B35" s="10" t="s">
        <v>4862</v>
      </c>
      <c r="C35" s="10" t="s">
        <v>4863</v>
      </c>
      <c r="D35" s="10" t="s">
        <v>2121</v>
      </c>
      <c r="E35" s="11" t="s">
        <v>4705</v>
      </c>
      <c r="F35" s="12" t="n">
        <v>0.25</v>
      </c>
      <c r="G35" s="12" t="n">
        <v>0.1</v>
      </c>
      <c r="H35" s="12" t="n">
        <v>0.4</v>
      </c>
      <c r="I35" s="10" t="s">
        <v>4835</v>
      </c>
      <c r="J35" s="10" t="s">
        <v>4864</v>
      </c>
      <c r="K35" s="10" t="s">
        <v>4865</v>
      </c>
      <c r="L35" s="10" t="n">
        <f aca="false">IF(AND(ISNUMBER($F35),ISNUMBER($G35),ISNUMBER($H35)),IF(AND($G35&lt;=$F35,$F35&lt;=$H35),0,1),0)</f>
        <v>0</v>
      </c>
      <c r="M35" s="10" t="n">
        <f aca="false">IF(AND(OR($I35="Analogy",$I35="Assumed"),OR($G35="",$H35="")),1,0)</f>
        <v>0</v>
      </c>
    </row>
    <row r="36" customFormat="false" ht="15" hidden="false" customHeight="false" outlineLevel="0" collapsed="false">
      <c r="A36" s="10" t="s">
        <v>4866</v>
      </c>
      <c r="B36" s="10" t="s">
        <v>4867</v>
      </c>
      <c r="C36" s="11" t="s">
        <v>4868</v>
      </c>
      <c r="D36" s="10" t="s">
        <v>4383</v>
      </c>
      <c r="E36" s="11" t="s">
        <v>4705</v>
      </c>
      <c r="F36" s="12" t="n">
        <v>0.6</v>
      </c>
      <c r="G36" s="12" t="n">
        <v>0.4</v>
      </c>
      <c r="H36" s="12" t="n">
        <v>0.8</v>
      </c>
      <c r="I36" s="10" t="s">
        <v>4835</v>
      </c>
      <c r="J36" s="10" t="s">
        <v>4869</v>
      </c>
      <c r="K36" s="10" t="s">
        <v>4870</v>
      </c>
      <c r="L36" s="10" t="n">
        <f aca="false">IF(AND(ISNUMBER($F36),ISNUMBER($G36),ISNUMBER($H36)),IF(AND($G36&lt;=$F36,$F36&lt;=$H36),0,1),0)</f>
        <v>0</v>
      </c>
      <c r="M36" s="10" t="n">
        <f aca="false">IF(AND(OR($I36="Analogy",$I36="Assumed"),OR($G36="",$H36="")),1,0)</f>
        <v>0</v>
      </c>
    </row>
    <row r="37" customFormat="false" ht="15" hidden="false" customHeight="false" outlineLevel="0" collapsed="false">
      <c r="A37" s="10" t="s">
        <v>4871</v>
      </c>
      <c r="B37" s="10" t="s">
        <v>4872</v>
      </c>
      <c r="C37" s="11" t="s">
        <v>4868</v>
      </c>
      <c r="D37" s="10" t="s">
        <v>1908</v>
      </c>
      <c r="E37" s="11" t="s">
        <v>4705</v>
      </c>
      <c r="F37" s="12" t="n">
        <v>0.7</v>
      </c>
      <c r="G37" s="12" t="n">
        <v>0.5</v>
      </c>
      <c r="H37" s="12" t="n">
        <v>0.85</v>
      </c>
      <c r="I37" s="10" t="s">
        <v>4835</v>
      </c>
      <c r="J37" s="10" t="s">
        <v>4873</v>
      </c>
      <c r="K37" s="10" t="s">
        <v>4874</v>
      </c>
      <c r="L37" s="10" t="n">
        <f aca="false">IF(AND(ISNUMBER($F37),ISNUMBER($G37),ISNUMBER($H37)),IF(AND($G37&lt;=$F37,$F37&lt;=$H37),0,1),0)</f>
        <v>0</v>
      </c>
      <c r="M37" s="10" t="n">
        <f aca="false">IF(AND(OR($I37="Analogy",$I37="Assumed"),OR($G37="",$H37="")),1,0)</f>
        <v>0</v>
      </c>
    </row>
    <row r="38" customFormat="false" ht="15" hidden="false" customHeight="false" outlineLevel="0" collapsed="false">
      <c r="A38" s="10" t="s">
        <v>4875</v>
      </c>
      <c r="B38" s="10" t="s">
        <v>4876</v>
      </c>
      <c r="C38" s="11" t="s">
        <v>4868</v>
      </c>
      <c r="D38" s="10" t="s">
        <v>4877</v>
      </c>
      <c r="E38" s="11" t="s">
        <v>4705</v>
      </c>
      <c r="F38" s="12" t="n">
        <v>0.7</v>
      </c>
      <c r="G38" s="12" t="n">
        <v>0.5</v>
      </c>
      <c r="H38" s="12" t="n">
        <v>0.85</v>
      </c>
      <c r="I38" s="10" t="s">
        <v>4835</v>
      </c>
      <c r="J38" s="11" t="s">
        <v>4878</v>
      </c>
      <c r="K38" s="10" t="s">
        <v>4874</v>
      </c>
      <c r="L38" s="10" t="n">
        <f aca="false">IF(AND(ISNUMBER($F38),ISNUMBER($G38),ISNUMBER($H38)),IF(AND($G38&lt;=$F38,$F38&lt;=$H38),0,1),0)</f>
        <v>0</v>
      </c>
      <c r="M38" s="10" t="n">
        <f aca="false">IF(AND(OR($I38="Analogy",$I38="Assumed"),OR($G38="",$H38="")),1,0)</f>
        <v>0</v>
      </c>
    </row>
    <row r="39" customFormat="false" ht="15" hidden="false" customHeight="false" outlineLevel="0" collapsed="false">
      <c r="A39" s="10" t="s">
        <v>4879</v>
      </c>
      <c r="B39" s="10" t="s">
        <v>4880</v>
      </c>
      <c r="C39" s="10" t="s">
        <v>4881</v>
      </c>
      <c r="D39" s="10" t="s">
        <v>4877</v>
      </c>
      <c r="E39" s="11" t="s">
        <v>4882</v>
      </c>
      <c r="F39" s="12" t="n">
        <v>-0.2</v>
      </c>
      <c r="G39" s="12" t="n">
        <v>-0.4</v>
      </c>
      <c r="H39" s="12" t="n">
        <v>0.2</v>
      </c>
      <c r="I39" s="10" t="s">
        <v>4835</v>
      </c>
      <c r="J39" s="11" t="s">
        <v>4883</v>
      </c>
      <c r="K39" s="10" t="s">
        <v>4884</v>
      </c>
      <c r="L39" s="10" t="n">
        <f aca="false">IF(AND(ISNUMBER($F39),ISNUMBER($G39),ISNUMBER($H39)),IF(AND($G39&lt;=$F39,$F39&lt;=$H39),0,1),0)</f>
        <v>0</v>
      </c>
      <c r="M39" s="10" t="n">
        <f aca="false">IF(AND(OR($I39="Analogy",$I39="Assumed"),OR($G39="",$H39="")),1,0)</f>
        <v>0</v>
      </c>
    </row>
    <row r="40" customFormat="false" ht="15" hidden="false" customHeight="false" outlineLevel="0" collapsed="false">
      <c r="A40" s="10" t="s">
        <v>4885</v>
      </c>
      <c r="B40" s="10" t="s">
        <v>4886</v>
      </c>
      <c r="C40" s="10" t="s">
        <v>4887</v>
      </c>
      <c r="D40" s="10" t="s">
        <v>4877</v>
      </c>
      <c r="E40" s="11" t="s">
        <v>4882</v>
      </c>
      <c r="F40" s="12" t="n">
        <v>-0.2</v>
      </c>
      <c r="G40" s="12" t="n">
        <v>-0.4</v>
      </c>
      <c r="H40" s="12" t="n">
        <v>0.2</v>
      </c>
      <c r="I40" s="10" t="s">
        <v>4835</v>
      </c>
      <c r="J40" s="11" t="s">
        <v>4888</v>
      </c>
      <c r="K40" s="10" t="s">
        <v>4884</v>
      </c>
      <c r="L40" s="10" t="n">
        <f aca="false">IF(AND(ISNUMBER($F40),ISNUMBER($G40),ISNUMBER($H40)),IF(AND($G40&lt;=$F40,$F40&lt;=$H40),0,1),0)</f>
        <v>0</v>
      </c>
      <c r="M40" s="10" t="n">
        <f aca="false">IF(AND(OR($I40="Analogy",$I40="Assumed"),OR($G40="",$H40="")),1,0)</f>
        <v>0</v>
      </c>
    </row>
    <row r="41" customFormat="false" ht="15" hidden="false" customHeight="false" outlineLevel="0" collapsed="false">
      <c r="A41" s="10" t="s">
        <v>4889</v>
      </c>
      <c r="B41" s="10" t="s">
        <v>4890</v>
      </c>
      <c r="C41" s="10" t="s">
        <v>4891</v>
      </c>
      <c r="D41" s="10" t="s">
        <v>2121</v>
      </c>
      <c r="E41" s="10" t="s">
        <v>4892</v>
      </c>
      <c r="F41" s="12" t="n">
        <v>20</v>
      </c>
      <c r="G41" s="12" t="n">
        <v>5</v>
      </c>
      <c r="H41" s="12" t="n">
        <v>50</v>
      </c>
      <c r="I41" s="10" t="s">
        <v>4835</v>
      </c>
      <c r="J41" s="10" t="s">
        <v>4893</v>
      </c>
      <c r="K41" s="10" t="s">
        <v>4894</v>
      </c>
      <c r="L41" s="10" t="n">
        <f aca="false">IF(AND(ISNUMBER($F41),ISNUMBER($G41),ISNUMBER($H41)),IF(AND($G41&lt;=$F41,$F41&lt;=$H41),0,1),0)</f>
        <v>0</v>
      </c>
      <c r="M41" s="10" t="n">
        <f aca="false">IF(AND(OR($I41="Analogy",$I41="Assumed"),OR($G41="",$H41="")),1,0)</f>
        <v>0</v>
      </c>
    </row>
    <row r="42" customFormat="false" ht="15" hidden="false" customHeight="false" outlineLevel="0" collapsed="false">
      <c r="A42" s="10" t="s">
        <v>4895</v>
      </c>
      <c r="B42" s="10" t="s">
        <v>4896</v>
      </c>
      <c r="C42" s="10" t="s">
        <v>4897</v>
      </c>
      <c r="D42" s="10" t="s">
        <v>4767</v>
      </c>
      <c r="E42" s="11" t="s">
        <v>4898</v>
      </c>
      <c r="F42" s="12" t="n">
        <v>2.24</v>
      </c>
      <c r="G42" s="12" t="n">
        <v>1.3</v>
      </c>
      <c r="H42" s="12" t="n">
        <v>3</v>
      </c>
      <c r="I42" s="10" t="s">
        <v>636</v>
      </c>
      <c r="J42" s="11" t="s">
        <v>4899</v>
      </c>
      <c r="K42" s="10" t="s">
        <v>4900</v>
      </c>
      <c r="L42" s="10" t="n">
        <f aca="false">IF(AND(ISNUMBER($F42),ISNUMBER($G42),ISNUMBER($H42)),IF(AND($G42&lt;=$F42,$F42&lt;=$H42),0,1),0)</f>
        <v>0</v>
      </c>
      <c r="M42" s="10" t="n">
        <f aca="false">IF(AND(OR($I42="Analogy",$I42="Assumed"),OR($G42="",$H42="")),1,0)</f>
        <v>0</v>
      </c>
    </row>
    <row r="43" customFormat="false" ht="15" hidden="false" customHeight="false" outlineLevel="0" collapsed="false">
      <c r="A43" s="10" t="s">
        <v>4901</v>
      </c>
      <c r="B43" s="10" t="s">
        <v>4902</v>
      </c>
      <c r="C43" s="10" t="s">
        <v>4903</v>
      </c>
      <c r="D43" s="10" t="s">
        <v>4767</v>
      </c>
      <c r="E43" s="11" t="s">
        <v>4898</v>
      </c>
      <c r="F43" s="12" t="n">
        <v>0.1</v>
      </c>
      <c r="G43" s="12" t="n">
        <v>0</v>
      </c>
      <c r="H43" s="12" t="n">
        <v>0.3</v>
      </c>
      <c r="I43" s="10" t="s">
        <v>4835</v>
      </c>
      <c r="J43" s="10" t="s">
        <v>4904</v>
      </c>
      <c r="K43" s="10" t="s">
        <v>4905</v>
      </c>
      <c r="L43" s="10" t="n">
        <f aca="false">IF(AND(ISNUMBER($F43),ISNUMBER($G43),ISNUMBER($H43)),IF(AND($G43&lt;=$F43,$F43&lt;=$H43),0,1),0)</f>
        <v>0</v>
      </c>
      <c r="M43" s="10" t="n">
        <f aca="false">IF(AND(OR($I43="Analogy",$I43="Assumed"),OR($G43="",$H43="")),1,0)</f>
        <v>0</v>
      </c>
    </row>
    <row r="44" customFormat="false" ht="15" hidden="false" customHeight="false" outlineLevel="0" collapsed="false">
      <c r="A44" s="10" t="s">
        <v>4906</v>
      </c>
      <c r="B44" s="10" t="s">
        <v>4907</v>
      </c>
      <c r="C44" s="10" t="s">
        <v>4908</v>
      </c>
      <c r="D44" s="10" t="s">
        <v>4666</v>
      </c>
      <c r="E44" s="11" t="s">
        <v>4882</v>
      </c>
      <c r="F44" s="12" t="n">
        <v>0.8</v>
      </c>
      <c r="G44" s="12" t="n">
        <v>0.4</v>
      </c>
      <c r="H44" s="12" t="n">
        <v>1.6</v>
      </c>
      <c r="I44" s="10" t="s">
        <v>4835</v>
      </c>
      <c r="J44" s="10" t="s">
        <v>4909</v>
      </c>
      <c r="K44" s="11" t="s">
        <v>4910</v>
      </c>
      <c r="L44" s="10" t="n">
        <f aca="false">IF(AND(ISNUMBER($F44),ISNUMBER($G44),ISNUMBER($H44)),IF(AND($G44&lt;=$F44,$F44&lt;=$H44),0,1),0)</f>
        <v>0</v>
      </c>
      <c r="M44" s="10" t="n">
        <f aca="false">IF(AND(OR($I44="Analogy",$I44="Assumed"),OR($G44="",$H44="")),1,0)</f>
        <v>0</v>
      </c>
    </row>
    <row r="45" customFormat="false" ht="15" hidden="false" customHeight="false" outlineLevel="0" collapsed="false">
      <c r="A45" s="10" t="s">
        <v>4911</v>
      </c>
      <c r="B45" s="10" t="s">
        <v>4912</v>
      </c>
      <c r="C45" s="10" t="s">
        <v>4908</v>
      </c>
      <c r="D45" s="10" t="s">
        <v>4667</v>
      </c>
      <c r="E45" s="11" t="s">
        <v>4882</v>
      </c>
      <c r="F45" s="12" t="n">
        <v>0.5</v>
      </c>
      <c r="G45" s="12" t="n">
        <v>0.25</v>
      </c>
      <c r="H45" s="12" t="n">
        <v>1</v>
      </c>
      <c r="I45" s="10" t="s">
        <v>4835</v>
      </c>
      <c r="J45" s="10" t="s">
        <v>4913</v>
      </c>
      <c r="K45" s="11" t="s">
        <v>4910</v>
      </c>
      <c r="L45" s="10" t="n">
        <f aca="false">IF(AND(ISNUMBER($F45),ISNUMBER($G45),ISNUMBER($H45)),IF(AND($G45&lt;=$F45,$F45&lt;=$H45),0,1),0)</f>
        <v>0</v>
      </c>
      <c r="M45" s="10" t="n">
        <f aca="false">IF(AND(OR($I45="Analogy",$I45="Assumed"),OR($G45="",$H45="")),1,0)</f>
        <v>0</v>
      </c>
    </row>
    <row r="46" customFormat="false" ht="15" hidden="false" customHeight="false" outlineLevel="0" collapsed="false">
      <c r="A46" s="10" t="s">
        <v>4914</v>
      </c>
      <c r="B46" s="10" t="s">
        <v>4915</v>
      </c>
      <c r="C46" s="10" t="s">
        <v>4908</v>
      </c>
      <c r="D46" s="10" t="s">
        <v>4668</v>
      </c>
      <c r="E46" s="11" t="s">
        <v>4882</v>
      </c>
      <c r="F46" s="12" t="n">
        <v>0.35</v>
      </c>
      <c r="G46" s="12" t="n">
        <v>0.175</v>
      </c>
      <c r="H46" s="12" t="n">
        <v>0.7</v>
      </c>
      <c r="I46" s="10" t="s">
        <v>4835</v>
      </c>
      <c r="J46" s="10" t="s">
        <v>4916</v>
      </c>
      <c r="K46" s="11" t="s">
        <v>4910</v>
      </c>
      <c r="L46" s="10" t="n">
        <f aca="false">IF(AND(ISNUMBER($F46),ISNUMBER($G46),ISNUMBER($H46)),IF(AND($G46&lt;=$F46,$F46&lt;=$H46),0,1),0)</f>
        <v>0</v>
      </c>
      <c r="M46" s="10" t="n">
        <f aca="false">IF(AND(OR($I46="Analogy",$I46="Assumed"),OR($G46="",$H46="")),1,0)</f>
        <v>0</v>
      </c>
    </row>
    <row r="47" customFormat="false" ht="15" hidden="false" customHeight="false" outlineLevel="0" collapsed="false">
      <c r="A47" s="10" t="s">
        <v>4917</v>
      </c>
      <c r="B47" s="10" t="s">
        <v>4918</v>
      </c>
      <c r="C47" s="10" t="s">
        <v>4908</v>
      </c>
      <c r="D47" s="10" t="s">
        <v>4669</v>
      </c>
      <c r="E47" s="11" t="s">
        <v>4882</v>
      </c>
      <c r="F47" s="12" t="n">
        <v>0.25</v>
      </c>
      <c r="G47" s="12" t="n">
        <v>0.125</v>
      </c>
      <c r="H47" s="12" t="n">
        <v>0.5</v>
      </c>
      <c r="I47" s="10" t="s">
        <v>4835</v>
      </c>
      <c r="J47" s="10" t="s">
        <v>4919</v>
      </c>
      <c r="K47" s="11" t="s">
        <v>4910</v>
      </c>
      <c r="L47" s="10" t="n">
        <f aca="false">IF(AND(ISNUMBER($F47),ISNUMBER($G47),ISNUMBER($H47)),IF(AND($G47&lt;=$F47,$F47&lt;=$H47),0,1),0)</f>
        <v>0</v>
      </c>
      <c r="M47" s="10" t="n">
        <f aca="false">IF(AND(OR($I47="Analogy",$I47="Assumed"),OR($G47="",$H47="")),1,0)</f>
        <v>0</v>
      </c>
    </row>
    <row r="48" customFormat="false" ht="15" hidden="false" customHeight="false" outlineLevel="0" collapsed="false">
      <c r="A48" s="10" t="s">
        <v>4920</v>
      </c>
      <c r="B48" s="10" t="s">
        <v>4921</v>
      </c>
      <c r="C48" s="10" t="s">
        <v>4922</v>
      </c>
      <c r="D48" s="10" t="s">
        <v>4877</v>
      </c>
      <c r="E48" s="11" t="s">
        <v>4882</v>
      </c>
      <c r="F48" s="12" t="n">
        <v>0.15</v>
      </c>
      <c r="G48" s="12" t="n">
        <v>0.05</v>
      </c>
      <c r="H48" s="12" t="n">
        <v>0.25</v>
      </c>
      <c r="I48" s="10" t="s">
        <v>1308</v>
      </c>
      <c r="J48" s="10" t="s">
        <v>4923</v>
      </c>
      <c r="K48" s="10" t="s">
        <v>4924</v>
      </c>
      <c r="L48" s="10" t="n">
        <f aca="false">IF(AND(ISNUMBER($F48),ISNUMBER($G48),ISNUMBER($H48)),IF(AND($G48&lt;=$F48,$F48&lt;=$H48),0,1),0)</f>
        <v>0</v>
      </c>
      <c r="M48" s="10" t="n">
        <f aca="false">IF(AND(OR($I48="Analogy",$I48="Assumed"),OR($G48="",$H48="")),1,0)</f>
        <v>0</v>
      </c>
    </row>
    <row r="49" customFormat="false" ht="15" hidden="false" customHeight="false" outlineLevel="0" collapsed="false">
      <c r="A49" s="10" t="s">
        <v>4925</v>
      </c>
      <c r="B49" s="10" t="s">
        <v>4926</v>
      </c>
      <c r="C49" s="11" t="s">
        <v>4927</v>
      </c>
      <c r="D49" s="10" t="s">
        <v>4928</v>
      </c>
      <c r="E49" s="11" t="s">
        <v>4929</v>
      </c>
      <c r="F49" s="12" t="n">
        <v>-0.7</v>
      </c>
      <c r="G49" s="12" t="n">
        <v>-1.05</v>
      </c>
      <c r="H49" s="12" t="n">
        <v>-0.35</v>
      </c>
      <c r="I49" s="10" t="s">
        <v>1308</v>
      </c>
      <c r="J49" s="10" t="s">
        <v>4930</v>
      </c>
      <c r="K49" s="11" t="s">
        <v>4860</v>
      </c>
      <c r="L49" s="10" t="n">
        <f aca="false">IF(AND(ISNUMBER($F49),ISNUMBER($G49),ISNUMBER($H49)),IF(AND($G49&lt;=$F49,$F49&lt;=$H49),0,1),0)</f>
        <v>0</v>
      </c>
      <c r="M49" s="10" t="n">
        <f aca="false">IF(AND(OR($I49="Analogy",$I49="Assumed"),OR($G49="",$H49="")),1,0)</f>
        <v>0</v>
      </c>
    </row>
    <row r="50" customFormat="false" ht="15" hidden="false" customHeight="false" outlineLevel="0" collapsed="false">
      <c r="A50" s="10" t="s">
        <v>4931</v>
      </c>
      <c r="B50" s="10" t="s">
        <v>4932</v>
      </c>
      <c r="C50" s="11" t="s">
        <v>4933</v>
      </c>
      <c r="D50" s="10" t="s">
        <v>4928</v>
      </c>
      <c r="E50" s="11" t="s">
        <v>4929</v>
      </c>
      <c r="F50" s="12" t="n">
        <v>-0.3</v>
      </c>
      <c r="G50" s="12" t="n">
        <v>-0.45</v>
      </c>
      <c r="H50" s="12" t="n">
        <v>-0.15</v>
      </c>
      <c r="I50" s="10" t="s">
        <v>1308</v>
      </c>
      <c r="J50" s="10" t="s">
        <v>4934</v>
      </c>
      <c r="K50" s="11" t="s">
        <v>4860</v>
      </c>
      <c r="L50" s="10" t="n">
        <f aca="false">IF(AND(ISNUMBER($F50),ISNUMBER($G50),ISNUMBER($H50)),IF(AND($G50&lt;=$F50,$F50&lt;=$H50),0,1),0)</f>
        <v>0</v>
      </c>
      <c r="M50" s="10" t="n">
        <f aca="false">IF(AND(OR($I50="Analogy",$I50="Assumed"),OR($G50="",$H50="")),1,0)</f>
        <v>0</v>
      </c>
    </row>
    <row r="51" customFormat="false" ht="15" hidden="false" customHeight="false" outlineLevel="0" collapsed="false">
      <c r="A51" s="10" t="s">
        <v>4935</v>
      </c>
      <c r="B51" s="10" t="s">
        <v>4936</v>
      </c>
      <c r="C51" s="11" t="s">
        <v>4937</v>
      </c>
      <c r="D51" s="10" t="s">
        <v>2121</v>
      </c>
      <c r="E51" s="11" t="s">
        <v>1709</v>
      </c>
      <c r="F51" s="12" t="n">
        <v>0.3</v>
      </c>
      <c r="G51" s="12" t="n">
        <v>0.1</v>
      </c>
      <c r="H51" s="12" t="n">
        <v>1</v>
      </c>
      <c r="I51" s="10" t="s">
        <v>4835</v>
      </c>
      <c r="J51" s="10" t="s">
        <v>4938</v>
      </c>
      <c r="K51" s="10" t="s">
        <v>4939</v>
      </c>
      <c r="L51" s="10" t="n">
        <f aca="false">IF(AND(ISNUMBER($F51),ISNUMBER($G51),ISNUMBER($H51)),IF(AND($G51&lt;=$F51,$F51&lt;=$H51),0,1),0)</f>
        <v>0</v>
      </c>
      <c r="M51" s="10" t="n">
        <f aca="false">IF(AND(OR($I51="Analogy",$I51="Assumed"),OR($G51="",$H51="")),1,0)</f>
        <v>0</v>
      </c>
    </row>
    <row r="52" customFormat="false" ht="15" hidden="false" customHeight="false" outlineLevel="0" collapsed="false">
      <c r="A52" s="10" t="s">
        <v>4940</v>
      </c>
      <c r="B52" s="10" t="s">
        <v>4941</v>
      </c>
      <c r="C52" s="10" t="s">
        <v>4942</v>
      </c>
      <c r="D52" s="10" t="s">
        <v>662</v>
      </c>
      <c r="E52" s="11" t="s">
        <v>1709</v>
      </c>
      <c r="F52" s="12" t="n">
        <v>1</v>
      </c>
      <c r="G52" s="12" t="n">
        <v>0.7</v>
      </c>
      <c r="H52" s="12" t="n">
        <v>1.5</v>
      </c>
      <c r="I52" s="10" t="s">
        <v>4835</v>
      </c>
      <c r="J52" s="10" t="s">
        <v>4943</v>
      </c>
      <c r="K52" s="10" t="s">
        <v>4944</v>
      </c>
      <c r="L52" s="10" t="n">
        <f aca="false">IF(AND(ISNUMBER($F52),ISNUMBER($G52),ISNUMBER($H52)),IF(AND($G52&lt;=$F52,$F52&lt;=$H52),0,1),0)</f>
        <v>0</v>
      </c>
      <c r="M52" s="10" t="n">
        <f aca="false">IF(AND(OR($I52="Analogy",$I52="Assumed"),OR($G52="",$H52="")),1,0)</f>
        <v>0</v>
      </c>
    </row>
    <row r="53" customFormat="false" ht="15" hidden="false" customHeight="false" outlineLevel="0" collapsed="false">
      <c r="A53" s="10" t="s">
        <v>4945</v>
      </c>
      <c r="B53" s="10" t="s">
        <v>4946</v>
      </c>
      <c r="C53" s="10" t="s">
        <v>4947</v>
      </c>
      <c r="D53" s="10" t="s">
        <v>4383</v>
      </c>
      <c r="E53" s="11" t="s">
        <v>1709</v>
      </c>
      <c r="F53" s="12" t="n">
        <v>0.15</v>
      </c>
      <c r="G53" s="12" t="n">
        <v>0.05</v>
      </c>
      <c r="H53" s="12" t="n">
        <v>0.3</v>
      </c>
      <c r="I53" s="10" t="s">
        <v>4835</v>
      </c>
      <c r="J53" s="10" t="s">
        <v>4948</v>
      </c>
      <c r="K53" s="10" t="s">
        <v>4949</v>
      </c>
      <c r="L53" s="10" t="n">
        <f aca="false">IF(AND(ISNUMBER($F53),ISNUMBER($G53),ISNUMBER($H53)),IF(AND($G53&lt;=$F53,$F53&lt;=$H53),0,1),0)</f>
        <v>0</v>
      </c>
      <c r="M53" s="10" t="n">
        <f aca="false">IF(AND(OR($I53="Analogy",$I53="Assumed"),OR($G53="",$H53="")),1,0)</f>
        <v>0</v>
      </c>
    </row>
    <row r="54" customFormat="false" ht="15" hidden="false" customHeight="false" outlineLevel="0" collapsed="false">
      <c r="A54" s="10" t="s">
        <v>4950</v>
      </c>
      <c r="B54" s="10" t="s">
        <v>4951</v>
      </c>
      <c r="C54" s="10" t="s">
        <v>4952</v>
      </c>
      <c r="D54" s="10" t="s">
        <v>4767</v>
      </c>
      <c r="E54" s="11" t="s">
        <v>4898</v>
      </c>
      <c r="F54" s="12" t="n">
        <v>0.5</v>
      </c>
      <c r="G54" s="12" t="n">
        <v>0</v>
      </c>
      <c r="H54" s="12" t="n">
        <v>1.5</v>
      </c>
      <c r="I54" s="10" t="s">
        <v>4835</v>
      </c>
      <c r="J54" s="10" t="s">
        <v>4953</v>
      </c>
      <c r="K54" s="10" t="s">
        <v>4954</v>
      </c>
      <c r="L54" s="10" t="n">
        <f aca="false">IF(AND(ISNUMBER($F54),ISNUMBER($G54),ISNUMBER($H54)),IF(AND($G54&lt;=$F54,$F54&lt;=$H54),0,1),0)</f>
        <v>0</v>
      </c>
      <c r="M54" s="10" t="n">
        <f aca="false">IF(AND(OR($I54="Analogy",$I54="Assumed"),OR($G54="",$H54="")),1,0)</f>
        <v>0</v>
      </c>
    </row>
    <row r="55" customFormat="false" ht="15" hidden="false" customHeight="false" outlineLevel="0" collapsed="false">
      <c r="A55" s="10" t="s">
        <v>4955</v>
      </c>
      <c r="B55" s="10" t="s">
        <v>4956</v>
      </c>
      <c r="C55" s="10" t="s">
        <v>4957</v>
      </c>
      <c r="D55" s="10" t="s">
        <v>4666</v>
      </c>
      <c r="E55" s="11" t="s">
        <v>4882</v>
      </c>
      <c r="F55" s="12" t="n">
        <v>0.5</v>
      </c>
      <c r="G55" s="12" t="n">
        <v>0.2</v>
      </c>
      <c r="H55" s="12" t="n">
        <v>1</v>
      </c>
      <c r="I55" s="10" t="s">
        <v>4835</v>
      </c>
      <c r="J55" s="11" t="s">
        <v>4958</v>
      </c>
      <c r="K55" s="10" t="s">
        <v>4959</v>
      </c>
      <c r="L55" s="10" t="n">
        <f aca="false">IF(AND(ISNUMBER($F55),ISNUMBER($G55),ISNUMBER($H55)),IF(AND($G55&lt;=$F55,$F55&lt;=$H55),0,1),0)</f>
        <v>0</v>
      </c>
      <c r="M55" s="10" t="n">
        <f aca="false">IF(AND(OR($I55="Analogy",$I55="Assumed"),OR($G55="",$H55="")),1,0)</f>
        <v>0</v>
      </c>
    </row>
    <row r="56" customFormat="false" ht="15" hidden="false" customHeight="false" outlineLevel="0" collapsed="false">
      <c r="A56" s="10" t="s">
        <v>4960</v>
      </c>
      <c r="B56" s="10" t="s">
        <v>4961</v>
      </c>
      <c r="C56" s="10" t="s">
        <v>4957</v>
      </c>
      <c r="D56" s="10" t="s">
        <v>4667</v>
      </c>
      <c r="E56" s="11" t="s">
        <v>4882</v>
      </c>
      <c r="F56" s="12" t="n">
        <v>0.3</v>
      </c>
      <c r="G56" s="12" t="n">
        <v>0.1</v>
      </c>
      <c r="H56" s="12" t="n">
        <v>0.6</v>
      </c>
      <c r="I56" s="10" t="s">
        <v>4835</v>
      </c>
      <c r="J56" s="11" t="s">
        <v>1095</v>
      </c>
      <c r="K56" s="10" t="s">
        <v>4962</v>
      </c>
      <c r="L56" s="10" t="n">
        <f aca="false">IF(AND(ISNUMBER($F56),ISNUMBER($G56),ISNUMBER($H56)),IF(AND($G56&lt;=$F56,$F56&lt;=$H56),0,1),0)</f>
        <v>0</v>
      </c>
      <c r="M56" s="10" t="n">
        <f aca="false">IF(AND(OR($I56="Analogy",$I56="Assumed"),OR($G56="",$H56="")),1,0)</f>
        <v>0</v>
      </c>
    </row>
    <row r="57" customFormat="false" ht="15" hidden="false" customHeight="false" outlineLevel="0" collapsed="false">
      <c r="A57" s="10" t="s">
        <v>4963</v>
      </c>
      <c r="B57" s="10" t="s">
        <v>4964</v>
      </c>
      <c r="C57" s="10" t="s">
        <v>4957</v>
      </c>
      <c r="D57" s="10" t="s">
        <v>4668</v>
      </c>
      <c r="E57" s="11" t="s">
        <v>4882</v>
      </c>
      <c r="F57" s="12" t="n">
        <v>0.2</v>
      </c>
      <c r="G57" s="12" t="n">
        <v>0.05</v>
      </c>
      <c r="H57" s="12" t="n">
        <v>0.4</v>
      </c>
      <c r="I57" s="10" t="s">
        <v>4835</v>
      </c>
      <c r="J57" s="11" t="s">
        <v>1095</v>
      </c>
      <c r="K57" s="10" t="s">
        <v>4965</v>
      </c>
      <c r="L57" s="10" t="n">
        <f aca="false">IF(AND(ISNUMBER($F57),ISNUMBER($G57),ISNUMBER($H57)),IF(AND($G57&lt;=$F57,$F57&lt;=$H57),0,1),0)</f>
        <v>0</v>
      </c>
      <c r="M57" s="10" t="n">
        <f aca="false">IF(AND(OR($I57="Analogy",$I57="Assumed"),OR($G57="",$H57="")),1,0)</f>
        <v>0</v>
      </c>
    </row>
    <row r="58" customFormat="false" ht="15" hidden="false" customHeight="false" outlineLevel="0" collapsed="false">
      <c r="A58" s="10" t="s">
        <v>4966</v>
      </c>
      <c r="B58" s="10" t="s">
        <v>4967</v>
      </c>
      <c r="C58" s="10" t="s">
        <v>4957</v>
      </c>
      <c r="D58" s="10" t="s">
        <v>4669</v>
      </c>
      <c r="E58" s="11" t="s">
        <v>4882</v>
      </c>
      <c r="F58" s="12" t="n">
        <v>0.15</v>
      </c>
      <c r="G58" s="12" t="n">
        <v>0</v>
      </c>
      <c r="H58" s="12" t="n">
        <v>0.3</v>
      </c>
      <c r="I58" s="10" t="s">
        <v>4835</v>
      </c>
      <c r="J58" s="11" t="s">
        <v>1095</v>
      </c>
      <c r="K58" s="10" t="s">
        <v>4905</v>
      </c>
      <c r="L58" s="10" t="n">
        <f aca="false">IF(AND(ISNUMBER($F58),ISNUMBER($G58),ISNUMBER($H58)),IF(AND($G58&lt;=$F58,$F58&lt;=$H58),0,1),0)</f>
        <v>0</v>
      </c>
      <c r="M58" s="10" t="n">
        <f aca="false">IF(AND(OR($I58="Analogy",$I58="Assumed"),OR($G58="",$H58="")),1,0)</f>
        <v>0</v>
      </c>
    </row>
    <row r="59" customFormat="false" ht="15" hidden="false" customHeight="false" outlineLevel="0" collapsed="false">
      <c r="A59" s="10" t="s">
        <v>4968</v>
      </c>
      <c r="B59" s="10" t="s">
        <v>4969</v>
      </c>
      <c r="C59" s="10" t="s">
        <v>4970</v>
      </c>
      <c r="D59" s="10" t="s">
        <v>2121</v>
      </c>
      <c r="E59" s="11" t="s">
        <v>4705</v>
      </c>
      <c r="F59" s="12" t="n">
        <v>0.6</v>
      </c>
      <c r="G59" s="12" t="n">
        <v>0.4</v>
      </c>
      <c r="H59" s="12" t="n">
        <v>0.8</v>
      </c>
      <c r="I59" s="10" t="s">
        <v>4835</v>
      </c>
      <c r="J59" s="11" t="s">
        <v>4971</v>
      </c>
      <c r="K59" s="10" t="s">
        <v>4870</v>
      </c>
      <c r="L59" s="10" t="n">
        <f aca="false">IF(AND(ISNUMBER($F59),ISNUMBER($G59),ISNUMBER($H59)),IF(AND($G59&lt;=$F59,$F59&lt;=$H59),0,1),0)</f>
        <v>0</v>
      </c>
      <c r="M59" s="10" t="n">
        <f aca="false">IF(AND(OR($I59="Analogy",$I59="Assumed"),OR($G59="",$H59="")),1,0)</f>
        <v>0</v>
      </c>
    </row>
    <row r="60" customFormat="false" ht="15" hidden="false" customHeight="false" outlineLevel="0" collapsed="false">
      <c r="A60" s="10" t="s">
        <v>4972</v>
      </c>
      <c r="B60" s="10" t="s">
        <v>4973</v>
      </c>
      <c r="C60" s="10" t="s">
        <v>4974</v>
      </c>
      <c r="D60" s="10" t="s">
        <v>2121</v>
      </c>
      <c r="E60" s="11" t="s">
        <v>4705</v>
      </c>
      <c r="F60" s="12" t="n">
        <v>0.3</v>
      </c>
      <c r="G60" s="12" t="n">
        <v>0.15</v>
      </c>
      <c r="H60" s="12" t="n">
        <v>0.45</v>
      </c>
      <c r="I60" s="10" t="s">
        <v>4835</v>
      </c>
      <c r="J60" s="10" t="s">
        <v>4975</v>
      </c>
      <c r="K60" s="10" t="s">
        <v>4976</v>
      </c>
      <c r="L60" s="10" t="n">
        <f aca="false">IF(AND(ISNUMBER($F60),ISNUMBER($G60),ISNUMBER($H60)),IF(AND($G60&lt;=$F60,$F60&lt;=$H60),0,1),0)</f>
        <v>0</v>
      </c>
      <c r="M60" s="10" t="n">
        <f aca="false">IF(AND(OR($I60="Analogy",$I60="Assumed"),OR($G60="",$H60="")),1,0)</f>
        <v>0</v>
      </c>
    </row>
    <row r="61" customFormat="false" ht="15" hidden="false" customHeight="false" outlineLevel="0" collapsed="false">
      <c r="A61" s="10" t="s">
        <v>4977</v>
      </c>
      <c r="B61" s="10" t="s">
        <v>4978</v>
      </c>
      <c r="C61" s="10" t="s">
        <v>4979</v>
      </c>
      <c r="D61" s="10" t="s">
        <v>2121</v>
      </c>
      <c r="E61" s="11" t="s">
        <v>4705</v>
      </c>
      <c r="F61" s="12" t="n">
        <v>0.3</v>
      </c>
      <c r="G61" s="12" t="n">
        <v>0.1</v>
      </c>
      <c r="H61" s="12" t="n">
        <v>0.5</v>
      </c>
      <c r="I61" s="10" t="s">
        <v>4835</v>
      </c>
      <c r="J61" s="11" t="s">
        <v>4980</v>
      </c>
      <c r="K61" s="10" t="s">
        <v>4981</v>
      </c>
      <c r="L61" s="10" t="n">
        <f aca="false">IF(AND(ISNUMBER($F61),ISNUMBER($G61),ISNUMBER($H61)),IF(AND($G61&lt;=$F61,$F61&lt;=$H61),0,1),0)</f>
        <v>0</v>
      </c>
      <c r="M61" s="10" t="n">
        <f aca="false">IF(AND(OR($I61="Analogy",$I61="Assumed"),OR($G61="",$H61="")),1,0)</f>
        <v>0</v>
      </c>
    </row>
    <row r="62" customFormat="false" ht="15" hidden="false" customHeight="false" outlineLevel="0" collapsed="false">
      <c r="A62" s="10" t="s">
        <v>4982</v>
      </c>
      <c r="B62" s="10" t="s">
        <v>4983</v>
      </c>
      <c r="C62" s="10" t="s">
        <v>4984</v>
      </c>
      <c r="D62" s="10" t="s">
        <v>2121</v>
      </c>
      <c r="E62" s="11" t="s">
        <v>4705</v>
      </c>
      <c r="F62" s="12" t="n">
        <v>0.2</v>
      </c>
      <c r="G62" s="12" t="n">
        <v>0.1</v>
      </c>
      <c r="H62" s="12" t="n">
        <v>0.3</v>
      </c>
      <c r="I62" s="10" t="s">
        <v>4835</v>
      </c>
      <c r="J62" s="11" t="s">
        <v>4985</v>
      </c>
      <c r="K62" s="10" t="s">
        <v>4986</v>
      </c>
      <c r="L62" s="10" t="n">
        <f aca="false">IF(AND(ISNUMBER($F62),ISNUMBER($G62),ISNUMBER($H62)),IF(AND($G62&lt;=$F62,$F62&lt;=$H62),0,1),0)</f>
        <v>0</v>
      </c>
      <c r="M62" s="10" t="n">
        <f aca="false">IF(AND(OR($I62="Analogy",$I62="Assumed"),OR($G62="",$H62="")),1,0)</f>
        <v>0</v>
      </c>
    </row>
    <row r="63" customFormat="false" ht="15" hidden="false" customHeight="false" outlineLevel="0" collapsed="false">
      <c r="A63" s="10" t="s">
        <v>4987</v>
      </c>
      <c r="B63" s="10" t="s">
        <v>4988</v>
      </c>
      <c r="C63" s="10" t="s">
        <v>4989</v>
      </c>
      <c r="D63" s="10" t="s">
        <v>4877</v>
      </c>
      <c r="E63" s="11" t="s">
        <v>4882</v>
      </c>
      <c r="F63" s="12" t="n">
        <v>0</v>
      </c>
      <c r="G63" s="12" t="n">
        <v>-0.2</v>
      </c>
      <c r="H63" s="12" t="n">
        <v>0.2</v>
      </c>
      <c r="I63" s="10" t="s">
        <v>4835</v>
      </c>
      <c r="J63" s="10" t="s">
        <v>4990</v>
      </c>
      <c r="K63" s="10" t="s">
        <v>4991</v>
      </c>
      <c r="L63" s="10" t="n">
        <f aca="false">IF(AND(ISNUMBER($F63),ISNUMBER($G63),ISNUMBER($H63)),IF(AND($G63&lt;=$F63,$F63&lt;=$H63),0,1),0)</f>
        <v>0</v>
      </c>
      <c r="M63" s="10" t="n">
        <f aca="false">IF(AND(OR($I63="Analogy",$I63="Assumed"),OR($G63="",$H63="")),1,0)</f>
        <v>0</v>
      </c>
    </row>
    <row r="64" customFormat="false" ht="15" hidden="false" customHeight="false" outlineLevel="0" collapsed="false">
      <c r="A64" s="10" t="s">
        <v>4992</v>
      </c>
      <c r="B64" s="10" t="s">
        <v>4993</v>
      </c>
      <c r="C64" s="10" t="s">
        <v>4994</v>
      </c>
      <c r="D64" s="10" t="s">
        <v>2121</v>
      </c>
      <c r="E64" s="11" t="s">
        <v>4705</v>
      </c>
      <c r="F64" s="12" t="n">
        <v>0.15</v>
      </c>
      <c r="G64" s="12" t="n">
        <v>0.05</v>
      </c>
      <c r="H64" s="12" t="n">
        <v>0.4</v>
      </c>
      <c r="I64" s="10" t="s">
        <v>4835</v>
      </c>
      <c r="J64" s="11" t="s">
        <v>4995</v>
      </c>
      <c r="K64" s="10" t="s">
        <v>4965</v>
      </c>
      <c r="L64" s="10" t="n">
        <f aca="false">IF(AND(ISNUMBER($F64),ISNUMBER($G64),ISNUMBER($H64)),IF(AND($G64&lt;=$F64,$F64&lt;=$H64),0,1),0)</f>
        <v>0</v>
      </c>
      <c r="M64" s="10" t="n">
        <f aca="false">IF(AND(OR($I64="Analogy",$I64="Assumed"),OR($G64="",$H64="")),1,0)</f>
        <v>0</v>
      </c>
    </row>
    <row r="65" customFormat="false" ht="15" hidden="false" customHeight="false" outlineLevel="0" collapsed="false">
      <c r="A65" s="10" t="s">
        <v>4996</v>
      </c>
      <c r="B65" s="10" t="s">
        <v>4997</v>
      </c>
      <c r="C65" s="10" t="s">
        <v>4998</v>
      </c>
      <c r="D65" s="10" t="s">
        <v>2121</v>
      </c>
      <c r="E65" s="11" t="s">
        <v>1534</v>
      </c>
      <c r="F65" s="12" t="n">
        <v>17.5</v>
      </c>
      <c r="G65" s="12" t="n">
        <v>15</v>
      </c>
      <c r="H65" s="12" t="n">
        <v>20</v>
      </c>
      <c r="I65" s="10" t="s">
        <v>636</v>
      </c>
      <c r="J65" s="10" t="s">
        <v>4999</v>
      </c>
      <c r="K65" s="10" t="s">
        <v>5000</v>
      </c>
      <c r="L65" s="10" t="n">
        <f aca="false">IF(AND(ISNUMBER($F65),ISNUMBER($G65),ISNUMBER($H65)),IF(AND($G65&lt;=$F65,$F65&lt;=$H65),0,1),0)</f>
        <v>0</v>
      </c>
      <c r="M65" s="10" t="n">
        <f aca="false">IF(AND(OR($I65="Analogy",$I65="Assumed"),OR($G65="",$H65="")),1,0)</f>
        <v>0</v>
      </c>
    </row>
    <row r="66" customFormat="false" ht="15" hidden="false" customHeight="false" outlineLevel="0" collapsed="false">
      <c r="A66" s="10" t="s">
        <v>5001</v>
      </c>
      <c r="B66" s="10" t="s">
        <v>5002</v>
      </c>
      <c r="C66" s="10" t="s">
        <v>5003</v>
      </c>
      <c r="D66" s="10" t="s">
        <v>2121</v>
      </c>
      <c r="E66" s="10" t="s">
        <v>5004</v>
      </c>
      <c r="F66" s="12" t="n">
        <v>20</v>
      </c>
      <c r="G66" s="12" t="n">
        <v>10</v>
      </c>
      <c r="H66" s="12" t="n">
        <v>40</v>
      </c>
      <c r="I66" s="10" t="s">
        <v>4835</v>
      </c>
      <c r="J66" s="11" t="s">
        <v>5005</v>
      </c>
      <c r="K66" s="10" t="s">
        <v>5006</v>
      </c>
      <c r="L66" s="10" t="n">
        <f aca="false">IF(AND(ISNUMBER($F66),ISNUMBER($G66),ISNUMBER($H66)),IF(AND($G66&lt;=$F66,$F66&lt;=$H66),0,1),0)</f>
        <v>0</v>
      </c>
      <c r="M66" s="10" t="n">
        <f aca="false">IF(AND(OR($I66="Analogy",$I66="Assumed"),OR($G66="",$H66="")),1,0)</f>
        <v>0</v>
      </c>
    </row>
    <row r="67" customFormat="false" ht="15" hidden="false" customHeight="false" outlineLevel="0" collapsed="false">
      <c r="A67" s="10" t="s">
        <v>5007</v>
      </c>
      <c r="B67" s="10" t="s">
        <v>5008</v>
      </c>
      <c r="C67" s="10" t="s">
        <v>5009</v>
      </c>
      <c r="D67" s="10" t="s">
        <v>2121</v>
      </c>
      <c r="E67" s="11" t="s">
        <v>4705</v>
      </c>
      <c r="F67" s="12" t="n">
        <v>0.9</v>
      </c>
      <c r="G67" s="12" t="n">
        <v>0.7</v>
      </c>
      <c r="H67" s="12" t="n">
        <v>1</v>
      </c>
      <c r="I67" s="10" t="s">
        <v>4835</v>
      </c>
      <c r="J67" s="10" t="s">
        <v>5010</v>
      </c>
      <c r="K67" s="10" t="s">
        <v>5011</v>
      </c>
      <c r="L67" s="10" t="n">
        <f aca="false">IF(AND(ISNUMBER($F67),ISNUMBER($G67),ISNUMBER($H67)),IF(AND($G67&lt;=$F67,$F67&lt;=$H67),0,1),0)</f>
        <v>0</v>
      </c>
      <c r="M67" s="10" t="n">
        <f aca="false">IF(AND(OR($I67="Analogy",$I67="Assumed"),OR($G67="",$H67="")),1,0)</f>
        <v>0</v>
      </c>
    </row>
    <row r="68" customFormat="false" ht="15" hidden="false" customHeight="false" outlineLevel="0" collapsed="false">
      <c r="A68" s="10" t="s">
        <v>5012</v>
      </c>
      <c r="B68" s="10" t="s">
        <v>5013</v>
      </c>
      <c r="C68" s="11" t="s">
        <v>5014</v>
      </c>
      <c r="D68" s="10" t="s">
        <v>4383</v>
      </c>
      <c r="E68" s="11" t="s">
        <v>5015</v>
      </c>
      <c r="F68" s="12" t="n">
        <v>10</v>
      </c>
      <c r="G68" s="12" t="n">
        <v>3</v>
      </c>
      <c r="H68" s="12" t="n">
        <v>30</v>
      </c>
      <c r="I68" s="10" t="s">
        <v>4835</v>
      </c>
      <c r="J68" s="10" t="s">
        <v>5016</v>
      </c>
      <c r="K68" s="10" t="s">
        <v>5017</v>
      </c>
      <c r="L68" s="10" t="n">
        <f aca="false">IF(AND(ISNUMBER($F68),ISNUMBER($G68),ISNUMBER($H68)),IF(AND($G68&lt;=$F68,$F68&lt;=$H68),0,1),0)</f>
        <v>0</v>
      </c>
      <c r="M68" s="10" t="n">
        <f aca="false">IF(AND(OR($I68="Analogy",$I68="Assumed"),OR($G68="",$H68="")),1,0)</f>
        <v>0</v>
      </c>
    </row>
    <row r="69" customFormat="false" ht="15" hidden="false" customHeight="false" outlineLevel="0" collapsed="false">
      <c r="A69" s="10" t="s">
        <v>5018</v>
      </c>
      <c r="B69" s="10" t="s">
        <v>5019</v>
      </c>
      <c r="C69" s="11" t="s">
        <v>5020</v>
      </c>
      <c r="D69" s="10" t="s">
        <v>5021</v>
      </c>
      <c r="E69" s="11" t="s">
        <v>4882</v>
      </c>
      <c r="F69" s="12" t="n">
        <v>0.1</v>
      </c>
      <c r="G69" s="12" t="n">
        <v>-0.2</v>
      </c>
      <c r="H69" s="12" t="n">
        <v>0.5</v>
      </c>
      <c r="I69" s="10" t="s">
        <v>4835</v>
      </c>
      <c r="J69" s="11" t="s">
        <v>5022</v>
      </c>
      <c r="K69" s="10" t="s">
        <v>5023</v>
      </c>
      <c r="L69" s="10" t="n">
        <f aca="false">IF(AND(ISNUMBER($F69),ISNUMBER($G69),ISNUMBER($H69)),IF(AND($G69&lt;=$F69,$F69&lt;=$H69),0,1),0)</f>
        <v>0</v>
      </c>
      <c r="M69" s="10" t="n">
        <f aca="false">IF(AND(OR($I69="Analogy",$I69="Assumed"),OR($G69="",$H69="")),1,0)</f>
        <v>0</v>
      </c>
    </row>
    <row r="70" customFormat="false" ht="15" hidden="false" customHeight="false" outlineLevel="0" collapsed="false">
      <c r="A70" s="10" t="s">
        <v>5024</v>
      </c>
      <c r="B70" s="10" t="s">
        <v>5025</v>
      </c>
      <c r="C70" s="11" t="s">
        <v>5026</v>
      </c>
      <c r="D70" s="10" t="s">
        <v>2121</v>
      </c>
      <c r="E70" s="11" t="s">
        <v>5027</v>
      </c>
      <c r="F70" s="12" t="n">
        <v>1</v>
      </c>
      <c r="G70" s="12" t="n">
        <v>0.3</v>
      </c>
      <c r="H70" s="12" t="n">
        <v>3</v>
      </c>
      <c r="I70" s="10" t="s">
        <v>1308</v>
      </c>
      <c r="J70" s="10" t="s">
        <v>5028</v>
      </c>
      <c r="K70" s="10" t="s">
        <v>5029</v>
      </c>
      <c r="L70" s="10" t="n">
        <f aca="false">IF(AND(ISNUMBER($F70),ISNUMBER($G70),ISNUMBER($H70)),IF(AND($G70&lt;=$F70,$F70&lt;=$H70),0,1),0)</f>
        <v>0</v>
      </c>
      <c r="M70" s="10" t="n">
        <f aca="false">IF(AND(OR($I70="Analogy",$I70="Assumed"),OR($G70="",$H70="")),1,0)</f>
        <v>0</v>
      </c>
    </row>
    <row r="71" customFormat="false" ht="15" hidden="false" customHeight="false" outlineLevel="0" collapsed="false">
      <c r="A71" s="10" t="s">
        <v>5030</v>
      </c>
      <c r="B71" s="10" t="s">
        <v>5031</v>
      </c>
      <c r="C71" s="11" t="s">
        <v>5032</v>
      </c>
      <c r="D71" s="10" t="s">
        <v>2121</v>
      </c>
      <c r="E71" s="10" t="s">
        <v>4892</v>
      </c>
      <c r="F71" s="12" t="n">
        <v>3</v>
      </c>
      <c r="G71" s="12" t="n">
        <v>1</v>
      </c>
      <c r="H71" s="12" t="n">
        <v>10</v>
      </c>
      <c r="I71" s="10" t="s">
        <v>1308</v>
      </c>
      <c r="J71" s="10" t="s">
        <v>5033</v>
      </c>
      <c r="K71" s="10" t="s">
        <v>5034</v>
      </c>
      <c r="L71" s="10" t="n">
        <f aca="false">IF(AND(ISNUMBER($F71),ISNUMBER($G71),ISNUMBER($H71)),IF(AND($G71&lt;=$F71,$F71&lt;=$H71),0,1),0)</f>
        <v>0</v>
      </c>
      <c r="M71" s="10" t="n">
        <f aca="false">IF(AND(OR($I71="Analogy",$I71="Assumed"),OR($G71="",$H71="")),1,0)</f>
        <v>0</v>
      </c>
    </row>
    <row r="72" customFormat="false" ht="15" hidden="false" customHeight="false" outlineLevel="0" collapsed="false">
      <c r="A72" s="10" t="s">
        <v>5035</v>
      </c>
      <c r="B72" s="10" t="s">
        <v>5036</v>
      </c>
      <c r="C72" s="11" t="s">
        <v>5037</v>
      </c>
      <c r="D72" s="10" t="s">
        <v>2121</v>
      </c>
      <c r="E72" s="11" t="s">
        <v>4705</v>
      </c>
      <c r="F72" s="12" t="n">
        <v>0.3</v>
      </c>
      <c r="G72" s="12" t="n">
        <v>0.1</v>
      </c>
      <c r="H72" s="12" t="n">
        <v>0.6</v>
      </c>
      <c r="I72" s="10" t="s">
        <v>4835</v>
      </c>
      <c r="J72" s="11" t="s">
        <v>5038</v>
      </c>
      <c r="K72" s="10" t="s">
        <v>4962</v>
      </c>
      <c r="L72" s="10" t="n">
        <f aca="false">IF(AND(ISNUMBER($F72),ISNUMBER($G72),ISNUMBER($H72)),IF(AND($G72&lt;=$F72,$F72&lt;=$H72),0,1),0)</f>
        <v>0</v>
      </c>
      <c r="M72" s="10" t="n">
        <f aca="false">IF(AND(OR($I72="Analogy",$I72="Assumed"),OR($G72="",$H72="")),1,0)</f>
        <v>0</v>
      </c>
    </row>
    <row r="73" customFormat="false" ht="15" hidden="false" customHeight="false" outlineLevel="0" collapsed="false">
      <c r="A73" s="10" t="s">
        <v>5039</v>
      </c>
      <c r="B73" s="10" t="s">
        <v>5040</v>
      </c>
      <c r="C73" s="11" t="s">
        <v>5041</v>
      </c>
      <c r="D73" s="10" t="s">
        <v>4767</v>
      </c>
      <c r="E73" s="11" t="s">
        <v>4705</v>
      </c>
      <c r="F73" s="12" t="n">
        <v>0</v>
      </c>
      <c r="G73" s="12" t="n">
        <v>0</v>
      </c>
      <c r="H73" s="12" t="n">
        <v>1</v>
      </c>
      <c r="I73" s="10" t="s">
        <v>4835</v>
      </c>
      <c r="J73" s="10" t="s">
        <v>5042</v>
      </c>
      <c r="K73" s="10" t="s">
        <v>5043</v>
      </c>
      <c r="L73" s="10" t="n">
        <f aca="false">IF(AND(ISNUMBER($F73),ISNUMBER($G73),ISNUMBER($H73)),IF(AND($G73&lt;=$F73,$F73&lt;=$H73),0,1),0)</f>
        <v>0</v>
      </c>
      <c r="M73" s="10" t="n">
        <f aca="false">IF(AND(OR($I73="Analogy",$I73="Assumed"),OR($G73="",$H73="")),1,0)</f>
        <v>0</v>
      </c>
    </row>
    <row r="74" customFormat="false" ht="15" hidden="false" customHeight="false" outlineLevel="0" collapsed="false">
      <c r="A74" s="10" t="s">
        <v>5044</v>
      </c>
      <c r="B74" s="10" t="s">
        <v>5045</v>
      </c>
      <c r="C74" s="11" t="s">
        <v>5046</v>
      </c>
      <c r="D74" s="10" t="s">
        <v>4877</v>
      </c>
      <c r="E74" s="11" t="s">
        <v>4882</v>
      </c>
      <c r="F74" s="12" t="n">
        <v>0</v>
      </c>
      <c r="G74" s="12" t="n">
        <v>-0.2</v>
      </c>
      <c r="H74" s="12" t="n">
        <v>0.2</v>
      </c>
      <c r="I74" s="10" t="s">
        <v>4835</v>
      </c>
      <c r="J74" s="11" t="s">
        <v>5047</v>
      </c>
      <c r="K74" s="11" t="s">
        <v>5048</v>
      </c>
      <c r="L74" s="10" t="n">
        <f aca="false">IF(AND(ISNUMBER($F74),ISNUMBER($G74),ISNUMBER($H74)),IF(AND($G74&lt;=$F74,$F74&lt;=$H74),0,1),0)</f>
        <v>0</v>
      </c>
      <c r="M74" s="10" t="n">
        <f aca="false">IF(AND(OR($I74="Analogy",$I74="Assumed"),OR($G74="",$H74="")),1,0)</f>
        <v>0</v>
      </c>
    </row>
    <row r="75" customFormat="false" ht="15" hidden="false" customHeight="false" outlineLevel="0" collapsed="false">
      <c r="A75" s="10" t="s">
        <v>5049</v>
      </c>
      <c r="B75" s="10" t="s">
        <v>5050</v>
      </c>
      <c r="C75" s="11" t="s">
        <v>5051</v>
      </c>
      <c r="D75" s="11" t="s">
        <v>5052</v>
      </c>
      <c r="E75" s="10" t="s">
        <v>63</v>
      </c>
      <c r="F75" s="12" t="n">
        <v>0</v>
      </c>
      <c r="G75" s="12" t="n">
        <v>0</v>
      </c>
      <c r="H75" s="12" t="n">
        <v>0</v>
      </c>
      <c r="I75" s="10" t="s">
        <v>4736</v>
      </c>
      <c r="J75" s="11" t="s">
        <v>5053</v>
      </c>
      <c r="K75" s="11" t="s">
        <v>5054</v>
      </c>
      <c r="L75" s="10" t="n">
        <f aca="false">IF(AND(ISNUMBER($F75),ISNUMBER($G75),ISNUMBER($H75)),IF(AND($G75&lt;=$F75,$F75&lt;=$H75),0,1),0)</f>
        <v>0</v>
      </c>
      <c r="M75" s="10" t="n">
        <f aca="false">IF(AND(OR($I75="Analogy",$I75="Assumed"),OR($G75="",$H75="")),1,0)</f>
        <v>0</v>
      </c>
    </row>
    <row r="76" customFormat="false" ht="15" hidden="false" customHeight="false" outlineLevel="0" collapsed="false">
      <c r="A76" s="10" t="s">
        <v>5055</v>
      </c>
      <c r="B76" s="10" t="s">
        <v>5056</v>
      </c>
      <c r="C76" s="10" t="s">
        <v>5057</v>
      </c>
      <c r="D76" s="10" t="s">
        <v>2121</v>
      </c>
      <c r="E76" s="11" t="s">
        <v>4705</v>
      </c>
      <c r="F76" s="12" t="n">
        <v>0.25</v>
      </c>
      <c r="G76" s="12" t="n">
        <v>0.25</v>
      </c>
      <c r="H76" s="12" t="n">
        <v>0.25</v>
      </c>
      <c r="I76" s="10" t="s">
        <v>4736</v>
      </c>
      <c r="J76" s="11" t="s">
        <v>5058</v>
      </c>
      <c r="K76" s="11" t="s">
        <v>5059</v>
      </c>
      <c r="L76" s="10" t="n">
        <f aca="false">IF(AND(ISNUMBER($F76),ISNUMBER($G76),ISNUMBER($H76)),IF(AND($G76&lt;=$F76,$F76&lt;=$H76),0,1),0)</f>
        <v>0</v>
      </c>
      <c r="M76" s="10" t="n">
        <f aca="false">IF(AND(OR($I76="Analogy",$I76="Assumed"),OR($G76="",$H76="")),1,0)</f>
        <v>0</v>
      </c>
    </row>
    <row r="77" customFormat="false" ht="15" hidden="false" customHeight="false" outlineLevel="0" collapsed="false">
      <c r="A77" s="10" t="s">
        <v>5060</v>
      </c>
      <c r="B77" s="10" t="s">
        <v>5061</v>
      </c>
      <c r="C77" s="11" t="s">
        <v>5062</v>
      </c>
      <c r="D77" s="10" t="s">
        <v>2121</v>
      </c>
      <c r="E77" s="10" t="s">
        <v>2121</v>
      </c>
      <c r="F77" s="12" t="n">
        <v>1000000</v>
      </c>
      <c r="G77" s="12" t="n">
        <v>1000000</v>
      </c>
      <c r="H77" s="12" t="n">
        <v>1000000</v>
      </c>
      <c r="I77" s="10" t="s">
        <v>4736</v>
      </c>
      <c r="J77" s="10" t="s">
        <v>5063</v>
      </c>
      <c r="K77" s="11" t="s">
        <v>4738</v>
      </c>
      <c r="L77" s="10" t="n">
        <f aca="false">IF(AND(ISNUMBER($F77),ISNUMBER($G77),ISNUMBER($H77)),IF(AND($G77&lt;=$F77,$F77&lt;=$H77),0,1),0)</f>
        <v>0</v>
      </c>
      <c r="M77" s="10" t="n">
        <f aca="false">IF(AND(OR($I77="Analogy",$I77="Assumed"),OR($G77="",$H77="")),1,0)</f>
        <v>0</v>
      </c>
    </row>
    <row r="78" customFormat="false" ht="15" hidden="false" customHeight="false" outlineLevel="0" collapsed="false">
      <c r="A78" s="10" t="s">
        <v>5064</v>
      </c>
      <c r="B78" s="10" t="s">
        <v>5065</v>
      </c>
      <c r="C78" s="11" t="s">
        <v>5066</v>
      </c>
      <c r="D78" s="10" t="s">
        <v>2121</v>
      </c>
      <c r="E78" s="10" t="s">
        <v>5067</v>
      </c>
      <c r="F78" s="12" t="n">
        <v>1000000</v>
      </c>
      <c r="G78" s="12" t="n">
        <v>1000000</v>
      </c>
      <c r="H78" s="12" t="n">
        <v>1000000</v>
      </c>
      <c r="I78" s="10" t="s">
        <v>4736</v>
      </c>
      <c r="J78" s="11" t="s">
        <v>4738</v>
      </c>
      <c r="K78" s="11" t="s">
        <v>4738</v>
      </c>
      <c r="L78" s="10" t="n">
        <f aca="false">IF(AND(ISNUMBER($F78),ISNUMBER($G78),ISNUMBER($H78)),IF(AND($G78&lt;=$F78,$F78&lt;=$H78),0,1),0)</f>
        <v>0</v>
      </c>
      <c r="M78" s="10" t="n">
        <f aca="false">IF(AND(OR($I78="Analogy",$I78="Assumed"),OR($G78="",$H78="")),1,0)</f>
        <v>0</v>
      </c>
    </row>
    <row r="79" customFormat="false" ht="15" hidden="false" customHeight="false" outlineLevel="0" collapsed="false">
      <c r="A79" s="10" t="s">
        <v>5068</v>
      </c>
      <c r="B79" s="10" t="s">
        <v>5069</v>
      </c>
      <c r="C79" s="11" t="s">
        <v>5070</v>
      </c>
      <c r="D79" s="10" t="s">
        <v>2121</v>
      </c>
      <c r="E79" s="11" t="s">
        <v>5071</v>
      </c>
      <c r="F79" s="12" t="n">
        <v>8760</v>
      </c>
      <c r="G79" s="12" t="n">
        <v>8760</v>
      </c>
      <c r="H79" s="12" t="n">
        <v>8760</v>
      </c>
      <c r="I79" s="10" t="s">
        <v>4736</v>
      </c>
      <c r="J79" s="10" t="s">
        <v>5072</v>
      </c>
      <c r="K79" s="11" t="s">
        <v>4738</v>
      </c>
      <c r="L79" s="10" t="n">
        <f aca="false">IF(AND(ISNUMBER($F79),ISNUMBER($G79),ISNUMBER($H79)),IF(AND($G79&lt;=$F79,$F79&lt;=$H79),0,1),0)</f>
        <v>0</v>
      </c>
      <c r="M79" s="10" t="n">
        <f aca="false">IF(AND(OR($I79="Analogy",$I79="Assumed"),OR($G79="",$H79="")),1,0)</f>
        <v>0</v>
      </c>
    </row>
    <row r="80" customFormat="false" ht="15" hidden="false" customHeight="false" outlineLevel="0" collapsed="false">
      <c r="A80" s="10" t="s">
        <v>5073</v>
      </c>
      <c r="B80" s="10" t="s">
        <v>5074</v>
      </c>
      <c r="C80" s="11" t="s">
        <v>5075</v>
      </c>
      <c r="D80" s="10" t="s">
        <v>2121</v>
      </c>
      <c r="E80" s="10" t="s">
        <v>2121</v>
      </c>
      <c r="F80" s="12" t="n">
        <v>100000000</v>
      </c>
      <c r="G80" s="12" t="n">
        <v>100000000</v>
      </c>
      <c r="H80" s="12" t="n">
        <v>100000000</v>
      </c>
      <c r="I80" s="10" t="s">
        <v>4736</v>
      </c>
      <c r="J80" s="11" t="s">
        <v>4738</v>
      </c>
      <c r="K80" s="11" t="s">
        <v>4738</v>
      </c>
      <c r="L80" s="10" t="n">
        <f aca="false">IF(AND(ISNUMBER($F80),ISNUMBER($G80),ISNUMBER($H80)),IF(AND($G80&lt;=$F80,$F80&lt;=$H80),0,1),0)</f>
        <v>0</v>
      </c>
      <c r="M80" s="10" t="n">
        <f aca="false">IF(AND(OR($I80="Analogy",$I80="Assumed"),OR($G80="",$H80="")),1,0)</f>
        <v>0</v>
      </c>
    </row>
    <row r="81" customFormat="false" ht="15" hidden="false" customHeight="false" outlineLevel="0" collapsed="false">
      <c r="A81" s="10" t="s">
        <v>5076</v>
      </c>
      <c r="B81" s="10" t="s">
        <v>5077</v>
      </c>
      <c r="C81" s="11" t="s">
        <v>5078</v>
      </c>
      <c r="D81" s="10" t="s">
        <v>2121</v>
      </c>
      <c r="E81" s="10" t="s">
        <v>2121</v>
      </c>
      <c r="F81" s="12" t="n">
        <v>1000000000</v>
      </c>
      <c r="G81" s="12" t="n">
        <v>1000000000</v>
      </c>
      <c r="H81" s="12" t="n">
        <v>1000000000</v>
      </c>
      <c r="I81" s="10" t="s">
        <v>4736</v>
      </c>
      <c r="J81" s="10" t="s">
        <v>5079</v>
      </c>
      <c r="K81" s="11" t="s">
        <v>4738</v>
      </c>
      <c r="L81" s="10" t="n">
        <f aca="false">IF(AND(ISNUMBER($F81),ISNUMBER($G81),ISNUMBER($H81)),IF(AND($G81&lt;=$F81,$F81&lt;=$H81),0,1),0)</f>
        <v>0</v>
      </c>
      <c r="M81" s="10" t="n">
        <f aca="false">IF(AND(OR($I81="Analogy",$I81="Assumed"),OR($G81="",$H81="")),1,0)</f>
        <v>0</v>
      </c>
    </row>
    <row r="82" customFormat="false" ht="15" hidden="false" customHeight="false" outlineLevel="0" collapsed="false">
      <c r="A82" s="10" t="s">
        <v>5080</v>
      </c>
      <c r="B82" s="10" t="s">
        <v>5081</v>
      </c>
      <c r="C82" s="10" t="s">
        <v>5082</v>
      </c>
      <c r="D82" s="10" t="s">
        <v>2121</v>
      </c>
      <c r="E82" s="11" t="s">
        <v>1709</v>
      </c>
      <c r="F82" s="12" t="n">
        <v>0.1</v>
      </c>
      <c r="G82" s="12" t="n">
        <v>0.1</v>
      </c>
      <c r="H82" s="12" t="n">
        <v>0.1</v>
      </c>
      <c r="I82" s="10" t="s">
        <v>4736</v>
      </c>
      <c r="J82" s="11" t="s">
        <v>5083</v>
      </c>
      <c r="K82" s="11" t="s">
        <v>4738</v>
      </c>
      <c r="L82" s="10" t="n">
        <f aca="false">IF(AND(ISNUMBER($F82),ISNUMBER($G82),ISNUMBER($H82)),IF(AND($G82&lt;=$F82,$F82&lt;=$H82),0,1),0)</f>
        <v>0</v>
      </c>
      <c r="M82" s="10" t="n">
        <f aca="false">IF(AND(OR($I82="Analogy",$I82="Assumed"),OR($G82="",$H82="")),1,0)</f>
        <v>0</v>
      </c>
    </row>
    <row r="83" customFormat="false" ht="15" hidden="false" customHeight="false" outlineLevel="0" collapsed="false">
      <c r="A83" s="10" t="s">
        <v>5084</v>
      </c>
      <c r="B83" s="10" t="s">
        <v>5085</v>
      </c>
      <c r="C83" s="10" t="s">
        <v>5086</v>
      </c>
      <c r="D83" s="10" t="s">
        <v>2121</v>
      </c>
      <c r="E83" s="11" t="s">
        <v>1709</v>
      </c>
      <c r="F83" s="12" t="n">
        <v>1</v>
      </c>
      <c r="G83" s="12" t="n">
        <v>1</v>
      </c>
      <c r="H83" s="12" t="n">
        <v>1</v>
      </c>
      <c r="I83" s="10" t="s">
        <v>4736</v>
      </c>
      <c r="J83" s="10" t="s">
        <v>5087</v>
      </c>
      <c r="K83" s="11" t="s">
        <v>4738</v>
      </c>
      <c r="L83" s="10" t="n">
        <f aca="false">IF(AND(ISNUMBER($F83),ISNUMBER($G83),ISNUMBER($H83)),IF(AND($G83&lt;=$F83,$F83&lt;=$H83),0,1),0)</f>
        <v>0</v>
      </c>
      <c r="M83" s="10" t="n">
        <f aca="false">IF(AND(OR($I83="Analogy",$I83="Assumed"),OR($G83="",$H83="")),1,0)</f>
        <v>0</v>
      </c>
    </row>
    <row r="84" customFormat="false" ht="15" hidden="false" customHeight="false" outlineLevel="0" collapsed="false">
      <c r="A84" s="10" t="s">
        <v>5088</v>
      </c>
      <c r="B84" s="10" t="s">
        <v>5089</v>
      </c>
      <c r="C84" s="11" t="s">
        <v>5090</v>
      </c>
      <c r="D84" s="10" t="s">
        <v>2121</v>
      </c>
      <c r="E84" s="11" t="s">
        <v>4705</v>
      </c>
      <c r="F84" s="12" t="n">
        <v>0.5</v>
      </c>
      <c r="G84" s="12" t="n">
        <v>0.5</v>
      </c>
      <c r="H84" s="12" t="n">
        <v>0.5</v>
      </c>
      <c r="I84" s="10" t="s">
        <v>4736</v>
      </c>
      <c r="J84" s="11" t="s">
        <v>5091</v>
      </c>
      <c r="K84" s="11" t="s">
        <v>5048</v>
      </c>
      <c r="L84" s="10" t="n">
        <f aca="false">IF(AND(ISNUMBER($F84),ISNUMBER($G84),ISNUMBER($H84)),IF(AND($G84&lt;=$F84,$F84&lt;=$H84),0,1),0)</f>
        <v>0</v>
      </c>
      <c r="M84" s="10" t="n">
        <f aca="false">IF(AND(OR($I84="Analogy",$I84="Assumed"),OR($G84="",$H84="")),1,0)</f>
        <v>0</v>
      </c>
    </row>
    <row r="85" customFormat="false" ht="15" hidden="false" customHeight="false" outlineLevel="0" collapsed="false">
      <c r="A85" s="10" t="s">
        <v>5092</v>
      </c>
      <c r="B85" s="10" t="s">
        <v>5093</v>
      </c>
      <c r="C85" s="10" t="s">
        <v>5094</v>
      </c>
      <c r="D85" s="11" t="s">
        <v>5052</v>
      </c>
      <c r="E85" s="11" t="s">
        <v>1709</v>
      </c>
      <c r="F85" s="12" t="n">
        <v>0.34</v>
      </c>
      <c r="G85" s="12" t="n">
        <v>0.26</v>
      </c>
      <c r="H85" s="12" t="n">
        <v>0.42</v>
      </c>
      <c r="I85" s="10" t="s">
        <v>1308</v>
      </c>
      <c r="J85" s="10" t="s">
        <v>5095</v>
      </c>
      <c r="K85" s="10" t="s">
        <v>5000</v>
      </c>
      <c r="L85" s="10" t="n">
        <f aca="false">IF(AND(ISNUMBER($F85),ISNUMBER($G85),ISNUMBER($H85)),IF(AND($G85&lt;=$F85,$F85&lt;=$H85),0,1),0)</f>
        <v>0</v>
      </c>
      <c r="M85" s="10" t="n">
        <f aca="false">IF(AND(OR($I85="Analogy",$I85="Assumed"),OR($G85="",$H85="")),1,0)</f>
        <v>0</v>
      </c>
    </row>
    <row r="86" customFormat="false" ht="15" hidden="false" customHeight="false" outlineLevel="0" collapsed="false">
      <c r="A86" s="10" t="s">
        <v>5096</v>
      </c>
      <c r="B86" s="10" t="s">
        <v>5097</v>
      </c>
      <c r="C86" s="11" t="s">
        <v>5098</v>
      </c>
      <c r="D86" s="11" t="s">
        <v>5052</v>
      </c>
      <c r="E86" s="11" t="s">
        <v>1709</v>
      </c>
      <c r="F86" s="12" t="n">
        <v>0.6</v>
      </c>
      <c r="G86" s="12" t="n">
        <v>0.4</v>
      </c>
      <c r="H86" s="12" t="n">
        <v>0.9</v>
      </c>
      <c r="I86" s="10" t="s">
        <v>1308</v>
      </c>
      <c r="J86" s="11" t="s">
        <v>5099</v>
      </c>
      <c r="K86" s="11" t="s">
        <v>5100</v>
      </c>
      <c r="L86" s="10" t="n">
        <f aca="false">IF(AND(ISNUMBER($F86),ISNUMBER($G86),ISNUMBER($H86)),IF(AND($G86&lt;=$F86,$F86&lt;=$H86),0,1),0)</f>
        <v>0</v>
      </c>
      <c r="M86" s="10" t="n">
        <f aca="false">IF(AND(OR($I86="Analogy",$I86="Assumed"),OR($G86="",$H86="")),1,0)</f>
        <v>0</v>
      </c>
    </row>
    <row r="87" customFormat="false" ht="15" hidden="false" customHeight="false" outlineLevel="0" collapsed="false">
      <c r="A87" s="10" t="s">
        <v>5101</v>
      </c>
      <c r="B87" s="10" t="s">
        <v>5102</v>
      </c>
      <c r="C87" s="11" t="s">
        <v>5103</v>
      </c>
      <c r="D87" s="10" t="s">
        <v>4383</v>
      </c>
      <c r="E87" s="11" t="s">
        <v>4705</v>
      </c>
      <c r="F87" s="12" t="n">
        <v>0.3</v>
      </c>
      <c r="G87" s="12" t="n">
        <v>0.1</v>
      </c>
      <c r="H87" s="12" t="n">
        <v>0.5</v>
      </c>
      <c r="I87" s="10" t="s">
        <v>4835</v>
      </c>
      <c r="J87" s="11" t="s">
        <v>5104</v>
      </c>
      <c r="K87" s="10" t="s">
        <v>4981</v>
      </c>
      <c r="L87" s="10" t="n">
        <f aca="false">IF(AND(ISNUMBER($F87),ISNUMBER($G87),ISNUMBER($H87)),IF(AND($G87&lt;=$F87,$F87&lt;=$H87),0,1),0)</f>
        <v>0</v>
      </c>
      <c r="M87" s="10" t="n">
        <f aca="false">IF(AND(OR($I87="Analogy",$I87="Assumed"),OR($G87="",$H87="")),1,0)</f>
        <v>0</v>
      </c>
    </row>
    <row r="88" customFormat="false" ht="15" hidden="false" customHeight="false" outlineLevel="0" collapsed="false">
      <c r="A88" s="10" t="s">
        <v>5105</v>
      </c>
      <c r="B88" s="10" t="s">
        <v>5106</v>
      </c>
      <c r="C88" s="11" t="s">
        <v>5103</v>
      </c>
      <c r="D88" s="10" t="s">
        <v>1908</v>
      </c>
      <c r="E88" s="11" t="s">
        <v>4705</v>
      </c>
      <c r="F88" s="12" t="n">
        <v>0.6</v>
      </c>
      <c r="G88" s="12" t="n">
        <v>0.4</v>
      </c>
      <c r="H88" s="12" t="n">
        <v>0.8</v>
      </c>
      <c r="I88" s="10" t="s">
        <v>4835</v>
      </c>
      <c r="J88" s="11" t="s">
        <v>5107</v>
      </c>
      <c r="K88" s="10" t="s">
        <v>4870</v>
      </c>
      <c r="L88" s="10" t="n">
        <f aca="false">IF(AND(ISNUMBER($F88),ISNUMBER($G88),ISNUMBER($H88)),IF(AND($G88&lt;=$F88,$F88&lt;=$H88),0,1),0)</f>
        <v>0</v>
      </c>
      <c r="M88" s="10" t="n">
        <f aca="false">IF(AND(OR($I88="Analogy",$I88="Assumed"),OR($G88="",$H88="")),1,0)</f>
        <v>0</v>
      </c>
    </row>
    <row r="89" customFormat="false" ht="15" hidden="false" customHeight="false" outlineLevel="0" collapsed="false">
      <c r="A89" s="10" t="s">
        <v>5108</v>
      </c>
      <c r="B89" s="10" t="s">
        <v>5109</v>
      </c>
      <c r="C89" s="11" t="s">
        <v>5103</v>
      </c>
      <c r="D89" s="10" t="s">
        <v>4666</v>
      </c>
      <c r="E89" s="11" t="s">
        <v>4705</v>
      </c>
      <c r="F89" s="12" t="n">
        <v>0.75</v>
      </c>
      <c r="G89" s="12" t="n">
        <v>0.5</v>
      </c>
      <c r="H89" s="12" t="n">
        <v>0.9</v>
      </c>
      <c r="I89" s="10" t="s">
        <v>4835</v>
      </c>
      <c r="J89" s="11" t="s">
        <v>5110</v>
      </c>
      <c r="K89" s="10" t="s">
        <v>5111</v>
      </c>
      <c r="L89" s="10" t="n">
        <f aca="false">IF(AND(ISNUMBER($F89),ISNUMBER($G89),ISNUMBER($H89)),IF(AND($G89&lt;=$F89,$F89&lt;=$H89),0,1),0)</f>
        <v>0</v>
      </c>
      <c r="M89" s="10" t="n">
        <f aca="false">IF(AND(OR($I89="Analogy",$I89="Assumed"),OR($G89="",$H89="")),1,0)</f>
        <v>0</v>
      </c>
    </row>
    <row r="90" customFormat="false" ht="15" hidden="false" customHeight="false" outlineLevel="0" collapsed="false">
      <c r="A90" s="10" t="s">
        <v>5112</v>
      </c>
      <c r="B90" s="10" t="s">
        <v>5113</v>
      </c>
      <c r="C90" s="11" t="s">
        <v>5103</v>
      </c>
      <c r="D90" s="10" t="s">
        <v>4667</v>
      </c>
      <c r="E90" s="11" t="s">
        <v>4705</v>
      </c>
      <c r="F90" s="12" t="n">
        <v>0.85</v>
      </c>
      <c r="G90" s="12" t="n">
        <v>0.6</v>
      </c>
      <c r="H90" s="12" t="n">
        <v>0.95</v>
      </c>
      <c r="I90" s="10" t="s">
        <v>4835</v>
      </c>
      <c r="J90" s="11" t="s">
        <v>1095</v>
      </c>
      <c r="K90" s="10" t="s">
        <v>5114</v>
      </c>
      <c r="L90" s="10" t="n">
        <f aca="false">IF(AND(ISNUMBER($F90),ISNUMBER($G90),ISNUMBER($H90)),IF(AND($G90&lt;=$F90,$F90&lt;=$H90),0,1),0)</f>
        <v>0</v>
      </c>
      <c r="M90" s="10" t="n">
        <f aca="false">IF(AND(OR($I90="Analogy",$I90="Assumed"),OR($G90="",$H90="")),1,0)</f>
        <v>0</v>
      </c>
    </row>
    <row r="91" customFormat="false" ht="15" hidden="false" customHeight="false" outlineLevel="0" collapsed="false">
      <c r="A91" s="10" t="s">
        <v>5115</v>
      </c>
      <c r="B91" s="10" t="s">
        <v>5116</v>
      </c>
      <c r="C91" s="11" t="s">
        <v>5103</v>
      </c>
      <c r="D91" s="10" t="s">
        <v>4668</v>
      </c>
      <c r="E91" s="11" t="s">
        <v>4705</v>
      </c>
      <c r="F91" s="12" t="n">
        <v>0.9</v>
      </c>
      <c r="G91" s="12" t="n">
        <v>0.7</v>
      </c>
      <c r="H91" s="12" t="n">
        <v>1</v>
      </c>
      <c r="I91" s="10" t="s">
        <v>4835</v>
      </c>
      <c r="J91" s="11" t="s">
        <v>1095</v>
      </c>
      <c r="K91" s="10" t="s">
        <v>5011</v>
      </c>
      <c r="L91" s="10" t="n">
        <f aca="false">IF(AND(ISNUMBER($F91),ISNUMBER($G91),ISNUMBER($H91)),IF(AND($G91&lt;=$F91,$F91&lt;=$H91),0,1),0)</f>
        <v>0</v>
      </c>
      <c r="M91" s="10" t="n">
        <f aca="false">IF(AND(OR($I91="Analogy",$I91="Assumed"),OR($G91="",$H91="")),1,0)</f>
        <v>0</v>
      </c>
    </row>
    <row r="92" customFormat="false" ht="15" hidden="false" customHeight="false" outlineLevel="0" collapsed="false">
      <c r="A92" s="10" t="s">
        <v>5117</v>
      </c>
      <c r="B92" s="10" t="s">
        <v>5118</v>
      </c>
      <c r="C92" s="11" t="s">
        <v>5103</v>
      </c>
      <c r="D92" s="10" t="s">
        <v>4669</v>
      </c>
      <c r="E92" s="11" t="s">
        <v>4705</v>
      </c>
      <c r="F92" s="12" t="n">
        <v>0.95</v>
      </c>
      <c r="G92" s="12" t="n">
        <v>0.75</v>
      </c>
      <c r="H92" s="12" t="n">
        <v>1</v>
      </c>
      <c r="I92" s="10" t="s">
        <v>4835</v>
      </c>
      <c r="J92" s="11" t="s">
        <v>1095</v>
      </c>
      <c r="K92" s="10" t="s">
        <v>5119</v>
      </c>
      <c r="L92" s="10" t="n">
        <f aca="false">IF(AND(ISNUMBER($F92),ISNUMBER($G92),ISNUMBER($H92)),IF(AND($G92&lt;=$F92,$F92&lt;=$H92),0,1),0)</f>
        <v>0</v>
      </c>
      <c r="M92" s="10" t="n">
        <f aca="false">IF(AND(OR($I92="Analogy",$I92="Assumed"),OR($G92="",$H92="")),1,0)</f>
        <v>0</v>
      </c>
    </row>
    <row r="93" customFormat="false" ht="15" hidden="false" customHeight="false" outlineLevel="0" collapsed="false">
      <c r="A93" s="10" t="s">
        <v>5120</v>
      </c>
      <c r="B93" s="10" t="s">
        <v>5121</v>
      </c>
      <c r="C93" s="10" t="s">
        <v>5122</v>
      </c>
      <c r="D93" s="10" t="s">
        <v>4383</v>
      </c>
      <c r="E93" s="11" t="s">
        <v>4705</v>
      </c>
      <c r="F93" s="12" t="n">
        <v>0.2</v>
      </c>
      <c r="G93" s="12" t="n">
        <v>0.1</v>
      </c>
      <c r="H93" s="12" t="n">
        <v>0.4</v>
      </c>
      <c r="I93" s="10" t="s">
        <v>4835</v>
      </c>
      <c r="J93" s="10" t="s">
        <v>5123</v>
      </c>
      <c r="K93" s="10" t="s">
        <v>4865</v>
      </c>
      <c r="L93" s="10" t="n">
        <f aca="false">IF(AND(ISNUMBER($F93),ISNUMBER($G93),ISNUMBER($H93)),IF(AND($G93&lt;=$F93,$F93&lt;=$H93),0,1),0)</f>
        <v>0</v>
      </c>
      <c r="M93" s="10" t="n">
        <f aca="false">IF(AND(OR($I93="Analogy",$I93="Assumed"),OR($G93="",$H93="")),1,0)</f>
        <v>0</v>
      </c>
    </row>
    <row r="94" customFormat="false" ht="15" hidden="false" customHeight="false" outlineLevel="0" collapsed="false">
      <c r="A94" s="10" t="s">
        <v>5124</v>
      </c>
      <c r="B94" s="10" t="s">
        <v>5125</v>
      </c>
      <c r="C94" s="10" t="s">
        <v>5122</v>
      </c>
      <c r="D94" s="10" t="s">
        <v>1908</v>
      </c>
      <c r="E94" s="11" t="s">
        <v>4705</v>
      </c>
      <c r="F94" s="12" t="n">
        <v>0.15</v>
      </c>
      <c r="G94" s="12" t="n">
        <v>0.05</v>
      </c>
      <c r="H94" s="12" t="n">
        <v>0.3</v>
      </c>
      <c r="I94" s="10" t="s">
        <v>4835</v>
      </c>
      <c r="J94" s="11" t="s">
        <v>5126</v>
      </c>
      <c r="K94" s="10" t="s">
        <v>4949</v>
      </c>
      <c r="L94" s="10" t="n">
        <f aca="false">IF(AND(ISNUMBER($F94),ISNUMBER($G94),ISNUMBER($H94)),IF(AND($G94&lt;=$F94,$F94&lt;=$H94),0,1),0)</f>
        <v>0</v>
      </c>
      <c r="M94" s="10" t="n">
        <f aca="false">IF(AND(OR($I94="Analogy",$I94="Assumed"),OR($G94="",$H94="")),1,0)</f>
        <v>0</v>
      </c>
    </row>
    <row r="95" customFormat="false" ht="15" hidden="false" customHeight="false" outlineLevel="0" collapsed="false">
      <c r="A95" s="10" t="s">
        <v>5127</v>
      </c>
      <c r="B95" s="10" t="s">
        <v>5128</v>
      </c>
      <c r="C95" s="10" t="s">
        <v>5122</v>
      </c>
      <c r="D95" s="10" t="s">
        <v>4666</v>
      </c>
      <c r="E95" s="11" t="s">
        <v>4705</v>
      </c>
      <c r="F95" s="12" t="n">
        <v>0.1</v>
      </c>
      <c r="G95" s="12" t="n">
        <v>0</v>
      </c>
      <c r="H95" s="12" t="n">
        <v>0.2</v>
      </c>
      <c r="I95" s="10" t="s">
        <v>4835</v>
      </c>
      <c r="J95" s="11" t="s">
        <v>1095</v>
      </c>
      <c r="K95" s="10" t="s">
        <v>5129</v>
      </c>
      <c r="L95" s="10" t="n">
        <f aca="false">IF(AND(ISNUMBER($F95),ISNUMBER($G95),ISNUMBER($H95)),IF(AND($G95&lt;=$F95,$F95&lt;=$H95),0,1),0)</f>
        <v>0</v>
      </c>
      <c r="M95" s="10" t="n">
        <f aca="false">IF(AND(OR($I95="Analogy",$I95="Assumed"),OR($G95="",$H95="")),1,0)</f>
        <v>0</v>
      </c>
    </row>
    <row r="96" customFormat="false" ht="15" hidden="false" customHeight="false" outlineLevel="0" collapsed="false">
      <c r="A96" s="10" t="s">
        <v>5130</v>
      </c>
      <c r="B96" s="10" t="s">
        <v>5131</v>
      </c>
      <c r="C96" s="10" t="s">
        <v>5122</v>
      </c>
      <c r="D96" s="10" t="s">
        <v>4667</v>
      </c>
      <c r="E96" s="11" t="s">
        <v>4705</v>
      </c>
      <c r="F96" s="12" t="n">
        <v>0.05</v>
      </c>
      <c r="G96" s="12" t="n">
        <v>0</v>
      </c>
      <c r="H96" s="12" t="n">
        <v>0.15</v>
      </c>
      <c r="I96" s="10" t="s">
        <v>4835</v>
      </c>
      <c r="J96" s="11" t="s">
        <v>1095</v>
      </c>
      <c r="K96" s="10" t="s">
        <v>5132</v>
      </c>
      <c r="L96" s="10" t="n">
        <f aca="false">IF(AND(ISNUMBER($F96),ISNUMBER($G96),ISNUMBER($H96)),IF(AND($G96&lt;=$F96,$F96&lt;=$H96),0,1),0)</f>
        <v>0</v>
      </c>
      <c r="M96" s="10" t="n">
        <f aca="false">IF(AND(OR($I96="Analogy",$I96="Assumed"),OR($G96="",$H96="")),1,0)</f>
        <v>0</v>
      </c>
    </row>
    <row r="97" customFormat="false" ht="15" hidden="false" customHeight="false" outlineLevel="0" collapsed="false">
      <c r="A97" s="10" t="s">
        <v>5133</v>
      </c>
      <c r="B97" s="10" t="s">
        <v>5134</v>
      </c>
      <c r="C97" s="10" t="s">
        <v>5122</v>
      </c>
      <c r="D97" s="10" t="s">
        <v>4668</v>
      </c>
      <c r="E97" s="11" t="s">
        <v>4705</v>
      </c>
      <c r="F97" s="12" t="n">
        <v>0.05</v>
      </c>
      <c r="G97" s="12" t="n">
        <v>0</v>
      </c>
      <c r="H97" s="12" t="n">
        <v>0.1</v>
      </c>
      <c r="I97" s="10" t="s">
        <v>4835</v>
      </c>
      <c r="J97" s="11" t="s">
        <v>1095</v>
      </c>
      <c r="K97" s="10" t="s">
        <v>5135</v>
      </c>
      <c r="L97" s="10" t="n">
        <f aca="false">IF(AND(ISNUMBER($F97),ISNUMBER($G97),ISNUMBER($H97)),IF(AND($G97&lt;=$F97,$F97&lt;=$H97),0,1),0)</f>
        <v>0</v>
      </c>
      <c r="M97" s="10" t="n">
        <f aca="false">IF(AND(OR($I97="Analogy",$I97="Assumed"),OR($G97="",$H97="")),1,0)</f>
        <v>0</v>
      </c>
    </row>
    <row r="98" customFormat="false" ht="15" hidden="false" customHeight="false" outlineLevel="0" collapsed="false">
      <c r="A98" s="10" t="s">
        <v>5136</v>
      </c>
      <c r="B98" s="10" t="s">
        <v>5137</v>
      </c>
      <c r="C98" s="10" t="s">
        <v>5122</v>
      </c>
      <c r="D98" s="10" t="s">
        <v>4669</v>
      </c>
      <c r="E98" s="11" t="s">
        <v>4705</v>
      </c>
      <c r="F98" s="12" t="n">
        <v>0</v>
      </c>
      <c r="G98" s="12" t="n">
        <v>0</v>
      </c>
      <c r="H98" s="12" t="n">
        <v>0.1</v>
      </c>
      <c r="I98" s="10" t="s">
        <v>4835</v>
      </c>
      <c r="J98" s="11" t="s">
        <v>1095</v>
      </c>
      <c r="K98" s="10" t="s">
        <v>5135</v>
      </c>
      <c r="L98" s="10" t="n">
        <f aca="false">IF(AND(ISNUMBER($F98),ISNUMBER($G98),ISNUMBER($H98)),IF(AND($G98&lt;=$F98,$F98&lt;=$H98),0,1),0)</f>
        <v>0</v>
      </c>
      <c r="M98" s="10" t="n">
        <f aca="false">IF(AND(OR($I98="Analogy",$I98="Assumed"),OR($G98="",$H98="")),1,0)</f>
        <v>0</v>
      </c>
    </row>
    <row r="99" customFormat="false" ht="15" hidden="false" customHeight="false" outlineLevel="0" collapsed="false">
      <c r="A99" s="10" t="s">
        <v>5138</v>
      </c>
      <c r="B99" s="10" t="s">
        <v>5139</v>
      </c>
      <c r="C99" s="11" t="s">
        <v>5140</v>
      </c>
      <c r="D99" s="11" t="s">
        <v>5052</v>
      </c>
      <c r="E99" s="10" t="s">
        <v>5141</v>
      </c>
      <c r="F99" s="12" t="n">
        <v>1.393</v>
      </c>
      <c r="G99" s="12" t="n">
        <v>1.2</v>
      </c>
      <c r="H99" s="12" t="n">
        <v>1.6</v>
      </c>
      <c r="I99" s="10" t="s">
        <v>1308</v>
      </c>
      <c r="J99" s="10" t="s">
        <v>5142</v>
      </c>
      <c r="K99" s="10" t="s">
        <v>5143</v>
      </c>
      <c r="L99" s="10" t="n">
        <f aca="false">IF(AND(ISNUMBER($F99),ISNUMBER($G99),ISNUMBER($H99)),IF(AND($G99&lt;=$F99,$F99&lt;=$H99),0,1),0)</f>
        <v>0</v>
      </c>
      <c r="M99" s="10" t="n">
        <f aca="false">IF(AND(OR($I99="Analogy",$I99="Assumed"),OR($G99="",$H99="")),1,0)</f>
        <v>0</v>
      </c>
    </row>
    <row r="100" customFormat="false" ht="15" hidden="false" customHeight="false" outlineLevel="0" collapsed="false">
      <c r="A100" s="10" t="s">
        <v>5144</v>
      </c>
      <c r="B100" s="10" t="s">
        <v>5145</v>
      </c>
      <c r="C100" s="11" t="s">
        <v>5146</v>
      </c>
      <c r="D100" s="11" t="s">
        <v>5052</v>
      </c>
      <c r="E100" s="10" t="s">
        <v>5141</v>
      </c>
      <c r="F100" s="12" t="n">
        <v>1.09</v>
      </c>
      <c r="G100" s="12" t="n">
        <v>0.9</v>
      </c>
      <c r="H100" s="12" t="n">
        <v>1.393</v>
      </c>
      <c r="I100" s="10" t="s">
        <v>1308</v>
      </c>
      <c r="J100" s="10" t="s">
        <v>5147</v>
      </c>
      <c r="K100" s="10" t="s">
        <v>5148</v>
      </c>
      <c r="L100" s="10" t="n">
        <f aca="false">IF(AND(ISNUMBER($F100),ISNUMBER($G100),ISNUMBER($H100)),IF(AND($G100&lt;=$F100,$F100&lt;=$H100),0,1),0)</f>
        <v>0</v>
      </c>
      <c r="M100" s="10" t="n">
        <f aca="false">IF(AND(OR($I100="Analogy",$I100="Assumed"),OR($G100="",$H100="")),1,0)</f>
        <v>0</v>
      </c>
    </row>
    <row r="101" customFormat="false" ht="15" hidden="false" customHeight="false" outlineLevel="0" collapsed="false">
      <c r="A101" s="10" t="s">
        <v>5149</v>
      </c>
      <c r="B101" s="10" t="s">
        <v>5150</v>
      </c>
      <c r="C101" s="11" t="s">
        <v>5151</v>
      </c>
      <c r="D101" s="11" t="s">
        <v>5052</v>
      </c>
      <c r="E101" s="10" t="s">
        <v>5141</v>
      </c>
      <c r="F101" s="12" t="n">
        <v>1</v>
      </c>
      <c r="G101" s="12" t="n">
        <v>0.65</v>
      </c>
      <c r="H101" s="12" t="n">
        <v>1.4</v>
      </c>
      <c r="I101" s="10" t="s">
        <v>1308</v>
      </c>
      <c r="J101" s="11" t="s">
        <v>5152</v>
      </c>
      <c r="K101" s="10" t="s">
        <v>5153</v>
      </c>
      <c r="L101" s="10" t="n">
        <f aca="false">IF(AND(ISNUMBER($F101),ISNUMBER($G101),ISNUMBER($H101)),IF(AND($G101&lt;=$F101,$F101&lt;=$H101),0,1),0)</f>
        <v>0</v>
      </c>
      <c r="M101" s="10" t="n">
        <f aca="false">IF(AND(OR($I101="Analogy",$I101="Assumed"),OR($G101="",$H101="")),1,0)</f>
        <v>0</v>
      </c>
    </row>
    <row r="102" customFormat="false" ht="15" hidden="false" customHeight="false" outlineLevel="0" collapsed="false">
      <c r="A102" s="10" t="s">
        <v>5154</v>
      </c>
      <c r="B102" s="10" t="s">
        <v>5155</v>
      </c>
      <c r="C102" s="11" t="s">
        <v>5156</v>
      </c>
      <c r="D102" s="11" t="s">
        <v>5052</v>
      </c>
      <c r="E102" s="11" t="s">
        <v>1709</v>
      </c>
      <c r="F102" s="12" t="n">
        <v>1.5</v>
      </c>
      <c r="G102" s="12" t="n">
        <v>1</v>
      </c>
      <c r="H102" s="12" t="n">
        <v>2</v>
      </c>
      <c r="I102" s="10" t="s">
        <v>4835</v>
      </c>
      <c r="J102" s="11" t="s">
        <v>5157</v>
      </c>
      <c r="K102" s="10" t="s">
        <v>5158</v>
      </c>
      <c r="L102" s="10" t="n">
        <f aca="false">IF(AND(ISNUMBER($F102),ISNUMBER($G102),ISNUMBER($H102)),IF(AND($G102&lt;=$F102,$F102&lt;=$H102),0,1),0)</f>
        <v>0</v>
      </c>
      <c r="M102" s="10" t="n">
        <f aca="false">IF(AND(OR($I102="Analogy",$I102="Assumed"),OR($G102="",$H102="")),1,0)</f>
        <v>0</v>
      </c>
    </row>
    <row r="103" customFormat="false" ht="15" hidden="false" customHeight="false" outlineLevel="0" collapsed="false">
      <c r="A103" s="10" t="s">
        <v>5159</v>
      </c>
      <c r="B103" s="10" t="s">
        <v>5160</v>
      </c>
      <c r="C103" s="11" t="s">
        <v>5161</v>
      </c>
      <c r="D103" s="10" t="s">
        <v>4928</v>
      </c>
      <c r="E103" s="11" t="s">
        <v>4882</v>
      </c>
      <c r="F103" s="12" t="n">
        <v>-0.1</v>
      </c>
      <c r="G103" s="12" t="n">
        <v>-0.25</v>
      </c>
      <c r="H103" s="12" t="n">
        <v>0</v>
      </c>
      <c r="I103" s="10" t="s">
        <v>4835</v>
      </c>
      <c r="J103" s="11" t="s">
        <v>5162</v>
      </c>
      <c r="K103" s="11" t="s">
        <v>5048</v>
      </c>
      <c r="L103" s="10" t="n">
        <f aca="false">IF(AND(ISNUMBER($F103),ISNUMBER($G103),ISNUMBER($H103)),IF(AND($G103&lt;=$F103,$F103&lt;=$H103),0,1),0)</f>
        <v>0</v>
      </c>
      <c r="M103" s="10" t="n">
        <f aca="false">IF(AND(OR($I103="Analogy",$I103="Assumed"),OR($G103="",$H103="")),1,0)</f>
        <v>0</v>
      </c>
    </row>
    <row r="104" customFormat="false" ht="15" hidden="false" customHeight="false" outlineLevel="0" collapsed="false">
      <c r="A104" s="10" t="s">
        <v>5163</v>
      </c>
      <c r="B104" s="10" t="s">
        <v>5164</v>
      </c>
      <c r="C104" s="10" t="s">
        <v>5165</v>
      </c>
      <c r="D104" s="10" t="s">
        <v>2121</v>
      </c>
      <c r="E104" s="11" t="s">
        <v>1709</v>
      </c>
      <c r="F104" s="12" t="n">
        <v>1.3</v>
      </c>
      <c r="G104" s="12" t="n">
        <v>1.15</v>
      </c>
      <c r="H104" s="12" t="n">
        <v>1.5</v>
      </c>
      <c r="I104" s="10" t="s">
        <v>1308</v>
      </c>
      <c r="J104" s="11" t="s">
        <v>5166</v>
      </c>
      <c r="K104" s="11" t="s">
        <v>5048</v>
      </c>
      <c r="L104" s="10" t="n">
        <f aca="false">IF(AND(ISNUMBER($F104),ISNUMBER($G104),ISNUMBER($H104)),IF(AND($G104&lt;=$F104,$F104&lt;=$H104),0,1),0)</f>
        <v>0</v>
      </c>
      <c r="M104" s="10" t="n">
        <f aca="false">IF(AND(OR($I104="Analogy",$I104="Assumed"),OR($G104="",$H104="")),1,0)</f>
        <v>0</v>
      </c>
    </row>
    <row r="105" customFormat="false" ht="15" hidden="false" customHeight="false" outlineLevel="0" collapsed="false">
      <c r="A105" s="10" t="s">
        <v>5167</v>
      </c>
      <c r="B105" s="10" t="s">
        <v>5168</v>
      </c>
      <c r="C105" s="11" t="s">
        <v>5169</v>
      </c>
      <c r="D105" s="10" t="s">
        <v>5170</v>
      </c>
      <c r="E105" s="11" t="s">
        <v>4705</v>
      </c>
      <c r="F105" s="12" t="n">
        <v>1</v>
      </c>
      <c r="G105" s="12" t="n">
        <v>0.22</v>
      </c>
      <c r="H105" s="12" t="n">
        <v>1</v>
      </c>
      <c r="I105" s="10" t="s">
        <v>636</v>
      </c>
      <c r="J105" s="11" t="s">
        <v>5171</v>
      </c>
      <c r="K105" s="10" t="s">
        <v>5172</v>
      </c>
      <c r="L105" s="10" t="n">
        <f aca="false">IF(AND(ISNUMBER($F105),ISNUMBER($G105),ISNUMBER($H105)),IF(AND($G105&lt;=$F105,$F105&lt;=$H105),0,1),0)</f>
        <v>0</v>
      </c>
      <c r="M105" s="10" t="n">
        <f aca="false">IF(AND(OR($I105="Analogy",$I105="Assumed"),OR($G105="",$H105="")),1,0)</f>
        <v>0</v>
      </c>
    </row>
    <row r="106" customFormat="false" ht="15" hidden="false" customHeight="false" outlineLevel="0" collapsed="false">
      <c r="A106" s="10" t="s">
        <v>5173</v>
      </c>
      <c r="B106" s="10" t="s">
        <v>5174</v>
      </c>
      <c r="C106" s="11" t="s">
        <v>5175</v>
      </c>
      <c r="D106" s="10" t="s">
        <v>5170</v>
      </c>
      <c r="E106" s="11" t="s">
        <v>4705</v>
      </c>
      <c r="F106" s="12" t="n">
        <v>0.707</v>
      </c>
      <c r="G106" s="12" t="n">
        <v>0.6</v>
      </c>
      <c r="H106" s="12" t="n">
        <v>0.8</v>
      </c>
      <c r="I106" s="10" t="s">
        <v>1308</v>
      </c>
      <c r="J106" s="11" t="s">
        <v>5176</v>
      </c>
      <c r="K106" s="11" t="s">
        <v>5177</v>
      </c>
      <c r="L106" s="10" t="n">
        <f aca="false">IF(AND(ISNUMBER($F106),ISNUMBER($G106),ISNUMBER($H106)),IF(AND($G106&lt;=$F106,$F106&lt;=$H106),0,1),0)</f>
        <v>0</v>
      </c>
      <c r="M106" s="10" t="n">
        <f aca="false">IF(AND(OR($I106="Analogy",$I106="Assumed"),OR($G106="",$H106="")),1,0)</f>
        <v>0</v>
      </c>
    </row>
    <row r="107" customFormat="false" ht="15" hidden="false" customHeight="false" outlineLevel="0" collapsed="false">
      <c r="A107" s="10" t="s">
        <v>5178</v>
      </c>
      <c r="B107" s="10" t="s">
        <v>5179</v>
      </c>
      <c r="C107" s="11" t="s">
        <v>5180</v>
      </c>
      <c r="D107" s="10" t="s">
        <v>5170</v>
      </c>
      <c r="E107" s="11" t="s">
        <v>4705</v>
      </c>
      <c r="F107" s="12" t="n">
        <v>0.744</v>
      </c>
      <c r="G107" s="12" t="n">
        <v>0.5</v>
      </c>
      <c r="H107" s="12" t="n">
        <v>0.9</v>
      </c>
      <c r="I107" s="10" t="s">
        <v>1308</v>
      </c>
      <c r="J107" s="11" t="s">
        <v>5181</v>
      </c>
      <c r="K107" s="10" t="s">
        <v>5111</v>
      </c>
      <c r="L107" s="10" t="n">
        <f aca="false">IF(AND(ISNUMBER($F107),ISNUMBER($G107),ISNUMBER($H107)),IF(AND($G107&lt;=$F107,$F107&lt;=$H107),0,1),0)</f>
        <v>0</v>
      </c>
      <c r="M107" s="10" t="n">
        <f aca="false">IF(AND(OR($I107="Analogy",$I107="Assumed"),OR($G107="",$H107="")),1,0)</f>
        <v>0</v>
      </c>
    </row>
    <row r="108" customFormat="false" ht="15" hidden="false" customHeight="false" outlineLevel="0" collapsed="false">
      <c r="A108" s="10" t="s">
        <v>5182</v>
      </c>
      <c r="B108" s="10" t="s">
        <v>5183</v>
      </c>
      <c r="C108" s="10" t="s">
        <v>5184</v>
      </c>
      <c r="D108" s="10" t="s">
        <v>2121</v>
      </c>
      <c r="E108" s="11" t="s">
        <v>5185</v>
      </c>
      <c r="F108" s="12" t="n">
        <v>0</v>
      </c>
      <c r="G108" s="12" t="n">
        <v>0</v>
      </c>
      <c r="H108" s="12" t="n">
        <v>1</v>
      </c>
      <c r="I108" s="10" t="s">
        <v>4736</v>
      </c>
      <c r="J108" s="11" t="s">
        <v>5186</v>
      </c>
      <c r="K108" s="11" t="s">
        <v>5185</v>
      </c>
      <c r="L108" s="10" t="n">
        <f aca="false">IF(AND(ISNUMBER($F108),ISNUMBER($G108),ISNUMBER($H108)),IF(AND($G108&lt;=$F108,$F108&lt;=$H108),0,1),0)</f>
        <v>0</v>
      </c>
      <c r="M108" s="10" t="n">
        <f aca="false">IF(AND(OR($I108="Analogy",$I108="Assumed"),OR($G108="",$H108="")),1,0)</f>
        <v>0</v>
      </c>
    </row>
    <row r="109" customFormat="false" ht="15" hidden="false" customHeight="false" outlineLevel="0" collapsed="false">
      <c r="A109" s="10" t="s">
        <v>5187</v>
      </c>
      <c r="B109" s="10" t="s">
        <v>5188</v>
      </c>
      <c r="C109" s="10" t="s">
        <v>5189</v>
      </c>
      <c r="D109" s="10" t="s">
        <v>2121</v>
      </c>
      <c r="E109" s="11" t="s">
        <v>5185</v>
      </c>
      <c r="F109" s="12" t="n">
        <v>1</v>
      </c>
      <c r="G109" s="12" t="n">
        <v>0</v>
      </c>
      <c r="H109" s="12" t="n">
        <v>1</v>
      </c>
      <c r="I109" s="10" t="s">
        <v>4736</v>
      </c>
      <c r="J109" s="11" t="s">
        <v>5190</v>
      </c>
      <c r="K109" s="11" t="s">
        <v>5185</v>
      </c>
      <c r="L109" s="10" t="n">
        <f aca="false">IF(AND(ISNUMBER($F109),ISNUMBER($G109),ISNUMBER($H109)),IF(AND($G109&lt;=$F109,$F109&lt;=$H109),0,1),0)</f>
        <v>0</v>
      </c>
      <c r="M109" s="10" t="n">
        <f aca="false">IF(AND(OR($I109="Analogy",$I109="Assumed"),OR($G109="",$H109="")),1,0)</f>
        <v>0</v>
      </c>
    </row>
    <row r="110" customFormat="false" ht="15" hidden="false" customHeight="false" outlineLevel="0" collapsed="false">
      <c r="A110" s="10" t="s">
        <v>5191</v>
      </c>
      <c r="B110" s="10" t="s">
        <v>5192</v>
      </c>
      <c r="C110" s="10" t="s">
        <v>5193</v>
      </c>
      <c r="D110" s="10" t="s">
        <v>2121</v>
      </c>
      <c r="E110" s="11" t="s">
        <v>1709</v>
      </c>
      <c r="F110" s="12" t="n">
        <v>1</v>
      </c>
      <c r="G110" s="12" t="n">
        <v>1</v>
      </c>
      <c r="H110" s="12" t="n">
        <v>1</v>
      </c>
      <c r="I110" s="10" t="s">
        <v>4736</v>
      </c>
      <c r="J110" s="11" t="s">
        <v>5194</v>
      </c>
      <c r="K110" s="11" t="s">
        <v>4738</v>
      </c>
      <c r="L110" s="10" t="n">
        <f aca="false">IF(AND(ISNUMBER($F110),ISNUMBER($G110),ISNUMBER($H110)),IF(AND($G110&lt;=$F110,$F110&lt;=$H110),0,1),0)</f>
        <v>0</v>
      </c>
      <c r="M110" s="10" t="n">
        <f aca="false">IF(AND(OR($I110="Analogy",$I110="Assumed"),OR($G110="",$H110="")),1,0)</f>
        <v>0</v>
      </c>
    </row>
    <row r="111" customFormat="false" ht="15" hidden="false" customHeight="false" outlineLevel="0" collapsed="false">
      <c r="A111" s="10" t="s">
        <v>5195</v>
      </c>
      <c r="B111" s="10" t="s">
        <v>5196</v>
      </c>
      <c r="C111" s="10" t="s">
        <v>5197</v>
      </c>
      <c r="D111" s="10" t="s">
        <v>2121</v>
      </c>
      <c r="E111" s="11" t="s">
        <v>2665</v>
      </c>
      <c r="F111" s="12" t="n">
        <v>2030</v>
      </c>
      <c r="G111" s="12" t="n">
        <v>2030</v>
      </c>
      <c r="H111" s="12" t="n">
        <v>2030</v>
      </c>
      <c r="I111" s="10" t="s">
        <v>4736</v>
      </c>
      <c r="J111" s="11" t="s">
        <v>5198</v>
      </c>
      <c r="K111" s="11" t="s">
        <v>4738</v>
      </c>
      <c r="L111" s="10" t="n">
        <f aca="false">IF(AND(ISNUMBER($F111),ISNUMBER($G111),ISNUMBER($H111)),IF(AND($G111&lt;=$F111,$F111&lt;=$H111),0,1),0)</f>
        <v>0</v>
      </c>
      <c r="M111" s="10" t="n">
        <f aca="false">IF(AND(OR($I111="Analogy",$I111="Assumed"),OR($G111="",$H111="")),1,0)</f>
        <v>0</v>
      </c>
    </row>
    <row r="112" customFormat="false" ht="15" hidden="false" customHeight="false" outlineLevel="0" collapsed="false">
      <c r="A112" s="10" t="s">
        <v>5199</v>
      </c>
      <c r="B112" s="10" t="s">
        <v>5200</v>
      </c>
      <c r="C112" s="11" t="s">
        <v>5201</v>
      </c>
      <c r="D112" s="10" t="s">
        <v>4928</v>
      </c>
      <c r="E112" s="11" t="s">
        <v>4705</v>
      </c>
      <c r="F112" s="12" t="n">
        <v>0.1</v>
      </c>
      <c r="G112" s="12" t="n">
        <v>0.05</v>
      </c>
      <c r="H112" s="12" t="n">
        <v>0.2</v>
      </c>
      <c r="I112" s="10" t="s">
        <v>1308</v>
      </c>
      <c r="J112" s="10" t="s">
        <v>5202</v>
      </c>
      <c r="K112" s="10" t="s">
        <v>5203</v>
      </c>
      <c r="L112" s="10" t="n">
        <f aca="false">IF(AND(ISNUMBER($F112),ISNUMBER($G112),ISNUMBER($H112)),IF(AND($G112&lt;=$F112,$F112&lt;=$H112),0,1),0)</f>
        <v>0</v>
      </c>
      <c r="M112" s="10" t="n">
        <f aca="false">IF(AND(OR($I112="Analogy",$I112="Assumed"),OR($G112="",$H112="")),1,0)</f>
        <v>0</v>
      </c>
    </row>
    <row r="113" customFormat="false" ht="15" hidden="false" customHeight="false" outlineLevel="0" collapsed="false">
      <c r="A113" s="10" t="s">
        <v>5204</v>
      </c>
      <c r="B113" s="10" t="s">
        <v>5205</v>
      </c>
      <c r="C113" s="11" t="s">
        <v>5206</v>
      </c>
      <c r="D113" s="10" t="s">
        <v>4928</v>
      </c>
      <c r="E113" s="11" t="s">
        <v>4705</v>
      </c>
      <c r="F113" s="12" t="n">
        <v>0.3</v>
      </c>
      <c r="G113" s="12" t="n">
        <v>0.2</v>
      </c>
      <c r="H113" s="12" t="n">
        <v>0.4</v>
      </c>
      <c r="I113" s="10" t="s">
        <v>1308</v>
      </c>
      <c r="J113" s="10" t="s">
        <v>5207</v>
      </c>
      <c r="K113" s="10" t="s">
        <v>5208</v>
      </c>
      <c r="L113" s="10" t="n">
        <f aca="false">IF(AND(ISNUMBER($F113),ISNUMBER($G113),ISNUMBER($H113)),IF(AND($G113&lt;=$F113,$F113&lt;=$H113),0,1),0)</f>
        <v>0</v>
      </c>
      <c r="M113" s="10" t="n">
        <f aca="false">IF(AND(OR($I113="Analogy",$I113="Assumed"),OR($G113="",$H113="")),1,0)</f>
        <v>0</v>
      </c>
    </row>
    <row r="114" customFormat="false" ht="15" hidden="false" customHeight="false" outlineLevel="0" collapsed="false">
      <c r="A114" s="10" t="s">
        <v>5209</v>
      </c>
      <c r="B114" s="10" t="s">
        <v>5210</v>
      </c>
      <c r="C114" s="11" t="s">
        <v>5211</v>
      </c>
      <c r="D114" s="10" t="s">
        <v>4928</v>
      </c>
      <c r="E114" s="11" t="s">
        <v>5185</v>
      </c>
      <c r="F114" s="12" t="n">
        <v>0</v>
      </c>
      <c r="G114" s="12" t="n">
        <v>0</v>
      </c>
      <c r="H114" s="12" t="n">
        <v>1</v>
      </c>
      <c r="I114" s="10" t="s">
        <v>4736</v>
      </c>
      <c r="J114" s="10" t="s">
        <v>5212</v>
      </c>
      <c r="K114" s="11" t="s">
        <v>5185</v>
      </c>
      <c r="L114" s="10" t="n">
        <f aca="false">IF(AND(ISNUMBER($F114),ISNUMBER($G114),ISNUMBER($H114)),IF(AND($G114&lt;=$F114,$F114&lt;=$H114),0,1),0)</f>
        <v>0</v>
      </c>
      <c r="M114" s="10" t="n">
        <f aca="false">IF(AND(OR($I114="Analogy",$I114="Assumed"),OR($G114="",$H114="")),1,0)</f>
        <v>0</v>
      </c>
    </row>
    <row r="115" customFormat="false" ht="15" hidden="false" customHeight="false" outlineLevel="0" collapsed="false">
      <c r="A115" s="10" t="s">
        <v>5213</v>
      </c>
      <c r="B115" s="10" t="s">
        <v>5214</v>
      </c>
      <c r="C115" s="11" t="s">
        <v>5215</v>
      </c>
      <c r="D115" s="10" t="s">
        <v>4669</v>
      </c>
      <c r="E115" s="11" t="s">
        <v>4705</v>
      </c>
      <c r="F115" s="12" t="n">
        <v>0.5</v>
      </c>
      <c r="G115" s="12" t="n">
        <v>0.3</v>
      </c>
      <c r="H115" s="12" t="n">
        <v>0.7</v>
      </c>
      <c r="I115" s="10" t="s">
        <v>1308</v>
      </c>
      <c r="J115" s="10" t="s">
        <v>5216</v>
      </c>
      <c r="K115" s="10" t="s">
        <v>5217</v>
      </c>
      <c r="L115" s="10" t="n">
        <f aca="false">IF(AND(ISNUMBER($F115),ISNUMBER($G115),ISNUMBER($H115)),IF(AND($G115&lt;=$F115,$F115&lt;=$H115),0,1),0)</f>
        <v>0</v>
      </c>
      <c r="M115" s="10" t="n">
        <f aca="false">IF(AND(OR($I115="Analogy",$I115="Assumed"),OR($G115="",$H115="")),1,0)</f>
        <v>0</v>
      </c>
    </row>
    <row r="116" customFormat="false" ht="15" hidden="false" customHeight="false" outlineLevel="0" collapsed="false">
      <c r="A116" s="10" t="s">
        <v>5218</v>
      </c>
      <c r="B116" s="10" t="s">
        <v>5219</v>
      </c>
      <c r="C116" s="11" t="s">
        <v>5220</v>
      </c>
      <c r="D116" s="10" t="s">
        <v>4877</v>
      </c>
      <c r="E116" s="10" t="s">
        <v>5221</v>
      </c>
      <c r="F116" s="12" t="n">
        <v>0</v>
      </c>
      <c r="G116" s="12" t="n">
        <v>0</v>
      </c>
      <c r="H116" s="12" t="n">
        <v>50</v>
      </c>
      <c r="I116" s="10" t="s">
        <v>4835</v>
      </c>
      <c r="J116" s="11" t="s">
        <v>5222</v>
      </c>
      <c r="K116" s="10" t="s">
        <v>5223</v>
      </c>
      <c r="L116" s="10" t="n">
        <f aca="false">IF(AND(ISNUMBER($F116),ISNUMBER($G116),ISNUMBER($H116)),IF(AND($G116&lt;=$F116,$F116&lt;=$H116),0,1),0)</f>
        <v>0</v>
      </c>
      <c r="M116" s="10" t="n">
        <f aca="false">IF(AND(OR($I116="Analogy",$I116="Assumed"),OR($G116="",$H116="")),1,0)</f>
        <v>0</v>
      </c>
    </row>
    <row r="117" customFormat="false" ht="15" hidden="false" customHeight="false" outlineLevel="0" collapsed="false">
      <c r="A117" s="10" t="s">
        <v>5224</v>
      </c>
      <c r="B117" s="10" t="s">
        <v>5225</v>
      </c>
      <c r="C117" s="11" t="s">
        <v>5226</v>
      </c>
      <c r="D117" s="10" t="s">
        <v>2121</v>
      </c>
      <c r="E117" s="11" t="s">
        <v>5185</v>
      </c>
      <c r="F117" s="12" t="n">
        <v>0</v>
      </c>
      <c r="G117" s="12" t="n">
        <v>0</v>
      </c>
      <c r="H117" s="12" t="n">
        <v>1</v>
      </c>
      <c r="I117" s="10" t="s">
        <v>4736</v>
      </c>
      <c r="J117" s="11" t="s">
        <v>5227</v>
      </c>
      <c r="K117" s="11" t="s">
        <v>5185</v>
      </c>
      <c r="L117" s="10" t="n">
        <f aca="false">IF(AND(ISNUMBER($F117),ISNUMBER($G117),ISNUMBER($H117)),IF(AND($G117&lt;=$F117,$F117&lt;=$H117),0,1),0)</f>
        <v>0</v>
      </c>
      <c r="M117" s="10" t="n">
        <f aca="false">IF(AND(OR($I117="Analogy",$I117="Assumed"),OR($G117="",$H117="")),1,0)</f>
        <v>0</v>
      </c>
    </row>
    <row r="118" customFormat="false" ht="15" hidden="false" customHeight="false" outlineLevel="0" collapsed="false">
      <c r="A118" s="10" t="s">
        <v>5228</v>
      </c>
      <c r="B118" s="10" t="s">
        <v>5229</v>
      </c>
      <c r="C118" s="10" t="s">
        <v>5230</v>
      </c>
      <c r="D118" s="10" t="s">
        <v>2121</v>
      </c>
      <c r="E118" s="11" t="s">
        <v>2665</v>
      </c>
      <c r="F118" s="12" t="n">
        <v>2028</v>
      </c>
      <c r="G118" s="12" t="n">
        <v>2027</v>
      </c>
      <c r="H118" s="12" t="n">
        <v>2030</v>
      </c>
      <c r="I118" s="10" t="s">
        <v>4835</v>
      </c>
      <c r="J118" s="11" t="s">
        <v>5231</v>
      </c>
      <c r="K118" s="10" t="s">
        <v>5232</v>
      </c>
      <c r="L118" s="10" t="n">
        <f aca="false">IF(AND(ISNUMBER($F118),ISNUMBER($G118),ISNUMBER($H118)),IF(AND($G118&lt;=$F118,$F118&lt;=$H118),0,1),0)</f>
        <v>0</v>
      </c>
      <c r="M118" s="10" t="n">
        <f aca="false">IF(AND(OR($I118="Analogy",$I118="Assumed"),OR($G118="",$H118="")),1,0)</f>
        <v>0</v>
      </c>
    </row>
    <row r="119" customFormat="false" ht="15" hidden="false" customHeight="false" outlineLevel="0" collapsed="false">
      <c r="A119" s="10" t="s">
        <v>5233</v>
      </c>
      <c r="B119" s="10" t="s">
        <v>5234</v>
      </c>
      <c r="C119" s="10" t="s">
        <v>5235</v>
      </c>
      <c r="D119" s="11" t="s">
        <v>5052</v>
      </c>
      <c r="E119" s="11" t="s">
        <v>1709</v>
      </c>
      <c r="F119" s="12" t="n">
        <v>0.6</v>
      </c>
      <c r="G119" s="12" t="n">
        <v>0.4</v>
      </c>
      <c r="H119" s="12" t="n">
        <v>0.8</v>
      </c>
      <c r="I119" s="10" t="s">
        <v>1308</v>
      </c>
      <c r="J119" s="11" t="s">
        <v>5236</v>
      </c>
      <c r="K119" s="10" t="s">
        <v>4870</v>
      </c>
      <c r="L119" s="10" t="n">
        <f aca="false">IF(AND(ISNUMBER($F119),ISNUMBER($G119),ISNUMBER($H119)),IF(AND($G119&lt;=$F119,$F119&lt;=$H119),0,1),0)</f>
        <v>0</v>
      </c>
      <c r="M119" s="10" t="n">
        <f aca="false">IF(AND(OR($I119="Analogy",$I119="Assumed"),OR($G119="",$H119="")),1,0)</f>
        <v>0</v>
      </c>
    </row>
    <row r="120" customFormat="false" ht="15" hidden="false" customHeight="false" outlineLevel="0" collapsed="false">
      <c r="A120" s="10" t="s">
        <v>5237</v>
      </c>
      <c r="B120" s="10" t="s">
        <v>5238</v>
      </c>
      <c r="C120" s="11" t="s">
        <v>5239</v>
      </c>
      <c r="D120" s="11" t="s">
        <v>5052</v>
      </c>
      <c r="E120" s="11" t="s">
        <v>1709</v>
      </c>
      <c r="F120" s="12" t="n">
        <v>0.6</v>
      </c>
      <c r="G120" s="12" t="n">
        <v>0.4</v>
      </c>
      <c r="H120" s="12" t="n">
        <v>0.9</v>
      </c>
      <c r="I120" s="10" t="s">
        <v>1308</v>
      </c>
      <c r="J120" s="11" t="s">
        <v>5240</v>
      </c>
      <c r="K120" s="10" t="s">
        <v>5241</v>
      </c>
      <c r="L120" s="10" t="n">
        <f aca="false">IF(AND(ISNUMBER($F120),ISNUMBER($G120),ISNUMBER($H120)),IF(AND($G120&lt;=$F120,$F120&lt;=$H120),0,1),0)</f>
        <v>0</v>
      </c>
      <c r="M120" s="10" t="n">
        <f aca="false">IF(AND(OR($I120="Analogy",$I120="Assumed"),OR($G120="",$H120="")),1,0)</f>
        <v>0</v>
      </c>
    </row>
    <row r="121" customFormat="false" ht="15" hidden="false" customHeight="false" outlineLevel="0" collapsed="false">
      <c r="A121" s="10" t="s">
        <v>5242</v>
      </c>
      <c r="B121" s="10" t="s">
        <v>5243</v>
      </c>
      <c r="C121" s="11" t="s">
        <v>5244</v>
      </c>
      <c r="D121" s="10" t="s">
        <v>4767</v>
      </c>
      <c r="E121" s="11" t="s">
        <v>4898</v>
      </c>
      <c r="F121" s="12" t="n">
        <v>0</v>
      </c>
      <c r="G121" s="12" t="n">
        <v>-0.1</v>
      </c>
      <c r="H121" s="12" t="n">
        <v>0.15</v>
      </c>
      <c r="I121" s="10" t="s">
        <v>4835</v>
      </c>
      <c r="J121" s="11" t="s">
        <v>5245</v>
      </c>
      <c r="K121" s="10" t="s">
        <v>5246</v>
      </c>
      <c r="L121" s="10" t="n">
        <f aca="false">IF(AND(ISNUMBER($F121),ISNUMBER($G121),ISNUMBER($H121)),IF(AND($G121&lt;=$F121,$F121&lt;=$H121),0,1),0)</f>
        <v>0</v>
      </c>
      <c r="M121" s="10" t="n">
        <f aca="false">IF(AND(OR($I121="Analogy",$I121="Assumed"),OR($G121="",$H121="")),1,0)</f>
        <v>0</v>
      </c>
    </row>
    <row r="122" customFormat="false" ht="15" hidden="false" customHeight="false" outlineLevel="0" collapsed="false">
      <c r="A122" s="10" t="s">
        <v>5247</v>
      </c>
      <c r="B122" s="10" t="s">
        <v>5248</v>
      </c>
      <c r="C122" s="11" t="s">
        <v>5249</v>
      </c>
      <c r="D122" s="10" t="s">
        <v>4877</v>
      </c>
      <c r="E122" s="11" t="s">
        <v>4882</v>
      </c>
      <c r="F122" s="12" t="n">
        <v>0.1</v>
      </c>
      <c r="G122" s="12" t="n">
        <v>0</v>
      </c>
      <c r="H122" s="12" t="n">
        <v>0.3</v>
      </c>
      <c r="I122" s="10" t="s">
        <v>4835</v>
      </c>
      <c r="J122" s="10" t="s">
        <v>5250</v>
      </c>
      <c r="K122" s="10" t="s">
        <v>4905</v>
      </c>
      <c r="L122" s="10" t="n">
        <f aca="false">IF(AND(ISNUMBER($F122),ISNUMBER($G122),ISNUMBER($H122)),IF(AND($G122&lt;=$F122,$F122&lt;=$H122),0,1),0)</f>
        <v>0</v>
      </c>
      <c r="M122" s="10" t="n">
        <f aca="false">IF(AND(OR($I122="Analogy",$I122="Assumed"),OR($G122="",$H122="")),1,0)</f>
        <v>0</v>
      </c>
    </row>
    <row r="123" customFormat="false" ht="15" hidden="false" customHeight="false" outlineLevel="0" collapsed="false">
      <c r="A123" s="10" t="s">
        <v>5251</v>
      </c>
      <c r="B123" s="10" t="s">
        <v>5252</v>
      </c>
      <c r="C123" s="11" t="s">
        <v>5253</v>
      </c>
      <c r="D123" s="10" t="s">
        <v>4928</v>
      </c>
      <c r="E123" s="11" t="s">
        <v>4882</v>
      </c>
      <c r="F123" s="12" t="n">
        <v>0.03</v>
      </c>
      <c r="G123" s="12" t="n">
        <v>0</v>
      </c>
      <c r="H123" s="12" t="n">
        <v>0.08</v>
      </c>
      <c r="I123" s="10" t="s">
        <v>1308</v>
      </c>
      <c r="J123" s="10" t="s">
        <v>5254</v>
      </c>
      <c r="K123" s="11" t="s">
        <v>4860</v>
      </c>
      <c r="L123" s="10" t="n">
        <f aca="false">IF(AND(ISNUMBER($F123),ISNUMBER($G123),ISNUMBER($H123)),IF(AND($G123&lt;=$F123,$F123&lt;=$H123),0,1),0)</f>
        <v>0</v>
      </c>
      <c r="M123" s="10" t="n">
        <f aca="false">IF(AND(OR($I123="Analogy",$I123="Assumed"),OR($G123="",$H123="")),1,0)</f>
        <v>0</v>
      </c>
    </row>
    <row r="124" customFormat="false" ht="15" hidden="false" customHeight="false" outlineLevel="0" collapsed="false">
      <c r="A124" s="10" t="s">
        <v>5255</v>
      </c>
      <c r="B124" s="10" t="s">
        <v>5256</v>
      </c>
      <c r="C124" s="11" t="s">
        <v>5257</v>
      </c>
      <c r="D124" s="10" t="s">
        <v>4928</v>
      </c>
      <c r="E124" s="11" t="s">
        <v>4882</v>
      </c>
      <c r="F124" s="12" t="n">
        <v>0</v>
      </c>
      <c r="G124" s="12" t="n">
        <v>-0.2</v>
      </c>
      <c r="H124" s="12" t="n">
        <v>0.2</v>
      </c>
      <c r="I124" s="10" t="s">
        <v>1308</v>
      </c>
      <c r="J124" s="10" t="s">
        <v>5258</v>
      </c>
      <c r="K124" s="11" t="s">
        <v>4860</v>
      </c>
      <c r="L124" s="10" t="n">
        <f aca="false">IF(AND(ISNUMBER($F124),ISNUMBER($G124),ISNUMBER($H124)),IF(AND($G124&lt;=$F124,$F124&lt;=$H124),0,1),0)</f>
        <v>0</v>
      </c>
      <c r="M124" s="10" t="n">
        <f aca="false">IF(AND(OR($I124="Analogy",$I124="Assumed"),OR($G124="",$H124="")),1,0)</f>
        <v>0</v>
      </c>
    </row>
    <row r="125" customFormat="false" ht="15" hidden="false" customHeight="false" outlineLevel="0" collapsed="false">
      <c r="A125" s="10" t="s">
        <v>5259</v>
      </c>
      <c r="B125" s="10" t="s">
        <v>5260</v>
      </c>
      <c r="C125" s="10" t="s">
        <v>5261</v>
      </c>
      <c r="D125" s="11" t="s">
        <v>5052</v>
      </c>
      <c r="E125" s="11" t="s">
        <v>4705</v>
      </c>
      <c r="F125" s="12" t="n">
        <v>0.9</v>
      </c>
      <c r="G125" s="12" t="n">
        <v>0.8</v>
      </c>
      <c r="H125" s="12" t="n">
        <v>0.97</v>
      </c>
      <c r="I125" s="10" t="s">
        <v>1308</v>
      </c>
      <c r="J125" s="11" t="s">
        <v>5262</v>
      </c>
      <c r="K125" s="10" t="s">
        <v>5263</v>
      </c>
      <c r="L125" s="10" t="n">
        <f aca="false">IF(AND(ISNUMBER($F125),ISNUMBER($G125),ISNUMBER($H125)),IF(AND($G125&lt;=$F125,$F125&lt;=$H125),0,1),0)</f>
        <v>0</v>
      </c>
      <c r="M125" s="10" t="n">
        <f aca="false">IF(AND(OR($I125="Analogy",$I125="Assumed"),OR($G125="",$H125="")),1,0)</f>
        <v>0</v>
      </c>
    </row>
    <row r="126" customFormat="false" ht="15" hidden="false" customHeight="false" outlineLevel="0" collapsed="false">
      <c r="A126" s="10" t="s">
        <v>5264</v>
      </c>
      <c r="B126" s="10" t="s">
        <v>5265</v>
      </c>
      <c r="C126" s="10" t="s">
        <v>5266</v>
      </c>
      <c r="D126" s="11" t="s">
        <v>5052</v>
      </c>
      <c r="E126" s="11" t="s">
        <v>4705</v>
      </c>
      <c r="F126" s="12" t="n">
        <v>0.03</v>
      </c>
      <c r="G126" s="12" t="n">
        <v>0.01</v>
      </c>
      <c r="H126" s="12" t="n">
        <v>0.08</v>
      </c>
      <c r="I126" s="10" t="s">
        <v>1308</v>
      </c>
      <c r="J126" s="11" t="s">
        <v>5267</v>
      </c>
      <c r="K126" s="10" t="s">
        <v>5268</v>
      </c>
      <c r="L126" s="10" t="n">
        <f aca="false">IF(AND(ISNUMBER($F126),ISNUMBER($G126),ISNUMBER($H126)),IF(AND($G126&lt;=$F126,$F126&lt;=$H126),0,1),0)</f>
        <v>0</v>
      </c>
      <c r="M126" s="10" t="n">
        <f aca="false">IF(AND(OR($I126="Analogy",$I126="Assumed"),OR($G126="",$H126="")),1,0)</f>
        <v>0</v>
      </c>
    </row>
    <row r="127" customFormat="false" ht="15" hidden="false" customHeight="false" outlineLevel="0" collapsed="false">
      <c r="A127" s="10" t="s">
        <v>5269</v>
      </c>
      <c r="B127" s="10" t="s">
        <v>5270</v>
      </c>
      <c r="C127" s="11" t="s">
        <v>5271</v>
      </c>
      <c r="D127" s="10" t="s">
        <v>5021</v>
      </c>
      <c r="E127" s="11" t="s">
        <v>4297</v>
      </c>
      <c r="F127" s="12" t="n">
        <v>6</v>
      </c>
      <c r="G127" s="12" t="n">
        <v>3</v>
      </c>
      <c r="H127" s="12" t="n">
        <v>12</v>
      </c>
      <c r="I127" s="10" t="s">
        <v>4835</v>
      </c>
      <c r="J127" s="11" t="s">
        <v>5272</v>
      </c>
      <c r="K127" s="10" t="s">
        <v>5273</v>
      </c>
      <c r="L127" s="10" t="n">
        <f aca="false">IF(AND(ISNUMBER($F127),ISNUMBER($G127),ISNUMBER($H127)),IF(AND($G127&lt;=$F127,$F127&lt;=$H127),0,1),0)</f>
        <v>0</v>
      </c>
      <c r="M127" s="10" t="n">
        <f aca="false">IF(AND(OR($I127="Analogy",$I127="Assumed"),OR($G127="",$H127="")),1,0)</f>
        <v>0</v>
      </c>
    </row>
    <row r="128" customFormat="false" ht="15" hidden="false" customHeight="false" outlineLevel="0" collapsed="false">
      <c r="A128" s="10" t="s">
        <v>5274</v>
      </c>
      <c r="B128" s="10" t="s">
        <v>5275</v>
      </c>
      <c r="C128" s="11" t="s">
        <v>5276</v>
      </c>
      <c r="D128" s="10" t="s">
        <v>4928</v>
      </c>
      <c r="E128" s="10" t="s">
        <v>5221</v>
      </c>
      <c r="F128" s="12" t="n">
        <v>0</v>
      </c>
      <c r="G128" s="12" t="n">
        <v>0</v>
      </c>
      <c r="H128" s="12" t="n">
        <v>0.83</v>
      </c>
      <c r="I128" s="10" t="s">
        <v>4736</v>
      </c>
      <c r="J128" s="11" t="s">
        <v>5277</v>
      </c>
      <c r="K128" s="10" t="s">
        <v>5278</v>
      </c>
      <c r="L128" s="10" t="n">
        <f aca="false">IF(AND(ISNUMBER($F128),ISNUMBER($G128),ISNUMBER($H128)),IF(AND($G128&lt;=$F128,$F128&lt;=$H128),0,1),0)</f>
        <v>0</v>
      </c>
      <c r="M128" s="10" t="n">
        <f aca="false">IF(AND(OR($I128="Analogy",$I128="Assumed"),OR($G128="",$H128="")),1,0)</f>
        <v>0</v>
      </c>
    </row>
    <row r="129" customFormat="false" ht="15" hidden="false" customHeight="false" outlineLevel="0" collapsed="false">
      <c r="A129" s="10" t="s">
        <v>5279</v>
      </c>
      <c r="B129" s="10" t="s">
        <v>5280</v>
      </c>
      <c r="C129" s="11" t="s">
        <v>5281</v>
      </c>
      <c r="D129" s="10" t="s">
        <v>4928</v>
      </c>
      <c r="E129" s="11" t="s">
        <v>4882</v>
      </c>
      <c r="F129" s="12" t="n">
        <v>0.03</v>
      </c>
      <c r="G129" s="12" t="n">
        <v>0.025</v>
      </c>
      <c r="H129" s="12" t="n">
        <v>0.045</v>
      </c>
      <c r="I129" s="10" t="s">
        <v>1308</v>
      </c>
      <c r="J129" s="11" t="s">
        <v>5282</v>
      </c>
      <c r="K129" s="10" t="s">
        <v>5283</v>
      </c>
      <c r="L129" s="10" t="n">
        <f aca="false">IF(AND(ISNUMBER($F129),ISNUMBER($G129),ISNUMBER($H129)),IF(AND($G129&lt;=$F129,$F129&lt;=$H129),0,1),0)</f>
        <v>0</v>
      </c>
      <c r="M129" s="10" t="n">
        <f aca="false">IF(AND(OR($I129="Analogy",$I129="Assumed"),OR($G129="",$H129="")),1,0)</f>
        <v>0</v>
      </c>
    </row>
    <row r="130" customFormat="false" ht="15" hidden="false" customHeight="false" outlineLevel="0" collapsed="false">
      <c r="A130" s="10" t="s">
        <v>5284</v>
      </c>
      <c r="B130" s="10" t="s">
        <v>5285</v>
      </c>
      <c r="C130" s="11" t="s">
        <v>5286</v>
      </c>
      <c r="D130" s="10" t="s">
        <v>2121</v>
      </c>
      <c r="E130" s="11" t="s">
        <v>5185</v>
      </c>
      <c r="F130" s="12" t="n">
        <v>0</v>
      </c>
      <c r="G130" s="12" t="n">
        <v>0</v>
      </c>
      <c r="H130" s="12" t="n">
        <v>1</v>
      </c>
      <c r="I130" s="10" t="s">
        <v>4736</v>
      </c>
      <c r="J130" s="11" t="s">
        <v>5287</v>
      </c>
      <c r="K130" s="11" t="s">
        <v>5185</v>
      </c>
      <c r="L130" s="10" t="n">
        <f aca="false">IF(AND(ISNUMBER($F130),ISNUMBER($G130),ISNUMBER($H130)),IF(AND($G130&lt;=$F130,$F130&lt;=$H130),0,1),0)</f>
        <v>0</v>
      </c>
      <c r="M130" s="10" t="n">
        <f aca="false">IF(AND(OR($I130="Analogy",$I130="Assumed"),OR($G130="",$H130="")),1,0)</f>
        <v>0</v>
      </c>
    </row>
    <row r="131" customFormat="false" ht="15" hidden="false" customHeight="false" outlineLevel="0" collapsed="false">
      <c r="A131" s="10" t="s">
        <v>5288</v>
      </c>
      <c r="B131" s="10" t="s">
        <v>5289</v>
      </c>
      <c r="C131" s="11" t="s">
        <v>5290</v>
      </c>
      <c r="D131" s="10" t="s">
        <v>2121</v>
      </c>
      <c r="E131" s="11" t="s">
        <v>5185</v>
      </c>
      <c r="F131" s="12" t="n">
        <v>0</v>
      </c>
      <c r="G131" s="12" t="n">
        <v>0</v>
      </c>
      <c r="H131" s="12" t="n">
        <v>1</v>
      </c>
      <c r="I131" s="10" t="s">
        <v>4736</v>
      </c>
      <c r="J131" s="11" t="s">
        <v>5291</v>
      </c>
      <c r="K131" s="11" t="s">
        <v>5185</v>
      </c>
      <c r="L131" s="10" t="n">
        <f aca="false">IF(AND(ISNUMBER($F131),ISNUMBER($G131),ISNUMBER($H131)),IF(AND($G131&lt;=$F131,$F131&lt;=$H131),0,1),0)</f>
        <v>0</v>
      </c>
      <c r="M131" s="10" t="n">
        <f aca="false">IF(AND(OR($I131="Analogy",$I131="Assumed"),OR($G131="",$H131="")),1,0)</f>
        <v>0</v>
      </c>
    </row>
    <row r="132" customFormat="false" ht="15" hidden="false" customHeight="false" outlineLevel="0" collapsed="false">
      <c r="A132" s="10" t="s">
        <v>5292</v>
      </c>
      <c r="B132" s="10" t="s">
        <v>5293</v>
      </c>
      <c r="C132" s="11" t="s">
        <v>5294</v>
      </c>
      <c r="D132" s="10" t="s">
        <v>2121</v>
      </c>
      <c r="E132" s="11" t="s">
        <v>1709</v>
      </c>
      <c r="F132" s="12" t="n">
        <v>1</v>
      </c>
      <c r="G132" s="12" t="n">
        <v>1</v>
      </c>
      <c r="H132" s="12" t="n">
        <v>1</v>
      </c>
      <c r="I132" s="10" t="s">
        <v>4736</v>
      </c>
      <c r="J132" s="11" t="s">
        <v>5295</v>
      </c>
      <c r="K132" s="10" t="s">
        <v>2121</v>
      </c>
      <c r="L132" s="10" t="n">
        <f aca="false">IF(AND(ISNUMBER($F132),ISNUMBER($G132),ISNUMBER($H132)),IF(AND($G132&lt;=$F132,$F132&lt;=$H132),0,1),0)</f>
        <v>0</v>
      </c>
      <c r="M132" s="10" t="n">
        <f aca="false">IF(AND(OR($I132="Analogy",$I132="Assumed"),OR($G132="",$H132="")),1,0)</f>
        <v>0</v>
      </c>
    </row>
    <row r="133" customFormat="false" ht="15" hidden="false" customHeight="false" outlineLevel="0" collapsed="false">
      <c r="A133" s="10" t="s">
        <v>5296</v>
      </c>
      <c r="B133" s="10" t="s">
        <v>5297</v>
      </c>
      <c r="C133" s="11" t="s">
        <v>5298</v>
      </c>
      <c r="D133" s="10" t="s">
        <v>2121</v>
      </c>
      <c r="E133" s="11" t="s">
        <v>2665</v>
      </c>
      <c r="F133" s="12" t="n">
        <v>2027</v>
      </c>
      <c r="G133" s="12" t="n">
        <v>2027</v>
      </c>
      <c r="H133" s="12" t="n">
        <v>2027</v>
      </c>
      <c r="I133" s="10" t="s">
        <v>4736</v>
      </c>
      <c r="J133" s="10" t="s">
        <v>5299</v>
      </c>
      <c r="K133" s="10" t="s">
        <v>2121</v>
      </c>
      <c r="L133" s="10" t="n">
        <f aca="false">IF(AND(ISNUMBER($F133),ISNUMBER($G133),ISNUMBER($H133)),IF(AND($G133&lt;=$F133,$F133&lt;=$H133),0,1),0)</f>
        <v>0</v>
      </c>
      <c r="M133" s="10" t="n">
        <f aca="false">IF(AND(OR($I133="Analogy",$I133="Assumed"),OR($G133="",$H133="")),1,0)</f>
        <v>0</v>
      </c>
    </row>
    <row r="134" customFormat="false" ht="15" hidden="false" customHeight="false" outlineLevel="0" collapsed="false">
      <c r="A134" s="10" t="s">
        <v>5300</v>
      </c>
      <c r="B134" s="10" t="s">
        <v>5301</v>
      </c>
      <c r="C134" s="11" t="s">
        <v>5302</v>
      </c>
      <c r="D134" s="10" t="s">
        <v>4928</v>
      </c>
      <c r="E134" s="10" t="s">
        <v>5221</v>
      </c>
      <c r="F134" s="12" t="n">
        <v>0.75</v>
      </c>
      <c r="G134" s="12" t="n">
        <v>0</v>
      </c>
      <c r="H134" s="12" t="n">
        <v>1.5</v>
      </c>
      <c r="I134" s="10" t="s">
        <v>4835</v>
      </c>
      <c r="J134" s="10" t="s">
        <v>5303</v>
      </c>
      <c r="K134" s="10" t="s">
        <v>5304</v>
      </c>
      <c r="L134" s="10" t="n">
        <f aca="false">IF(AND(ISNUMBER($F134),ISNUMBER($G134),ISNUMBER($H134)),IF(AND($G134&lt;=$F134,$F134&lt;=$H134),0,1),0)</f>
        <v>0</v>
      </c>
      <c r="M134" s="10" t="n">
        <f aca="false">IF(AND(OR($I134="Analogy",$I134="Assumed"),OR($G134="",$H134="")),1,0)</f>
        <v>0</v>
      </c>
    </row>
    <row r="135" customFormat="false" ht="15" hidden="false" customHeight="false" outlineLevel="0" collapsed="false">
      <c r="A135" s="10" t="s">
        <v>5305</v>
      </c>
      <c r="B135" s="10" t="s">
        <v>5306</v>
      </c>
      <c r="C135" s="11" t="s">
        <v>5307</v>
      </c>
      <c r="D135" s="10" t="s">
        <v>4767</v>
      </c>
      <c r="E135" s="10" t="s">
        <v>63</v>
      </c>
      <c r="F135" s="12" t="n">
        <v>3</v>
      </c>
      <c r="G135" s="12" t="n">
        <v>1</v>
      </c>
      <c r="H135" s="12" t="n">
        <v>5</v>
      </c>
      <c r="I135" s="10" t="s">
        <v>4835</v>
      </c>
      <c r="J135" s="11" t="s">
        <v>5308</v>
      </c>
      <c r="K135" s="10" t="s">
        <v>5309</v>
      </c>
      <c r="L135" s="10" t="n">
        <f aca="false">IF(AND(ISNUMBER($F135),ISNUMBER($G135),ISNUMBER($H135)),IF(AND($G135&lt;=$F135,$F135&lt;=$H135),0,1),0)</f>
        <v>0</v>
      </c>
      <c r="M135" s="10" t="n">
        <f aca="false">IF(AND(OR($I135="Analogy",$I135="Assumed"),OR($G135="",$H135="")),1,0)</f>
        <v>0</v>
      </c>
    </row>
    <row r="136" customFormat="false" ht="15" hidden="false" customHeight="false" outlineLevel="0" collapsed="false">
      <c r="A136" s="10" t="s">
        <v>5310</v>
      </c>
      <c r="B136" s="10" t="s">
        <v>5311</v>
      </c>
      <c r="C136" s="10" t="s">
        <v>5312</v>
      </c>
      <c r="D136" s="10" t="s">
        <v>4767</v>
      </c>
      <c r="E136" s="11" t="s">
        <v>4758</v>
      </c>
      <c r="F136" s="12" t="n">
        <v>62</v>
      </c>
      <c r="G136" s="12" t="n">
        <v>62</v>
      </c>
      <c r="H136" s="12" t="n">
        <v>62</v>
      </c>
      <c r="I136" s="10" t="s">
        <v>4736</v>
      </c>
      <c r="J136" s="11" t="s">
        <v>5313</v>
      </c>
      <c r="K136" s="10" t="s">
        <v>2121</v>
      </c>
      <c r="L136" s="10" t="n">
        <f aca="false">IF(AND(ISNUMBER($F136),ISNUMBER($G136),ISNUMBER($H136)),IF(AND($G136&lt;=$F136,$F136&lt;=$H136),0,1),0)</f>
        <v>0</v>
      </c>
      <c r="M136" s="10" t="n">
        <f aca="false">IF(AND(OR($I136="Analogy",$I136="Assumed"),OR($G136="",$H136="")),1,0)</f>
        <v>0</v>
      </c>
    </row>
    <row r="137" customFormat="false" ht="15" hidden="false" customHeight="false" outlineLevel="0" collapsed="false">
      <c r="A137" s="10" t="s">
        <v>5314</v>
      </c>
      <c r="B137" s="10" t="s">
        <v>5315</v>
      </c>
      <c r="C137" s="11" t="s">
        <v>5316</v>
      </c>
      <c r="D137" s="10" t="s">
        <v>5317</v>
      </c>
      <c r="E137" s="11" t="s">
        <v>4882</v>
      </c>
      <c r="F137" s="12" t="n">
        <v>0</v>
      </c>
      <c r="G137" s="12" t="n">
        <v>0</v>
      </c>
      <c r="H137" s="12" t="n">
        <v>0.25</v>
      </c>
      <c r="I137" s="10" t="s">
        <v>4835</v>
      </c>
      <c r="J137" s="11" t="s">
        <v>5318</v>
      </c>
      <c r="K137" s="10" t="s">
        <v>5319</v>
      </c>
      <c r="L137" s="10" t="n">
        <f aca="false">IF(AND(ISNUMBER($F137),ISNUMBER($G137),ISNUMBER($H137)),IF(AND($G137&lt;=$F137,$F137&lt;=$H137),0,1),0)</f>
        <v>0</v>
      </c>
      <c r="M137" s="10" t="n">
        <f aca="false">IF(AND(OR($I137="Analogy",$I137="Assumed"),OR($G137="",$H137="")),1,0)</f>
        <v>0</v>
      </c>
    </row>
    <row r="138" customFormat="false" ht="15" hidden="false" customHeight="false" outlineLevel="0" collapsed="false">
      <c r="A138" s="10" t="s">
        <v>5320</v>
      </c>
      <c r="B138" s="10" t="s">
        <v>5321</v>
      </c>
      <c r="C138" s="11" t="s">
        <v>5322</v>
      </c>
      <c r="D138" s="10" t="s">
        <v>2121</v>
      </c>
      <c r="E138" s="11" t="s">
        <v>1709</v>
      </c>
      <c r="F138" s="12" t="n">
        <v>1</v>
      </c>
      <c r="G138" s="12" t="n">
        <v>0.5</v>
      </c>
      <c r="H138" s="12" t="n">
        <v>2</v>
      </c>
      <c r="I138" s="10" t="s">
        <v>1308</v>
      </c>
      <c r="J138" s="11" t="s">
        <v>5323</v>
      </c>
      <c r="K138" s="10" t="s">
        <v>5324</v>
      </c>
      <c r="L138" s="10" t="n">
        <f aca="false">IF(AND(ISNUMBER($F138),ISNUMBER($G138),ISNUMBER($H138)),IF(AND($G138&lt;=$F138,$F138&lt;=$H138),0,1),0)</f>
        <v>0</v>
      </c>
      <c r="M138" s="10" t="n">
        <f aca="false">IF(AND(OR($I138="Analogy",$I138="Assumed"),OR($G138="",$H138="")),1,0)</f>
        <v>0</v>
      </c>
    </row>
    <row r="139" customFormat="false" ht="15" hidden="false" customHeight="false" outlineLevel="0" collapsed="false">
      <c r="A139" s="10" t="s">
        <v>5325</v>
      </c>
      <c r="B139" s="10" t="s">
        <v>5326</v>
      </c>
      <c r="C139" s="11" t="s">
        <v>5327</v>
      </c>
      <c r="D139" s="10" t="s">
        <v>4928</v>
      </c>
      <c r="E139" s="11" t="s">
        <v>4705</v>
      </c>
      <c r="F139" s="12" t="n">
        <v>0</v>
      </c>
      <c r="G139" s="12" t="n">
        <v>0</v>
      </c>
      <c r="H139" s="12" t="n">
        <v>0.2</v>
      </c>
      <c r="I139" s="10" t="s">
        <v>4835</v>
      </c>
      <c r="J139" s="11" t="s">
        <v>5328</v>
      </c>
      <c r="K139" s="10" t="s">
        <v>5329</v>
      </c>
      <c r="L139" s="10" t="n">
        <f aca="false">IF(AND(ISNUMBER($F139),ISNUMBER($G139),ISNUMBER($H139)),IF(AND($G139&lt;=$F139,$F139&lt;=$H139),0,1),0)</f>
        <v>0</v>
      </c>
      <c r="M139" s="10" t="n">
        <f aca="false">IF(AND(OR($I139="Analogy",$I139="Assumed"),OR($G139="",$H139="")),1,0)</f>
        <v>0</v>
      </c>
    </row>
    <row r="140" customFormat="false" ht="15" hidden="false" customHeight="false" outlineLevel="0" collapsed="false">
      <c r="A140" s="10" t="s">
        <v>5330</v>
      </c>
      <c r="B140" s="10" t="s">
        <v>5331</v>
      </c>
      <c r="C140" s="11" t="s">
        <v>5332</v>
      </c>
      <c r="D140" s="10" t="s">
        <v>5170</v>
      </c>
      <c r="E140" s="11" t="s">
        <v>4705</v>
      </c>
      <c r="F140" s="12" t="n">
        <v>0.718</v>
      </c>
      <c r="G140" s="12" t="n">
        <v>0.6</v>
      </c>
      <c r="H140" s="12" t="n">
        <v>0.8</v>
      </c>
      <c r="I140" s="10" t="s">
        <v>1308</v>
      </c>
      <c r="J140" s="11" t="s">
        <v>5333</v>
      </c>
      <c r="K140" s="11" t="s">
        <v>5334</v>
      </c>
      <c r="L140" s="10" t="n">
        <f aca="false">IF(AND(ISNUMBER($F140),ISNUMBER($G140),ISNUMBER($H140)),IF(AND($G140&lt;=$F140,$F140&lt;=$H140),0,1),0)</f>
        <v>0</v>
      </c>
      <c r="M140" s="10" t="n">
        <f aca="false">IF(AND(OR($I140="Analogy",$I140="Assumed"),OR($G140="",$H140="")),1,0)</f>
        <v>0</v>
      </c>
    </row>
    <row r="141" customFormat="false" ht="15" hidden="false" customHeight="false" outlineLevel="0" collapsed="false">
      <c r="A141" s="10" t="s">
        <v>5335</v>
      </c>
      <c r="B141" s="10" t="s">
        <v>5336</v>
      </c>
      <c r="C141" s="10" t="s">
        <v>5337</v>
      </c>
      <c r="D141" s="10" t="s">
        <v>5170</v>
      </c>
      <c r="E141" s="11" t="s">
        <v>1709</v>
      </c>
      <c r="F141" s="12" t="n">
        <v>1</v>
      </c>
      <c r="G141" s="12" t="n">
        <v>1</v>
      </c>
      <c r="H141" s="12" t="n">
        <v>1</v>
      </c>
      <c r="I141" s="10" t="s">
        <v>4736</v>
      </c>
      <c r="J141" s="11" t="s">
        <v>5338</v>
      </c>
      <c r="K141" s="11" t="s">
        <v>4738</v>
      </c>
      <c r="L141" s="10" t="n">
        <f aca="false">IF(AND(ISNUMBER($F141),ISNUMBER($G141),ISNUMBER($H141)),IF(AND($G141&lt;=$F141,$F141&lt;=$H141),0,1),0)</f>
        <v>0</v>
      </c>
      <c r="M141" s="10" t="n">
        <f aca="false">IF(AND(OR($I141="Analogy",$I141="Assumed"),OR($G141="",$H141="")),1,0)</f>
        <v>0</v>
      </c>
    </row>
    <row r="142" customFormat="false" ht="15" hidden="false" customHeight="false" outlineLevel="0" collapsed="false">
      <c r="A142" s="10" t="s">
        <v>5339</v>
      </c>
      <c r="B142" s="10" t="s">
        <v>5340</v>
      </c>
      <c r="C142" s="10" t="s">
        <v>5341</v>
      </c>
      <c r="D142" s="10" t="s">
        <v>5170</v>
      </c>
      <c r="E142" s="11" t="s">
        <v>5185</v>
      </c>
      <c r="F142" s="12" t="n">
        <v>0</v>
      </c>
      <c r="G142" s="12" t="n">
        <v>0</v>
      </c>
      <c r="H142" s="12" t="n">
        <v>1</v>
      </c>
      <c r="I142" s="10" t="s">
        <v>4736</v>
      </c>
      <c r="J142" s="11" t="s">
        <v>5342</v>
      </c>
      <c r="K142" s="11" t="s">
        <v>5185</v>
      </c>
      <c r="L142" s="10" t="n">
        <f aca="false">IF(AND(ISNUMBER($F142),ISNUMBER($G142),ISNUMBER($H142)),IF(AND($G142&lt;=$F142,$F142&lt;=$H142),0,1),0)</f>
        <v>0</v>
      </c>
      <c r="M142" s="10" t="n">
        <f aca="false">IF(AND(OR($I142="Analogy",$I142="Assumed"),OR($G142="",$H142="")),1,0)</f>
        <v>0</v>
      </c>
    </row>
    <row r="143" customFormat="false" ht="15" hidden="false" customHeight="false" outlineLevel="0" collapsed="false">
      <c r="A143" s="10" t="s">
        <v>5343</v>
      </c>
      <c r="B143" s="10" t="s">
        <v>5344</v>
      </c>
      <c r="C143" s="10" t="s">
        <v>5345</v>
      </c>
      <c r="D143" s="10" t="s">
        <v>2121</v>
      </c>
      <c r="E143" s="11" t="s">
        <v>5346</v>
      </c>
      <c r="F143" s="12" t="n">
        <v>0</v>
      </c>
      <c r="G143" s="12" t="n">
        <v>0</v>
      </c>
      <c r="H143" s="12" t="n">
        <v>0</v>
      </c>
      <c r="I143" s="10" t="s">
        <v>4736</v>
      </c>
      <c r="J143" s="11" t="s">
        <v>5347</v>
      </c>
      <c r="K143" s="11" t="s">
        <v>4738</v>
      </c>
      <c r="L143" s="10" t="n">
        <f aca="false">IF(AND(ISNUMBER($F143),ISNUMBER($G143),ISNUMBER($H143)),IF(AND($G143&lt;=$F143,$F143&lt;=$H143),0,1),0)</f>
        <v>0</v>
      </c>
      <c r="M143" s="10" t="n">
        <f aca="false">IF(AND(OR($I143="Analogy",$I143="Assumed"),OR($G143="",$H143="")),1,0)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4"/>
    <col collapsed="false" customWidth="true" hidden="false" outlineLevel="0" max="3" min="3" style="0" width="12"/>
    <col collapsed="false" customWidth="true" hidden="false" outlineLevel="0" max="9" min="4" style="0" width="11"/>
    <col collapsed="false" customWidth="true" hidden="false" outlineLevel="0" max="10" min="10" style="0" width="2"/>
    <col collapsed="false" customWidth="true" hidden="false" outlineLevel="0" max="12" min="11" style="0" width="11"/>
    <col collapsed="false" customWidth="true" hidden="false" outlineLevel="0" max="13" min="13" style="0" width="80"/>
  </cols>
  <sheetData>
    <row r="1" customFormat="false" ht="20.1" hidden="false" customHeight="false" outlineLevel="0" collapsed="false">
      <c r="A1" s="7" t="s">
        <v>5348</v>
      </c>
    </row>
    <row r="2" customFormat="false" ht="15" hidden="false" customHeight="false" outlineLevel="0" collapsed="false">
      <c r="A2" s="13" t="s">
        <v>5349</v>
      </c>
    </row>
    <row r="3" customFormat="false" ht="15" hidden="false" customHeight="false" outlineLevel="0" collapsed="false">
      <c r="A3" s="13" t="s">
        <v>5350</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5355</v>
      </c>
    </row>
    <row r="8" customFormat="false" ht="15" hidden="false" customHeight="false" outlineLevel="0" collapsed="false">
      <c r="A8" s="10" t="s">
        <v>5356</v>
      </c>
      <c r="B8" s="11" t="s">
        <v>5357</v>
      </c>
      <c r="C8" s="11" t="s">
        <v>1709</v>
      </c>
      <c r="F8" s="16" t="n">
        <f aca="false">Revenue!F24/Revenue!L24</f>
        <v>0.8</v>
      </c>
      <c r="G8" s="16" t="n">
        <f aca="false">Revenue!G24/Revenue!F24</f>
        <v>0.8</v>
      </c>
      <c r="H8" s="16" t="n">
        <f aca="false">Revenue!H24/Revenue!G24</f>
        <v>0.8</v>
      </c>
      <c r="I8" s="16" t="n">
        <f aca="false">Revenue!I24/Revenue!H24</f>
        <v>0.8</v>
      </c>
      <c r="L8" s="16" t="n">
        <f aca="false">Revenue!L24/Revenue!K24</f>
        <v>1.26963127239957</v>
      </c>
      <c r="M8" s="13" t="s">
        <v>5358</v>
      </c>
    </row>
    <row r="9" customFormat="false" ht="15" hidden="false" customHeight="false" outlineLevel="0" collapsed="false">
      <c r="A9" s="10" t="s">
        <v>5359</v>
      </c>
      <c r="B9" s="10" t="s">
        <v>5360</v>
      </c>
      <c r="C9" s="10" t="s">
        <v>4892</v>
      </c>
      <c r="D9" s="10" t="n">
        <f aca="false">INP_037</f>
        <v>20</v>
      </c>
      <c r="E9" s="10" t="n">
        <f aca="false">E11/E10</f>
        <v>20.3513407117569</v>
      </c>
      <c r="F9" s="10" t="n">
        <f aca="false">E9*(1+INP_044)*F8^INP_046</f>
        <v>25.0244112920028</v>
      </c>
      <c r="G9" s="10" t="n">
        <f aca="false">F9*(1+INP_044)*G8^INP_046</f>
        <v>30.7705113574925</v>
      </c>
      <c r="H9" s="10" t="n">
        <f aca="false">G9*(1+INP_044)*H8^INP_046</f>
        <v>37.8360297132807</v>
      </c>
      <c r="I9" s="10" t="n">
        <f aca="false">H9*(1+INP_044)*I8^INP_046</f>
        <v>46.5239309100945</v>
      </c>
      <c r="K9" s="10" t="n">
        <f aca="false">INP_037</f>
        <v>20</v>
      </c>
      <c r="L9" s="10" t="n">
        <f aca="false">K9*(1+INP_039)*L8^INP_046</f>
        <v>20.4795022744763</v>
      </c>
      <c r="M9" s="2" t="s">
        <v>5361</v>
      </c>
    </row>
    <row r="10" customFormat="false" ht="15" hidden="false" customHeight="false" outlineLevel="0" collapsed="false">
      <c r="A10" s="10" t="s">
        <v>5362</v>
      </c>
      <c r="B10" s="10" t="s">
        <v>5363</v>
      </c>
      <c r="C10" s="11" t="s">
        <v>5364</v>
      </c>
      <c r="D10" s="10" t="n">
        <f aca="false">D11/D9</f>
        <v>3.32307569727226</v>
      </c>
      <c r="E10" s="10" t="n">
        <f aca="false">K10+L10</f>
        <v>34.1373458115013</v>
      </c>
      <c r="F10" s="10" t="n">
        <f aca="false">E10*(1+INP_040)*F8^INP_045</f>
        <v>71.8355242867289</v>
      </c>
      <c r="G10" s="10" t="n">
        <f aca="false">F10*(1+INP_041)*G8^INP_045</f>
        <v>125.970117351914</v>
      </c>
      <c r="H10" s="10" t="n">
        <f aca="false">G10*(1+INP_042)*H8^INP_045</f>
        <v>198.810039474131</v>
      </c>
      <c r="I10" s="10" t="n">
        <f aca="false">H10*(1+INP_043)*I8^INP_045</f>
        <v>290.526220046461</v>
      </c>
      <c r="K10" s="10" t="n">
        <f aca="false">K11/K9</f>
        <v>9.12424365676369</v>
      </c>
      <c r="L10" s="10" t="n">
        <f aca="false">K10*(1+INP_038)*L8^INP_045</f>
        <v>25.0131021547376</v>
      </c>
      <c r="M10" s="2" t="s">
        <v>5365</v>
      </c>
    </row>
    <row r="11" customFormat="false" ht="15" hidden="false" customHeight="false" outlineLevel="0" collapsed="false">
      <c r="A11" s="10" t="s">
        <v>5366</v>
      </c>
      <c r="B11" s="10" t="s">
        <v>5367</v>
      </c>
      <c r="C11" s="10" t="s">
        <v>4679</v>
      </c>
      <c r="D11" s="16" t="n">
        <f aca="false">Revenue!D44*INP_015/Revenue!D24</f>
        <v>66.4615139454451</v>
      </c>
      <c r="E11" s="10" t="n">
        <f aca="false">K11+L11</f>
        <v>694.74075560493</v>
      </c>
      <c r="F11" s="10" t="n">
        <f aca="false">F10*F9</f>
        <v>1797.64170512776</v>
      </c>
      <c r="G11" s="10" t="n">
        <f aca="false">G10*G9</f>
        <v>3876.16492668172</v>
      </c>
      <c r="H11" s="10" t="n">
        <f aca="false">H10*H9</f>
        <v>7522.18256084172</v>
      </c>
      <c r="I11" s="10" t="n">
        <f aca="false">I10*I9</f>
        <v>13516.4217890125</v>
      </c>
      <c r="K11" s="16" t="n">
        <f aca="false">Revenue!K44*INP_015/Revenue!K24</f>
        <v>182.484873135274</v>
      </c>
      <c r="L11" s="10" t="n">
        <f aca="false">L10*L9</f>
        <v>512.255882469656</v>
      </c>
      <c r="M11" s="13" t="s">
        <v>5368</v>
      </c>
    </row>
    <row r="12" customFormat="false" ht="15" hidden="false" customHeight="false" outlineLevel="0" collapsed="false">
      <c r="A12" s="10" t="s">
        <v>5369</v>
      </c>
      <c r="B12" s="10" t="s">
        <v>5370</v>
      </c>
      <c r="C12" s="10" t="s">
        <v>4679</v>
      </c>
      <c r="D12" s="16" t="n">
        <f aca="false">D11*Revenue!D22</f>
        <v>39.8769083672671</v>
      </c>
      <c r="E12" s="10" t="n">
        <f aca="false">K12+L12</f>
        <v>486.318528923451</v>
      </c>
      <c r="F12" s="16" t="n">
        <f aca="false">F11*Revenue!F22</f>
        <v>1258.34919358943</v>
      </c>
      <c r="G12" s="16" t="n">
        <f aca="false">G11*Revenue!G22</f>
        <v>2713.31544867721</v>
      </c>
      <c r="H12" s="16" t="n">
        <f aca="false">H11*Revenue!H22</f>
        <v>5265.5277925892</v>
      </c>
      <c r="I12" s="16" t="n">
        <f aca="false">I11*Revenue!I22</f>
        <v>9461.49525230872</v>
      </c>
      <c r="K12" s="16" t="n">
        <f aca="false">K11*Revenue!K22</f>
        <v>127.739411194692</v>
      </c>
      <c r="L12" s="16" t="n">
        <f aca="false">L11*Revenue!L22</f>
        <v>358.579117728759</v>
      </c>
      <c r="M12" s="13" t="s">
        <v>5371</v>
      </c>
    </row>
    <row r="13" customFormat="false" ht="15" hidden="false" customHeight="false" outlineLevel="0" collapsed="false">
      <c r="A13" s="10" t="s">
        <v>5372</v>
      </c>
      <c r="B13" s="10" t="s">
        <v>5373</v>
      </c>
      <c r="C13" s="10" t="s">
        <v>4679</v>
      </c>
      <c r="D13" s="16" t="n">
        <f aca="false">D11*Revenue!D23</f>
        <v>26.5846055781781</v>
      </c>
      <c r="E13" s="10" t="n">
        <f aca="false">K13+L13</f>
        <v>208.422226681479</v>
      </c>
      <c r="F13" s="16" t="n">
        <f aca="false">F11*Revenue!F23</f>
        <v>539.292511538327</v>
      </c>
      <c r="G13" s="16" t="n">
        <f aca="false">G11*Revenue!G23</f>
        <v>1162.84947800452</v>
      </c>
      <c r="H13" s="16" t="n">
        <f aca="false">H11*Revenue!H23</f>
        <v>2256.65476825252</v>
      </c>
      <c r="I13" s="16" t="n">
        <f aca="false">I11*Revenue!I23</f>
        <v>4054.92653670374</v>
      </c>
      <c r="K13" s="16" t="n">
        <f aca="false">K11*Revenue!K23</f>
        <v>54.7454619405822</v>
      </c>
      <c r="L13" s="16" t="n">
        <f aca="false">L11*Revenue!L23</f>
        <v>153.676764740897</v>
      </c>
      <c r="M13" s="13" t="s">
        <v>5371</v>
      </c>
    </row>
    <row r="14" customFormat="false" ht="15" hidden="false" customHeight="false" outlineLevel="0" collapsed="false">
      <c r="A14" s="10" t="s">
        <v>5374</v>
      </c>
      <c r="B14" s="11" t="s">
        <v>5375</v>
      </c>
      <c r="C14" s="10" t="s">
        <v>4679</v>
      </c>
      <c r="D14" s="10" t="n">
        <f aca="false">D11*INP_047</f>
        <v>19.9384541836335</v>
      </c>
      <c r="E14" s="10" t="n">
        <f aca="false">K14+L14</f>
        <v>208.422226681479</v>
      </c>
      <c r="F14" s="10" t="n">
        <f aca="false">F11*INP_047</f>
        <v>539.292511538327</v>
      </c>
      <c r="G14" s="10" t="n">
        <f aca="false">G11*INP_047</f>
        <v>1162.84947800452</v>
      </c>
      <c r="H14" s="10" t="n">
        <f aca="false">H11*INP_047</f>
        <v>2256.65476825252</v>
      </c>
      <c r="I14" s="10" t="n">
        <f aca="false">I11*INP_047</f>
        <v>4054.92653670374</v>
      </c>
      <c r="K14" s="10" t="n">
        <f aca="false">K11*INP_047</f>
        <v>54.7454619405821</v>
      </c>
      <c r="L14" s="10" t="n">
        <f aca="false">L11*INP_047</f>
        <v>153.676764740897</v>
      </c>
      <c r="M14" s="13" t="s">
        <v>5376</v>
      </c>
    </row>
    <row r="15" customFormat="false" ht="15" hidden="false" customHeight="false" outlineLevel="0" collapsed="false">
      <c r="A15" s="15" t="s">
        <v>5377</v>
      </c>
    </row>
    <row r="16" customFormat="false" ht="15" hidden="false" customHeight="false" outlineLevel="0" collapsed="false">
      <c r="A16" s="10" t="s">
        <v>5378</v>
      </c>
      <c r="B16" s="10" t="s">
        <v>5379</v>
      </c>
      <c r="C16" s="11" t="s">
        <v>5380</v>
      </c>
      <c r="D16" s="10" t="n">
        <f aca="false">SRC_ZP_402*INP_049</f>
        <v>3.63</v>
      </c>
      <c r="E16" s="10" t="n">
        <f aca="false">(K16+L16)/INP_013</f>
        <v>30.25</v>
      </c>
      <c r="F16" s="10" t="n">
        <f aca="false">E16*(1+INP_051)</f>
        <v>45.375</v>
      </c>
      <c r="G16" s="10" t="n">
        <f aca="false">F16*(1+INP_052)</f>
        <v>58.9875</v>
      </c>
      <c r="H16" s="10" t="n">
        <f aca="false">G16*(1+INP_053)</f>
        <v>70.785</v>
      </c>
      <c r="I16" s="10" t="n">
        <f aca="false">H16*(1+INP_054)</f>
        <v>81.40275</v>
      </c>
      <c r="K16" s="10" t="n">
        <f aca="false">SRC_ZP_402*INP_048</f>
        <v>24.2</v>
      </c>
      <c r="L16" s="10" t="n">
        <f aca="false">K16*(1+INP_050)</f>
        <v>36.3</v>
      </c>
      <c r="M16" s="13" t="s">
        <v>5381</v>
      </c>
    </row>
    <row r="17" customFormat="false" ht="15" hidden="false" customHeight="false" outlineLevel="0" collapsed="false">
      <c r="A17" s="10" t="s">
        <v>5382</v>
      </c>
      <c r="B17" s="10" t="s">
        <v>5383</v>
      </c>
      <c r="C17" s="11" t="s">
        <v>5380</v>
      </c>
      <c r="D17" s="16" t="n">
        <f aca="false">D16*Revenue!D35</f>
        <v>2.178</v>
      </c>
      <c r="E17" s="16" t="n">
        <f aca="false">E16*Revenue!E35</f>
        <v>18.15</v>
      </c>
      <c r="F17" s="16" t="n">
        <f aca="false">F16*Revenue!F35</f>
        <v>27.225</v>
      </c>
      <c r="G17" s="16" t="n">
        <f aca="false">G16*Revenue!G35</f>
        <v>35.3925</v>
      </c>
      <c r="H17" s="16" t="n">
        <f aca="false">H16*Revenue!H35</f>
        <v>42.471</v>
      </c>
      <c r="I17" s="16" t="n">
        <f aca="false">I16*Revenue!I35</f>
        <v>48.84165</v>
      </c>
      <c r="K17" s="16" t="n">
        <f aca="false">K16*Revenue!K35</f>
        <v>14.52</v>
      </c>
      <c r="L17" s="16" t="n">
        <f aca="false">L16*Revenue!L35</f>
        <v>21.78</v>
      </c>
      <c r="M17" s="2" t="s">
        <v>5384</v>
      </c>
    </row>
    <row r="18" customFormat="false" ht="15" hidden="false" customHeight="false" outlineLevel="0" collapsed="false">
      <c r="A18" s="10" t="s">
        <v>5385</v>
      </c>
      <c r="B18" s="10" t="s">
        <v>5386</v>
      </c>
      <c r="C18" s="11" t="s">
        <v>5380</v>
      </c>
      <c r="D18" s="16" t="n">
        <f aca="false">D16*Revenue!D36</f>
        <v>1.089</v>
      </c>
      <c r="E18" s="16" t="n">
        <f aca="false">E16*Revenue!E36</f>
        <v>9.075</v>
      </c>
      <c r="F18" s="16" t="n">
        <f aca="false">F16*Revenue!F36</f>
        <v>13.6125</v>
      </c>
      <c r="G18" s="16" t="n">
        <f aca="false">G16*Revenue!G36</f>
        <v>17.69625</v>
      </c>
      <c r="H18" s="16" t="n">
        <f aca="false">H16*Revenue!H36</f>
        <v>21.2355</v>
      </c>
      <c r="I18" s="16" t="n">
        <f aca="false">I16*Revenue!I36</f>
        <v>24.420825</v>
      </c>
      <c r="K18" s="16" t="n">
        <f aca="false">K16*Revenue!K36</f>
        <v>7.26</v>
      </c>
      <c r="L18" s="16" t="n">
        <f aca="false">L16*Revenue!L36</f>
        <v>10.89</v>
      </c>
      <c r="M18" s="2" t="s">
        <v>5384</v>
      </c>
    </row>
    <row r="19" customFormat="false" ht="15" hidden="false" customHeight="false" outlineLevel="0" collapsed="false">
      <c r="A19" s="10" t="s">
        <v>5387</v>
      </c>
      <c r="B19" s="10" t="s">
        <v>5388</v>
      </c>
      <c r="C19" s="11" t="s">
        <v>5380</v>
      </c>
      <c r="D19" s="16" t="n">
        <f aca="false">D16*Revenue!D37</f>
        <v>0.363</v>
      </c>
      <c r="E19" s="16" t="n">
        <f aca="false">E16*Revenue!E37</f>
        <v>3.025</v>
      </c>
      <c r="F19" s="16" t="n">
        <f aca="false">F16*Revenue!F37</f>
        <v>4.5375</v>
      </c>
      <c r="G19" s="16" t="n">
        <f aca="false">G16*Revenue!G37</f>
        <v>5.89875</v>
      </c>
      <c r="H19" s="16" t="n">
        <f aca="false">H16*Revenue!H37</f>
        <v>7.0785</v>
      </c>
      <c r="I19" s="16" t="n">
        <f aca="false">I16*Revenue!I37</f>
        <v>8.140275</v>
      </c>
      <c r="K19" s="16" t="n">
        <f aca="false">K16*Revenue!K37</f>
        <v>2.42</v>
      </c>
      <c r="L19" s="16" t="n">
        <f aca="false">L16*Revenue!L37</f>
        <v>3.63</v>
      </c>
      <c r="M19" s="2" t="s">
        <v>5384</v>
      </c>
    </row>
    <row r="20" customFormat="false" ht="15" hidden="false" customHeight="false" outlineLevel="0" collapsed="false">
      <c r="A20" s="10" t="s">
        <v>5389</v>
      </c>
      <c r="B20" s="11" t="s">
        <v>5390</v>
      </c>
      <c r="C20" s="10" t="s">
        <v>5391</v>
      </c>
      <c r="D20" s="10" t="n">
        <f aca="false">SRC_ZP_376*INP_022*INP_060*INP_061*INP_062/INP_019</f>
        <v>20.16</v>
      </c>
      <c r="E20" s="10" t="n">
        <f aca="false">SRC_ZP_376*INP_022*INP_060*INP_061*INP_062/INP_019</f>
        <v>20.16</v>
      </c>
      <c r="F20" s="10" t="n">
        <f aca="false">SRC_ZP_376*INP_022*INP_060*INP_061*INP_062/INP_019</f>
        <v>20.16</v>
      </c>
      <c r="G20" s="10" t="n">
        <f aca="false">SRC_ZP_376*INP_022*INP_060*INP_061*INP_062/INP_019</f>
        <v>20.16</v>
      </c>
      <c r="H20" s="10" t="n">
        <f aca="false">SRC_ZP_376*INP_022*INP_060*INP_061*INP_062/INP_019</f>
        <v>20.16</v>
      </c>
      <c r="I20" s="10" t="n">
        <f aca="false">SRC_ZP_376*INP_022*INP_060*INP_061*INP_062/INP_019</f>
        <v>20.16</v>
      </c>
      <c r="K20" s="10" t="n">
        <f aca="false">SRC_ZP_376*INP_022*INP_060*INP_061*INP_062/INP_019</f>
        <v>20.16</v>
      </c>
      <c r="L20" s="10" t="n">
        <f aca="false">SRC_ZP_376*INP_022*INP_060*INP_061*INP_062/INP_019</f>
        <v>20.16</v>
      </c>
      <c r="M20" s="2" t="s">
        <v>5392</v>
      </c>
    </row>
    <row r="21" customFormat="false" ht="15" hidden="false" customHeight="false" outlineLevel="0" collapsed="false">
      <c r="A21" s="10" t="s">
        <v>5393</v>
      </c>
      <c r="B21" s="11" t="s">
        <v>5394</v>
      </c>
      <c r="C21" s="10" t="s">
        <v>5391</v>
      </c>
      <c r="D21" s="10" t="n">
        <f aca="false">SRC_ZP_377*INP_022*INP_060*INP_061*INP_062/INP_019</f>
        <v>100.8</v>
      </c>
      <c r="E21" s="10" t="n">
        <f aca="false">SRC_ZP_377*INP_022*INP_060*INP_061*INP_062/INP_019</f>
        <v>100.8</v>
      </c>
      <c r="F21" s="10" t="n">
        <f aca="false">SRC_ZP_377*INP_022*INP_060*INP_061*INP_062/INP_019</f>
        <v>100.8</v>
      </c>
      <c r="G21" s="10" t="n">
        <f aca="false">SRC_ZP_377*INP_022*INP_060*INP_061*INP_062/INP_019</f>
        <v>100.8</v>
      </c>
      <c r="H21" s="10" t="n">
        <f aca="false">SRC_ZP_377*INP_022*INP_060*INP_061*INP_062/INP_019</f>
        <v>100.8</v>
      </c>
      <c r="I21" s="10" t="n">
        <f aca="false">SRC_ZP_377*INP_022*INP_060*INP_061*INP_062/INP_019</f>
        <v>100.8</v>
      </c>
      <c r="K21" s="10" t="n">
        <f aca="false">SRC_ZP_377*INP_022*INP_060*INP_061*INP_062/INP_019</f>
        <v>100.8</v>
      </c>
      <c r="L21" s="10" t="n">
        <f aca="false">SRC_ZP_377*INP_022*INP_060*INP_061*INP_062/INP_019</f>
        <v>100.8</v>
      </c>
      <c r="M21" s="2" t="s">
        <v>5392</v>
      </c>
    </row>
    <row r="22" customFormat="false" ht="15" hidden="false" customHeight="false" outlineLevel="0" collapsed="false">
      <c r="A22" s="10" t="s">
        <v>5395</v>
      </c>
      <c r="B22" s="11" t="s">
        <v>5396</v>
      </c>
      <c r="C22" s="10" t="s">
        <v>5391</v>
      </c>
      <c r="D22" s="10" t="n">
        <f aca="false">SRC_ZP_378*INP_022*INP_060*INP_061*INP_062/INP_019</f>
        <v>403.2</v>
      </c>
      <c r="E22" s="10" t="n">
        <f aca="false">SRC_ZP_378*INP_022*INP_060*INP_061*INP_062/INP_019</f>
        <v>403.2</v>
      </c>
      <c r="F22" s="10" t="n">
        <f aca="false">SRC_ZP_378*INP_022*INP_060*INP_061*INP_062/INP_019</f>
        <v>403.2</v>
      </c>
      <c r="G22" s="10" t="n">
        <f aca="false">SRC_ZP_378*INP_022*INP_060*INP_061*INP_062/INP_019</f>
        <v>403.2</v>
      </c>
      <c r="H22" s="10" t="n">
        <f aca="false">SRC_ZP_378*INP_022*INP_060*INP_061*INP_062/INP_019</f>
        <v>403.2</v>
      </c>
      <c r="I22" s="10" t="n">
        <f aca="false">SRC_ZP_378*INP_022*INP_060*INP_061*INP_062/INP_019</f>
        <v>403.2</v>
      </c>
      <c r="K22" s="10" t="n">
        <f aca="false">SRC_ZP_378*INP_022*INP_060*INP_061*INP_062/INP_019</f>
        <v>403.2</v>
      </c>
      <c r="L22" s="10" t="n">
        <f aca="false">SRC_ZP_378*INP_022*INP_060*INP_061*INP_062/INP_019</f>
        <v>403.2</v>
      </c>
      <c r="M22" s="2" t="s">
        <v>5392</v>
      </c>
    </row>
    <row r="23" customFormat="false" ht="15" hidden="false" customHeight="false" outlineLevel="0" collapsed="false">
      <c r="A23" s="10" t="s">
        <v>5397</v>
      </c>
      <c r="B23" s="10" t="s">
        <v>5398</v>
      </c>
      <c r="C23" s="10" t="s">
        <v>4679</v>
      </c>
      <c r="D23" s="10" t="n">
        <f aca="false">D17*D20*INP_007/INP_016</f>
        <v>160.265952</v>
      </c>
      <c r="E23" s="10" t="n">
        <f aca="false">K23+L23</f>
        <v>1337.745024</v>
      </c>
      <c r="F23" s="10" t="n">
        <f aca="false">F17*F20*INP_007/INP_016</f>
        <v>2003.3244</v>
      </c>
      <c r="G23" s="10" t="n">
        <f aca="false">G17*G20*INP_007/INP_016</f>
        <v>2604.32172</v>
      </c>
      <c r="H23" s="10" t="n">
        <f aca="false">H17*H20*INP_007/INP_016</f>
        <v>3125.186064</v>
      </c>
      <c r="I23" s="10" t="n">
        <f aca="false">I17*I20*INP_007/INP_016</f>
        <v>3593.9639736</v>
      </c>
      <c r="K23" s="10" t="n">
        <f aca="false">K17*K20*INP_008/INP_016</f>
        <v>529.828992</v>
      </c>
      <c r="L23" s="10" t="n">
        <f aca="false">L17*L20*INP_009/INP_016</f>
        <v>807.916032</v>
      </c>
      <c r="M23" s="2" t="s">
        <v>5399</v>
      </c>
    </row>
    <row r="24" customFormat="false" ht="15" hidden="false" customHeight="false" outlineLevel="0" collapsed="false">
      <c r="A24" s="10" t="s">
        <v>5400</v>
      </c>
      <c r="B24" s="10" t="s">
        <v>5401</v>
      </c>
      <c r="C24" s="10" t="s">
        <v>4679</v>
      </c>
      <c r="D24" s="10" t="n">
        <f aca="false">D18*D21*INP_007/INP_016</f>
        <v>400.66488</v>
      </c>
      <c r="E24" s="10" t="n">
        <f aca="false">K24+L24</f>
        <v>3344.36256</v>
      </c>
      <c r="F24" s="10" t="n">
        <f aca="false">F18*F21*INP_007/INP_016</f>
        <v>5008.311</v>
      </c>
      <c r="G24" s="10" t="n">
        <f aca="false">G18*G21*INP_007/INP_016</f>
        <v>6510.8043</v>
      </c>
      <c r="H24" s="10" t="n">
        <f aca="false">H18*H21*INP_007/INP_016</f>
        <v>7812.96516</v>
      </c>
      <c r="I24" s="10" t="n">
        <f aca="false">I18*I21*INP_007/INP_016</f>
        <v>8984.909934</v>
      </c>
      <c r="K24" s="10" t="n">
        <f aca="false">K18*K21*INP_008/INP_016</f>
        <v>1324.57248</v>
      </c>
      <c r="L24" s="10" t="n">
        <f aca="false">L18*L21*INP_009/INP_016</f>
        <v>2019.79008</v>
      </c>
      <c r="M24" s="2" t="s">
        <v>5399</v>
      </c>
    </row>
    <row r="25" customFormat="false" ht="15" hidden="false" customHeight="false" outlineLevel="0" collapsed="false">
      <c r="A25" s="10" t="s">
        <v>5402</v>
      </c>
      <c r="B25" s="10" t="s">
        <v>5403</v>
      </c>
      <c r="C25" s="10" t="s">
        <v>4679</v>
      </c>
      <c r="D25" s="10" t="n">
        <f aca="false">D19*D22*INP_007/INP_016</f>
        <v>534.21984</v>
      </c>
      <c r="E25" s="10" t="n">
        <f aca="false">K25+L25</f>
        <v>4459.15008</v>
      </c>
      <c r="F25" s="10" t="n">
        <f aca="false">F19*F22*INP_007/INP_016</f>
        <v>6677.748</v>
      </c>
      <c r="G25" s="10" t="n">
        <f aca="false">G19*G22*INP_007/INP_016</f>
        <v>8681.07240000001</v>
      </c>
      <c r="H25" s="10" t="n">
        <f aca="false">H19*H22*INP_007/INP_016</f>
        <v>10417.28688</v>
      </c>
      <c r="I25" s="10" t="n">
        <f aca="false">I19*I22*INP_007/INP_016</f>
        <v>11979.879912</v>
      </c>
      <c r="K25" s="10" t="n">
        <f aca="false">K19*K22*INP_008/INP_016</f>
        <v>1766.09664</v>
      </c>
      <c r="L25" s="10" t="n">
        <f aca="false">L19*L22*INP_009/INP_016</f>
        <v>2693.05344</v>
      </c>
      <c r="M25" s="2" t="s">
        <v>5399</v>
      </c>
    </row>
    <row r="26" customFormat="false" ht="15" hidden="false" customHeight="false" outlineLevel="0" collapsed="false">
      <c r="A26" s="10" t="s">
        <v>5404</v>
      </c>
      <c r="B26" s="10" t="s">
        <v>5405</v>
      </c>
      <c r="C26" s="10" t="s">
        <v>4679</v>
      </c>
      <c r="D26" s="10" t="n">
        <f aca="false">D23+D24+D25</f>
        <v>1095.150672</v>
      </c>
      <c r="E26" s="10" t="n">
        <f aca="false">E23+E24+E25</f>
        <v>9141.257664</v>
      </c>
      <c r="F26" s="10" t="n">
        <f aca="false">F23+F24+F25</f>
        <v>13689.3834</v>
      </c>
      <c r="G26" s="10" t="n">
        <f aca="false">G23+G24+G25</f>
        <v>17796.19842</v>
      </c>
      <c r="H26" s="10" t="n">
        <f aca="false">H23+H24+H25</f>
        <v>21355.438104</v>
      </c>
      <c r="I26" s="10" t="n">
        <f aca="false">I23+I24+I25</f>
        <v>24558.7538196</v>
      </c>
      <c r="K26" s="10" t="n">
        <f aca="false">K23+K24+K25</f>
        <v>3620.498112</v>
      </c>
      <c r="L26" s="10" t="n">
        <f aca="false">L23+L24+L25</f>
        <v>5520.759552</v>
      </c>
      <c r="M26" s="2"/>
    </row>
    <row r="27" customFormat="false" ht="15" hidden="false" customHeight="false" outlineLevel="0" collapsed="false">
      <c r="A27" s="10" t="s">
        <v>5406</v>
      </c>
      <c r="B27" s="10" t="s">
        <v>5407</v>
      </c>
      <c r="C27" s="10" t="s">
        <v>4679</v>
      </c>
      <c r="D27" s="10" t="n">
        <f aca="false">D26*INP_063</f>
        <v>985.6356048</v>
      </c>
      <c r="E27" s="10" t="n">
        <f aca="false">E26*INP_063</f>
        <v>8227.1318976</v>
      </c>
      <c r="F27" s="10" t="n">
        <f aca="false">F26*INP_063</f>
        <v>12320.44506</v>
      </c>
      <c r="G27" s="10" t="n">
        <f aca="false">G26*INP_063</f>
        <v>16016.578578</v>
      </c>
      <c r="H27" s="10" t="n">
        <f aca="false">H26*INP_063</f>
        <v>19219.8942936</v>
      </c>
      <c r="I27" s="10" t="n">
        <f aca="false">I26*INP_063</f>
        <v>22102.87843764</v>
      </c>
      <c r="K27" s="10" t="n">
        <f aca="false">K26*INP_063</f>
        <v>3258.4483008</v>
      </c>
      <c r="L27" s="10" t="n">
        <f aca="false">L26*INP_063</f>
        <v>4968.6835968</v>
      </c>
      <c r="M27" s="13" t="s">
        <v>5408</v>
      </c>
    </row>
    <row r="28" customFormat="false" ht="15" hidden="false" customHeight="false" outlineLevel="0" collapsed="false">
      <c r="A28" s="10" t="s">
        <v>5409</v>
      </c>
      <c r="B28" s="10" t="s">
        <v>5410</v>
      </c>
      <c r="C28" s="10" t="s">
        <v>4679</v>
      </c>
      <c r="D28" s="10" t="n">
        <f aca="false">D26*(1-INP_063)</f>
        <v>109.5150672</v>
      </c>
      <c r="E28" s="10" t="n">
        <f aca="false">E26*(1-INP_063)</f>
        <v>914.1257664</v>
      </c>
      <c r="F28" s="10" t="n">
        <f aca="false">F26*(1-INP_063)</f>
        <v>1368.93834</v>
      </c>
      <c r="G28" s="10" t="n">
        <f aca="false">G26*(1-INP_063)</f>
        <v>1779.619842</v>
      </c>
      <c r="H28" s="10" t="n">
        <f aca="false">H26*(1-INP_063)</f>
        <v>2135.5438104</v>
      </c>
      <c r="I28" s="10" t="n">
        <f aca="false">I26*(1-INP_063)</f>
        <v>2455.87538196</v>
      </c>
      <c r="K28" s="10" t="n">
        <f aca="false">K26*(1-INP_063)</f>
        <v>362.0498112</v>
      </c>
      <c r="L28" s="10" t="n">
        <f aca="false">L26*(1-INP_063)</f>
        <v>552.0759552</v>
      </c>
      <c r="M28" s="2"/>
    </row>
    <row r="29" customFormat="false" ht="15" hidden="false" customHeight="false" outlineLevel="0" collapsed="false">
      <c r="A29" s="15" t="s">
        <v>5411</v>
      </c>
    </row>
    <row r="30" customFormat="false" ht="15" hidden="false" customHeight="false" outlineLevel="0" collapsed="false">
      <c r="A30" s="10" t="s">
        <v>5412</v>
      </c>
      <c r="B30" s="11" t="s">
        <v>5014</v>
      </c>
      <c r="C30" s="11" t="s">
        <v>5015</v>
      </c>
      <c r="D30" s="10" t="n">
        <f aca="false">INP_064</f>
        <v>10</v>
      </c>
      <c r="E30" s="10" t="n">
        <f aca="false">D30*(1+INP_065)</f>
        <v>11</v>
      </c>
      <c r="F30" s="10" t="n">
        <f aca="false">E30*(1+INP_065)</f>
        <v>12.1</v>
      </c>
      <c r="G30" s="10" t="n">
        <f aca="false">F30*(1+INP_065)</f>
        <v>13.31</v>
      </c>
      <c r="H30" s="10" t="n">
        <f aca="false">G30*(1+INP_065)</f>
        <v>14.641</v>
      </c>
      <c r="I30" s="10" t="n">
        <f aca="false">H30*(1+INP_065)</f>
        <v>16.1051</v>
      </c>
      <c r="M30" s="13" t="s">
        <v>5413</v>
      </c>
    </row>
    <row r="31" customFormat="false" ht="15" hidden="false" customHeight="false" outlineLevel="0" collapsed="false">
      <c r="A31" s="10" t="s">
        <v>5414</v>
      </c>
      <c r="B31" s="11" t="s">
        <v>5415</v>
      </c>
      <c r="C31" s="10" t="s">
        <v>4679</v>
      </c>
      <c r="D31" s="10" t="n">
        <f aca="false">D30*INP_066*INP_067*INP_007/INP_018</f>
        <v>10.95</v>
      </c>
      <c r="E31" s="10" t="n">
        <f aca="false">E30*INP_066*INP_067*INP_007/INP_018</f>
        <v>12.045</v>
      </c>
      <c r="F31" s="10" t="n">
        <f aca="false">F30*INP_066*INP_067*INP_007/INP_018</f>
        <v>13.2495</v>
      </c>
      <c r="G31" s="10" t="n">
        <f aca="false">G30*INP_066*INP_067*INP_007/INP_018</f>
        <v>14.57445</v>
      </c>
      <c r="H31" s="10" t="n">
        <f aca="false">H30*INP_066*INP_067*INP_007/INP_018</f>
        <v>16.031895</v>
      </c>
      <c r="I31" s="10" t="n">
        <f aca="false">I30*INP_066*INP_067*INP_007/INP_018</f>
        <v>17.6350845</v>
      </c>
      <c r="M31" s="2" t="s">
        <v>5416</v>
      </c>
    </row>
    <row r="32" customFormat="false" ht="15" hidden="false" customHeight="false" outlineLevel="0" collapsed="false">
      <c r="A32" s="10" t="s">
        <v>5417</v>
      </c>
      <c r="B32" s="11" t="s">
        <v>5418</v>
      </c>
      <c r="C32" s="10" t="s">
        <v>4679</v>
      </c>
      <c r="D32" s="10" t="n">
        <f aca="false">D31*INP_068</f>
        <v>3.285</v>
      </c>
      <c r="E32" s="10" t="n">
        <f aca="false">E31*INP_068</f>
        <v>3.6135</v>
      </c>
      <c r="F32" s="10" t="n">
        <f aca="false">F31*INP_068</f>
        <v>3.97485</v>
      </c>
      <c r="G32" s="10" t="n">
        <f aca="false">G31*INP_068</f>
        <v>4.372335</v>
      </c>
      <c r="H32" s="10" t="n">
        <f aca="false">H31*INP_068</f>
        <v>4.8095685</v>
      </c>
      <c r="I32" s="10" t="n">
        <f aca="false">I31*INP_068</f>
        <v>5.29052535</v>
      </c>
      <c r="M32" s="2"/>
    </row>
    <row r="33" customFormat="false" ht="15" hidden="false" customHeight="false" outlineLevel="0" collapsed="false">
      <c r="A33" s="10" t="s">
        <v>5419</v>
      </c>
      <c r="B33" s="11" t="s">
        <v>5420</v>
      </c>
      <c r="C33" s="10" t="s">
        <v>4679</v>
      </c>
      <c r="D33" s="10" t="n">
        <f aca="false">D31*(1-INP_068)</f>
        <v>7.665</v>
      </c>
      <c r="E33" s="10" t="n">
        <f aca="false">E31*(1-INP_068)</f>
        <v>8.4315</v>
      </c>
      <c r="F33" s="10" t="n">
        <f aca="false">F31*(1-INP_068)</f>
        <v>9.27465</v>
      </c>
      <c r="G33" s="10" t="n">
        <f aca="false">G31*(1-INP_068)</f>
        <v>10.202115</v>
      </c>
      <c r="H33" s="10" t="n">
        <f aca="false">H31*(1-INP_068)</f>
        <v>11.2223265</v>
      </c>
      <c r="I33" s="10" t="n">
        <f aca="false">I31*(1-INP_068)</f>
        <v>12.34455915</v>
      </c>
      <c r="M33" s="2"/>
    </row>
    <row r="34" customFormat="false" ht="15" hidden="false" customHeight="false" outlineLevel="0" collapsed="false">
      <c r="A34" s="15" t="s">
        <v>5421</v>
      </c>
    </row>
    <row r="35" customFormat="false" ht="15" hidden="false" customHeight="false" outlineLevel="0" collapsed="false">
      <c r="A35" s="10" t="s">
        <v>5422</v>
      </c>
      <c r="B35" s="11" t="s">
        <v>5423</v>
      </c>
      <c r="C35" s="10" t="s">
        <v>4679</v>
      </c>
      <c r="D35" s="10" t="n">
        <f aca="false">D12+D27</f>
        <v>1025.51251316727</v>
      </c>
      <c r="E35" s="10" t="n">
        <f aca="false">E12+E27</f>
        <v>8713.45042652345</v>
      </c>
      <c r="F35" s="10" t="n">
        <f aca="false">F12+F27</f>
        <v>13578.7942535894</v>
      </c>
      <c r="G35" s="10" t="n">
        <f aca="false">G12+G27</f>
        <v>18729.8940266772</v>
      </c>
      <c r="H35" s="10" t="n">
        <f aca="false">H12+H27</f>
        <v>24485.4220861892</v>
      </c>
      <c r="I35" s="10" t="n">
        <f aca="false">I12+I27</f>
        <v>31564.3736899487</v>
      </c>
      <c r="M35" s="13" t="s">
        <v>5424</v>
      </c>
    </row>
    <row r="36" customFormat="false" ht="15" hidden="false" customHeight="false" outlineLevel="0" collapsed="false">
      <c r="A36" s="10" t="s">
        <v>5425</v>
      </c>
      <c r="B36" s="11" t="s">
        <v>5426</v>
      </c>
      <c r="C36" s="10" t="s">
        <v>4679</v>
      </c>
      <c r="D36" s="10" t="n">
        <f aca="false">D13+D28</f>
        <v>136.099672778178</v>
      </c>
      <c r="E36" s="10" t="n">
        <f aca="false">E13+E28</f>
        <v>1122.54799308148</v>
      </c>
      <c r="F36" s="10" t="n">
        <f aca="false">F13+F28</f>
        <v>1908.23085153833</v>
      </c>
      <c r="G36" s="10" t="n">
        <f aca="false">G13+G28</f>
        <v>2942.46932000452</v>
      </c>
      <c r="H36" s="10" t="n">
        <f aca="false">H13+H28</f>
        <v>4392.19857865252</v>
      </c>
      <c r="I36" s="10" t="n">
        <f aca="false">I13+I28</f>
        <v>6510.80191866374</v>
      </c>
      <c r="M36" s="13" t="s">
        <v>5427</v>
      </c>
    </row>
    <row r="37" customFormat="false" ht="15" hidden="false" customHeight="false" outlineLevel="0" collapsed="false">
      <c r="A37" s="10" t="s">
        <v>5428</v>
      </c>
      <c r="B37" s="11" t="s">
        <v>5429</v>
      </c>
      <c r="C37" s="10" t="s">
        <v>4679</v>
      </c>
      <c r="D37" s="10" t="n">
        <f aca="false">D32</f>
        <v>3.285</v>
      </c>
      <c r="E37" s="10" t="n">
        <f aca="false">E32</f>
        <v>3.6135</v>
      </c>
      <c r="F37" s="10" t="n">
        <f aca="false">F32</f>
        <v>3.97485</v>
      </c>
      <c r="G37" s="10" t="n">
        <f aca="false">G32</f>
        <v>4.372335</v>
      </c>
      <c r="H37" s="10" t="n">
        <f aca="false">H32</f>
        <v>4.8095685</v>
      </c>
      <c r="I37" s="10" t="n">
        <f aca="false">I32</f>
        <v>5.29052535</v>
      </c>
      <c r="M37" s="2" t="s">
        <v>5430</v>
      </c>
    </row>
    <row r="38" customFormat="false" ht="15" hidden="false" customHeight="false" outlineLevel="0" collapsed="false">
      <c r="A38" s="10" t="s">
        <v>5431</v>
      </c>
      <c r="B38" s="11" t="s">
        <v>5432</v>
      </c>
      <c r="C38" s="10" t="s">
        <v>4679</v>
      </c>
      <c r="D38" s="10" t="n">
        <f aca="false">D33+D14</f>
        <v>27.6034541836335</v>
      </c>
      <c r="E38" s="10" t="n">
        <f aca="false">E33+E14</f>
        <v>216.853726681479</v>
      </c>
      <c r="F38" s="10" t="n">
        <f aca="false">F33+F14</f>
        <v>548.567161538327</v>
      </c>
      <c r="G38" s="10" t="n">
        <f aca="false">G33+G14</f>
        <v>1173.05159300452</v>
      </c>
      <c r="H38" s="10" t="n">
        <f aca="false">H33+H14</f>
        <v>2267.87709475252</v>
      </c>
      <c r="I38" s="10" t="n">
        <f aca="false">I33+I14</f>
        <v>4067.27109585374</v>
      </c>
      <c r="M38" s="2" t="s">
        <v>5433</v>
      </c>
    </row>
    <row r="39" customFormat="false" ht="15" hidden="false" customHeight="false" outlineLevel="0" collapsed="false">
      <c r="A39" s="10" t="s">
        <v>5434</v>
      </c>
      <c r="B39" s="11" t="s">
        <v>5435</v>
      </c>
      <c r="C39" s="10" t="s">
        <v>4679</v>
      </c>
      <c r="D39" s="10" t="n">
        <f aca="false">D35+D36</f>
        <v>1161.61218594545</v>
      </c>
      <c r="E39" s="10" t="n">
        <f aca="false">E35+E36</f>
        <v>9835.99841960493</v>
      </c>
      <c r="F39" s="10" t="n">
        <f aca="false">F35+F36</f>
        <v>15487.0251051278</v>
      </c>
      <c r="G39" s="10" t="n">
        <f aca="false">G35+G36</f>
        <v>21672.3633466817</v>
      </c>
      <c r="H39" s="10" t="n">
        <f aca="false">H35+H36</f>
        <v>28877.6206648417</v>
      </c>
      <c r="I39" s="10" t="n">
        <f aca="false">I35+I36</f>
        <v>38075.1756086125</v>
      </c>
      <c r="M39" s="2"/>
    </row>
    <row r="40" customFormat="false" ht="15" hidden="false" customHeight="false" outlineLevel="0" collapsed="false">
      <c r="A40" s="10" t="s">
        <v>5436</v>
      </c>
      <c r="B40" s="11" t="s">
        <v>5437</v>
      </c>
      <c r="C40" s="10" t="s">
        <v>4679</v>
      </c>
      <c r="D40" s="10" t="n">
        <f aca="false">D37+D38</f>
        <v>30.8884541836335</v>
      </c>
      <c r="E40" s="10" t="n">
        <f aca="false">E37+E38</f>
        <v>220.467226681479</v>
      </c>
      <c r="F40" s="10" t="n">
        <f aca="false">F37+F38</f>
        <v>552.542011538327</v>
      </c>
      <c r="G40" s="10" t="n">
        <f aca="false">G37+G38</f>
        <v>1177.42392800452</v>
      </c>
      <c r="H40" s="10" t="n">
        <f aca="false">H37+H38</f>
        <v>2272.68666325252</v>
      </c>
      <c r="I40" s="10" t="n">
        <f aca="false">I37+I38</f>
        <v>4072.56162120374</v>
      </c>
      <c r="M40" s="2"/>
    </row>
    <row r="41" customFormat="false" ht="15" hidden="false" customHeight="false" outlineLevel="0" collapsed="false">
      <c r="A41" s="10" t="s">
        <v>5438</v>
      </c>
      <c r="B41" s="10" t="s">
        <v>4678</v>
      </c>
      <c r="C41" s="10" t="s">
        <v>4679</v>
      </c>
      <c r="D41" s="10" t="n">
        <f aca="false">D39+D40</f>
        <v>1192.50064012908</v>
      </c>
      <c r="E41" s="10" t="n">
        <f aca="false">E39+E40</f>
        <v>10056.4656462864</v>
      </c>
      <c r="F41" s="10" t="n">
        <f aca="false">F39+F40</f>
        <v>16039.5671166661</v>
      </c>
      <c r="G41" s="10" t="n">
        <f aca="false">G39+G40</f>
        <v>22849.7872746862</v>
      </c>
      <c r="H41" s="10" t="n">
        <f aca="false">H39+H40</f>
        <v>31150.3073280942</v>
      </c>
      <c r="I41" s="10" t="n">
        <f aca="false">I39+I40</f>
        <v>42147.7372298162</v>
      </c>
      <c r="M41" s="2"/>
    </row>
    <row r="42" customFormat="false" ht="15" hidden="false" customHeight="false" outlineLevel="0" collapsed="false">
      <c r="A42" s="15" t="s">
        <v>5439</v>
      </c>
    </row>
    <row r="43" customFormat="false" ht="15" hidden="false" customHeight="false" outlineLevel="0" collapsed="false">
      <c r="A43" s="10" t="s">
        <v>5440</v>
      </c>
      <c r="B43" s="10" t="s">
        <v>5441</v>
      </c>
      <c r="C43" s="11" t="s">
        <v>1709</v>
      </c>
      <c r="K43" s="16" t="n">
        <f aca="false">(SRC_ZP_169/(SRC_ZP_112-SRC_ZP_170))/(Revenue!K24/Revenue!D24)</f>
        <v>3.24095943895404</v>
      </c>
      <c r="M43" s="2" t="s">
        <v>5442</v>
      </c>
    </row>
    <row r="44" customFormat="false" ht="15" hidden="false" customHeight="false" outlineLevel="0" collapsed="false">
      <c r="A44" s="10" t="s">
        <v>5443</v>
      </c>
      <c r="B44" s="11" t="s">
        <v>5444</v>
      </c>
      <c r="C44" s="11" t="s">
        <v>1709</v>
      </c>
      <c r="L44" s="10" t="n">
        <f aca="false">L11/K11</f>
        <v>2.80711422085888</v>
      </c>
      <c r="M44" s="2" t="s">
        <v>5445</v>
      </c>
    </row>
    <row r="45" customFormat="false" ht="15" hidden="false" customHeight="false" outlineLevel="0" collapsed="false">
      <c r="A45" s="10" t="s">
        <v>5446</v>
      </c>
      <c r="B45" s="11" t="s">
        <v>5447</v>
      </c>
      <c r="C45" s="11" t="s">
        <v>1709</v>
      </c>
      <c r="K45" s="10" t="n">
        <f aca="false">SRC_ZP_410</f>
        <v>40</v>
      </c>
      <c r="M45" s="13" t="s">
        <v>5448</v>
      </c>
    </row>
    <row r="46" customFormat="false" ht="15" hidden="false" customHeight="false" outlineLevel="0" collapsed="false">
      <c r="A46" s="10" t="s">
        <v>5449</v>
      </c>
      <c r="B46" s="11" t="s">
        <v>5450</v>
      </c>
      <c r="C46" s="10" t="s">
        <v>1714</v>
      </c>
      <c r="D46" s="10" t="n">
        <f aca="false">D41/INP_007</f>
        <v>3.26712504144953</v>
      </c>
      <c r="M46" s="2" t="s">
        <v>5451</v>
      </c>
    </row>
    <row r="47" customFormat="false" ht="15" hidden="false" customHeight="false" outlineLevel="0" collapsed="false">
      <c r="A47" s="10" t="s">
        <v>5452</v>
      </c>
      <c r="B47" s="11" t="s">
        <v>5453</v>
      </c>
      <c r="C47" s="10" t="s">
        <v>1714</v>
      </c>
      <c r="D47" s="10" t="n">
        <f aca="false">SRC_ZP_991</f>
        <v>4.2</v>
      </c>
      <c r="M47" s="13" t="s">
        <v>5454</v>
      </c>
    </row>
    <row r="48" customFormat="false" ht="15" hidden="false" customHeight="false" outlineLevel="0" collapsed="false">
      <c r="A48" s="10" t="s">
        <v>5455</v>
      </c>
      <c r="B48" s="10" t="s">
        <v>5456</v>
      </c>
      <c r="C48" s="11" t="s">
        <v>4705</v>
      </c>
      <c r="D48" s="10" t="n">
        <f aca="false">D11/(SRC_ZP_991*INP_007)</f>
        <v>0.0433538903753719</v>
      </c>
      <c r="M48" s="2" t="s">
        <v>5457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0"/>
    <col collapsed="false" customWidth="true" hidden="false" outlineLevel="0" max="3" min="3" style="0" width="12"/>
    <col collapsed="false" customWidth="true" hidden="false" outlineLevel="0" max="9" min="4" style="0" width="11"/>
    <col collapsed="false" customWidth="true" hidden="false" outlineLevel="0" max="10" min="10" style="0" width="2"/>
    <col collapsed="false" customWidth="true" hidden="false" outlineLevel="0" max="12" min="11" style="0" width="11"/>
    <col collapsed="false" customWidth="true" hidden="false" outlineLevel="0" max="13" min="13" style="0" width="80"/>
  </cols>
  <sheetData>
    <row r="1" customFormat="false" ht="20.1" hidden="false" customHeight="false" outlineLevel="0" collapsed="false">
      <c r="A1" s="7" t="s">
        <v>5458</v>
      </c>
    </row>
    <row r="2" customFormat="false" ht="15" hidden="false" customHeight="false" outlineLevel="0" collapsed="false">
      <c r="A2" s="13" t="s">
        <v>5459</v>
      </c>
    </row>
    <row r="3" customFormat="false" ht="15" hidden="false" customHeight="false" outlineLevel="0" collapsed="false">
      <c r="A3" s="2" t="s">
        <v>5460</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5461</v>
      </c>
    </row>
    <row r="8" customFormat="false" ht="15" hidden="false" customHeight="false" outlineLevel="0" collapsed="false">
      <c r="A8" s="10" t="s">
        <v>5462</v>
      </c>
      <c r="B8" s="10" t="s">
        <v>5463</v>
      </c>
      <c r="C8" s="11" t="s">
        <v>4705</v>
      </c>
      <c r="K8" s="10" t="n">
        <f aca="false">INP_026/INP_008</f>
        <v>0.232044198895028</v>
      </c>
      <c r="M8" s="13" t="s">
        <v>5464</v>
      </c>
    </row>
    <row r="9" customFormat="false" ht="15" hidden="false" customHeight="false" outlineLevel="0" collapsed="false">
      <c r="A9" s="10" t="s">
        <v>5465</v>
      </c>
      <c r="B9" s="10" t="s">
        <v>5466</v>
      </c>
      <c r="C9" s="11" t="s">
        <v>4705</v>
      </c>
      <c r="K9" s="10" t="n">
        <f aca="false">INP_027/INP_008</f>
        <v>0.298342541436464</v>
      </c>
      <c r="M9" s="13" t="s">
        <v>5467</v>
      </c>
    </row>
    <row r="10" customFormat="false" ht="15" hidden="false" customHeight="false" outlineLevel="0" collapsed="false">
      <c r="A10" s="10" t="s">
        <v>5468</v>
      </c>
      <c r="B10" s="10" t="s">
        <v>5469</v>
      </c>
      <c r="C10" s="11" t="s">
        <v>4705</v>
      </c>
      <c r="K10" s="10" t="n">
        <f aca="false">(1-K8-K9)</f>
        <v>0.469613259668508</v>
      </c>
      <c r="M10" s="13" t="s">
        <v>5470</v>
      </c>
    </row>
    <row r="11" customFormat="false" ht="15" hidden="false" customHeight="false" outlineLevel="0" collapsed="false">
      <c r="A11" s="10" t="s">
        <v>5471</v>
      </c>
      <c r="B11" s="10" t="s">
        <v>5472</v>
      </c>
      <c r="C11" s="11" t="s">
        <v>4705</v>
      </c>
      <c r="L11" s="10" t="n">
        <f aca="false">INP_028/INP_009</f>
        <v>0.695652173913044</v>
      </c>
      <c r="M11" s="13" t="s">
        <v>5473</v>
      </c>
    </row>
    <row r="12" customFormat="false" ht="15" hidden="false" customHeight="false" outlineLevel="0" collapsed="false">
      <c r="A12" s="15" t="s">
        <v>5474</v>
      </c>
    </row>
    <row r="13" customFormat="false" ht="15" hidden="false" customHeight="false" outlineLevel="0" collapsed="false">
      <c r="A13" s="10" t="s">
        <v>5475</v>
      </c>
      <c r="B13" s="10" t="s">
        <v>5476</v>
      </c>
      <c r="C13" s="11" t="s">
        <v>5477</v>
      </c>
      <c r="D13" s="10" t="n">
        <f aca="false">(1-INP_025)*SRC_ZP_311+INP_025*SRC_ZP_314</f>
        <v>3.6</v>
      </c>
      <c r="E13" s="10" t="n">
        <f aca="false">(K13+L13)/INP_013</f>
        <v>6.88397790055249</v>
      </c>
      <c r="F13" s="10" t="n">
        <f aca="false">L13*(1+INP_035)</f>
        <v>6.4</v>
      </c>
      <c r="G13" s="10" t="n">
        <f aca="false">F13*(1+INP_035)</f>
        <v>5.12</v>
      </c>
      <c r="H13" s="10" t="n">
        <f aca="false">G13*(1+INP_035)</f>
        <v>4.096</v>
      </c>
      <c r="I13" s="10" t="n">
        <f aca="false">H13*(1+INP_035)</f>
        <v>3.2768</v>
      </c>
      <c r="K13" s="10" t="n">
        <f aca="false">K8*D13+K9*((1-INP_025)*SRC_ZP_302+INP_025*SRC_ZP_305)+K10*((1-INP_025)*SRC_ZP_290+INP_025*SRC_ZP_293)</f>
        <v>5.76795580110497</v>
      </c>
      <c r="L13" s="10" t="n">
        <f aca="false">SRC_ZP_284</f>
        <v>8</v>
      </c>
      <c r="M13" s="13" t="s">
        <v>5478</v>
      </c>
    </row>
    <row r="14" customFormat="false" ht="15" hidden="false" customHeight="false" outlineLevel="0" collapsed="false">
      <c r="A14" s="10" t="s">
        <v>5479</v>
      </c>
      <c r="B14" s="10" t="s">
        <v>5480</v>
      </c>
      <c r="C14" s="11" t="s">
        <v>5477</v>
      </c>
      <c r="D14" s="10" t="n">
        <f aca="false">(1-INP_025)*SRC_ZP_312+INP_025*SRC_ZP_315</f>
        <v>0.72</v>
      </c>
      <c r="E14" s="10" t="n">
        <f aca="false">(K14+L14)/INP_013</f>
        <v>1.68132596685083</v>
      </c>
      <c r="F14" s="10" t="n">
        <f aca="false">L14*(1+INP_035)</f>
        <v>1.6</v>
      </c>
      <c r="G14" s="10" t="n">
        <f aca="false">F14*(1+INP_035)</f>
        <v>1.28</v>
      </c>
      <c r="H14" s="10" t="n">
        <f aca="false">G14*(1+INP_035)</f>
        <v>1.024</v>
      </c>
      <c r="I14" s="10" t="n">
        <f aca="false">H14*(1+INP_035)</f>
        <v>0.8192</v>
      </c>
      <c r="K14" s="10" t="n">
        <f aca="false">K8*D14+K9*((1-INP_025)*SRC_ZP_303+INP_025*SRC_ZP_306)+K10*((1-INP_025)*SRC_ZP_291+INP_025*SRC_ZP_294)</f>
        <v>1.36265193370166</v>
      </c>
      <c r="L14" s="10" t="n">
        <f aca="false">SRC_ZP_285</f>
        <v>2</v>
      </c>
      <c r="M14" s="13" t="s">
        <v>5478</v>
      </c>
    </row>
    <row r="15" customFormat="false" ht="15" hidden="false" customHeight="false" outlineLevel="0" collapsed="false">
      <c r="A15" s="10" t="s">
        <v>5481</v>
      </c>
      <c r="B15" s="10" t="s">
        <v>5482</v>
      </c>
      <c r="C15" s="11" t="s">
        <v>5477</v>
      </c>
      <c r="D15" s="10" t="n">
        <f aca="false">(1-INP_025)*SRC_ZP_313+INP_025*SRC_ZP_316</f>
        <v>15.2</v>
      </c>
      <c r="E15" s="10" t="n">
        <f aca="false">(K15+L15)/INP_013</f>
        <v>25.0055248618785</v>
      </c>
      <c r="F15" s="10" t="n">
        <f aca="false">L15*(1+INP_035)</f>
        <v>22.4</v>
      </c>
      <c r="G15" s="10" t="n">
        <f aca="false">F15*(1+INP_035)</f>
        <v>17.92</v>
      </c>
      <c r="H15" s="10" t="n">
        <f aca="false">G15*(1+INP_035)</f>
        <v>14.336</v>
      </c>
      <c r="I15" s="10" t="n">
        <f aca="false">H15*(1+INP_035)</f>
        <v>11.4688</v>
      </c>
      <c r="K15" s="10" t="n">
        <f aca="false">K8*D15+K9*((1-INP_025)*SRC_ZP_304+INP_025*SRC_ZP_307)+K10*((1-INP_025)*SRC_ZP_292+INP_025*SRC_ZP_295)</f>
        <v>22.0110497237569</v>
      </c>
      <c r="L15" s="10" t="n">
        <f aca="false">SRC_ZP_286</f>
        <v>28</v>
      </c>
      <c r="M15" s="13" t="s">
        <v>5478</v>
      </c>
    </row>
    <row r="16" customFormat="false" ht="15" hidden="false" customHeight="false" outlineLevel="0" collapsed="false">
      <c r="A16" s="10" t="s">
        <v>5483</v>
      </c>
      <c r="B16" s="10" t="s">
        <v>5484</v>
      </c>
      <c r="C16" s="11" t="s">
        <v>5477</v>
      </c>
      <c r="D16" s="10" t="n">
        <f aca="false">(1-INP_025)*SRC_ZP_320+INP_025*SRC_ZP_323</f>
        <v>1.04</v>
      </c>
      <c r="E16" s="10" t="n">
        <f aca="false">(K16+L16)/INP_013</f>
        <v>0.956521739130435</v>
      </c>
      <c r="F16" s="10" t="n">
        <f aca="false">L16*(1+INP_036)</f>
        <v>0.698434782608696</v>
      </c>
      <c r="G16" s="10" t="n">
        <f aca="false">F16*(1+INP_036)</f>
        <v>0.558747826086957</v>
      </c>
      <c r="H16" s="10" t="n">
        <f aca="false">G16*(1+INP_036)</f>
        <v>0.446998260869565</v>
      </c>
      <c r="I16" s="10" t="n">
        <f aca="false">H16*(1+INP_036)</f>
        <v>0.357598608695652</v>
      </c>
      <c r="K16" s="10" t="n">
        <f aca="false">D16</f>
        <v>1.04</v>
      </c>
      <c r="L16" s="10" t="n">
        <f aca="false">(1-L11)*K16+L11*SRC_ZP_329</f>
        <v>0.87304347826087</v>
      </c>
      <c r="M16" s="13" t="s">
        <v>5485</v>
      </c>
    </row>
    <row r="17" customFormat="false" ht="15" hidden="false" customHeight="false" outlineLevel="0" collapsed="false">
      <c r="A17" s="10" t="s">
        <v>5486</v>
      </c>
      <c r="B17" s="10" t="s">
        <v>5487</v>
      </c>
      <c r="C17" s="11" t="s">
        <v>5477</v>
      </c>
      <c r="D17" s="10" t="n">
        <f aca="false">(1-INP_025)*SRC_ZP_321+INP_025*SRC_ZP_324</f>
        <v>0.208</v>
      </c>
      <c r="E17" s="10" t="n">
        <f aca="false">(K17+L17)/INP_013</f>
        <v>0.215652173913043</v>
      </c>
      <c r="F17" s="10" t="n">
        <f aca="false">L17*(1+INP_036)</f>
        <v>0.17864347826087</v>
      </c>
      <c r="G17" s="10" t="n">
        <f aca="false">F17*(1+INP_036)</f>
        <v>0.142914782608696</v>
      </c>
      <c r="H17" s="10" t="n">
        <f aca="false">G17*(1+INP_036)</f>
        <v>0.114331826086957</v>
      </c>
      <c r="I17" s="10" t="n">
        <f aca="false">H17*(1+INP_036)</f>
        <v>0.0914654608695652</v>
      </c>
      <c r="K17" s="10" t="n">
        <f aca="false">D17</f>
        <v>0.208</v>
      </c>
      <c r="L17" s="10" t="n">
        <f aca="false">(1-L11)*K17+L11*SRC_ZP_330</f>
        <v>0.223304347826087</v>
      </c>
      <c r="M17" s="13" t="s">
        <v>5485</v>
      </c>
    </row>
    <row r="18" customFormat="false" ht="15" hidden="false" customHeight="false" outlineLevel="0" collapsed="false">
      <c r="A18" s="10" t="s">
        <v>5488</v>
      </c>
      <c r="B18" s="10" t="s">
        <v>5489</v>
      </c>
      <c r="C18" s="11" t="s">
        <v>5477</v>
      </c>
      <c r="D18" s="10" t="n">
        <f aca="false">(1-INP_025)*SRC_ZP_322+INP_025*SRC_ZP_325</f>
        <v>7.2</v>
      </c>
      <c r="E18" s="10" t="n">
        <f aca="false">(K18+L18)/INP_013</f>
        <v>5.6695652173913</v>
      </c>
      <c r="F18" s="10" t="n">
        <f aca="false">L18*(1+INP_036)</f>
        <v>3.31130434782609</v>
      </c>
      <c r="G18" s="10" t="n">
        <f aca="false">F18*(1+INP_036)</f>
        <v>2.64904347826087</v>
      </c>
      <c r="H18" s="10" t="n">
        <f aca="false">G18*(1+INP_036)</f>
        <v>2.1192347826087</v>
      </c>
      <c r="I18" s="10" t="n">
        <f aca="false">H18*(1+INP_036)</f>
        <v>1.69538782608696</v>
      </c>
      <c r="K18" s="10" t="n">
        <f aca="false">D18</f>
        <v>7.2</v>
      </c>
      <c r="L18" s="10" t="n">
        <f aca="false">(1-L11)*K18+L11*SRC_ZP_331</f>
        <v>4.13913043478261</v>
      </c>
      <c r="M18" s="13" t="s">
        <v>5485</v>
      </c>
    </row>
    <row r="19" customFormat="false" ht="15" hidden="false" customHeight="false" outlineLevel="0" collapsed="false">
      <c r="A19" s="15" t="s">
        <v>5490</v>
      </c>
    </row>
    <row r="20" customFormat="false" ht="15" hidden="false" customHeight="false" outlineLevel="0" collapsed="false">
      <c r="A20" s="10" t="s">
        <v>5491</v>
      </c>
      <c r="B20" s="10" t="s">
        <v>5492</v>
      </c>
      <c r="C20" s="11" t="s">
        <v>5477</v>
      </c>
      <c r="D20" s="10" t="n">
        <f aca="false">((1-INP_029)*(INP_030*D14+(1-INP_030)*D13)+INP_029*D15)*(1-INP_031)</f>
        <v>3.087</v>
      </c>
      <c r="E20" s="10" t="n">
        <f aca="false">(K20+L20)/INP_013</f>
        <v>5.54331215469613</v>
      </c>
      <c r="F20" s="10" t="n">
        <f aca="false">((1-INP_029)*(INP_030*F14+(1-INP_030)*F13)+INP_029*F15)*(1-INP_031)</f>
        <v>5.07</v>
      </c>
      <c r="G20" s="10" t="n">
        <f aca="false">((1-INP_029)*(INP_030*G14+(1-INP_030)*G13)+INP_029*G15)*(1-INP_031)</f>
        <v>4.056</v>
      </c>
      <c r="H20" s="10" t="n">
        <f aca="false">((1-INP_029)*(INP_030*H14+(1-INP_030)*H13)+INP_029*H15)*(1-INP_031)</f>
        <v>3.2448</v>
      </c>
      <c r="I20" s="10" t="n">
        <f aca="false">((1-INP_029)*(INP_030*I14+(1-INP_030)*I13)+INP_029*I15)*(1-INP_031)</f>
        <v>2.59584</v>
      </c>
      <c r="K20" s="10" t="n">
        <f aca="false">((1-INP_029)*(INP_030*K14+(1-INP_030)*K13)+INP_029*K15)*(1-INP_031)</f>
        <v>4.74912430939227</v>
      </c>
      <c r="L20" s="10" t="n">
        <f aca="false">((1-INP_029)*(INP_030*L14+(1-INP_030)*L13)+INP_029*L15)*(1-INP_031)</f>
        <v>6.3375</v>
      </c>
      <c r="M20" s="2" t="s">
        <v>5493</v>
      </c>
    </row>
    <row r="21" customFormat="false" ht="15" hidden="false" customHeight="false" outlineLevel="0" collapsed="false">
      <c r="A21" s="10" t="s">
        <v>5494</v>
      </c>
      <c r="B21" s="10" t="s">
        <v>5495</v>
      </c>
      <c r="C21" s="11" t="s">
        <v>5477</v>
      </c>
      <c r="D21" s="10" t="n">
        <f aca="false">((1-INP_029)*(INP_030*D17+(1-INP_030)*D16)+INP_029*D18)*(1-INP_031)</f>
        <v>1.2078</v>
      </c>
      <c r="E21" s="10" t="n">
        <f aca="false">(K21+L21)/INP_013</f>
        <v>1.01145652173913</v>
      </c>
      <c r="F21" s="10" t="n">
        <f aca="false">((1-INP_029)*(INP_030*F17+(1-INP_030)*F16)+INP_029*F18)*(1-INP_031)</f>
        <v>0.652090434782609</v>
      </c>
      <c r="G21" s="10" t="n">
        <f aca="false">((1-INP_029)*(INP_030*G17+(1-INP_030)*G16)+INP_029*G18)*(1-INP_031)</f>
        <v>0.521672347826087</v>
      </c>
      <c r="H21" s="10" t="n">
        <f aca="false">((1-INP_029)*(INP_030*H17+(1-INP_030)*H16)+INP_029*H18)*(1-INP_031)</f>
        <v>0.41733787826087</v>
      </c>
      <c r="I21" s="10" t="n">
        <f aca="false">((1-INP_029)*(INP_030*I17+(1-INP_030)*I16)+INP_029*I18)*(1-INP_031)</f>
        <v>0.333870302608696</v>
      </c>
      <c r="K21" s="10" t="n">
        <f aca="false">((1-INP_029)*(INP_030*K17+(1-INP_030)*K16)+INP_029*K18)*(1-INP_031)</f>
        <v>1.2078</v>
      </c>
      <c r="L21" s="10" t="n">
        <f aca="false">((1-INP_029)*(INP_030*L17+(1-INP_030)*L16)+INP_029*L18)*(1-INP_031)</f>
        <v>0.815113043478261</v>
      </c>
      <c r="M21" s="2" t="s">
        <v>5493</v>
      </c>
    </row>
    <row r="22" customFormat="false" ht="15" hidden="false" customHeight="false" outlineLevel="0" collapsed="false">
      <c r="A22" s="10" t="s">
        <v>5496</v>
      </c>
      <c r="B22" s="11" t="s">
        <v>5497</v>
      </c>
      <c r="C22" s="11" t="s">
        <v>4705</v>
      </c>
      <c r="D22" s="10" t="n">
        <f aca="false">INP_032</f>
        <v>0.6</v>
      </c>
      <c r="E22" s="10" t="n">
        <f aca="false">INP_033</f>
        <v>0.7</v>
      </c>
      <c r="F22" s="10" t="n">
        <f aca="false">INP_034</f>
        <v>0.7</v>
      </c>
      <c r="G22" s="10" t="n">
        <f aca="false">INP_034</f>
        <v>0.7</v>
      </c>
      <c r="H22" s="10" t="n">
        <f aca="false">INP_034</f>
        <v>0.7</v>
      </c>
      <c r="I22" s="10" t="n">
        <f aca="false">INP_034</f>
        <v>0.7</v>
      </c>
      <c r="K22" s="10" t="n">
        <f aca="false">INP_033</f>
        <v>0.7</v>
      </c>
      <c r="L22" s="10" t="n">
        <f aca="false">INP_033</f>
        <v>0.7</v>
      </c>
      <c r="M22" s="13" t="s">
        <v>5498</v>
      </c>
    </row>
    <row r="23" customFormat="false" ht="15" hidden="false" customHeight="false" outlineLevel="0" collapsed="false">
      <c r="A23" s="10" t="s">
        <v>5499</v>
      </c>
      <c r="B23" s="11" t="s">
        <v>5500</v>
      </c>
      <c r="C23" s="11" t="s">
        <v>4705</v>
      </c>
      <c r="D23" s="10" t="n">
        <f aca="false">(1-D22)</f>
        <v>0.4</v>
      </c>
      <c r="E23" s="10" t="n">
        <f aca="false">(1-E22)</f>
        <v>0.3</v>
      </c>
      <c r="F23" s="10" t="n">
        <f aca="false">(1-F22)</f>
        <v>0.3</v>
      </c>
      <c r="G23" s="10" t="n">
        <f aca="false">(1-G22)</f>
        <v>0.3</v>
      </c>
      <c r="H23" s="10" t="n">
        <f aca="false">(1-H22)</f>
        <v>0.3</v>
      </c>
      <c r="I23" s="10" t="n">
        <f aca="false">(1-I22)</f>
        <v>0.3</v>
      </c>
      <c r="K23" s="10" t="n">
        <f aca="false">(1-K22)</f>
        <v>0.3</v>
      </c>
      <c r="L23" s="10" t="n">
        <f aca="false">(1-L22)</f>
        <v>0.3</v>
      </c>
      <c r="M23" s="2" t="s">
        <v>5501</v>
      </c>
    </row>
    <row r="24" customFormat="false" ht="15" hidden="false" customHeight="false" outlineLevel="0" collapsed="false">
      <c r="A24" s="10" t="s">
        <v>5502</v>
      </c>
      <c r="B24" s="11" t="s">
        <v>5503</v>
      </c>
      <c r="C24" s="11" t="s">
        <v>5477</v>
      </c>
      <c r="D24" s="10" t="n">
        <f aca="false">D22*D20+D23*D21</f>
        <v>2.33532</v>
      </c>
      <c r="E24" s="16" t="n">
        <f aca="false">E47*INP_015/Demand!E11</f>
        <v>4.41967882430657</v>
      </c>
      <c r="F24" s="10" t="n">
        <f aca="false">F22*F20+F23*F21</f>
        <v>3.74462713043478</v>
      </c>
      <c r="G24" s="10" t="n">
        <f aca="false">G22*G20+G23*G21</f>
        <v>2.99570170434783</v>
      </c>
      <c r="H24" s="10" t="n">
        <f aca="false">H22*H20+H23*H21</f>
        <v>2.39656136347826</v>
      </c>
      <c r="I24" s="10" t="n">
        <f aca="false">I22*I20+I23*I21</f>
        <v>1.91724909078261</v>
      </c>
      <c r="K24" s="10" t="n">
        <f aca="false">K22*K20+K23*K21</f>
        <v>3.68672701657459</v>
      </c>
      <c r="L24" s="10" t="n">
        <f aca="false">L22*L20+L23*L21</f>
        <v>4.68078391304348</v>
      </c>
      <c r="M24" s="13" t="s">
        <v>5504</v>
      </c>
    </row>
    <row r="25" customFormat="false" ht="15" hidden="false" customHeight="false" outlineLevel="0" collapsed="false">
      <c r="A25" s="15" t="s">
        <v>5505</v>
      </c>
    </row>
    <row r="26" customFormat="false" ht="15" hidden="false" customHeight="false" outlineLevel="0" collapsed="false">
      <c r="A26" s="10" t="s">
        <v>5506</v>
      </c>
      <c r="B26" s="10" t="s">
        <v>5507</v>
      </c>
      <c r="C26" s="11" t="s">
        <v>5508</v>
      </c>
      <c r="K26" s="10" t="n">
        <f aca="false">SRC_ZP_356</f>
        <v>49</v>
      </c>
      <c r="L26" s="10" t="n">
        <f aca="false">SRC_ZP_356</f>
        <v>49</v>
      </c>
      <c r="M26" s="13" t="s">
        <v>5509</v>
      </c>
    </row>
    <row r="27" customFormat="false" ht="15" hidden="false" customHeight="false" outlineLevel="0" collapsed="false">
      <c r="A27" s="10" t="s">
        <v>5510</v>
      </c>
      <c r="B27" s="10" t="s">
        <v>5511</v>
      </c>
      <c r="C27" s="11" t="s">
        <v>5508</v>
      </c>
      <c r="K27" s="10" t="n">
        <f aca="false">SRC_ZP_373/INP_012*INP_023</f>
        <v>67.399</v>
      </c>
      <c r="L27" s="10" t="n">
        <f aca="false">SRC_ZP_367*INP_023</f>
        <v>121.3182</v>
      </c>
      <c r="M27" s="13" t="s">
        <v>5512</v>
      </c>
    </row>
    <row r="28" customFormat="false" ht="15" hidden="false" customHeight="false" outlineLevel="0" collapsed="false">
      <c r="A28" s="10" t="s">
        <v>5513</v>
      </c>
      <c r="B28" s="10" t="s">
        <v>5514</v>
      </c>
      <c r="C28" s="11" t="s">
        <v>5508</v>
      </c>
      <c r="D28" s="10" t="n">
        <f aca="false">K28/(1+SRC_ZP_350/INP_014)</f>
        <v>33.5505846153846</v>
      </c>
      <c r="E28" s="10" t="n">
        <f aca="false">(K28+L28)/INP_013</f>
        <v>50.086064</v>
      </c>
      <c r="F28" s="10" t="n">
        <f aca="false">L28*(1+INP_059)</f>
        <v>56.556368</v>
      </c>
      <c r="G28" s="10" t="n">
        <f aca="false">F28*(1+INP_059)</f>
        <v>56.556368</v>
      </c>
      <c r="H28" s="10" t="n">
        <f aca="false">G28*(1+INP_059)</f>
        <v>56.556368</v>
      </c>
      <c r="I28" s="10" t="n">
        <f aca="false">H28*(1+INP_059)</f>
        <v>56.556368</v>
      </c>
      <c r="K28" s="10" t="n">
        <f aca="false">((1-INP_057)*K26+INP_057*K27)*(1-INP_058)</f>
        <v>43.61576</v>
      </c>
      <c r="L28" s="10" t="n">
        <f aca="false">((1-INP_057)*L26+INP_057*L27)*(1-INP_058)</f>
        <v>56.556368</v>
      </c>
      <c r="M28" s="2" t="s">
        <v>5515</v>
      </c>
    </row>
    <row r="29" customFormat="false" ht="15" hidden="false" customHeight="false" outlineLevel="0" collapsed="false">
      <c r="A29" s="10" t="s">
        <v>5516</v>
      </c>
      <c r="B29" s="10" t="s">
        <v>5517</v>
      </c>
      <c r="C29" s="11" t="s">
        <v>5508</v>
      </c>
      <c r="K29" s="10" t="n">
        <f aca="false">SRC_ZP_359</f>
        <v>149</v>
      </c>
      <c r="L29" s="10" t="n">
        <f aca="false">SRC_ZP_359</f>
        <v>149</v>
      </c>
      <c r="M29" s="13" t="s">
        <v>5509</v>
      </c>
    </row>
    <row r="30" customFormat="false" ht="15" hidden="false" customHeight="false" outlineLevel="0" collapsed="false">
      <c r="A30" s="10" t="s">
        <v>5518</v>
      </c>
      <c r="B30" s="10" t="s">
        <v>5519</v>
      </c>
      <c r="C30" s="11" t="s">
        <v>5508</v>
      </c>
      <c r="K30" s="10" t="n">
        <f aca="false">SRC_ZP_374/INP_012*INP_023</f>
        <v>202.197</v>
      </c>
      <c r="L30" s="10" t="n">
        <f aca="false">SRC_ZP_369*INP_023</f>
        <v>485.2728</v>
      </c>
      <c r="M30" s="13" t="s">
        <v>5512</v>
      </c>
    </row>
    <row r="31" customFormat="false" ht="15" hidden="false" customHeight="false" outlineLevel="0" collapsed="false">
      <c r="A31" s="10" t="s">
        <v>5520</v>
      </c>
      <c r="B31" s="10" t="s">
        <v>5521</v>
      </c>
      <c r="C31" s="11" t="s">
        <v>5508</v>
      </c>
      <c r="D31" s="10" t="n">
        <f aca="false">K31/(1+SRC_ZP_350/INP_014)</f>
        <v>101.513292307692</v>
      </c>
      <c r="E31" s="10" t="n">
        <f aca="false">(K31+L31)/INP_013</f>
        <v>165.936376</v>
      </c>
      <c r="F31" s="10" t="n">
        <f aca="false">L31*(1+INP_059)</f>
        <v>199.905472</v>
      </c>
      <c r="G31" s="10" t="n">
        <f aca="false">F31*(1+INP_059)</f>
        <v>199.905472</v>
      </c>
      <c r="H31" s="10" t="n">
        <f aca="false">G31*(1+INP_059)</f>
        <v>199.905472</v>
      </c>
      <c r="I31" s="10" t="n">
        <f aca="false">H31*(1+INP_059)</f>
        <v>199.905472</v>
      </c>
      <c r="K31" s="10" t="n">
        <f aca="false">((1-INP_057)*K29+INP_057*K30)*(1-INP_058)</f>
        <v>131.96728</v>
      </c>
      <c r="L31" s="10" t="n">
        <f aca="false">((1-INP_057)*L29+INP_057*L30)*(1-INP_058)</f>
        <v>199.905472</v>
      </c>
      <c r="M31" s="2" t="s">
        <v>5515</v>
      </c>
    </row>
    <row r="32" customFormat="false" ht="15" hidden="false" customHeight="false" outlineLevel="0" collapsed="false">
      <c r="A32" s="10" t="s">
        <v>5522</v>
      </c>
      <c r="B32" s="10" t="s">
        <v>5523</v>
      </c>
      <c r="C32" s="11" t="s">
        <v>5508</v>
      </c>
      <c r="K32" s="10" t="n">
        <f aca="false">SRC_ZP_362</f>
        <v>469</v>
      </c>
      <c r="L32" s="10" t="n">
        <f aca="false">SRC_ZP_362</f>
        <v>469</v>
      </c>
      <c r="M32" s="13" t="s">
        <v>5509</v>
      </c>
    </row>
    <row r="33" customFormat="false" ht="15" hidden="false" customHeight="false" outlineLevel="0" collapsed="false">
      <c r="A33" s="10" t="s">
        <v>5524</v>
      </c>
      <c r="B33" s="10" t="s">
        <v>5525</v>
      </c>
      <c r="C33" s="11" t="s">
        <v>5508</v>
      </c>
      <c r="K33" s="10" t="n">
        <f aca="false">SRC_ZP_375/INP_012*INP_023</f>
        <v>539.192</v>
      </c>
      <c r="L33" s="10" t="n">
        <f aca="false">SRC_ZP_371*INP_023</f>
        <v>1078.384</v>
      </c>
      <c r="M33" s="13" t="s">
        <v>5512</v>
      </c>
    </row>
    <row r="34" customFormat="false" ht="15" hidden="false" customHeight="false" outlineLevel="0" collapsed="false">
      <c r="A34" s="10" t="s">
        <v>5526</v>
      </c>
      <c r="B34" s="10" t="s">
        <v>5527</v>
      </c>
      <c r="C34" s="11" t="s">
        <v>5508</v>
      </c>
      <c r="D34" s="10" t="n">
        <f aca="false">K34/(1+SRC_ZP_350/INP_014)</f>
        <v>301.573907692308</v>
      </c>
      <c r="E34" s="10" t="n">
        <f aca="false">(K34+L34)/INP_013</f>
        <v>456.74912</v>
      </c>
      <c r="F34" s="10" t="n">
        <f aca="false">L34*(1+INP_059)</f>
        <v>521.45216</v>
      </c>
      <c r="G34" s="10" t="n">
        <f aca="false">F34*(1+INP_059)</f>
        <v>521.45216</v>
      </c>
      <c r="H34" s="10" t="n">
        <f aca="false">G34*(1+INP_059)</f>
        <v>521.45216</v>
      </c>
      <c r="I34" s="10" t="n">
        <f aca="false">H34*(1+INP_059)</f>
        <v>521.45216</v>
      </c>
      <c r="K34" s="10" t="n">
        <f aca="false">((1-INP_057)*K32+INP_057*K33)*(1-INP_058)</f>
        <v>392.04608</v>
      </c>
      <c r="L34" s="10" t="n">
        <f aca="false">((1-INP_057)*L32+INP_057*L33)*(1-INP_058)</f>
        <v>521.45216</v>
      </c>
      <c r="M34" s="2" t="s">
        <v>5515</v>
      </c>
    </row>
    <row r="35" customFormat="false" ht="15" hidden="false" customHeight="false" outlineLevel="0" collapsed="false">
      <c r="A35" s="10" t="s">
        <v>5528</v>
      </c>
      <c r="B35" s="11" t="s">
        <v>5529</v>
      </c>
      <c r="C35" s="11" t="s">
        <v>4705</v>
      </c>
      <c r="D35" s="10" t="n">
        <f aca="false">INP_055</f>
        <v>0.6</v>
      </c>
      <c r="E35" s="10" t="n">
        <f aca="false">INP_055</f>
        <v>0.6</v>
      </c>
      <c r="F35" s="10" t="n">
        <f aca="false">INP_055</f>
        <v>0.6</v>
      </c>
      <c r="G35" s="10" t="n">
        <f aca="false">INP_055</f>
        <v>0.6</v>
      </c>
      <c r="H35" s="10" t="n">
        <f aca="false">INP_055</f>
        <v>0.6</v>
      </c>
      <c r="I35" s="10" t="n">
        <f aca="false">INP_055</f>
        <v>0.6</v>
      </c>
      <c r="K35" s="10" t="n">
        <f aca="false">INP_055</f>
        <v>0.6</v>
      </c>
      <c r="L35" s="10" t="n">
        <f aca="false">INP_055</f>
        <v>0.6</v>
      </c>
      <c r="M35" s="13" t="s">
        <v>14</v>
      </c>
    </row>
    <row r="36" customFormat="false" ht="15" hidden="false" customHeight="false" outlineLevel="0" collapsed="false">
      <c r="A36" s="10" t="s">
        <v>5530</v>
      </c>
      <c r="B36" s="11" t="s">
        <v>5531</v>
      </c>
      <c r="C36" s="11" t="s">
        <v>4705</v>
      </c>
      <c r="D36" s="10" t="n">
        <f aca="false">INP_056</f>
        <v>0.3</v>
      </c>
      <c r="E36" s="10" t="n">
        <f aca="false">INP_056</f>
        <v>0.3</v>
      </c>
      <c r="F36" s="10" t="n">
        <f aca="false">INP_056</f>
        <v>0.3</v>
      </c>
      <c r="G36" s="10" t="n">
        <f aca="false">INP_056</f>
        <v>0.3</v>
      </c>
      <c r="H36" s="10" t="n">
        <f aca="false">INP_056</f>
        <v>0.3</v>
      </c>
      <c r="I36" s="10" t="n">
        <f aca="false">INP_056</f>
        <v>0.3</v>
      </c>
      <c r="K36" s="10" t="n">
        <f aca="false">INP_056</f>
        <v>0.3</v>
      </c>
      <c r="L36" s="10" t="n">
        <f aca="false">INP_056</f>
        <v>0.3</v>
      </c>
      <c r="M36" s="13" t="s">
        <v>14</v>
      </c>
    </row>
    <row r="37" customFormat="false" ht="15" hidden="false" customHeight="false" outlineLevel="0" collapsed="false">
      <c r="A37" s="10" t="s">
        <v>5532</v>
      </c>
      <c r="B37" s="11" t="s">
        <v>5533</v>
      </c>
      <c r="C37" s="11" t="s">
        <v>4705</v>
      </c>
      <c r="D37" s="10" t="n">
        <f aca="false">(1-D35-D36)</f>
        <v>0.1</v>
      </c>
      <c r="E37" s="10" t="n">
        <f aca="false">(1-E35-E36)</f>
        <v>0.1</v>
      </c>
      <c r="F37" s="10" t="n">
        <f aca="false">(1-F35-F36)</f>
        <v>0.1</v>
      </c>
      <c r="G37" s="10" t="n">
        <f aca="false">(1-G35-G36)</f>
        <v>0.1</v>
      </c>
      <c r="H37" s="10" t="n">
        <f aca="false">(1-H35-H36)</f>
        <v>0.1</v>
      </c>
      <c r="I37" s="10" t="n">
        <f aca="false">(1-I35-I36)</f>
        <v>0.1</v>
      </c>
      <c r="K37" s="10" t="n">
        <f aca="false">(1-K35-K36)</f>
        <v>0.1</v>
      </c>
      <c r="L37" s="10" t="n">
        <f aca="false">(1-L35-L36)</f>
        <v>0.1</v>
      </c>
      <c r="M37" s="2" t="s">
        <v>5534</v>
      </c>
    </row>
    <row r="38" customFormat="false" ht="15" hidden="false" customHeight="false" outlineLevel="0" collapsed="false">
      <c r="A38" s="10" t="s">
        <v>5535</v>
      </c>
      <c r="B38" s="11" t="s">
        <v>5536</v>
      </c>
      <c r="C38" s="11" t="s">
        <v>5508</v>
      </c>
      <c r="D38" s="10" t="n">
        <f aca="false">D35*D28+D36*D31+D37*D34</f>
        <v>80.7417292307692</v>
      </c>
      <c r="E38" s="10" t="n">
        <f aca="false">E35*E28+E36*E31+E37*E34</f>
        <v>125.5074632</v>
      </c>
      <c r="F38" s="10" t="n">
        <f aca="false">F35*F28+F36*F31+F37*F34</f>
        <v>146.0506784</v>
      </c>
      <c r="G38" s="10" t="n">
        <f aca="false">G35*G28+G36*G31+G37*G34</f>
        <v>146.0506784</v>
      </c>
      <c r="H38" s="10" t="n">
        <f aca="false">H35*H28+H36*H31+H37*H34</f>
        <v>146.0506784</v>
      </c>
      <c r="I38" s="10" t="n">
        <f aca="false">I35*I28+I36*I31+I37*I34</f>
        <v>146.0506784</v>
      </c>
      <c r="K38" s="10" t="n">
        <f aca="false">K35*K28+K36*K31+K37*K34</f>
        <v>104.964248</v>
      </c>
      <c r="L38" s="10" t="n">
        <f aca="false">L35*L28+L36*L31+L37*L34</f>
        <v>146.0506784</v>
      </c>
      <c r="M38" s="2"/>
    </row>
    <row r="39" customFormat="false" ht="15" hidden="false" customHeight="false" outlineLevel="0" collapsed="false">
      <c r="A39" s="15" t="s">
        <v>5537</v>
      </c>
    </row>
    <row r="40" customFormat="false" ht="15" hidden="false" customHeight="false" outlineLevel="0" collapsed="false">
      <c r="A40" s="10" t="s">
        <v>5538</v>
      </c>
      <c r="B40" s="10" t="s">
        <v>5539</v>
      </c>
      <c r="C40" s="10" t="s">
        <v>63</v>
      </c>
      <c r="D40" s="16" t="n">
        <f aca="false">Demand!D17*D28*INP_010/INP_017</f>
        <v>0.0876878079507692</v>
      </c>
      <c r="E40" s="10" t="n">
        <f aca="false">K40+L40</f>
        <v>1.119059118144</v>
      </c>
      <c r="F40" s="16" t="n">
        <f aca="false">Demand!F17*F28*INP_010/INP_017</f>
        <v>1.84769654256</v>
      </c>
      <c r="G40" s="16" t="n">
        <f aca="false">Demand!G17*G28*INP_010/INP_017</f>
        <v>2.402005505328</v>
      </c>
      <c r="H40" s="16" t="n">
        <f aca="false">Demand!H17*H28*INP_010/INP_017</f>
        <v>2.8824066063936</v>
      </c>
      <c r="I40" s="16" t="n">
        <f aca="false">Demand!I17*I28*INP_010/INP_017</f>
        <v>3.31476759735264</v>
      </c>
      <c r="K40" s="16" t="n">
        <f aca="false">Demand!K17*K28*INP_011/INP_017</f>
        <v>0.37998050112</v>
      </c>
      <c r="L40" s="16" t="n">
        <f aca="false">Demand!L17*L28*INP_011/INP_017</f>
        <v>0.739078617024</v>
      </c>
      <c r="M40" s="2" t="s">
        <v>5540</v>
      </c>
    </row>
    <row r="41" customFormat="false" ht="15" hidden="false" customHeight="false" outlineLevel="0" collapsed="false">
      <c r="A41" s="10" t="s">
        <v>5541</v>
      </c>
      <c r="B41" s="10" t="s">
        <v>5542</v>
      </c>
      <c r="C41" s="10" t="s">
        <v>63</v>
      </c>
      <c r="D41" s="16" t="n">
        <f aca="false">Demand!D18*D31*INP_010/INP_017</f>
        <v>0.132657570387692</v>
      </c>
      <c r="E41" s="10" t="n">
        <f aca="false">K41+L41</f>
        <v>1.881031825728</v>
      </c>
      <c r="F41" s="16" t="n">
        <f aca="false">Demand!F18*F31*INP_010/INP_017</f>
        <v>3.26545588512</v>
      </c>
      <c r="G41" s="16" t="n">
        <f aca="false">Demand!G18*G31*INP_010/INP_017</f>
        <v>4.245092650656</v>
      </c>
      <c r="H41" s="16" t="n">
        <f aca="false">Demand!H18*H31*INP_010/INP_017</f>
        <v>5.0941111807872</v>
      </c>
      <c r="I41" s="16" t="n">
        <f aca="false">Demand!I18*I31*INP_010/INP_017</f>
        <v>5.85822785790528</v>
      </c>
      <c r="K41" s="16" t="n">
        <f aca="false">Demand!K18*K31*INP_011/INP_017</f>
        <v>0.57484947168</v>
      </c>
      <c r="L41" s="16" t="n">
        <f aca="false">Demand!L18*L31*INP_011/INP_017</f>
        <v>1.306182354048</v>
      </c>
      <c r="M41" s="2" t="s">
        <v>5540</v>
      </c>
    </row>
    <row r="42" customFormat="false" ht="15" hidden="false" customHeight="false" outlineLevel="0" collapsed="false">
      <c r="A42" s="10" t="s">
        <v>5543</v>
      </c>
      <c r="B42" s="10" t="s">
        <v>5544</v>
      </c>
      <c r="C42" s="10" t="s">
        <v>63</v>
      </c>
      <c r="D42" s="16" t="n">
        <f aca="false">Demand!D19*D34*INP_010/INP_017</f>
        <v>0.131365594190769</v>
      </c>
      <c r="E42" s="10" t="n">
        <f aca="false">K42+L42</f>
        <v>1.70497371264</v>
      </c>
      <c r="F42" s="16" t="n">
        <f aca="false">Demand!F19*F34*INP_010/INP_017</f>
        <v>2.8393070112</v>
      </c>
      <c r="G42" s="16" t="n">
        <f aca="false">Demand!G19*G34*INP_010/INP_017</f>
        <v>3.69109911456</v>
      </c>
      <c r="H42" s="16" t="n">
        <f aca="false">Demand!H19*H34*INP_010/INP_017</f>
        <v>4.429318937472</v>
      </c>
      <c r="I42" s="16" t="n">
        <f aca="false">Demand!I19*I34*INP_010/INP_017</f>
        <v>5.0937167780928</v>
      </c>
      <c r="K42" s="16" t="n">
        <f aca="false">Demand!K19*K34*INP_011/INP_017</f>
        <v>0.56925090816</v>
      </c>
      <c r="L42" s="16" t="n">
        <f aca="false">Demand!L19*L34*INP_011/INP_017</f>
        <v>1.13572280448</v>
      </c>
      <c r="M42" s="2" t="s">
        <v>5540</v>
      </c>
    </row>
    <row r="43" customFormat="false" ht="15" hidden="false" customHeight="false" outlineLevel="0" collapsed="false">
      <c r="A43" s="10" t="s">
        <v>5545</v>
      </c>
      <c r="B43" s="10" t="s">
        <v>5546</v>
      </c>
      <c r="C43" s="10" t="s">
        <v>63</v>
      </c>
      <c r="D43" s="10" t="n">
        <f aca="false">D40+D41+D42</f>
        <v>0.351710972529231</v>
      </c>
      <c r="E43" s="10" t="n">
        <f aca="false">E40+E41+E42</f>
        <v>4.705064656512</v>
      </c>
      <c r="F43" s="10" t="n">
        <f aca="false">F40+F41+F42</f>
        <v>7.95245943888</v>
      </c>
      <c r="G43" s="10" t="n">
        <f aca="false">G40+G41+G42</f>
        <v>10.338197270544</v>
      </c>
      <c r="H43" s="10" t="n">
        <f aca="false">H40+H41+H42</f>
        <v>12.4058367246528</v>
      </c>
      <c r="I43" s="10" t="n">
        <f aca="false">I40+I41+I42</f>
        <v>14.2667122333507</v>
      </c>
      <c r="K43" s="10" t="n">
        <f aca="false">K40+K41+K42</f>
        <v>1.52408088096</v>
      </c>
      <c r="L43" s="10" t="n">
        <f aca="false">L40+L41+L42</f>
        <v>3.180983775552</v>
      </c>
      <c r="M43" s="2" t="s">
        <v>5547</v>
      </c>
    </row>
    <row r="44" customFormat="false" ht="15" hidden="false" customHeight="false" outlineLevel="0" collapsed="false">
      <c r="A44" s="10" t="s">
        <v>5548</v>
      </c>
      <c r="B44" s="11" t="s">
        <v>5549</v>
      </c>
      <c r="C44" s="10" t="s">
        <v>63</v>
      </c>
      <c r="D44" s="10" t="n">
        <f aca="false">SRC_ZP_112-D43</f>
        <v>1.55208902747077</v>
      </c>
      <c r="K44" s="10" t="n">
        <f aca="false">SRC_ZP_169-K43</f>
        <v>6.72771911904</v>
      </c>
      <c r="M44" s="13" t="s">
        <v>5550</v>
      </c>
    </row>
    <row r="45" customFormat="false" ht="15" hidden="false" customHeight="false" outlineLevel="0" collapsed="false">
      <c r="A45" s="10" t="s">
        <v>5551</v>
      </c>
      <c r="B45" s="10" t="s">
        <v>5552</v>
      </c>
      <c r="C45" s="10" t="s">
        <v>63</v>
      </c>
      <c r="D45" s="16" t="n">
        <f aca="false">Demand!D11*D22*D20/INP_015</f>
        <v>1.23100016129753</v>
      </c>
      <c r="E45" s="10" t="n">
        <f aca="false">K45+L45</f>
        <v>28.7914550157818</v>
      </c>
      <c r="F45" s="16" t="n">
        <f aca="false">Demand!F11*F22*F20/INP_015</f>
        <v>63.7983041149841</v>
      </c>
      <c r="G45" s="16" t="n">
        <f aca="false">Demand!G11*G22*G20/INP_015</f>
        <v>110.052074598347</v>
      </c>
      <c r="H45" s="16" t="n">
        <f aca="false">Demand!H11*H22*H20/INP_015</f>
        <v>170.855845813934</v>
      </c>
      <c r="I45" s="16" t="n">
        <f aca="false">Demand!I11*I22*I20/INP_015</f>
        <v>245.605278357531</v>
      </c>
      <c r="K45" s="16" t="n">
        <f aca="false">Demand!K11*K22*K20/INP_015</f>
        <v>6.06650342972165</v>
      </c>
      <c r="L45" s="16" t="n">
        <f aca="false">Demand!L11*L22*L20/INP_015</f>
        <v>22.7249515860601</v>
      </c>
      <c r="M45" s="13" t="s">
        <v>5553</v>
      </c>
    </row>
    <row r="46" customFormat="false" ht="15" hidden="false" customHeight="false" outlineLevel="0" collapsed="false">
      <c r="A46" s="10" t="s">
        <v>5554</v>
      </c>
      <c r="B46" s="10" t="s">
        <v>5555</v>
      </c>
      <c r="C46" s="10" t="s">
        <v>63</v>
      </c>
      <c r="D46" s="16" t="n">
        <f aca="false">Demand!D11*D23*D21/INP_015</f>
        <v>0.321088866173235</v>
      </c>
      <c r="E46" s="10" t="n">
        <f aca="false">K46+L46</f>
        <v>1.9138550435168</v>
      </c>
      <c r="F46" s="16" t="n">
        <f aca="false">Demand!F11*F23*F21/INP_015</f>
        <v>3.51667488324033</v>
      </c>
      <c r="G46" s="16" t="n">
        <f aca="false">Demand!G11*G23*G21/INP_015</f>
        <v>6.06626417358956</v>
      </c>
      <c r="H46" s="16" t="n">
        <f aca="false">Demand!H11*H23*H21/INP_015</f>
        <v>9.41787512949779</v>
      </c>
      <c r="I46" s="16" t="n">
        <f aca="false">Demand!I11*I23*I21/INP_015</f>
        <v>13.5381954986531</v>
      </c>
      <c r="K46" s="16" t="n">
        <f aca="false">Demand!K11*K23*K21/INP_015</f>
        <v>0.661215689318351</v>
      </c>
      <c r="L46" s="16" t="n">
        <f aca="false">Demand!L11*L23*L21/INP_015</f>
        <v>1.25263935419845</v>
      </c>
      <c r="M46" s="13" t="s">
        <v>5553</v>
      </c>
    </row>
    <row r="47" customFormat="false" ht="15" hidden="false" customHeight="false" outlineLevel="0" collapsed="false">
      <c r="A47" s="10" t="s">
        <v>5556</v>
      </c>
      <c r="B47" s="10" t="s">
        <v>5557</v>
      </c>
      <c r="C47" s="10" t="s">
        <v>63</v>
      </c>
      <c r="D47" s="10" t="n">
        <f aca="false">D45+D46</f>
        <v>1.55208902747077</v>
      </c>
      <c r="E47" s="10" t="n">
        <f aca="false">E45+E46</f>
        <v>30.7053100592986</v>
      </c>
      <c r="F47" s="10" t="n">
        <f aca="false">F45+F46</f>
        <v>67.3149789982244</v>
      </c>
      <c r="G47" s="10" t="n">
        <f aca="false">G45+G46</f>
        <v>116.118338771937</v>
      </c>
      <c r="H47" s="10" t="n">
        <f aca="false">H45+H46</f>
        <v>180.273720943432</v>
      </c>
      <c r="I47" s="10" t="n">
        <f aca="false">I45+I46</f>
        <v>259.143473856184</v>
      </c>
      <c r="K47" s="10" t="n">
        <f aca="false">K45+K46</f>
        <v>6.72771911904</v>
      </c>
      <c r="L47" s="10" t="n">
        <f aca="false">L45+L46</f>
        <v>23.9775909402586</v>
      </c>
      <c r="M47" s="2" t="s">
        <v>5558</v>
      </c>
    </row>
    <row r="48" customFormat="false" ht="15" hidden="false" customHeight="false" outlineLevel="0" collapsed="false">
      <c r="A48" s="10" t="s">
        <v>5559</v>
      </c>
      <c r="B48" s="11" t="s">
        <v>5560</v>
      </c>
      <c r="C48" s="10" t="s">
        <v>63</v>
      </c>
      <c r="D48" s="10" t="n">
        <f aca="false">D47+D43</f>
        <v>1.9038</v>
      </c>
      <c r="E48" s="10" t="n">
        <f aca="false">E47+E43</f>
        <v>35.4103747158106</v>
      </c>
      <c r="F48" s="10" t="n">
        <f aca="false">F47+F43</f>
        <v>75.2674384371044</v>
      </c>
      <c r="G48" s="10" t="n">
        <f aca="false">G47+G43</f>
        <v>126.456536042481</v>
      </c>
      <c r="H48" s="10" t="n">
        <f aca="false">H47+H43</f>
        <v>192.679557668085</v>
      </c>
      <c r="I48" s="10" t="n">
        <f aca="false">I47+I43</f>
        <v>273.410186089535</v>
      </c>
      <c r="K48" s="10" t="n">
        <f aca="false">K47+K43</f>
        <v>8.2518</v>
      </c>
      <c r="L48" s="10" t="n">
        <f aca="false">L47+L43</f>
        <v>27.1585747158106</v>
      </c>
      <c r="M48" s="2" t="s">
        <v>5561</v>
      </c>
    </row>
    <row r="49" customFormat="false" ht="15" hidden="false" customHeight="false" outlineLevel="0" collapsed="false">
      <c r="A49" s="10" t="s">
        <v>5562</v>
      </c>
      <c r="B49" s="11" t="s">
        <v>5563</v>
      </c>
      <c r="C49" s="10" t="s">
        <v>63</v>
      </c>
      <c r="D49" s="10" t="n">
        <f aca="false">SRC_ZP_114</f>
        <v>1.6569</v>
      </c>
      <c r="E49" s="10" t="n">
        <f aca="false">K49+L49</f>
        <v>2.0751</v>
      </c>
      <c r="F49" s="10" t="n">
        <f aca="false">E49*(1+INP_070)</f>
        <v>2.0751</v>
      </c>
      <c r="G49" s="10" t="n">
        <f aca="false">F49*(1+INP_070)</f>
        <v>2.0751</v>
      </c>
      <c r="H49" s="10" t="n">
        <f aca="false">G49*(1+INP_070)</f>
        <v>2.0751</v>
      </c>
      <c r="I49" s="10" t="n">
        <f aca="false">H49*(1+INP_070)</f>
        <v>2.0751</v>
      </c>
      <c r="K49" s="10" t="n">
        <f aca="false">SRC_ZP_171</f>
        <v>0.5556</v>
      </c>
      <c r="L49" s="10" t="n">
        <f aca="false">(SRC_ZP_114-SRC_ZP_172)*((1-INP_069)+INP_069*SRC_ZP_171/SRC_ZP_172)</f>
        <v>1.5195</v>
      </c>
      <c r="M49" s="13" t="s">
        <v>5564</v>
      </c>
    </row>
    <row r="50" customFormat="false" ht="15" hidden="false" customHeight="false" outlineLevel="0" collapsed="false">
      <c r="A50" s="10" t="s">
        <v>5565</v>
      </c>
      <c r="B50" s="11" t="s">
        <v>5566</v>
      </c>
      <c r="C50" s="10" t="s">
        <v>63</v>
      </c>
      <c r="D50" s="10" t="n">
        <f aca="false">SRC_ZP_116</f>
        <v>3.6572</v>
      </c>
      <c r="E50" s="10" t="n">
        <f aca="false">K50+L50</f>
        <v>2.8521</v>
      </c>
      <c r="F50" s="10" t="n">
        <f aca="false">E50*(1+INP_070)</f>
        <v>2.8521</v>
      </c>
      <c r="G50" s="10" t="n">
        <f aca="false">F50*(1+INP_070)</f>
        <v>2.8521</v>
      </c>
      <c r="H50" s="10" t="n">
        <f aca="false">G50*(1+INP_070)</f>
        <v>2.8521</v>
      </c>
      <c r="I50" s="10" t="n">
        <f aca="false">H50*(1+INP_070)</f>
        <v>2.8521</v>
      </c>
      <c r="K50" s="10" t="n">
        <f aca="false">SRC_ZP_173</f>
        <v>0.6704</v>
      </c>
      <c r="L50" s="10" t="n">
        <f aca="false">(SRC_ZP_116-SRC_ZP_174)*((1-INP_069)+INP_069*SRC_ZP_173/SRC_ZP_174)</f>
        <v>2.1817</v>
      </c>
      <c r="M50" s="13" t="s">
        <v>5564</v>
      </c>
    </row>
    <row r="51" customFormat="false" ht="15" hidden="false" customHeight="false" outlineLevel="0" collapsed="false">
      <c r="A51" s="10" t="s">
        <v>5567</v>
      </c>
      <c r="B51" s="11" t="s">
        <v>5568</v>
      </c>
      <c r="C51" s="10" t="s">
        <v>63</v>
      </c>
      <c r="D51" s="10" t="n">
        <f aca="false">SRC_ZP_118</f>
        <v>0.0254</v>
      </c>
      <c r="E51" s="10" t="n">
        <f aca="false">K51+L51</f>
        <v>0.0818</v>
      </c>
      <c r="F51" s="10" t="n">
        <f aca="false">E51*(1+INP_070)</f>
        <v>0.0818</v>
      </c>
      <c r="G51" s="10" t="n">
        <f aca="false">F51*(1+INP_070)</f>
        <v>0.0818</v>
      </c>
      <c r="H51" s="10" t="n">
        <f aca="false">G51*(1+INP_070)</f>
        <v>0.0818</v>
      </c>
      <c r="I51" s="10" t="n">
        <f aca="false">H51*(1+INP_070)</f>
        <v>0.0818</v>
      </c>
      <c r="K51" s="10" t="n">
        <f aca="false">SRC_ZP_175</f>
        <v>0.0612</v>
      </c>
      <c r="L51" s="10" t="n">
        <f aca="false">(SRC_ZP_118-SRC_ZP_176)*((1-INP_069)+INP_069*SRC_ZP_175/SRC_ZP_176)</f>
        <v>0.0206</v>
      </c>
      <c r="M51" s="13" t="s">
        <v>5564</v>
      </c>
    </row>
    <row r="52" customFormat="false" ht="15" hidden="false" customHeight="false" outlineLevel="0" collapsed="false">
      <c r="A52" s="10" t="s">
        <v>5569</v>
      </c>
      <c r="B52" s="11" t="s">
        <v>5570</v>
      </c>
      <c r="C52" s="10" t="s">
        <v>63</v>
      </c>
      <c r="D52" s="10" t="n">
        <f aca="false">D49+D50+D51</f>
        <v>5.3395</v>
      </c>
      <c r="E52" s="10" t="n">
        <f aca="false">E49+E50+E51</f>
        <v>5.009</v>
      </c>
      <c r="F52" s="10" t="n">
        <f aca="false">F49+F50+F51</f>
        <v>5.009</v>
      </c>
      <c r="G52" s="10" t="n">
        <f aca="false">G49+G50+G51</f>
        <v>5.009</v>
      </c>
      <c r="H52" s="10" t="n">
        <f aca="false">H49+H50+H51</f>
        <v>5.009</v>
      </c>
      <c r="I52" s="10" t="n">
        <f aca="false">I49+I50+I51</f>
        <v>5.009</v>
      </c>
      <c r="K52" s="10" t="n">
        <f aca="false">K49+K50+K51</f>
        <v>1.2872</v>
      </c>
      <c r="L52" s="10" t="n">
        <f aca="false">L49+L50+L51</f>
        <v>3.7218</v>
      </c>
      <c r="M52" s="13" t="s">
        <v>5571</v>
      </c>
    </row>
    <row r="53" customFormat="false" ht="15" hidden="false" customHeight="false" outlineLevel="0" collapsed="false">
      <c r="A53" s="10" t="s">
        <v>5572</v>
      </c>
      <c r="B53" s="11" t="s">
        <v>5573</v>
      </c>
      <c r="C53" s="10" t="s">
        <v>63</v>
      </c>
      <c r="D53" s="10" t="n">
        <f aca="false">INP_071</f>
        <v>0</v>
      </c>
      <c r="E53" s="10" t="n">
        <f aca="false">INP_071</f>
        <v>0</v>
      </c>
      <c r="F53" s="10" t="n">
        <f aca="false">INP_071</f>
        <v>0</v>
      </c>
      <c r="G53" s="10" t="n">
        <f aca="false">INP_071</f>
        <v>0</v>
      </c>
      <c r="H53" s="10" t="n">
        <f aca="false">INP_071</f>
        <v>0</v>
      </c>
      <c r="I53" s="10" t="n">
        <f aca="false">INP_071</f>
        <v>0</v>
      </c>
      <c r="K53" s="10" t="n">
        <f aca="false">INP_071</f>
        <v>0</v>
      </c>
      <c r="L53" s="10" t="n">
        <f aca="false">INP_071</f>
        <v>0</v>
      </c>
      <c r="M53" s="2" t="s">
        <v>5574</v>
      </c>
    </row>
    <row r="54" customFormat="false" ht="15" hidden="false" customHeight="false" outlineLevel="0" collapsed="false">
      <c r="A54" s="10" t="s">
        <v>5575</v>
      </c>
      <c r="B54" s="11" t="s">
        <v>5576</v>
      </c>
      <c r="C54" s="10" t="s">
        <v>63</v>
      </c>
      <c r="D54" s="10" t="n">
        <f aca="false">D48+D52+D53</f>
        <v>7.2433</v>
      </c>
      <c r="E54" s="10" t="n">
        <f aca="false">E48+E52+E53</f>
        <v>40.4193747158106</v>
      </c>
      <c r="F54" s="10" t="n">
        <f aca="false">F48+F52+F53</f>
        <v>80.2764384371044</v>
      </c>
      <c r="G54" s="10" t="n">
        <f aca="false">G48+G52+G53</f>
        <v>131.465536042481</v>
      </c>
      <c r="H54" s="10" t="n">
        <f aca="false">H48+H52+H53</f>
        <v>197.688557668085</v>
      </c>
      <c r="I54" s="10" t="n">
        <f aca="false">I48+I52+I53</f>
        <v>278.419186089535</v>
      </c>
      <c r="K54" s="10" t="n">
        <f aca="false">K48+K52+K53</f>
        <v>9.539</v>
      </c>
      <c r="L54" s="10" t="n">
        <f aca="false">L48+L52+L53</f>
        <v>30.8803747158106</v>
      </c>
      <c r="M54" s="2" t="s">
        <v>5577</v>
      </c>
    </row>
    <row r="55" customFormat="false" ht="15" hidden="false" customHeight="false" outlineLevel="0" collapsed="false">
      <c r="A55" s="10" t="s">
        <v>5578</v>
      </c>
      <c r="B55" s="11" t="s">
        <v>5579</v>
      </c>
      <c r="C55" s="10" t="s">
        <v>63</v>
      </c>
      <c r="D55" s="10" t="n">
        <f aca="false">D54</f>
        <v>7.2433</v>
      </c>
      <c r="E55" s="10" t="n">
        <f aca="false">E54</f>
        <v>40.4193747158106</v>
      </c>
      <c r="F55" s="10" t="n">
        <f aca="false">F54</f>
        <v>80.2764384371044</v>
      </c>
      <c r="G55" s="10" t="n">
        <f aca="false">G54</f>
        <v>131.465536042481</v>
      </c>
      <c r="H55" s="10" t="n">
        <f aca="false">H54</f>
        <v>197.688557668085</v>
      </c>
      <c r="I55" s="10" t="n">
        <f aca="false">I54</f>
        <v>278.419186089535</v>
      </c>
      <c r="K55" s="10" t="n">
        <f aca="false">K54</f>
        <v>9.539</v>
      </c>
      <c r="L55" s="10" t="n">
        <f aca="false">L54</f>
        <v>30.8803747158106</v>
      </c>
      <c r="M55" s="13" t="s">
        <v>5580</v>
      </c>
    </row>
    <row r="56" customFormat="false" ht="15" hidden="false" customHeight="false" outlineLevel="0" collapsed="false">
      <c r="A56" s="10" t="s">
        <v>5581</v>
      </c>
      <c r="B56" s="11" t="s">
        <v>5582</v>
      </c>
      <c r="C56" s="10" t="s">
        <v>63</v>
      </c>
      <c r="D56" s="10" t="n">
        <f aca="false">D48</f>
        <v>1.9038</v>
      </c>
      <c r="E56" s="10" t="n">
        <f aca="false">E48</f>
        <v>35.4103747158106</v>
      </c>
      <c r="F56" s="10" t="n">
        <f aca="false">F48</f>
        <v>75.2674384371044</v>
      </c>
      <c r="G56" s="10" t="n">
        <f aca="false">G48</f>
        <v>126.456536042481</v>
      </c>
      <c r="H56" s="10" t="n">
        <f aca="false">H48</f>
        <v>192.679557668085</v>
      </c>
      <c r="I56" s="10" t="n">
        <f aca="false">I48</f>
        <v>273.410186089535</v>
      </c>
      <c r="K56" s="10" t="n">
        <f aca="false">K48</f>
        <v>8.2518</v>
      </c>
      <c r="L56" s="10" t="n">
        <f aca="false">L48</f>
        <v>27.1585747158106</v>
      </c>
      <c r="M56" s="2" t="s">
        <v>5583</v>
      </c>
    </row>
    <row r="57" customFormat="false" ht="15" hidden="false" customHeight="false" outlineLevel="0" collapsed="false">
      <c r="A57" s="10" t="s">
        <v>5584</v>
      </c>
      <c r="B57" s="11" t="s">
        <v>5585</v>
      </c>
      <c r="C57" s="11" t="s">
        <v>4705</v>
      </c>
      <c r="D57" s="16" t="n">
        <f aca="false">Compute!D125</f>
        <v>1</v>
      </c>
      <c r="E57" s="16" t="n">
        <f aca="false">(K56+L56*Compute!L125)/E56</f>
        <v>1</v>
      </c>
      <c r="F57" s="16" t="n">
        <f aca="false">Compute!F125</f>
        <v>1</v>
      </c>
      <c r="G57" s="16" t="n">
        <f aca="false">Compute!G125</f>
        <v>1</v>
      </c>
      <c r="H57" s="16" t="n">
        <f aca="false">Compute!H125</f>
        <v>1</v>
      </c>
      <c r="I57" s="16" t="n">
        <f aca="false">Compute!I125</f>
        <v>1</v>
      </c>
      <c r="M57" s="13" t="s">
        <v>5586</v>
      </c>
    </row>
    <row r="58" customFormat="false" ht="15" hidden="false" customHeight="false" outlineLevel="0" collapsed="false">
      <c r="A58" s="10" t="s">
        <v>5587</v>
      </c>
      <c r="B58" s="11" t="s">
        <v>5588</v>
      </c>
      <c r="C58" s="10" t="s">
        <v>63</v>
      </c>
      <c r="D58" s="10" t="n">
        <f aca="false">D56*D57+D52+D53</f>
        <v>7.2433</v>
      </c>
      <c r="E58" s="10" t="n">
        <f aca="false">E56*E57+E52+E53</f>
        <v>40.4193747158106</v>
      </c>
      <c r="F58" s="10" t="n">
        <f aca="false">F56*F57+F52+F53</f>
        <v>80.2764384371044</v>
      </c>
      <c r="G58" s="10" t="n">
        <f aca="false">G56*G57+G52+G53</f>
        <v>131.465536042481</v>
      </c>
      <c r="H58" s="10" t="n">
        <f aca="false">H56*H57+H52+H53</f>
        <v>197.688557668085</v>
      </c>
      <c r="I58" s="10" t="n">
        <f aca="false">I56*I57+I52+I53</f>
        <v>278.419186089535</v>
      </c>
      <c r="M58" s="2" t="s">
        <v>5589</v>
      </c>
    </row>
    <row r="59" customFormat="false" ht="15" hidden="false" customHeight="false" outlineLevel="0" collapsed="false">
      <c r="A59" s="10" t="s">
        <v>5590</v>
      </c>
      <c r="B59" s="11" t="s">
        <v>5591</v>
      </c>
      <c r="C59" s="10" t="s">
        <v>63</v>
      </c>
      <c r="D59" s="10" t="n">
        <f aca="false">D58</f>
        <v>7.2433</v>
      </c>
      <c r="E59" s="10" t="n">
        <f aca="false">E58</f>
        <v>40.4193747158106</v>
      </c>
      <c r="F59" s="10" t="n">
        <f aca="false">F58</f>
        <v>80.2764384371044</v>
      </c>
      <c r="G59" s="10" t="n">
        <f aca="false">G58</f>
        <v>131.465536042481</v>
      </c>
      <c r="H59" s="10" t="n">
        <f aca="false">H58</f>
        <v>197.688557668085</v>
      </c>
      <c r="I59" s="10" t="n">
        <f aca="false">I58</f>
        <v>278.419186089535</v>
      </c>
      <c r="M59" s="2"/>
    </row>
    <row r="60" customFormat="false" ht="15" hidden="false" customHeight="false" outlineLevel="0" collapsed="false">
      <c r="A60" s="10" t="s">
        <v>5592</v>
      </c>
      <c r="B60" s="11" t="s">
        <v>5593</v>
      </c>
      <c r="C60" s="10" t="s">
        <v>63</v>
      </c>
      <c r="D60" s="10" t="n">
        <f aca="false">D47+D52</f>
        <v>6.89158902747077</v>
      </c>
      <c r="E60" s="10" t="n">
        <f aca="false">E47+E52</f>
        <v>35.7143100592986</v>
      </c>
      <c r="F60" s="10" t="n">
        <f aca="false">F47+F52</f>
        <v>72.3239789982244</v>
      </c>
      <c r="G60" s="10" t="n">
        <f aca="false">G47+G52</f>
        <v>121.127338771937</v>
      </c>
      <c r="H60" s="10" t="n">
        <f aca="false">H47+H52</f>
        <v>185.282720943432</v>
      </c>
      <c r="I60" s="10" t="n">
        <f aca="false">I47+I52</f>
        <v>264.152473856184</v>
      </c>
      <c r="K60" s="10" t="n">
        <f aca="false">K47+K52</f>
        <v>8.01491911904</v>
      </c>
      <c r="L60" s="10" t="n">
        <f aca="false">L47+L52</f>
        <v>27.6993909402586</v>
      </c>
      <c r="M60" s="13" t="s">
        <v>5594</v>
      </c>
    </row>
    <row r="61" customFormat="false" ht="15" hidden="false" customHeight="false" outlineLevel="0" collapsed="false">
      <c r="A61" s="10" t="s">
        <v>5595</v>
      </c>
      <c r="B61" s="11" t="s">
        <v>5596</v>
      </c>
      <c r="C61" s="10" t="s">
        <v>63</v>
      </c>
      <c r="D61" s="10" t="n">
        <f aca="false">D43</f>
        <v>0.351710972529231</v>
      </c>
      <c r="E61" s="10" t="n">
        <f aca="false">E43</f>
        <v>4.705064656512</v>
      </c>
      <c r="F61" s="10" t="n">
        <f aca="false">F43</f>
        <v>7.95245943888</v>
      </c>
      <c r="G61" s="10" t="n">
        <f aca="false">G43</f>
        <v>10.338197270544</v>
      </c>
      <c r="H61" s="10" t="n">
        <f aca="false">H43</f>
        <v>12.4058367246528</v>
      </c>
      <c r="I61" s="10" t="n">
        <f aca="false">I43</f>
        <v>14.2667122333507</v>
      </c>
      <c r="K61" s="10" t="n">
        <f aca="false">K43</f>
        <v>1.52408088096</v>
      </c>
      <c r="L61" s="10" t="n">
        <f aca="false">L43</f>
        <v>3.180983775552</v>
      </c>
      <c r="M61" s="13" t="s">
        <v>5597</v>
      </c>
    </row>
    <row r="62" customFormat="false" ht="15" hidden="false" customHeight="false" outlineLevel="0" collapsed="false">
      <c r="A62" s="10" t="s">
        <v>5598</v>
      </c>
      <c r="B62" s="11" t="s">
        <v>5599</v>
      </c>
      <c r="C62" s="10" t="s">
        <v>63</v>
      </c>
      <c r="D62" s="10" t="n">
        <f aca="false">D60+D61+D53-D54</f>
        <v>0</v>
      </c>
      <c r="E62" s="10" t="n">
        <f aca="false">E60+E61+E53-E54</f>
        <v>0</v>
      </c>
      <c r="F62" s="10" t="n">
        <f aca="false">F60+F61+F53-F54</f>
        <v>0</v>
      </c>
      <c r="G62" s="10" t="n">
        <f aca="false">G60+G61+G53-G54</f>
        <v>0</v>
      </c>
      <c r="H62" s="10" t="n">
        <f aca="false">H60+H61+H53-H54</f>
        <v>0</v>
      </c>
      <c r="I62" s="10" t="n">
        <f aca="false">I60+I61+I53-I54</f>
        <v>0</v>
      </c>
      <c r="K62" s="10" t="n">
        <f aca="false">K60+K61+K53-K54</f>
        <v>0</v>
      </c>
      <c r="L62" s="10" t="n">
        <f aca="false">L60+L61+L53-L54</f>
        <v>0</v>
      </c>
      <c r="M62" s="2"/>
    </row>
    <row r="63" customFormat="false" ht="15" hidden="false" customHeight="false" outlineLevel="0" collapsed="false">
      <c r="A63" s="10" t="s">
        <v>5600</v>
      </c>
      <c r="B63" s="11" t="s">
        <v>5601</v>
      </c>
      <c r="C63" s="11" t="s">
        <v>4705</v>
      </c>
      <c r="D63" s="10" t="n">
        <f aca="false">D56/D54</f>
        <v>0.26283600016567</v>
      </c>
      <c r="E63" s="10" t="n">
        <f aca="false">E56/E54</f>
        <v>0.876074282810697</v>
      </c>
      <c r="F63" s="10" t="n">
        <f aca="false">F56/F54</f>
        <v>0.937603111230146</v>
      </c>
      <c r="G63" s="10" t="n">
        <f aca="false">G56/G54</f>
        <v>0.961898759547282</v>
      </c>
      <c r="H63" s="10" t="n">
        <f aca="false">H56/H54</f>
        <v>0.974662165281159</v>
      </c>
      <c r="I63" s="10" t="n">
        <f aca="false">I56/I54</f>
        <v>0.982009142148741</v>
      </c>
      <c r="K63" s="10" t="n">
        <f aca="false">K56/K54</f>
        <v>0.865059230527309</v>
      </c>
      <c r="L63" s="10" t="n">
        <f aca="false">L56/L54</f>
        <v>0.879476851098751</v>
      </c>
      <c r="M63" s="13" t="s">
        <v>5602</v>
      </c>
    </row>
    <row r="64" customFormat="false" ht="15" hidden="false" customHeight="false" outlineLevel="0" collapsed="false">
      <c r="A64" s="10" t="s">
        <v>5603</v>
      </c>
      <c r="B64" s="11" t="s">
        <v>5604</v>
      </c>
      <c r="C64" s="11" t="s">
        <v>4705</v>
      </c>
      <c r="E64" s="10" t="n">
        <f aca="false">(E54-D54)/D54</f>
        <v>4.58024308199447</v>
      </c>
      <c r="F64" s="10" t="n">
        <f aca="false">(F54-E54)/E54</f>
        <v>0.986088082795186</v>
      </c>
      <c r="G64" s="10" t="n">
        <f aca="false">(G54-F54)/F54</f>
        <v>0.637660297367112</v>
      </c>
      <c r="H64" s="10" t="n">
        <f aca="false">(H54-G54)/G54</f>
        <v>0.503729141637586</v>
      </c>
      <c r="I64" s="10" t="n">
        <f aca="false">(I54-H54)/H54</f>
        <v>0.408372792910931</v>
      </c>
      <c r="M64" s="2"/>
    </row>
    <row r="65" customFormat="false" ht="15" hidden="false" customHeight="false" outlineLevel="0" collapsed="false">
      <c r="A65" s="15" t="s">
        <v>5605</v>
      </c>
    </row>
    <row r="66" customFormat="false" ht="15" hidden="false" customHeight="false" outlineLevel="0" collapsed="false">
      <c r="A66" s="10" t="s">
        <v>5606</v>
      </c>
      <c r="B66" s="10" t="s">
        <v>5607</v>
      </c>
      <c r="C66" s="10" t="s">
        <v>63</v>
      </c>
      <c r="D66" s="10" t="n">
        <f aca="false">D48-SRC_ZP_112</f>
        <v>0</v>
      </c>
      <c r="M66" s="2"/>
    </row>
    <row r="67" customFormat="false" ht="15" hidden="false" customHeight="false" outlineLevel="0" collapsed="false">
      <c r="A67" s="10" t="s">
        <v>5608</v>
      </c>
      <c r="B67" s="10" t="s">
        <v>5609</v>
      </c>
      <c r="C67" s="10" t="s">
        <v>63</v>
      </c>
      <c r="K67" s="10" t="n">
        <f aca="false">K48-SRC_ZP_169</f>
        <v>0</v>
      </c>
      <c r="M67" s="2"/>
    </row>
    <row r="68" customFormat="false" ht="15" hidden="false" customHeight="false" outlineLevel="0" collapsed="false">
      <c r="A68" s="10" t="s">
        <v>5610</v>
      </c>
      <c r="B68" s="10" t="s">
        <v>5611</v>
      </c>
      <c r="C68" s="10" t="s">
        <v>63</v>
      </c>
      <c r="D68" s="10" t="n">
        <f aca="false">D49-SRC_ZP_114</f>
        <v>0</v>
      </c>
      <c r="M68" s="2"/>
    </row>
    <row r="69" customFormat="false" ht="15" hidden="false" customHeight="false" outlineLevel="0" collapsed="false">
      <c r="A69" s="10" t="s">
        <v>5612</v>
      </c>
      <c r="B69" s="10" t="s">
        <v>5613</v>
      </c>
      <c r="C69" s="10" t="s">
        <v>63</v>
      </c>
      <c r="K69" s="10" t="n">
        <f aca="false">K49-SRC_ZP_171</f>
        <v>0</v>
      </c>
      <c r="M69" s="2"/>
    </row>
    <row r="70" customFormat="false" ht="15" hidden="false" customHeight="false" outlineLevel="0" collapsed="false">
      <c r="A70" s="10" t="s">
        <v>5614</v>
      </c>
      <c r="B70" s="10" t="s">
        <v>5615</v>
      </c>
      <c r="C70" s="10" t="s">
        <v>63</v>
      </c>
      <c r="D70" s="10" t="n">
        <f aca="false">D50-SRC_ZP_116</f>
        <v>0</v>
      </c>
      <c r="M70" s="2"/>
    </row>
    <row r="71" customFormat="false" ht="15" hidden="false" customHeight="false" outlineLevel="0" collapsed="false">
      <c r="A71" s="10" t="s">
        <v>5616</v>
      </c>
      <c r="B71" s="10" t="s">
        <v>5617</v>
      </c>
      <c r="C71" s="10" t="s">
        <v>63</v>
      </c>
      <c r="K71" s="10" t="n">
        <f aca="false">K50-SRC_ZP_173</f>
        <v>0</v>
      </c>
      <c r="M71" s="2"/>
    </row>
    <row r="72" customFormat="false" ht="15" hidden="false" customHeight="false" outlineLevel="0" collapsed="false">
      <c r="A72" s="10" t="s">
        <v>5618</v>
      </c>
      <c r="B72" s="10" t="s">
        <v>5619</v>
      </c>
      <c r="C72" s="10" t="s">
        <v>63</v>
      </c>
      <c r="D72" s="10" t="n">
        <f aca="false">D51-SRC_ZP_118</f>
        <v>0</v>
      </c>
      <c r="M72" s="2"/>
    </row>
    <row r="73" customFormat="false" ht="15" hidden="false" customHeight="false" outlineLevel="0" collapsed="false">
      <c r="A73" s="10" t="s">
        <v>5620</v>
      </c>
      <c r="B73" s="10" t="s">
        <v>5621</v>
      </c>
      <c r="C73" s="10" t="s">
        <v>63</v>
      </c>
      <c r="K73" s="10" t="n">
        <f aca="false">K51-SRC_ZP_175</f>
        <v>0</v>
      </c>
      <c r="M73" s="2"/>
    </row>
    <row r="74" customFormat="false" ht="15" hidden="false" customHeight="false" outlineLevel="0" collapsed="false">
      <c r="A74" s="10" t="s">
        <v>5622</v>
      </c>
      <c r="B74" s="10" t="s">
        <v>5623</v>
      </c>
      <c r="C74" s="10" t="s">
        <v>63</v>
      </c>
      <c r="D74" s="10" t="n">
        <f aca="false">D54-SRC_ZP_120</f>
        <v>0</v>
      </c>
      <c r="M74" s="2"/>
    </row>
    <row r="75" customFormat="false" ht="15" hidden="false" customHeight="false" outlineLevel="0" collapsed="false">
      <c r="A75" s="10" t="s">
        <v>5624</v>
      </c>
      <c r="B75" s="10" t="s">
        <v>5625</v>
      </c>
      <c r="C75" s="10" t="s">
        <v>63</v>
      </c>
      <c r="K75" s="10" t="n">
        <f aca="false">K54-SRC_ZP_177</f>
        <v>9.99999999979906E-005</v>
      </c>
      <c r="M75" s="2" t="s">
        <v>5626</v>
      </c>
    </row>
    <row r="76" customFormat="false" ht="15" hidden="false" customHeight="false" outlineLevel="0" collapsed="false">
      <c r="A76" s="10" t="s">
        <v>5627</v>
      </c>
      <c r="B76" s="10" t="s">
        <v>5628</v>
      </c>
      <c r="C76" s="10" t="s">
        <v>63</v>
      </c>
      <c r="D76" s="10" t="n">
        <f aca="false">SRC_ZP_991*INP_007*D24/INP_015+D43</f>
        <v>36.1521665725292</v>
      </c>
      <c r="M76" s="2" t="s">
        <v>5629</v>
      </c>
    </row>
    <row r="77" customFormat="false" ht="15" hidden="false" customHeight="false" outlineLevel="0" collapsed="false">
      <c r="A77" s="10" t="s">
        <v>5630</v>
      </c>
      <c r="B77" s="10" t="s">
        <v>5631</v>
      </c>
      <c r="C77" s="10" t="s">
        <v>63</v>
      </c>
      <c r="D77" s="10" t="n">
        <f aca="false">D76-SRC_ZP_112</f>
        <v>34.2483665725292</v>
      </c>
      <c r="M77" s="2" t="s">
        <v>5632</v>
      </c>
    </row>
    <row r="78" customFormat="false" ht="15" hidden="false" customHeight="false" outlineLevel="0" collapsed="false">
      <c r="A78" s="10" t="s">
        <v>5633</v>
      </c>
      <c r="B78" s="11" t="s">
        <v>5634</v>
      </c>
      <c r="C78" s="11" t="s">
        <v>4705</v>
      </c>
      <c r="K78" s="10" t="n">
        <f aca="false">(K24-D24)/D24</f>
        <v>0.578681729516549</v>
      </c>
      <c r="M78" s="2" t="s">
        <v>5635</v>
      </c>
    </row>
    <row r="79" customFormat="false" ht="15" hidden="false" customHeight="false" outlineLevel="0" collapsed="false">
      <c r="A79" s="10" t="s">
        <v>5636</v>
      </c>
      <c r="B79" s="11" t="s">
        <v>5637</v>
      </c>
      <c r="C79" s="11" t="s">
        <v>4705</v>
      </c>
      <c r="L79" s="10" t="n">
        <f aca="false">(L24-D24)/D24</f>
        <v>1.00434369296006</v>
      </c>
      <c r="M79" s="2" t="s">
        <v>5638</v>
      </c>
    </row>
    <row r="80" customFormat="false" ht="15" hidden="false" customHeight="false" outlineLevel="0" collapsed="false">
      <c r="A80" s="10" t="s">
        <v>5639</v>
      </c>
      <c r="B80" s="11" t="s">
        <v>5640</v>
      </c>
      <c r="C80" s="11" t="s">
        <v>4705</v>
      </c>
      <c r="K80" s="10" t="n">
        <f aca="false">SRC_ZP_347/INP_014</f>
        <v>1.01</v>
      </c>
      <c r="M80" s="13" t="s">
        <v>5641</v>
      </c>
    </row>
    <row r="81" customFormat="false" ht="15" hidden="false" customHeight="false" outlineLevel="0" collapsed="false">
      <c r="A81" s="10" t="s">
        <v>5642</v>
      </c>
      <c r="B81" s="11" t="s">
        <v>5643</v>
      </c>
      <c r="C81" s="11" t="s">
        <v>4705</v>
      </c>
      <c r="L81" s="10" t="n">
        <f aca="false">SRC_ZP_346/INP_014</f>
        <v>0.83</v>
      </c>
      <c r="M81" s="13" t="s">
        <v>5644</v>
      </c>
    </row>
    <row r="82" customFormat="false" ht="15" hidden="false" customHeight="false" outlineLevel="0" collapsed="false">
      <c r="A82" s="10" t="s">
        <v>5645</v>
      </c>
      <c r="B82" s="11" t="s">
        <v>5646</v>
      </c>
      <c r="C82" s="10" t="s">
        <v>63</v>
      </c>
      <c r="L82" s="10" t="n">
        <f aca="false">L56*INP_013</f>
        <v>54.3171494316211</v>
      </c>
      <c r="M82" s="2" t="s">
        <v>5647</v>
      </c>
    </row>
    <row r="83" customFormat="false" ht="15" hidden="false" customHeight="false" outlineLevel="0" collapsed="false">
      <c r="A83" s="10" t="s">
        <v>5648</v>
      </c>
      <c r="B83" s="11" t="s">
        <v>5649</v>
      </c>
      <c r="C83" s="10" t="s">
        <v>63</v>
      </c>
      <c r="L83" s="10" t="n">
        <f aca="false">SRC_ZP_417*INP_023</f>
        <v>107.8384</v>
      </c>
      <c r="M83" s="13" t="s">
        <v>5650</v>
      </c>
    </row>
    <row r="84" customFormat="false" ht="15" hidden="false" customHeight="false" outlineLevel="0" collapsed="false">
      <c r="A84" s="10" t="s">
        <v>5651</v>
      </c>
      <c r="B84" s="11" t="s">
        <v>5652</v>
      </c>
      <c r="C84" s="11" t="s">
        <v>4705</v>
      </c>
      <c r="L84" s="10" t="n">
        <f aca="false">(L82-L83)/L83</f>
        <v>-0.496309761350121</v>
      </c>
      <c r="M84" s="13" t="s">
        <v>5653</v>
      </c>
    </row>
    <row r="85" customFormat="false" ht="15" hidden="false" customHeight="false" outlineLevel="0" collapsed="false">
      <c r="A85" s="10" t="s">
        <v>5654</v>
      </c>
      <c r="B85" s="11" t="s">
        <v>5655</v>
      </c>
      <c r="C85" s="10" t="s">
        <v>63</v>
      </c>
      <c r="L85" s="10" t="n">
        <f aca="false">L54*INP_013</f>
        <v>61.7607494316211</v>
      </c>
      <c r="M85" s="2" t="s">
        <v>5656</v>
      </c>
    </row>
    <row r="86" customFormat="false" ht="15" hidden="false" customHeight="false" outlineLevel="0" collapsed="false">
      <c r="A86" s="10" t="s">
        <v>5657</v>
      </c>
      <c r="B86" s="11" t="s">
        <v>5658</v>
      </c>
      <c r="C86" s="10" t="s">
        <v>63</v>
      </c>
      <c r="L86" s="10" t="n">
        <f aca="false">SRC_ZP_419*INP_023</f>
        <v>121.3182</v>
      </c>
      <c r="M86" s="13" t="s">
        <v>5659</v>
      </c>
    </row>
    <row r="87" customFormat="false" ht="15" hidden="false" customHeight="false" outlineLevel="0" collapsed="false">
      <c r="A87" s="10" t="s">
        <v>5660</v>
      </c>
      <c r="B87" s="11" t="s">
        <v>5661</v>
      </c>
      <c r="C87" s="11" t="s">
        <v>4705</v>
      </c>
      <c r="L87" s="10" t="n">
        <f aca="false">(L85-L86)/L86</f>
        <v>-0.490919339129487</v>
      </c>
      <c r="M87" s="13" t="s">
        <v>5662</v>
      </c>
    </row>
    <row r="88" customFormat="false" ht="15" hidden="false" customHeight="false" outlineLevel="0" collapsed="false">
      <c r="A88" s="10" t="s">
        <v>5663</v>
      </c>
      <c r="B88" s="11" t="s">
        <v>5664</v>
      </c>
      <c r="C88" s="10" t="s">
        <v>63</v>
      </c>
      <c r="E88" s="10" t="n">
        <f aca="false">SRC_ZP_582/INP_020</f>
        <v>60.48</v>
      </c>
      <c r="M88" s="13" t="s">
        <v>5665</v>
      </c>
    </row>
    <row r="89" customFormat="false" ht="15" hidden="false" customHeight="false" outlineLevel="0" collapsed="false">
      <c r="A89" s="10" t="s">
        <v>5666</v>
      </c>
      <c r="B89" s="11" t="s">
        <v>5667</v>
      </c>
      <c r="C89" s="10" t="s">
        <v>63</v>
      </c>
      <c r="E89" s="10" t="n">
        <f aca="false">E54-E88</f>
        <v>-20.0606252841894</v>
      </c>
      <c r="M89" s="2"/>
    </row>
    <row r="90" customFormat="false" ht="15" hidden="false" customHeight="false" outlineLevel="0" collapsed="false">
      <c r="A90" s="10" t="s">
        <v>5668</v>
      </c>
      <c r="B90" s="10" t="s">
        <v>5669</v>
      </c>
      <c r="C90" s="11" t="s">
        <v>1709</v>
      </c>
      <c r="L90" s="16" t="n">
        <f aca="false">TK_Link!$J$84*INP_023/L13</f>
        <v>1.1794825</v>
      </c>
      <c r="M90" s="13" t="s">
        <v>5670</v>
      </c>
    </row>
    <row r="91" customFormat="false" ht="15" hidden="false" customHeight="false" outlineLevel="0" collapsed="false">
      <c r="A91" s="10" t="s">
        <v>5671</v>
      </c>
      <c r="B91" s="10" t="s">
        <v>5672</v>
      </c>
      <c r="C91" s="11" t="s">
        <v>1709</v>
      </c>
      <c r="L91" s="16" t="n">
        <f aca="false">TK_Link!$L$84*INP_023/L15</f>
        <v>1.05912714285714</v>
      </c>
      <c r="M91" s="2" t="s">
        <v>1095</v>
      </c>
    </row>
    <row r="92" customFormat="false" ht="15" hidden="false" customHeight="false" outlineLevel="0" collapsed="false">
      <c r="A92" s="10" t="s">
        <v>5673</v>
      </c>
      <c r="B92" s="10" t="s">
        <v>5674</v>
      </c>
      <c r="C92" s="11" t="s">
        <v>5477</v>
      </c>
      <c r="L92" s="16" t="n">
        <f aca="false">TK_Link!$J$88*INP_023</f>
        <v>0.877684755555554</v>
      </c>
      <c r="M92" s="13" t="s">
        <v>5675</v>
      </c>
    </row>
    <row r="93" customFormat="false" ht="15" hidden="false" customHeight="false" outlineLevel="0" collapsed="false">
      <c r="A93" s="10" t="s">
        <v>5676</v>
      </c>
      <c r="B93" s="10" t="s">
        <v>5677</v>
      </c>
      <c r="C93" s="11" t="s">
        <v>5477</v>
      </c>
      <c r="L93" s="16" t="n">
        <f aca="false">TK_Link!$K$86*INP_023</f>
        <v>7.9261224</v>
      </c>
      <c r="M93" s="13" t="s">
        <v>5678</v>
      </c>
    </row>
    <row r="94" customFormat="false" ht="15" hidden="false" customHeight="false" outlineLevel="0" collapsed="false">
      <c r="A94" s="10" t="s">
        <v>5679</v>
      </c>
      <c r="B94" s="11" t="s">
        <v>5680</v>
      </c>
      <c r="C94" s="11" t="s">
        <v>1709</v>
      </c>
      <c r="L94" s="10" t="n">
        <f aca="false">L20/L93</f>
        <v>0.799571301094215</v>
      </c>
      <c r="M94" s="2" t="s">
        <v>5681</v>
      </c>
    </row>
    <row r="95" customFormat="false" ht="15" hidden="false" customHeight="false" outlineLevel="0" collapsed="false">
      <c r="A95" s="10" t="s">
        <v>5682</v>
      </c>
      <c r="B95" s="11" t="s">
        <v>5683</v>
      </c>
      <c r="C95" s="11" t="s">
        <v>1709</v>
      </c>
      <c r="L95" s="10" t="n">
        <f aca="false">L21/L92</f>
        <v>0.928708215926929</v>
      </c>
      <c r="M95" s="2" t="s">
        <v>1095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2"/>
    <col collapsed="false" customWidth="true" hidden="false" outlineLevel="0" max="3" min="3" style="0" width="14"/>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20.1" hidden="false" customHeight="false" outlineLevel="0" collapsed="false">
      <c r="A1" s="7" t="s">
        <v>5684</v>
      </c>
    </row>
    <row r="2" customFormat="false" ht="15" hidden="false" customHeight="false" outlineLevel="0" collapsed="false">
      <c r="A2" s="2" t="s">
        <v>5685</v>
      </c>
    </row>
    <row r="3" customFormat="false" ht="15" hidden="false" customHeight="false" outlineLevel="0" collapsed="false">
      <c r="A3" s="13" t="s">
        <v>5686</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5687</v>
      </c>
    </row>
    <row r="8" customFormat="false" ht="15" hidden="false" customHeight="false" outlineLevel="0" collapsed="false">
      <c r="A8" s="10" t="s">
        <v>5688</v>
      </c>
      <c r="B8" s="10" t="s">
        <v>5689</v>
      </c>
      <c r="C8" s="11" t="s">
        <v>2957</v>
      </c>
      <c r="D8" s="10" t="s">
        <v>4398</v>
      </c>
      <c r="M8" s="13" t="s">
        <v>5690</v>
      </c>
    </row>
    <row r="9" customFormat="false" ht="15" hidden="false" customHeight="false" outlineLevel="0" collapsed="false">
      <c r="A9" s="10" t="s">
        <v>5691</v>
      </c>
      <c r="B9" s="10" t="s">
        <v>5692</v>
      </c>
      <c r="C9" s="11" t="s">
        <v>2957</v>
      </c>
      <c r="D9" s="10" t="s">
        <v>4401</v>
      </c>
      <c r="M9" s="2"/>
    </row>
    <row r="10" customFormat="false" ht="15" hidden="false" customHeight="false" outlineLevel="0" collapsed="false">
      <c r="A10" s="10" t="s">
        <v>5693</v>
      </c>
      <c r="B10" s="10" t="s">
        <v>5694</v>
      </c>
      <c r="C10" s="11" t="s">
        <v>2957</v>
      </c>
      <c r="D10" s="11" t="s">
        <v>4405</v>
      </c>
      <c r="M10" s="13" t="s">
        <v>5695</v>
      </c>
    </row>
    <row r="11" customFormat="false" ht="15" hidden="false" customHeight="false" outlineLevel="0" collapsed="false">
      <c r="A11" s="10" t="s">
        <v>5696</v>
      </c>
      <c r="B11" s="10" t="s">
        <v>5697</v>
      </c>
      <c r="C11" s="10" t="s">
        <v>5698</v>
      </c>
      <c r="D11" s="10" t="n">
        <f aca="false">SUMIFS(TK_IF_TokGW_Sol,TK_HdrGen,$D$8,TK_HdrCost,$D$10)</f>
        <v>21490429685.4234</v>
      </c>
      <c r="E11" s="10" t="n">
        <f aca="false">SUMIFS(TK_IF_TokGW_Sol,TK_HdrGen,$D$8,TK_HdrCost,$D$10)</f>
        <v>21490429685.4234</v>
      </c>
      <c r="F11" s="10" t="n">
        <f aca="false">SUMIFS(TK_IF_TokGW_Sol,TK_HdrGen,$D$8,TK_HdrCost,$D$10)</f>
        <v>21490429685.4234</v>
      </c>
      <c r="G11" s="10" t="n">
        <f aca="false">SUMIFS(TK_IF_TokGW_Sol,TK_HdrGen,$D$8,TK_HdrCost,$D$10)</f>
        <v>21490429685.4234</v>
      </c>
      <c r="H11" s="10" t="n">
        <f aca="false">SUMIFS(TK_IF_TokGW_Sol,TK_HdrGen,$D$8,TK_HdrCost,$D$10)</f>
        <v>21490429685.4234</v>
      </c>
      <c r="I11" s="10" t="n">
        <f aca="false">SUMIFS(TK_IF_TokGW_Sol,TK_HdrGen,$D$8,TK_HdrCost,$D$10)</f>
        <v>21490429685.4234</v>
      </c>
      <c r="K11" s="10" t="n">
        <f aca="false">SUMIFS(TK_IF_TokGW_Sol,TK_HdrGen,$D$8,TK_HdrCost,$D$10)</f>
        <v>21490429685.4234</v>
      </c>
      <c r="L11" s="10" t="n">
        <f aca="false">SUMIFS(TK_IF_TokGW_Sol,TK_HdrGen,$D$8,TK_HdrCost,$D$10)</f>
        <v>21490429685.4234</v>
      </c>
      <c r="M11" s="13" t="s">
        <v>5699</v>
      </c>
    </row>
    <row r="12" customFormat="false" ht="15" hidden="false" customHeight="false" outlineLevel="0" collapsed="false">
      <c r="A12" s="10" t="s">
        <v>5700</v>
      </c>
      <c r="B12" s="10" t="s">
        <v>5701</v>
      </c>
      <c r="C12" s="10" t="s">
        <v>5698</v>
      </c>
      <c r="D12" s="10" t="n">
        <f aca="false">SUMIFS(TK_IF_TokGW_Luna,TK_HdrGen,$D$8,TK_HdrCost,$D$10)</f>
        <v>74067251304.9223</v>
      </c>
      <c r="E12" s="10" t="n">
        <f aca="false">SUMIFS(TK_IF_TokGW_Luna,TK_HdrGen,$D$8,TK_HdrCost,$D$10)</f>
        <v>74067251304.9223</v>
      </c>
      <c r="F12" s="10" t="n">
        <f aca="false">SUMIFS(TK_IF_TokGW_Luna,TK_HdrGen,$D$8,TK_HdrCost,$D$10)</f>
        <v>74067251304.9223</v>
      </c>
      <c r="G12" s="10" t="n">
        <f aca="false">SUMIFS(TK_IF_TokGW_Luna,TK_HdrGen,$D$8,TK_HdrCost,$D$10)</f>
        <v>74067251304.9223</v>
      </c>
      <c r="H12" s="10" t="n">
        <f aca="false">SUMIFS(TK_IF_TokGW_Luna,TK_HdrGen,$D$8,TK_HdrCost,$D$10)</f>
        <v>74067251304.9223</v>
      </c>
      <c r="I12" s="10" t="n">
        <f aca="false">SUMIFS(TK_IF_TokGW_Luna,TK_HdrGen,$D$8,TK_HdrCost,$D$10)</f>
        <v>74067251304.9223</v>
      </c>
      <c r="K12" s="10" t="n">
        <f aca="false">SUMIFS(TK_IF_TokGW_Luna,TK_HdrGen,$D$8,TK_HdrCost,$D$10)</f>
        <v>74067251304.9223</v>
      </c>
      <c r="L12" s="10" t="n">
        <f aca="false">SUMIFS(TK_IF_TokGW_Luna,TK_HdrGen,$D$8,TK_HdrCost,$D$10)</f>
        <v>74067251304.9223</v>
      </c>
      <c r="M12" s="13" t="s">
        <v>5702</v>
      </c>
    </row>
    <row r="13" customFormat="false" ht="15" hidden="false" customHeight="false" outlineLevel="0" collapsed="false">
      <c r="A13" s="10" t="s">
        <v>5703</v>
      </c>
      <c r="B13" s="10" t="s">
        <v>5704</v>
      </c>
      <c r="C13" s="10" t="s">
        <v>5698</v>
      </c>
      <c r="D13" s="10" t="n">
        <f aca="false">SUMIFS(TK_IF_TokGW_Sol,TK_HdrGen,$D$9,TK_HdrCost,$D$10)</f>
        <v>237287338734.99</v>
      </c>
      <c r="E13" s="10" t="n">
        <f aca="false">SUMIFS(TK_IF_TokGW_Sol,TK_HdrGen,$D$9,TK_HdrCost,$D$10)</f>
        <v>237287338734.99</v>
      </c>
      <c r="F13" s="10" t="n">
        <f aca="false">SUMIFS(TK_IF_TokGW_Sol,TK_HdrGen,$D$9,TK_HdrCost,$D$10)</f>
        <v>237287338734.99</v>
      </c>
      <c r="G13" s="10" t="n">
        <f aca="false">SUMIFS(TK_IF_TokGW_Sol,TK_HdrGen,$D$9,TK_HdrCost,$D$10)</f>
        <v>237287338734.99</v>
      </c>
      <c r="H13" s="10" t="n">
        <f aca="false">SUMIFS(TK_IF_TokGW_Sol,TK_HdrGen,$D$9,TK_HdrCost,$D$10)</f>
        <v>237287338734.99</v>
      </c>
      <c r="I13" s="10" t="n">
        <f aca="false">SUMIFS(TK_IF_TokGW_Sol,TK_HdrGen,$D$9,TK_HdrCost,$D$10)</f>
        <v>237287338734.99</v>
      </c>
      <c r="K13" s="10" t="n">
        <f aca="false">SUMIFS(TK_IF_TokGW_Sol,TK_HdrGen,$D$9,TK_HdrCost,$D$10)</f>
        <v>237287338734.99</v>
      </c>
      <c r="L13" s="10" t="n">
        <f aca="false">SUMIFS(TK_IF_TokGW_Sol,TK_HdrGen,$D$9,TK_HdrCost,$D$10)</f>
        <v>237287338734.99</v>
      </c>
      <c r="M13" s="13" t="s">
        <v>5705</v>
      </c>
    </row>
    <row r="14" customFormat="false" ht="15" hidden="false" customHeight="false" outlineLevel="0" collapsed="false">
      <c r="A14" s="10" t="s">
        <v>5706</v>
      </c>
      <c r="B14" s="10" t="s">
        <v>5707</v>
      </c>
      <c r="C14" s="11" t="s">
        <v>1709</v>
      </c>
      <c r="D14" s="10" t="n">
        <f aca="false">INP_082</f>
        <v>0.34</v>
      </c>
      <c r="E14" s="10" t="n">
        <f aca="false">INP_082</f>
        <v>0.34</v>
      </c>
      <c r="F14" s="10" t="n">
        <f aca="false">INP_082</f>
        <v>0.34</v>
      </c>
      <c r="G14" s="10" t="n">
        <f aca="false">INP_082</f>
        <v>0.34</v>
      </c>
      <c r="H14" s="10" t="n">
        <f aca="false">INP_082</f>
        <v>0.34</v>
      </c>
      <c r="I14" s="10" t="n">
        <f aca="false">INP_082</f>
        <v>0.34</v>
      </c>
      <c r="K14" s="10" t="n">
        <f aca="false">INP_082</f>
        <v>0.34</v>
      </c>
      <c r="L14" s="10" t="n">
        <f aca="false">INP_082</f>
        <v>0.34</v>
      </c>
      <c r="M14" s="13" t="s">
        <v>5708</v>
      </c>
    </row>
    <row r="15" customFormat="false" ht="15" hidden="false" customHeight="false" outlineLevel="0" collapsed="false">
      <c r="A15" s="10" t="s">
        <v>5709</v>
      </c>
      <c r="B15" s="11" t="s">
        <v>5710</v>
      </c>
      <c r="C15" s="11" t="s">
        <v>1709</v>
      </c>
      <c r="D15" s="10" t="n">
        <f aca="false">INP_083</f>
        <v>0.6</v>
      </c>
      <c r="E15" s="10" t="n">
        <f aca="false">INP_083</f>
        <v>0.6</v>
      </c>
      <c r="F15" s="10" t="n">
        <f aca="false">INP_083</f>
        <v>0.6</v>
      </c>
      <c r="G15" s="10" t="n">
        <f aca="false">INP_083</f>
        <v>0.6</v>
      </c>
      <c r="H15" s="10" t="n">
        <f aca="false">INP_083</f>
        <v>0.6</v>
      </c>
      <c r="I15" s="10" t="n">
        <f aca="false">INP_083</f>
        <v>0.6</v>
      </c>
      <c r="K15" s="10" t="n">
        <f aca="false">INP_083</f>
        <v>0.6</v>
      </c>
      <c r="L15" s="10" t="n">
        <f aca="false">INP_083</f>
        <v>0.6</v>
      </c>
      <c r="M15" s="13" t="s">
        <v>5711</v>
      </c>
    </row>
    <row r="16" customFormat="false" ht="15" hidden="false" customHeight="false" outlineLevel="0" collapsed="false">
      <c r="A16" s="10" t="s">
        <v>5712</v>
      </c>
      <c r="B16" s="11" t="s">
        <v>5713</v>
      </c>
      <c r="C16" s="10" t="s">
        <v>5698</v>
      </c>
      <c r="D16" s="10" t="n">
        <f aca="false">D11</f>
        <v>21490429685.4234</v>
      </c>
      <c r="E16" s="10" t="n">
        <f aca="false">E11</f>
        <v>21490429685.4234</v>
      </c>
      <c r="F16" s="10" t="n">
        <f aca="false">F11</f>
        <v>21490429685.4234</v>
      </c>
      <c r="G16" s="10" t="n">
        <f aca="false">G11</f>
        <v>21490429685.4234</v>
      </c>
      <c r="H16" s="10" t="n">
        <f aca="false">H11</f>
        <v>21490429685.4234</v>
      </c>
      <c r="I16" s="10" t="n">
        <f aca="false">I11</f>
        <v>21490429685.4234</v>
      </c>
      <c r="K16" s="10" t="n">
        <f aca="false">K11</f>
        <v>21490429685.4234</v>
      </c>
      <c r="L16" s="10" t="n">
        <f aca="false">L11</f>
        <v>21490429685.4234</v>
      </c>
      <c r="M16" s="13" t="s">
        <v>5714</v>
      </c>
    </row>
    <row r="17" customFormat="false" ht="15" hidden="false" customHeight="false" outlineLevel="0" collapsed="false">
      <c r="A17" s="10" t="s">
        <v>5715</v>
      </c>
      <c r="B17" s="11" t="s">
        <v>5716</v>
      </c>
      <c r="C17" s="10" t="s">
        <v>5698</v>
      </c>
      <c r="D17" s="10" t="n">
        <f aca="false">D12</f>
        <v>74067251304.9223</v>
      </c>
      <c r="E17" s="10" t="n">
        <f aca="false">E12</f>
        <v>74067251304.9223</v>
      </c>
      <c r="F17" s="10" t="n">
        <f aca="false">F12</f>
        <v>74067251304.9223</v>
      </c>
      <c r="G17" s="10" t="n">
        <f aca="false">G12</f>
        <v>74067251304.9223</v>
      </c>
      <c r="H17" s="10" t="n">
        <f aca="false">H12</f>
        <v>74067251304.9223</v>
      </c>
      <c r="I17" s="10" t="n">
        <f aca="false">I12</f>
        <v>74067251304.9223</v>
      </c>
      <c r="K17" s="10" t="n">
        <f aca="false">K12</f>
        <v>74067251304.9223</v>
      </c>
      <c r="L17" s="10" t="n">
        <f aca="false">L12</f>
        <v>74067251304.9223</v>
      </c>
      <c r="M17" s="13" t="s">
        <v>5714</v>
      </c>
    </row>
    <row r="18" customFormat="false" ht="15" hidden="false" customHeight="false" outlineLevel="0" collapsed="false">
      <c r="A18" s="10" t="s">
        <v>5717</v>
      </c>
      <c r="B18" s="11" t="s">
        <v>5718</v>
      </c>
      <c r="C18" s="10" t="s">
        <v>5698</v>
      </c>
      <c r="D18" s="10" t="n">
        <f aca="false">D11*D14</f>
        <v>7306746093.04396</v>
      </c>
      <c r="E18" s="10" t="n">
        <f aca="false">E11*E14</f>
        <v>7306746093.04396</v>
      </c>
      <c r="F18" s="10" t="n">
        <f aca="false">F11*F14</f>
        <v>7306746093.04396</v>
      </c>
      <c r="G18" s="10" t="n">
        <f aca="false">G11*G14</f>
        <v>7306746093.04396</v>
      </c>
      <c r="H18" s="10" t="n">
        <f aca="false">H11*H14</f>
        <v>7306746093.04396</v>
      </c>
      <c r="I18" s="10" t="n">
        <f aca="false">I11*I14</f>
        <v>7306746093.04396</v>
      </c>
      <c r="K18" s="10" t="n">
        <f aca="false">K11*K14</f>
        <v>7306746093.04396</v>
      </c>
      <c r="L18" s="10" t="n">
        <f aca="false">L11*L14</f>
        <v>7306746093.04396</v>
      </c>
      <c r="M18" s="13" t="s">
        <v>5714</v>
      </c>
    </row>
    <row r="19" customFormat="false" ht="15" hidden="false" customHeight="false" outlineLevel="0" collapsed="false">
      <c r="A19" s="10" t="s">
        <v>5719</v>
      </c>
      <c r="B19" s="11" t="s">
        <v>5720</v>
      </c>
      <c r="C19" s="10" t="s">
        <v>5698</v>
      </c>
      <c r="D19" s="10" t="n">
        <f aca="false">D12*D14</f>
        <v>25182865443.6736</v>
      </c>
      <c r="E19" s="10" t="n">
        <f aca="false">E12*E14</f>
        <v>25182865443.6736</v>
      </c>
      <c r="F19" s="10" t="n">
        <f aca="false">F12*F14</f>
        <v>25182865443.6736</v>
      </c>
      <c r="G19" s="10" t="n">
        <f aca="false">G12*G14</f>
        <v>25182865443.6736</v>
      </c>
      <c r="H19" s="10" t="n">
        <f aca="false">H12*H14</f>
        <v>25182865443.6736</v>
      </c>
      <c r="I19" s="10" t="n">
        <f aca="false">I12*I14</f>
        <v>25182865443.6736</v>
      </c>
      <c r="K19" s="10" t="n">
        <f aca="false">K12*K14</f>
        <v>25182865443.6736</v>
      </c>
      <c r="L19" s="10" t="n">
        <f aca="false">L12*L14</f>
        <v>25182865443.6736</v>
      </c>
      <c r="M19" s="13" t="s">
        <v>5714</v>
      </c>
    </row>
    <row r="20" customFormat="false" ht="15" hidden="false" customHeight="false" outlineLevel="0" collapsed="false">
      <c r="A20" s="10" t="s">
        <v>5721</v>
      </c>
      <c r="B20" s="11" t="s">
        <v>5722</v>
      </c>
      <c r="C20" s="10" t="s">
        <v>5698</v>
      </c>
      <c r="D20" s="10" t="n">
        <f aca="false">D11*D15</f>
        <v>12894257811.254</v>
      </c>
      <c r="E20" s="10" t="n">
        <f aca="false">E11*E15</f>
        <v>12894257811.254</v>
      </c>
      <c r="F20" s="10" t="n">
        <f aca="false">F11*F15</f>
        <v>12894257811.254</v>
      </c>
      <c r="G20" s="10" t="n">
        <f aca="false">G11*G15</f>
        <v>12894257811.254</v>
      </c>
      <c r="H20" s="10" t="n">
        <f aca="false">H11*H15</f>
        <v>12894257811.254</v>
      </c>
      <c r="I20" s="10" t="n">
        <f aca="false">I11*I15</f>
        <v>12894257811.254</v>
      </c>
      <c r="K20" s="10" t="n">
        <f aca="false">K11*K15</f>
        <v>12894257811.254</v>
      </c>
      <c r="L20" s="10" t="n">
        <f aca="false">L11*L15</f>
        <v>12894257811.254</v>
      </c>
      <c r="M20" s="13" t="s">
        <v>5714</v>
      </c>
    </row>
    <row r="21" customFormat="false" ht="15" hidden="false" customHeight="false" outlineLevel="0" collapsed="false">
      <c r="A21" s="10" t="s">
        <v>5723</v>
      </c>
      <c r="B21" s="11" t="s">
        <v>5724</v>
      </c>
      <c r="C21" s="10" t="s">
        <v>5698</v>
      </c>
      <c r="D21" s="10" t="n">
        <f aca="false">D12*D15</f>
        <v>44440350782.9534</v>
      </c>
      <c r="E21" s="10" t="n">
        <f aca="false">E12*E15</f>
        <v>44440350782.9534</v>
      </c>
      <c r="F21" s="10" t="n">
        <f aca="false">F12*F15</f>
        <v>44440350782.9534</v>
      </c>
      <c r="G21" s="10" t="n">
        <f aca="false">G12*G15</f>
        <v>44440350782.9534</v>
      </c>
      <c r="H21" s="10" t="n">
        <f aca="false">H12*H15</f>
        <v>44440350782.9534</v>
      </c>
      <c r="I21" s="10" t="n">
        <f aca="false">I12*I15</f>
        <v>44440350782.9534</v>
      </c>
      <c r="K21" s="10" t="n">
        <f aca="false">K12*K15</f>
        <v>44440350782.9534</v>
      </c>
      <c r="L21" s="10" t="n">
        <f aca="false">L12*L15</f>
        <v>44440350782.9534</v>
      </c>
      <c r="M21" s="13" t="s">
        <v>5714</v>
      </c>
    </row>
    <row r="22" customFormat="false" ht="15" hidden="false" customHeight="false" outlineLevel="0" collapsed="false">
      <c r="A22" s="15" t="s">
        <v>5725</v>
      </c>
    </row>
    <row r="23" customFormat="false" ht="15" hidden="false" customHeight="false" outlineLevel="0" collapsed="false">
      <c r="A23" s="10" t="s">
        <v>5726</v>
      </c>
      <c r="B23" s="11" t="s">
        <v>5727</v>
      </c>
      <c r="C23" s="11" t="s">
        <v>4705</v>
      </c>
      <c r="D23" s="10" t="n">
        <f aca="false">INP_084</f>
        <v>0.3</v>
      </c>
      <c r="E23" s="10" t="n">
        <f aca="false">INP_085</f>
        <v>0.6</v>
      </c>
      <c r="F23" s="10" t="n">
        <f aca="false">INP_086</f>
        <v>0.75</v>
      </c>
      <c r="G23" s="10" t="n">
        <f aca="false">INP_087</f>
        <v>0.85</v>
      </c>
      <c r="H23" s="10" t="n">
        <f aca="false">INP_088</f>
        <v>0.9</v>
      </c>
      <c r="I23" s="10" t="n">
        <f aca="false">INP_089</f>
        <v>0.95</v>
      </c>
      <c r="K23" s="10" t="n">
        <f aca="false">INP_085</f>
        <v>0.6</v>
      </c>
      <c r="L23" s="10" t="n">
        <f aca="false">INP_085</f>
        <v>0.6</v>
      </c>
      <c r="M23" s="13" t="s">
        <v>5728</v>
      </c>
    </row>
    <row r="24" customFormat="false" ht="15" hidden="false" customHeight="false" outlineLevel="0" collapsed="false">
      <c r="A24" s="10" t="s">
        <v>5729</v>
      </c>
      <c r="B24" s="10" t="s">
        <v>5730</v>
      </c>
      <c r="C24" s="11" t="s">
        <v>4705</v>
      </c>
      <c r="D24" s="10" t="n">
        <f aca="false">INP_090</f>
        <v>0.2</v>
      </c>
      <c r="E24" s="10" t="n">
        <f aca="false">INP_091</f>
        <v>0.15</v>
      </c>
      <c r="F24" s="10" t="n">
        <f aca="false">INP_092</f>
        <v>0.1</v>
      </c>
      <c r="G24" s="10" t="n">
        <f aca="false">INP_093</f>
        <v>0.05</v>
      </c>
      <c r="H24" s="10" t="n">
        <f aca="false">INP_094</f>
        <v>0.05</v>
      </c>
      <c r="I24" s="10" t="n">
        <f aca="false">INP_095</f>
        <v>0</v>
      </c>
      <c r="K24" s="10" t="n">
        <f aca="false">INP_091</f>
        <v>0.15</v>
      </c>
      <c r="L24" s="10" t="n">
        <f aca="false">INP_091</f>
        <v>0.15</v>
      </c>
      <c r="M24" s="13" t="s">
        <v>5731</v>
      </c>
    </row>
    <row r="25" customFormat="false" ht="15" hidden="false" customHeight="false" outlineLevel="0" collapsed="false">
      <c r="A25" s="10" t="s">
        <v>5732</v>
      </c>
      <c r="B25" s="10" t="s">
        <v>5733</v>
      </c>
      <c r="C25" s="11" t="s">
        <v>4705</v>
      </c>
      <c r="D25" s="10" t="n">
        <f aca="false">(1-D23-D24)</f>
        <v>0.5</v>
      </c>
      <c r="E25" s="10" t="n">
        <f aca="false">(1-E23-E24)</f>
        <v>0.25</v>
      </c>
      <c r="F25" s="10" t="n">
        <f aca="false">(1-F23-F24)</f>
        <v>0.15</v>
      </c>
      <c r="G25" s="10" t="n">
        <f aca="false">(1-G23-G24)</f>
        <v>0.1</v>
      </c>
      <c r="H25" s="10" t="n">
        <f aca="false">(1-H23-H24)</f>
        <v>0.05</v>
      </c>
      <c r="I25" s="10" t="n">
        <f aca="false">(1-I23-I24)</f>
        <v>0.05</v>
      </c>
      <c r="K25" s="10" t="n">
        <f aca="false">(1-K23-K24)</f>
        <v>0.25</v>
      </c>
      <c r="L25" s="10" t="n">
        <f aca="false">(1-L23-L24)</f>
        <v>0.25</v>
      </c>
      <c r="M25" s="2" t="s">
        <v>5734</v>
      </c>
    </row>
    <row r="26" customFormat="false" ht="15" hidden="false" customHeight="false" outlineLevel="0" collapsed="false">
      <c r="A26" s="10" t="s">
        <v>5735</v>
      </c>
      <c r="B26" s="11" t="s">
        <v>5736</v>
      </c>
      <c r="C26" s="11" t="s">
        <v>1709</v>
      </c>
      <c r="D26" s="10" t="n">
        <f aca="false">D25+D24*D14+D23*D15</f>
        <v>0.748</v>
      </c>
      <c r="E26" s="10" t="n">
        <f aca="false">E25+E24*E14+E23*E15</f>
        <v>0.661</v>
      </c>
      <c r="F26" s="10" t="n">
        <f aca="false">F25+F24*F14+F23*F15</f>
        <v>0.634</v>
      </c>
      <c r="G26" s="10" t="n">
        <f aca="false">G25+G24*G14+G23*G15</f>
        <v>0.627</v>
      </c>
      <c r="H26" s="10" t="n">
        <f aca="false">H25+H24*H14+H23*H15</f>
        <v>0.607</v>
      </c>
      <c r="I26" s="10" t="n">
        <f aca="false">I25+I24*I14+I23*I15</f>
        <v>0.62</v>
      </c>
      <c r="K26" s="10" t="n">
        <f aca="false">K25+K24*K14+K23*K15</f>
        <v>0.661</v>
      </c>
      <c r="L26" s="10" t="n">
        <f aca="false">L25+L24*L14+L23*L15</f>
        <v>0.661</v>
      </c>
      <c r="M26" s="2" t="s">
        <v>5737</v>
      </c>
    </row>
    <row r="27" customFormat="false" ht="15" hidden="false" customHeight="false" outlineLevel="0" collapsed="false">
      <c r="A27" s="15" t="s">
        <v>5738</v>
      </c>
    </row>
    <row r="28" customFormat="false" ht="15" hidden="false" customHeight="false" outlineLevel="0" collapsed="false">
      <c r="A28" s="10" t="s">
        <v>5739</v>
      </c>
      <c r="B28" s="10" t="s">
        <v>5740</v>
      </c>
      <c r="C28" s="10" t="s">
        <v>4679</v>
      </c>
      <c r="D28" s="16" t="n">
        <f aca="false">Demand!D12</f>
        <v>39.8769083672671</v>
      </c>
      <c r="E28" s="16" t="n">
        <f aca="false">Demand!E12</f>
        <v>486.318528923451</v>
      </c>
      <c r="F28" s="16" t="n">
        <f aca="false">Demand!F12</f>
        <v>1258.34919358943</v>
      </c>
      <c r="G28" s="16" t="n">
        <f aca="false">Demand!G12</f>
        <v>2713.31544867721</v>
      </c>
      <c r="H28" s="16" t="n">
        <f aca="false">Demand!H12</f>
        <v>5265.5277925892</v>
      </c>
      <c r="I28" s="16" t="n">
        <f aca="false">Demand!I12</f>
        <v>9461.49525230872</v>
      </c>
      <c r="K28" s="16" t="n">
        <f aca="false">Demand!K12</f>
        <v>127.739411194692</v>
      </c>
      <c r="L28" s="16" t="n">
        <f aca="false">Demand!L12</f>
        <v>358.579117728759</v>
      </c>
      <c r="M28" s="13" t="s">
        <v>5741</v>
      </c>
    </row>
    <row r="29" customFormat="false" ht="15" hidden="false" customHeight="false" outlineLevel="0" collapsed="false">
      <c r="A29" s="10" t="s">
        <v>5742</v>
      </c>
      <c r="B29" s="10" t="s">
        <v>5743</v>
      </c>
      <c r="C29" s="10" t="s">
        <v>4679</v>
      </c>
      <c r="D29" s="16" t="n">
        <f aca="false">Demand!D13</f>
        <v>26.5846055781781</v>
      </c>
      <c r="E29" s="16" t="n">
        <f aca="false">Demand!E13</f>
        <v>208.422226681479</v>
      </c>
      <c r="F29" s="16" t="n">
        <f aca="false">Demand!F13</f>
        <v>539.292511538327</v>
      </c>
      <c r="G29" s="16" t="n">
        <f aca="false">Demand!G13</f>
        <v>1162.84947800452</v>
      </c>
      <c r="H29" s="16" t="n">
        <f aca="false">Demand!H13</f>
        <v>2256.65476825252</v>
      </c>
      <c r="I29" s="16" t="n">
        <f aca="false">Demand!I13</f>
        <v>4054.92653670374</v>
      </c>
      <c r="K29" s="16" t="n">
        <f aca="false">Demand!K13</f>
        <v>54.7454619405822</v>
      </c>
      <c r="L29" s="16" t="n">
        <f aca="false">Demand!L13</f>
        <v>153.676764740897</v>
      </c>
      <c r="M29" s="13" t="s">
        <v>5744</v>
      </c>
    </row>
    <row r="30" customFormat="false" ht="15" hidden="false" customHeight="false" outlineLevel="0" collapsed="false">
      <c r="A30" s="10" t="s">
        <v>5745</v>
      </c>
      <c r="B30" s="10" t="s">
        <v>5407</v>
      </c>
      <c r="C30" s="10" t="s">
        <v>4679</v>
      </c>
      <c r="D30" s="16" t="n">
        <f aca="false">Demand!D27</f>
        <v>985.6356048</v>
      </c>
      <c r="E30" s="16" t="n">
        <f aca="false">Demand!E27</f>
        <v>8227.1318976</v>
      </c>
      <c r="F30" s="16" t="n">
        <f aca="false">Demand!F27</f>
        <v>12320.44506</v>
      </c>
      <c r="G30" s="16" t="n">
        <f aca="false">Demand!G27</f>
        <v>16016.578578</v>
      </c>
      <c r="H30" s="16" t="n">
        <f aca="false">Demand!H27</f>
        <v>19219.8942936</v>
      </c>
      <c r="I30" s="16" t="n">
        <f aca="false">Demand!I27</f>
        <v>22102.87843764</v>
      </c>
      <c r="K30" s="16" t="n">
        <f aca="false">Demand!K27</f>
        <v>3258.4483008</v>
      </c>
      <c r="L30" s="16" t="n">
        <f aca="false">Demand!L27</f>
        <v>4968.6835968</v>
      </c>
      <c r="M30" s="13" t="s">
        <v>5746</v>
      </c>
    </row>
    <row r="31" customFormat="false" ht="15" hidden="false" customHeight="false" outlineLevel="0" collapsed="false">
      <c r="A31" s="10" t="s">
        <v>5747</v>
      </c>
      <c r="B31" s="10" t="s">
        <v>5410</v>
      </c>
      <c r="C31" s="10" t="s">
        <v>4679</v>
      </c>
      <c r="D31" s="16" t="n">
        <f aca="false">Demand!D28</f>
        <v>109.5150672</v>
      </c>
      <c r="E31" s="16" t="n">
        <f aca="false">Demand!E28</f>
        <v>914.1257664</v>
      </c>
      <c r="F31" s="16" t="n">
        <f aca="false">Demand!F28</f>
        <v>1368.93834</v>
      </c>
      <c r="G31" s="16" t="n">
        <f aca="false">Demand!G28</f>
        <v>1779.619842</v>
      </c>
      <c r="H31" s="16" t="n">
        <f aca="false">Demand!H28</f>
        <v>2135.5438104</v>
      </c>
      <c r="I31" s="16" t="n">
        <f aca="false">Demand!I28</f>
        <v>2455.87538196</v>
      </c>
      <c r="K31" s="16" t="n">
        <f aca="false">Demand!K28</f>
        <v>362.0498112</v>
      </c>
      <c r="L31" s="16" t="n">
        <f aca="false">Demand!L28</f>
        <v>552.0759552</v>
      </c>
      <c r="M31" s="13" t="s">
        <v>5748</v>
      </c>
    </row>
    <row r="32" customFormat="false" ht="15" hidden="false" customHeight="false" outlineLevel="0" collapsed="false">
      <c r="A32" s="10" t="s">
        <v>5749</v>
      </c>
      <c r="B32" s="11" t="s">
        <v>5750</v>
      </c>
      <c r="C32" s="10" t="s">
        <v>4679</v>
      </c>
      <c r="D32" s="16" t="n">
        <f aca="false">Demand!D14</f>
        <v>19.9384541836335</v>
      </c>
      <c r="E32" s="16" t="n">
        <f aca="false">Demand!E14</f>
        <v>208.422226681479</v>
      </c>
      <c r="F32" s="16" t="n">
        <f aca="false">Demand!F14</f>
        <v>539.292511538327</v>
      </c>
      <c r="G32" s="16" t="n">
        <f aca="false">Demand!G14</f>
        <v>1162.84947800452</v>
      </c>
      <c r="H32" s="16" t="n">
        <f aca="false">Demand!H14</f>
        <v>2256.65476825252</v>
      </c>
      <c r="I32" s="16" t="n">
        <f aca="false">Demand!I14</f>
        <v>4054.92653670374</v>
      </c>
      <c r="K32" s="16" t="n">
        <f aca="false">Demand!K14</f>
        <v>54.7454619405821</v>
      </c>
      <c r="L32" s="16" t="n">
        <f aca="false">Demand!L14</f>
        <v>153.676764740897</v>
      </c>
      <c r="M32" s="13" t="s">
        <v>5751</v>
      </c>
    </row>
    <row r="33" customFormat="false" ht="15" hidden="false" customHeight="false" outlineLevel="0" collapsed="false">
      <c r="A33" s="10" t="s">
        <v>5752</v>
      </c>
      <c r="B33" s="11" t="s">
        <v>5418</v>
      </c>
      <c r="C33" s="10" t="s">
        <v>4679</v>
      </c>
      <c r="D33" s="16" t="n">
        <f aca="false">Demand!D32</f>
        <v>3.285</v>
      </c>
      <c r="E33" s="10" t="n">
        <f aca="false">K33+L33</f>
        <v>3.6135</v>
      </c>
      <c r="F33" s="16" t="n">
        <f aca="false">Demand!F32</f>
        <v>3.97485</v>
      </c>
      <c r="G33" s="16" t="n">
        <f aca="false">Demand!G32</f>
        <v>4.372335</v>
      </c>
      <c r="H33" s="16" t="n">
        <f aca="false">Demand!H32</f>
        <v>4.8095685</v>
      </c>
      <c r="I33" s="16" t="n">
        <f aca="false">Demand!I32</f>
        <v>5.29052535</v>
      </c>
      <c r="K33" s="16" t="n">
        <f aca="false">Demand!$E$32*INP_008/INP_007</f>
        <v>1.7919</v>
      </c>
      <c r="L33" s="16" t="n">
        <f aca="false">Demand!$E$32*INP_009/INP_007</f>
        <v>1.8216</v>
      </c>
      <c r="M33" s="13" t="s">
        <v>5753</v>
      </c>
    </row>
    <row r="34" customFormat="false" ht="15" hidden="false" customHeight="false" outlineLevel="0" collapsed="false">
      <c r="A34" s="10" t="s">
        <v>5754</v>
      </c>
      <c r="B34" s="11" t="s">
        <v>5420</v>
      </c>
      <c r="C34" s="10" t="s">
        <v>4679</v>
      </c>
      <c r="D34" s="16" t="n">
        <f aca="false">Demand!D33</f>
        <v>7.665</v>
      </c>
      <c r="E34" s="10" t="n">
        <f aca="false">K34+L34</f>
        <v>8.4315</v>
      </c>
      <c r="F34" s="16" t="n">
        <f aca="false">Demand!F33</f>
        <v>9.27465</v>
      </c>
      <c r="G34" s="16" t="n">
        <f aca="false">Demand!G33</f>
        <v>10.202115</v>
      </c>
      <c r="H34" s="16" t="n">
        <f aca="false">Demand!H33</f>
        <v>11.2223265</v>
      </c>
      <c r="I34" s="16" t="n">
        <f aca="false">Demand!I33</f>
        <v>12.34455915</v>
      </c>
      <c r="K34" s="16" t="n">
        <f aca="false">Demand!$E$33*INP_008/INP_007</f>
        <v>4.1811</v>
      </c>
      <c r="L34" s="16" t="n">
        <f aca="false">Demand!$E$33*INP_009/INP_007</f>
        <v>4.2504</v>
      </c>
      <c r="M34" s="13" t="s">
        <v>5755</v>
      </c>
    </row>
    <row r="35" customFormat="false" ht="15" hidden="false" customHeight="false" outlineLevel="0" collapsed="false">
      <c r="A35" s="10" t="s">
        <v>5756</v>
      </c>
      <c r="B35" s="11" t="s">
        <v>5423</v>
      </c>
      <c r="C35" s="10" t="s">
        <v>4679</v>
      </c>
      <c r="D35" s="10" t="n">
        <f aca="false">D28+D30</f>
        <v>1025.51251316727</v>
      </c>
      <c r="E35" s="10" t="n">
        <f aca="false">E28+E30</f>
        <v>8713.45042652345</v>
      </c>
      <c r="F35" s="10" t="n">
        <f aca="false">F28+F30</f>
        <v>13578.7942535894</v>
      </c>
      <c r="G35" s="10" t="n">
        <f aca="false">G28+G30</f>
        <v>18729.8940266772</v>
      </c>
      <c r="H35" s="10" t="n">
        <f aca="false">H28+H30</f>
        <v>24485.4220861892</v>
      </c>
      <c r="I35" s="10" t="n">
        <f aca="false">I28+I30</f>
        <v>31564.3736899487</v>
      </c>
      <c r="K35" s="10" t="n">
        <f aca="false">K28+K30</f>
        <v>3386.18771199469</v>
      </c>
      <c r="L35" s="10" t="n">
        <f aca="false">L28+L30</f>
        <v>5327.26271452876</v>
      </c>
      <c r="M35" s="2" t="s">
        <v>5757</v>
      </c>
    </row>
    <row r="36" customFormat="false" ht="15" hidden="false" customHeight="false" outlineLevel="0" collapsed="false">
      <c r="A36" s="10" t="s">
        <v>5758</v>
      </c>
      <c r="B36" s="11" t="s">
        <v>5426</v>
      </c>
      <c r="C36" s="10" t="s">
        <v>4679</v>
      </c>
      <c r="D36" s="10" t="n">
        <f aca="false">D29+D31</f>
        <v>136.099672778178</v>
      </c>
      <c r="E36" s="10" t="n">
        <f aca="false">E29+E31</f>
        <v>1122.54799308148</v>
      </c>
      <c r="F36" s="10" t="n">
        <f aca="false">F29+F31</f>
        <v>1908.23085153833</v>
      </c>
      <c r="G36" s="10" t="n">
        <f aca="false">G29+G31</f>
        <v>2942.46932000452</v>
      </c>
      <c r="H36" s="10" t="n">
        <f aca="false">H29+H31</f>
        <v>4392.19857865252</v>
      </c>
      <c r="I36" s="10" t="n">
        <f aca="false">I29+I31</f>
        <v>6510.80191866374</v>
      </c>
      <c r="K36" s="10" t="n">
        <f aca="false">K29+K31</f>
        <v>416.795273140582</v>
      </c>
      <c r="L36" s="10" t="n">
        <f aca="false">L29+L31</f>
        <v>705.752719940897</v>
      </c>
      <c r="M36" s="2" t="s">
        <v>5757</v>
      </c>
    </row>
    <row r="37" customFormat="false" ht="15" hidden="false" customHeight="false" outlineLevel="0" collapsed="false">
      <c r="A37" s="10" t="s">
        <v>5759</v>
      </c>
      <c r="B37" s="11" t="s">
        <v>5429</v>
      </c>
      <c r="C37" s="10" t="s">
        <v>4679</v>
      </c>
      <c r="D37" s="10" t="n">
        <f aca="false">D33</f>
        <v>3.285</v>
      </c>
      <c r="E37" s="10" t="n">
        <f aca="false">E33</f>
        <v>3.6135</v>
      </c>
      <c r="F37" s="10" t="n">
        <f aca="false">F33</f>
        <v>3.97485</v>
      </c>
      <c r="G37" s="10" t="n">
        <f aca="false">G33</f>
        <v>4.372335</v>
      </c>
      <c r="H37" s="10" t="n">
        <f aca="false">H33</f>
        <v>4.8095685</v>
      </c>
      <c r="I37" s="10" t="n">
        <f aca="false">I33</f>
        <v>5.29052535</v>
      </c>
      <c r="K37" s="10" t="n">
        <f aca="false">K33</f>
        <v>1.7919</v>
      </c>
      <c r="L37" s="10" t="n">
        <f aca="false">L33</f>
        <v>1.8216</v>
      </c>
      <c r="M37" s="2" t="s">
        <v>5757</v>
      </c>
    </row>
    <row r="38" customFormat="false" ht="15" hidden="false" customHeight="false" outlineLevel="0" collapsed="false">
      <c r="A38" s="10" t="s">
        <v>5760</v>
      </c>
      <c r="B38" s="11" t="s">
        <v>5432</v>
      </c>
      <c r="C38" s="10" t="s">
        <v>4679</v>
      </c>
      <c r="D38" s="10" t="n">
        <f aca="false">D32+D34</f>
        <v>27.6034541836335</v>
      </c>
      <c r="E38" s="10" t="n">
        <f aca="false">E32+E34</f>
        <v>216.853726681479</v>
      </c>
      <c r="F38" s="10" t="n">
        <f aca="false">F32+F34</f>
        <v>548.567161538327</v>
      </c>
      <c r="G38" s="10" t="n">
        <f aca="false">G32+G34</f>
        <v>1173.05159300452</v>
      </c>
      <c r="H38" s="10" t="n">
        <f aca="false">H32+H34</f>
        <v>2267.87709475252</v>
      </c>
      <c r="I38" s="10" t="n">
        <f aca="false">I32+I34</f>
        <v>4067.27109585374</v>
      </c>
      <c r="K38" s="10" t="n">
        <f aca="false">K32+K34</f>
        <v>58.9265619405822</v>
      </c>
      <c r="L38" s="10" t="n">
        <f aca="false">L32+L34</f>
        <v>157.927164740897</v>
      </c>
      <c r="M38" s="2" t="s">
        <v>5757</v>
      </c>
    </row>
    <row r="39" customFormat="false" ht="15" hidden="false" customHeight="false" outlineLevel="0" collapsed="false">
      <c r="A39" s="10" t="s">
        <v>5761</v>
      </c>
      <c r="B39" s="11" t="s">
        <v>5435</v>
      </c>
      <c r="C39" s="10" t="s">
        <v>4679</v>
      </c>
      <c r="D39" s="10" t="n">
        <f aca="false">D35+D36</f>
        <v>1161.61218594545</v>
      </c>
      <c r="E39" s="10" t="n">
        <f aca="false">E35+E36</f>
        <v>9835.99841960493</v>
      </c>
      <c r="F39" s="10" t="n">
        <f aca="false">F35+F36</f>
        <v>15487.0251051278</v>
      </c>
      <c r="G39" s="10" t="n">
        <f aca="false">G35+G36</f>
        <v>21672.3633466817</v>
      </c>
      <c r="H39" s="10" t="n">
        <f aca="false">H35+H36</f>
        <v>28877.6206648417</v>
      </c>
      <c r="I39" s="10" t="n">
        <f aca="false">I35+I36</f>
        <v>38075.1756086125</v>
      </c>
      <c r="K39" s="10" t="n">
        <f aca="false">K35+K36</f>
        <v>3802.98298513527</v>
      </c>
      <c r="L39" s="10" t="n">
        <f aca="false">L35+L36</f>
        <v>6033.01543446966</v>
      </c>
      <c r="M39" s="2"/>
    </row>
    <row r="40" customFormat="false" ht="15" hidden="false" customHeight="false" outlineLevel="0" collapsed="false">
      <c r="A40" s="10" t="s">
        <v>5762</v>
      </c>
      <c r="B40" s="11" t="s">
        <v>5763</v>
      </c>
      <c r="C40" s="11" t="s">
        <v>4705</v>
      </c>
      <c r="D40" s="10" t="n">
        <f aca="false">D35/D39</f>
        <v>0.882835532869858</v>
      </c>
      <c r="E40" s="10" t="n">
        <f aca="false">E35/E39</f>
        <v>0.885873508189668</v>
      </c>
      <c r="F40" s="10" t="n">
        <f aca="false">F35/F39</f>
        <v>0.87678519027476</v>
      </c>
      <c r="G40" s="10" t="n">
        <f aca="false">G35/G39</f>
        <v>0.864229420994133</v>
      </c>
      <c r="H40" s="10" t="n">
        <f aca="false">H35/H39</f>
        <v>0.847903030875394</v>
      </c>
      <c r="I40" s="10" t="n">
        <f aca="false">I35/I39</f>
        <v>0.829001394882838</v>
      </c>
      <c r="K40" s="10" t="n">
        <f aca="false">K35/K39</f>
        <v>0.890403066548099</v>
      </c>
      <c r="L40" s="10" t="n">
        <f aca="false">L35/L39</f>
        <v>0.883018247241906</v>
      </c>
      <c r="M40" s="2"/>
    </row>
    <row r="41" customFormat="false" ht="15" hidden="false" customHeight="false" outlineLevel="0" collapsed="false">
      <c r="A41" s="10" t="s">
        <v>5764</v>
      </c>
      <c r="B41" s="11" t="s">
        <v>5765</v>
      </c>
      <c r="C41" s="11" t="s">
        <v>4705</v>
      </c>
      <c r="D41" s="10" t="n">
        <f aca="false">D36/D39</f>
        <v>0.117164467130142</v>
      </c>
      <c r="E41" s="10" t="n">
        <f aca="false">E36/E39</f>
        <v>0.114126491810332</v>
      </c>
      <c r="F41" s="10" t="n">
        <f aca="false">F36/F39</f>
        <v>0.12321480972524</v>
      </c>
      <c r="G41" s="10" t="n">
        <f aca="false">G36/G39</f>
        <v>0.135770579005867</v>
      </c>
      <c r="H41" s="10" t="n">
        <f aca="false">H36/H39</f>
        <v>0.152096969124606</v>
      </c>
      <c r="I41" s="10" t="n">
        <f aca="false">I36/I39</f>
        <v>0.170998605117162</v>
      </c>
      <c r="K41" s="10" t="n">
        <f aca="false">K36/K39</f>
        <v>0.109596933451901</v>
      </c>
      <c r="L41" s="10" t="n">
        <f aca="false">L36/L39</f>
        <v>0.116981752758094</v>
      </c>
      <c r="M41" s="2"/>
    </row>
    <row r="42" customFormat="false" ht="15" hidden="false" customHeight="false" outlineLevel="0" collapsed="false">
      <c r="A42" s="10" t="s">
        <v>5766</v>
      </c>
      <c r="B42" s="11" t="s">
        <v>5437</v>
      </c>
      <c r="C42" s="10" t="s">
        <v>4679</v>
      </c>
      <c r="D42" s="10" t="n">
        <f aca="false">D37+D38</f>
        <v>30.8884541836335</v>
      </c>
      <c r="E42" s="10" t="n">
        <f aca="false">E37+E38</f>
        <v>220.467226681479</v>
      </c>
      <c r="F42" s="10" t="n">
        <f aca="false">F37+F38</f>
        <v>552.542011538327</v>
      </c>
      <c r="G42" s="10" t="n">
        <f aca="false">G37+G38</f>
        <v>1177.42392800452</v>
      </c>
      <c r="H42" s="10" t="n">
        <f aca="false">H37+H38</f>
        <v>2272.68666325252</v>
      </c>
      <c r="I42" s="10" t="n">
        <f aca="false">I37+I38</f>
        <v>4072.56162120374</v>
      </c>
      <c r="K42" s="10" t="n">
        <f aca="false">K37+K38</f>
        <v>60.7184619405821</v>
      </c>
      <c r="L42" s="10" t="n">
        <f aca="false">L37+L38</f>
        <v>159.748764740897</v>
      </c>
      <c r="M42" s="2"/>
    </row>
    <row r="43" customFormat="false" ht="15" hidden="false" customHeight="false" outlineLevel="0" collapsed="false">
      <c r="A43" s="10" t="s">
        <v>5767</v>
      </c>
      <c r="B43" s="11" t="s">
        <v>5768</v>
      </c>
      <c r="C43" s="11" t="s">
        <v>4705</v>
      </c>
      <c r="D43" s="10" t="n">
        <f aca="false">D37/D42</f>
        <v>0.106350417553125</v>
      </c>
      <c r="E43" s="10" t="n">
        <f aca="false">E37/E42</f>
        <v>0.0163901912061543</v>
      </c>
      <c r="F43" s="10" t="n">
        <f aca="false">F37/F42</f>
        <v>0.00719375163697265</v>
      </c>
      <c r="G43" s="10" t="n">
        <f aca="false">G37/G42</f>
        <v>0.00371347557664314</v>
      </c>
      <c r="H43" s="10" t="n">
        <f aca="false">H37/H42</f>
        <v>0.00211624795347585</v>
      </c>
      <c r="I43" s="10" t="n">
        <f aca="false">I37/I42</f>
        <v>0.00129906575813487</v>
      </c>
      <c r="K43" s="10" t="n">
        <f aca="false">K37/K42</f>
        <v>0.0295116171050828</v>
      </c>
      <c r="L43" s="10" t="n">
        <f aca="false">L37/L42</f>
        <v>0.0114029050738172</v>
      </c>
      <c r="M43" s="2"/>
    </row>
    <row r="44" customFormat="false" ht="15" hidden="false" customHeight="false" outlineLevel="0" collapsed="false">
      <c r="A44" s="10" t="s">
        <v>5769</v>
      </c>
      <c r="B44" s="11" t="s">
        <v>5770</v>
      </c>
      <c r="C44" s="11" t="s">
        <v>4705</v>
      </c>
      <c r="D44" s="10" t="n">
        <f aca="false">D38/D42</f>
        <v>0.893649582446875</v>
      </c>
      <c r="E44" s="10" t="n">
        <f aca="false">E38/E42</f>
        <v>0.983609808793846</v>
      </c>
      <c r="F44" s="10" t="n">
        <f aca="false">F38/F42</f>
        <v>0.992806248363027</v>
      </c>
      <c r="G44" s="10" t="n">
        <f aca="false">G38/G42</f>
        <v>0.996286524423357</v>
      </c>
      <c r="H44" s="10" t="n">
        <f aca="false">H38/H42</f>
        <v>0.997883752046524</v>
      </c>
      <c r="I44" s="10" t="n">
        <f aca="false">I38/I42</f>
        <v>0.998700934241865</v>
      </c>
      <c r="K44" s="10" t="n">
        <f aca="false">K38/K42</f>
        <v>0.970488382894917</v>
      </c>
      <c r="L44" s="10" t="n">
        <f aca="false">L38/L42</f>
        <v>0.988597094926183</v>
      </c>
      <c r="M44" s="2"/>
    </row>
    <row r="45" customFormat="false" ht="15" hidden="false" customHeight="false" outlineLevel="0" collapsed="false">
      <c r="A45" s="15" t="s">
        <v>5771</v>
      </c>
    </row>
    <row r="46" customFormat="false" ht="15" hidden="false" customHeight="false" outlineLevel="0" collapsed="false">
      <c r="A46" s="10" t="s">
        <v>5772</v>
      </c>
      <c r="B46" s="10" t="s">
        <v>5773</v>
      </c>
      <c r="C46" s="10" t="s">
        <v>4448</v>
      </c>
      <c r="D46" s="10" t="n">
        <f aca="false">SUMIFS(TK_IF_CostPre_Sol,TK_HdrGen,$D$8,TK_HdrCost,$D$10)</f>
        <v>0.199542006533699</v>
      </c>
      <c r="E46" s="10" t="n">
        <f aca="false">SUMIFS(TK_IF_CostPre_Sol,TK_HdrGen,$D$8,TK_HdrCost,$D$10)</f>
        <v>0.199542006533699</v>
      </c>
      <c r="F46" s="10" t="n">
        <f aca="false">SUMIFS(TK_IF_CostPre_Sol,TK_HdrGen,$D$8,TK_HdrCost,$D$10)</f>
        <v>0.199542006533699</v>
      </c>
      <c r="G46" s="10" t="n">
        <f aca="false">SUMIFS(TK_IF_CostPre_Sol,TK_HdrGen,$D$8,TK_HdrCost,$D$10)</f>
        <v>0.199542006533699</v>
      </c>
      <c r="H46" s="10" t="n">
        <f aca="false">SUMIFS(TK_IF_CostPre_Sol,TK_HdrGen,$D$8,TK_HdrCost,$D$10)</f>
        <v>0.199542006533699</v>
      </c>
      <c r="I46" s="10" t="n">
        <f aca="false">SUMIFS(TK_IF_CostPre_Sol,TK_HdrGen,$D$8,TK_HdrCost,$D$10)</f>
        <v>0.199542006533699</v>
      </c>
      <c r="K46" s="10" t="n">
        <f aca="false">SUMIFS(TK_IF_CostPre_Sol,TK_HdrGen,$D$8,TK_HdrCost,$D$10)</f>
        <v>0.199542006533699</v>
      </c>
      <c r="L46" s="10" t="n">
        <f aca="false">SUMIFS(TK_IF_CostPre_Sol,TK_HdrGen,$D$8,TK_HdrCost,$D$10)</f>
        <v>0.199542006533699</v>
      </c>
      <c r="M46" s="13" t="s">
        <v>5774</v>
      </c>
    </row>
    <row r="47" customFormat="false" ht="15" hidden="false" customHeight="false" outlineLevel="0" collapsed="false">
      <c r="A47" s="10" t="s">
        <v>5775</v>
      </c>
      <c r="B47" s="10" t="s">
        <v>5776</v>
      </c>
      <c r="C47" s="10" t="s">
        <v>4448</v>
      </c>
      <c r="D47" s="10" t="n">
        <f aca="false">SUMIFS(TK_IF_CostCache_Sol,TK_HdrGen,$D$8,TK_HdrCost,$D$10)</f>
        <v>1.76776138930933E-005</v>
      </c>
      <c r="E47" s="10" t="n">
        <f aca="false">SUMIFS(TK_IF_CostCache_Sol,TK_HdrGen,$D$8,TK_HdrCost,$D$10)</f>
        <v>1.76776138930933E-005</v>
      </c>
      <c r="F47" s="10" t="n">
        <f aca="false">SUMIFS(TK_IF_CostCache_Sol,TK_HdrGen,$D$8,TK_HdrCost,$D$10)</f>
        <v>1.76776138930933E-005</v>
      </c>
      <c r="G47" s="10" t="n">
        <f aca="false">SUMIFS(TK_IF_CostCache_Sol,TK_HdrGen,$D$8,TK_HdrCost,$D$10)</f>
        <v>1.76776138930933E-005</v>
      </c>
      <c r="H47" s="10" t="n">
        <f aca="false">SUMIFS(TK_IF_CostCache_Sol,TK_HdrGen,$D$8,TK_HdrCost,$D$10)</f>
        <v>1.76776138930933E-005</v>
      </c>
      <c r="I47" s="10" t="n">
        <f aca="false">SUMIFS(TK_IF_CostCache_Sol,TK_HdrGen,$D$8,TK_HdrCost,$D$10)</f>
        <v>1.76776138930933E-005</v>
      </c>
      <c r="K47" s="10" t="n">
        <f aca="false">SUMIFS(TK_IF_CostCache_Sol,TK_HdrGen,$D$8,TK_HdrCost,$D$10)</f>
        <v>1.76776138930933E-005</v>
      </c>
      <c r="L47" s="10" t="n">
        <f aca="false">SUMIFS(TK_IF_CostCache_Sol,TK_HdrGen,$D$8,TK_HdrCost,$D$10)</f>
        <v>1.76776138930933E-005</v>
      </c>
      <c r="M47" s="13" t="s">
        <v>5777</v>
      </c>
    </row>
    <row r="48" customFormat="false" ht="15" hidden="false" customHeight="false" outlineLevel="0" collapsed="false">
      <c r="A48" s="10" t="s">
        <v>5778</v>
      </c>
      <c r="B48" s="10" t="s">
        <v>5779</v>
      </c>
      <c r="C48" s="10" t="s">
        <v>4448</v>
      </c>
      <c r="D48" s="10" t="n">
        <f aca="false">SUMIFS(TK_IF_CostDec_Sol,TK_HdrGen,$D$8,TK_HdrCost,$D$10)</f>
        <v>2.63169284214039</v>
      </c>
      <c r="E48" s="10" t="n">
        <f aca="false">SUMIFS(TK_IF_CostDec_Sol,TK_HdrGen,$D$8,TK_HdrCost,$D$10)</f>
        <v>2.63169284214039</v>
      </c>
      <c r="F48" s="10" t="n">
        <f aca="false">SUMIFS(TK_IF_CostDec_Sol,TK_HdrGen,$D$8,TK_HdrCost,$D$10)</f>
        <v>2.63169284214039</v>
      </c>
      <c r="G48" s="10" t="n">
        <f aca="false">SUMIFS(TK_IF_CostDec_Sol,TK_HdrGen,$D$8,TK_HdrCost,$D$10)</f>
        <v>2.63169284214039</v>
      </c>
      <c r="H48" s="10" t="n">
        <f aca="false">SUMIFS(TK_IF_CostDec_Sol,TK_HdrGen,$D$8,TK_HdrCost,$D$10)</f>
        <v>2.63169284214039</v>
      </c>
      <c r="I48" s="10" t="n">
        <f aca="false">SUMIFS(TK_IF_CostDec_Sol,TK_HdrGen,$D$8,TK_HdrCost,$D$10)</f>
        <v>2.63169284214039</v>
      </c>
      <c r="K48" s="10" t="n">
        <f aca="false">SUMIFS(TK_IF_CostDec_Sol,TK_HdrGen,$D$8,TK_HdrCost,$D$10)</f>
        <v>2.63169284214039</v>
      </c>
      <c r="L48" s="10" t="n">
        <f aca="false">SUMIFS(TK_IF_CostDec_Sol,TK_HdrGen,$D$8,TK_HdrCost,$D$10)</f>
        <v>2.63169284214039</v>
      </c>
      <c r="M48" s="13" t="s">
        <v>5780</v>
      </c>
    </row>
    <row r="49" customFormat="false" ht="15" hidden="false" customHeight="false" outlineLevel="0" collapsed="false">
      <c r="A49" s="10" t="s">
        <v>5781</v>
      </c>
      <c r="B49" s="10" t="s">
        <v>5782</v>
      </c>
      <c r="C49" s="10" t="s">
        <v>4448</v>
      </c>
      <c r="D49" s="10" t="n">
        <f aca="false">SUMIFS(TK_IF_CostPre_Luna,TK_HdrGen,$D$8,TK_HdrCost,$D$10)</f>
        <v>0.0574917842790264</v>
      </c>
      <c r="E49" s="10" t="n">
        <f aca="false">SUMIFS(TK_IF_CostPre_Luna,TK_HdrGen,$D$8,TK_HdrCost,$D$10)</f>
        <v>0.0574917842790264</v>
      </c>
      <c r="F49" s="10" t="n">
        <f aca="false">SUMIFS(TK_IF_CostPre_Luna,TK_HdrGen,$D$8,TK_HdrCost,$D$10)</f>
        <v>0.0574917842790264</v>
      </c>
      <c r="G49" s="10" t="n">
        <f aca="false">SUMIFS(TK_IF_CostPre_Luna,TK_HdrGen,$D$8,TK_HdrCost,$D$10)</f>
        <v>0.0574917842790264</v>
      </c>
      <c r="H49" s="10" t="n">
        <f aca="false">SUMIFS(TK_IF_CostPre_Luna,TK_HdrGen,$D$8,TK_HdrCost,$D$10)</f>
        <v>0.0574917842790264</v>
      </c>
      <c r="I49" s="10" t="n">
        <f aca="false">SUMIFS(TK_IF_CostPre_Luna,TK_HdrGen,$D$8,TK_HdrCost,$D$10)</f>
        <v>0.0574917842790264</v>
      </c>
      <c r="K49" s="10" t="n">
        <f aca="false">SUMIFS(TK_IF_CostPre_Luna,TK_HdrGen,$D$8,TK_HdrCost,$D$10)</f>
        <v>0.0574917842790264</v>
      </c>
      <c r="L49" s="10" t="n">
        <f aca="false">SUMIFS(TK_IF_CostPre_Luna,TK_HdrGen,$D$8,TK_HdrCost,$D$10)</f>
        <v>0.0574917842790264</v>
      </c>
      <c r="M49" s="13" t="s">
        <v>5783</v>
      </c>
    </row>
    <row r="50" customFormat="false" ht="15" hidden="false" customHeight="false" outlineLevel="0" collapsed="false">
      <c r="A50" s="10" t="s">
        <v>5784</v>
      </c>
      <c r="B50" s="10" t="s">
        <v>5785</v>
      </c>
      <c r="C50" s="10" t="s">
        <v>4448</v>
      </c>
      <c r="D50" s="10" t="n">
        <f aca="false">SUMIFS(TK_IF_CostCache_Luna,TK_HdrGen,$D$8,TK_HdrCost,$D$10)</f>
        <v>1.24612688098854E-005</v>
      </c>
      <c r="E50" s="10" t="n">
        <f aca="false">SUMIFS(TK_IF_CostCache_Luna,TK_HdrGen,$D$8,TK_HdrCost,$D$10)</f>
        <v>1.24612688098854E-005</v>
      </c>
      <c r="F50" s="10" t="n">
        <f aca="false">SUMIFS(TK_IF_CostCache_Luna,TK_HdrGen,$D$8,TK_HdrCost,$D$10)</f>
        <v>1.24612688098854E-005</v>
      </c>
      <c r="G50" s="10" t="n">
        <f aca="false">SUMIFS(TK_IF_CostCache_Luna,TK_HdrGen,$D$8,TK_HdrCost,$D$10)</f>
        <v>1.24612688098854E-005</v>
      </c>
      <c r="H50" s="10" t="n">
        <f aca="false">SUMIFS(TK_IF_CostCache_Luna,TK_HdrGen,$D$8,TK_HdrCost,$D$10)</f>
        <v>1.24612688098854E-005</v>
      </c>
      <c r="I50" s="10" t="n">
        <f aca="false">SUMIFS(TK_IF_CostCache_Luna,TK_HdrGen,$D$8,TK_HdrCost,$D$10)</f>
        <v>1.24612688098854E-005</v>
      </c>
      <c r="K50" s="10" t="n">
        <f aca="false">SUMIFS(TK_IF_CostCache_Luna,TK_HdrGen,$D$8,TK_HdrCost,$D$10)</f>
        <v>1.24612688098854E-005</v>
      </c>
      <c r="L50" s="10" t="n">
        <f aca="false">SUMIFS(TK_IF_CostCache_Luna,TK_HdrGen,$D$8,TK_HdrCost,$D$10)</f>
        <v>1.24612688098854E-005</v>
      </c>
      <c r="M50" s="13" t="s">
        <v>5786</v>
      </c>
    </row>
    <row r="51" customFormat="false" ht="15" hidden="false" customHeight="false" outlineLevel="0" collapsed="false">
      <c r="A51" s="10" t="s">
        <v>5787</v>
      </c>
      <c r="B51" s="10" t="s">
        <v>5788</v>
      </c>
      <c r="C51" s="10" t="s">
        <v>4448</v>
      </c>
      <c r="D51" s="10" t="n">
        <f aca="false">SUMIFS(TK_IF_CostDec_Luna,TK_HdrGen,$D$8,TK_HdrCost,$D$10)</f>
        <v>0.766817847149911</v>
      </c>
      <c r="E51" s="10" t="n">
        <f aca="false">SUMIFS(TK_IF_CostDec_Luna,TK_HdrGen,$D$8,TK_HdrCost,$D$10)</f>
        <v>0.766817847149911</v>
      </c>
      <c r="F51" s="10" t="n">
        <f aca="false">SUMIFS(TK_IF_CostDec_Luna,TK_HdrGen,$D$8,TK_HdrCost,$D$10)</f>
        <v>0.766817847149911</v>
      </c>
      <c r="G51" s="10" t="n">
        <f aca="false">SUMIFS(TK_IF_CostDec_Luna,TK_HdrGen,$D$8,TK_HdrCost,$D$10)</f>
        <v>0.766817847149911</v>
      </c>
      <c r="H51" s="10" t="n">
        <f aca="false">SUMIFS(TK_IF_CostDec_Luna,TK_HdrGen,$D$8,TK_HdrCost,$D$10)</f>
        <v>0.766817847149911</v>
      </c>
      <c r="I51" s="10" t="n">
        <f aca="false">SUMIFS(TK_IF_CostDec_Luna,TK_HdrGen,$D$8,TK_HdrCost,$D$10)</f>
        <v>0.766817847149911</v>
      </c>
      <c r="K51" s="10" t="n">
        <f aca="false">SUMIFS(TK_IF_CostDec_Luna,TK_HdrGen,$D$8,TK_HdrCost,$D$10)</f>
        <v>0.766817847149911</v>
      </c>
      <c r="L51" s="10" t="n">
        <f aca="false">SUMIFS(TK_IF_CostDec_Luna,TK_HdrGen,$D$8,TK_HdrCost,$D$10)</f>
        <v>0.766817847149911</v>
      </c>
      <c r="M51" s="13" t="s">
        <v>5789</v>
      </c>
    </row>
    <row r="52" customFormat="false" ht="15" hidden="false" customHeight="false" outlineLevel="0" collapsed="false">
      <c r="A52" s="10" t="s">
        <v>5790</v>
      </c>
      <c r="B52" s="10" t="s">
        <v>5791</v>
      </c>
      <c r="C52" s="10" t="s">
        <v>5792</v>
      </c>
      <c r="D52" s="10" t="n">
        <f aca="false">SUMIFS(TK_IF_HoldEcon,TK_HdrGen,$D$8,TK_HdrCost,$D$10)</f>
        <v>10.0957952959174</v>
      </c>
      <c r="E52" s="10" t="n">
        <f aca="false">SUMIFS(TK_IF_HoldEcon,TK_HdrGen,$D$8,TK_HdrCost,$D$10)</f>
        <v>10.0957952959174</v>
      </c>
      <c r="F52" s="10" t="n">
        <f aca="false">SUMIFS(TK_IF_HoldEcon,TK_HdrGen,$D$8,TK_HdrCost,$D$10)</f>
        <v>10.0957952959174</v>
      </c>
      <c r="G52" s="10" t="n">
        <f aca="false">SUMIFS(TK_IF_HoldEcon,TK_HdrGen,$D$8,TK_HdrCost,$D$10)</f>
        <v>10.0957952959174</v>
      </c>
      <c r="H52" s="10" t="n">
        <f aca="false">SUMIFS(TK_IF_HoldEcon,TK_HdrGen,$D$8,TK_HdrCost,$D$10)</f>
        <v>10.0957952959174</v>
      </c>
      <c r="I52" s="10" t="n">
        <f aca="false">SUMIFS(TK_IF_HoldEcon,TK_HdrGen,$D$8,TK_HdrCost,$D$10)</f>
        <v>10.0957952959174</v>
      </c>
      <c r="K52" s="10" t="n">
        <f aca="false">SUMIFS(TK_IF_HoldEcon,TK_HdrGen,$D$8,TK_HdrCost,$D$10)</f>
        <v>10.0957952959174</v>
      </c>
      <c r="L52" s="10" t="n">
        <f aca="false">SUMIFS(TK_IF_HoldEcon,TK_HdrGen,$D$8,TK_HdrCost,$D$10)</f>
        <v>10.0957952959174</v>
      </c>
      <c r="M52" s="2" t="s">
        <v>5793</v>
      </c>
    </row>
    <row r="53" customFormat="false" ht="15" hidden="false" customHeight="false" outlineLevel="0" collapsed="false">
      <c r="A53" s="10" t="s">
        <v>5794</v>
      </c>
      <c r="B53" s="11" t="s">
        <v>5795</v>
      </c>
      <c r="C53" s="11" t="s">
        <v>4705</v>
      </c>
      <c r="D53" s="10" t="n">
        <f aca="false">(1-INP_029)*(1-INP_030)</f>
        <v>0.425</v>
      </c>
      <c r="E53" s="10" t="n">
        <f aca="false">(1-INP_029)*(1-INP_030)</f>
        <v>0.425</v>
      </c>
      <c r="F53" s="10" t="n">
        <f aca="false">(1-INP_029)*(1-INP_030)</f>
        <v>0.425</v>
      </c>
      <c r="G53" s="10" t="n">
        <f aca="false">(1-INP_029)*(1-INP_030)</f>
        <v>0.425</v>
      </c>
      <c r="H53" s="10" t="n">
        <f aca="false">(1-INP_029)*(1-INP_030)</f>
        <v>0.425</v>
      </c>
      <c r="I53" s="10" t="n">
        <f aca="false">(1-INP_029)*(1-INP_030)</f>
        <v>0.425</v>
      </c>
      <c r="K53" s="10" t="n">
        <f aca="false">(1-INP_029)*(1-INP_030)</f>
        <v>0.425</v>
      </c>
      <c r="L53" s="10" t="n">
        <f aca="false">(1-INP_029)*(1-INP_030)</f>
        <v>0.425</v>
      </c>
      <c r="M53" s="13" t="s">
        <v>5796</v>
      </c>
    </row>
    <row r="54" customFormat="false" ht="15" hidden="false" customHeight="false" outlineLevel="0" collapsed="false">
      <c r="A54" s="10" t="s">
        <v>5797</v>
      </c>
      <c r="B54" s="11" t="s">
        <v>5798</v>
      </c>
      <c r="C54" s="11" t="s">
        <v>4705</v>
      </c>
      <c r="D54" s="10" t="n">
        <f aca="false">(1-INP_029)*INP_030</f>
        <v>0.425</v>
      </c>
      <c r="E54" s="10" t="n">
        <f aca="false">(1-INP_029)*INP_030</f>
        <v>0.425</v>
      </c>
      <c r="F54" s="10" t="n">
        <f aca="false">(1-INP_029)*INP_030</f>
        <v>0.425</v>
      </c>
      <c r="G54" s="10" t="n">
        <f aca="false">(1-INP_029)*INP_030</f>
        <v>0.425</v>
      </c>
      <c r="H54" s="10" t="n">
        <f aca="false">(1-INP_029)*INP_030</f>
        <v>0.425</v>
      </c>
      <c r="I54" s="10" t="n">
        <f aca="false">(1-INP_029)*INP_030</f>
        <v>0.425</v>
      </c>
      <c r="K54" s="10" t="n">
        <f aca="false">(1-INP_029)*INP_030</f>
        <v>0.425</v>
      </c>
      <c r="L54" s="10" t="n">
        <f aca="false">(1-INP_029)*INP_030</f>
        <v>0.425</v>
      </c>
      <c r="M54" s="13" t="s">
        <v>5799</v>
      </c>
    </row>
    <row r="55" customFormat="false" ht="15" hidden="false" customHeight="false" outlineLevel="0" collapsed="false">
      <c r="A55" s="10" t="s">
        <v>5800</v>
      </c>
      <c r="B55" s="11" t="s">
        <v>5801</v>
      </c>
      <c r="C55" s="11" t="s">
        <v>4705</v>
      </c>
      <c r="D55" s="10" t="n">
        <f aca="false">INP_029</f>
        <v>0.15</v>
      </c>
      <c r="E55" s="10" t="n">
        <f aca="false">INP_029</f>
        <v>0.15</v>
      </c>
      <c r="F55" s="10" t="n">
        <f aca="false">INP_029</f>
        <v>0.15</v>
      </c>
      <c r="G55" s="10" t="n">
        <f aca="false">INP_029</f>
        <v>0.15</v>
      </c>
      <c r="H55" s="10" t="n">
        <f aca="false">INP_029</f>
        <v>0.15</v>
      </c>
      <c r="I55" s="10" t="n">
        <f aca="false">INP_029</f>
        <v>0.15</v>
      </c>
      <c r="K55" s="10" t="n">
        <f aca="false">INP_029</f>
        <v>0.15</v>
      </c>
      <c r="L55" s="10" t="n">
        <f aca="false">INP_029</f>
        <v>0.15</v>
      </c>
      <c r="M55" s="2" t="s">
        <v>5802</v>
      </c>
    </row>
    <row r="56" customFormat="false" ht="15" hidden="false" customHeight="false" outlineLevel="0" collapsed="false">
      <c r="A56" s="10" t="s">
        <v>5803</v>
      </c>
      <c r="B56" s="11" t="s">
        <v>5804</v>
      </c>
      <c r="C56" s="10" t="s">
        <v>4448</v>
      </c>
      <c r="D56" s="10" t="n">
        <f aca="false">D53*D46+D54*D47+D55*D48</f>
        <v>0.479566792083785</v>
      </c>
      <c r="E56" s="10" t="n">
        <f aca="false">E53*E46+E54*E47+E55*E48</f>
        <v>0.479566792083785</v>
      </c>
      <c r="F56" s="10" t="n">
        <f aca="false">F53*F46+F54*F47+F55*F48</f>
        <v>0.479566792083785</v>
      </c>
      <c r="G56" s="10" t="n">
        <f aca="false">G53*G46+G54*G47+G55*G48</f>
        <v>0.479566792083785</v>
      </c>
      <c r="H56" s="10" t="n">
        <f aca="false">H53*H46+H54*H47+H55*H48</f>
        <v>0.479566792083785</v>
      </c>
      <c r="I56" s="10" t="n">
        <f aca="false">I53*I46+I54*I47+I55*I48</f>
        <v>0.479566792083785</v>
      </c>
      <c r="K56" s="10" t="n">
        <f aca="false">K53*K46+K54*K47+K55*K48</f>
        <v>0.479566792083785</v>
      </c>
      <c r="L56" s="10" t="n">
        <f aca="false">L53*L46+L54*L47+L55*L48</f>
        <v>0.479566792083785</v>
      </c>
      <c r="M56" s="13" t="s">
        <v>5805</v>
      </c>
    </row>
    <row r="57" customFormat="false" ht="15" hidden="false" customHeight="false" outlineLevel="0" collapsed="false">
      <c r="A57" s="10" t="s">
        <v>5806</v>
      </c>
      <c r="B57" s="11" t="s">
        <v>5807</v>
      </c>
      <c r="C57" s="10" t="s">
        <v>4448</v>
      </c>
      <c r="D57" s="10" t="n">
        <f aca="false">D53*D49+D54*D50+D55*D51</f>
        <v>0.139461981430317</v>
      </c>
      <c r="E57" s="10" t="n">
        <f aca="false">E53*E49+E54*E50+E55*E51</f>
        <v>0.139461981430317</v>
      </c>
      <c r="F57" s="10" t="n">
        <f aca="false">F53*F49+F54*F50+F55*F51</f>
        <v>0.139461981430317</v>
      </c>
      <c r="G57" s="10" t="n">
        <f aca="false">G53*G49+G54*G50+G55*G51</f>
        <v>0.139461981430317</v>
      </c>
      <c r="H57" s="10" t="n">
        <f aca="false">H53*H49+H54*H50+H55*H51</f>
        <v>0.139461981430317</v>
      </c>
      <c r="I57" s="10" t="n">
        <f aca="false">I53*I49+I54*I50+I55*I51</f>
        <v>0.139461981430317</v>
      </c>
      <c r="K57" s="10" t="n">
        <f aca="false">K53*K49+K54*K50+K55*K51</f>
        <v>0.139461981430317</v>
      </c>
      <c r="L57" s="10" t="n">
        <f aca="false">L53*L49+L54*L50+L55*L51</f>
        <v>0.139461981430317</v>
      </c>
      <c r="M57" s="13" t="s">
        <v>5805</v>
      </c>
    </row>
    <row r="58" customFormat="false" ht="15" hidden="false" customHeight="false" outlineLevel="0" collapsed="false">
      <c r="A58" s="10" t="s">
        <v>5808</v>
      </c>
      <c r="B58" s="11" t="s">
        <v>5809</v>
      </c>
      <c r="C58" s="11" t="s">
        <v>4705</v>
      </c>
      <c r="D58" s="10" t="n">
        <f aca="false">(1-INP_123)*(1-INP_122)</f>
        <v>0.097</v>
      </c>
      <c r="E58" s="10" t="n">
        <f aca="false">(1-INP_123)*(1-INP_122)</f>
        <v>0.097</v>
      </c>
      <c r="F58" s="10" t="n">
        <f aca="false">(1-INP_123)*(1-INP_122)</f>
        <v>0.097</v>
      </c>
      <c r="G58" s="10" t="n">
        <f aca="false">(1-INP_123)*(1-INP_122)</f>
        <v>0.097</v>
      </c>
      <c r="H58" s="10" t="n">
        <f aca="false">(1-INP_123)*(1-INP_122)</f>
        <v>0.097</v>
      </c>
      <c r="I58" s="10" t="n">
        <f aca="false">(1-INP_123)*(1-INP_122)</f>
        <v>0.097</v>
      </c>
      <c r="K58" s="10" t="n">
        <f aca="false">(1-INP_123)*(1-INP_122)</f>
        <v>0.097</v>
      </c>
      <c r="L58" s="10" t="n">
        <f aca="false">(1-INP_123)*(1-INP_122)</f>
        <v>0.097</v>
      </c>
      <c r="M58" s="13" t="s">
        <v>5796</v>
      </c>
    </row>
    <row r="59" customFormat="false" ht="15" hidden="false" customHeight="false" outlineLevel="0" collapsed="false">
      <c r="A59" s="10" t="s">
        <v>5810</v>
      </c>
      <c r="B59" s="11" t="s">
        <v>5811</v>
      </c>
      <c r="C59" s="11" t="s">
        <v>4705</v>
      </c>
      <c r="D59" s="10" t="n">
        <f aca="false">(1-INP_123)*INP_122</f>
        <v>0.873</v>
      </c>
      <c r="E59" s="10" t="n">
        <f aca="false">(1-INP_123)*INP_122</f>
        <v>0.873</v>
      </c>
      <c r="F59" s="10" t="n">
        <f aca="false">(1-INP_123)*INP_122</f>
        <v>0.873</v>
      </c>
      <c r="G59" s="10" t="n">
        <f aca="false">(1-INP_123)*INP_122</f>
        <v>0.873</v>
      </c>
      <c r="H59" s="10" t="n">
        <f aca="false">(1-INP_123)*INP_122</f>
        <v>0.873</v>
      </c>
      <c r="I59" s="10" t="n">
        <f aca="false">(1-INP_123)*INP_122</f>
        <v>0.873</v>
      </c>
      <c r="K59" s="10" t="n">
        <f aca="false">(1-INP_123)*INP_122</f>
        <v>0.873</v>
      </c>
      <c r="L59" s="10" t="n">
        <f aca="false">(1-INP_123)*INP_122</f>
        <v>0.873</v>
      </c>
      <c r="M59" s="13" t="s">
        <v>5799</v>
      </c>
    </row>
    <row r="60" customFormat="false" ht="15" hidden="false" customHeight="false" outlineLevel="0" collapsed="false">
      <c r="A60" s="10" t="s">
        <v>5812</v>
      </c>
      <c r="B60" s="11" t="s">
        <v>5813</v>
      </c>
      <c r="C60" s="11" t="s">
        <v>4705</v>
      </c>
      <c r="D60" s="10" t="n">
        <f aca="false">INP_123</f>
        <v>0.03</v>
      </c>
      <c r="E60" s="10" t="n">
        <f aca="false">INP_123</f>
        <v>0.03</v>
      </c>
      <c r="F60" s="10" t="n">
        <f aca="false">INP_123</f>
        <v>0.03</v>
      </c>
      <c r="G60" s="10" t="n">
        <f aca="false">INP_123</f>
        <v>0.03</v>
      </c>
      <c r="H60" s="10" t="n">
        <f aca="false">INP_123</f>
        <v>0.03</v>
      </c>
      <c r="I60" s="10" t="n">
        <f aca="false">INP_123</f>
        <v>0.03</v>
      </c>
      <c r="K60" s="10" t="n">
        <f aca="false">INP_123</f>
        <v>0.03</v>
      </c>
      <c r="L60" s="10" t="n">
        <f aca="false">INP_123</f>
        <v>0.03</v>
      </c>
      <c r="M60" s="2" t="s">
        <v>5802</v>
      </c>
    </row>
    <row r="61" customFormat="false" ht="15" hidden="false" customHeight="false" outlineLevel="0" collapsed="false">
      <c r="A61" s="10" t="s">
        <v>5814</v>
      </c>
      <c r="B61" s="11" t="s">
        <v>5815</v>
      </c>
      <c r="C61" s="10" t="s">
        <v>4448</v>
      </c>
      <c r="D61" s="10" t="n">
        <f aca="false">D58*D46+D59*D47+D60*D48</f>
        <v>0.0983217924549092</v>
      </c>
      <c r="E61" s="10" t="n">
        <f aca="false">E58*E46+E59*E47+E60*E48</f>
        <v>0.0983217924549092</v>
      </c>
      <c r="F61" s="10" t="n">
        <f aca="false">F58*F46+F59*F47+F60*F48</f>
        <v>0.0983217924549092</v>
      </c>
      <c r="G61" s="10" t="n">
        <f aca="false">G58*G46+G59*G47+G60*G48</f>
        <v>0.0983217924549092</v>
      </c>
      <c r="H61" s="10" t="n">
        <f aca="false">H58*H46+H59*H47+H60*H48</f>
        <v>0.0983217924549092</v>
      </c>
      <c r="I61" s="10" t="n">
        <f aca="false">I58*I46+I59*I47+I60*I48</f>
        <v>0.0983217924549092</v>
      </c>
      <c r="K61" s="10" t="n">
        <f aca="false">K58*K46+K59*K47+K60*K48</f>
        <v>0.0983217924549092</v>
      </c>
      <c r="L61" s="10" t="n">
        <f aca="false">L58*L46+L59*L47+L60*L48</f>
        <v>0.0983217924549092</v>
      </c>
      <c r="M61" s="13" t="s">
        <v>5805</v>
      </c>
    </row>
    <row r="62" customFormat="false" ht="15" hidden="false" customHeight="false" outlineLevel="0" collapsed="false">
      <c r="A62" s="10" t="s">
        <v>5816</v>
      </c>
      <c r="B62" s="11" t="s">
        <v>5817</v>
      </c>
      <c r="C62" s="10" t="s">
        <v>4448</v>
      </c>
      <c r="D62" s="10" t="n">
        <f aca="false">D58*D49+D59*D50+D60*D51</f>
        <v>0.0285921171772339</v>
      </c>
      <c r="E62" s="10" t="n">
        <f aca="false">E58*E49+E59*E50+E60*E51</f>
        <v>0.0285921171772339</v>
      </c>
      <c r="F62" s="10" t="n">
        <f aca="false">F58*F49+F59*F50+F60*F51</f>
        <v>0.0285921171772339</v>
      </c>
      <c r="G62" s="10" t="n">
        <f aca="false">G58*G49+G59*G50+G60*G51</f>
        <v>0.0285921171772339</v>
      </c>
      <c r="H62" s="10" t="n">
        <f aca="false">H58*H49+H59*H50+H60*H51</f>
        <v>0.0285921171772339</v>
      </c>
      <c r="I62" s="10" t="n">
        <f aca="false">I58*I49+I59*I50+I60*I51</f>
        <v>0.0285921171772339</v>
      </c>
      <c r="K62" s="10" t="n">
        <f aca="false">K58*K49+K59*K50+K60*K51</f>
        <v>0.0285921171772339</v>
      </c>
      <c r="L62" s="10" t="n">
        <f aca="false">L58*L49+L59*L50+L60*L51</f>
        <v>0.0285921171772339</v>
      </c>
      <c r="M62" s="13" t="s">
        <v>5805</v>
      </c>
    </row>
    <row r="63" customFormat="false" ht="15" hidden="false" customHeight="false" outlineLevel="0" collapsed="false">
      <c r="A63" s="10" t="s">
        <v>5818</v>
      </c>
      <c r="B63" s="11" t="s">
        <v>5819</v>
      </c>
      <c r="C63" s="10" t="s">
        <v>4526</v>
      </c>
      <c r="D63" s="10" t="n">
        <f aca="false">(D28*D56+D29*D57+D30*D61+D31*D62)*INP_074/(D52*INP_078*TK_IF_Util*D26)</f>
        <v>0.0271180978936304</v>
      </c>
      <c r="E63" s="10" t="n">
        <f aca="false">(K63*INP_008+L63*INP_009)/INP_007</f>
        <v>0.274059545063259</v>
      </c>
      <c r="F63" s="10" t="n">
        <f aca="false">(F28*F56+F29*F57+F30*F61+F31*F62)*INP_074/(F52*INP_078*TK_IF_Util*F26)</f>
        <v>0.502333615253996</v>
      </c>
      <c r="G63" s="10" t="n">
        <f aca="false">(G28*G56+G29*G57+G30*G61+G31*G62)*INP_074/(G52*INP_078*TK_IF_Util*G26)</f>
        <v>0.813328075438562</v>
      </c>
      <c r="H63" s="10" t="n">
        <f aca="false">(H28*H56+H29*H57+H30*H61+H31*H62)*INP_074/(H52*INP_078*TK_IF_Util*H26)</f>
        <v>1.3029178891</v>
      </c>
      <c r="I63" s="10" t="n">
        <f aca="false">(I28*I56+I29*I57+I30*I61+I31*I62)*INP_074/(I52*INP_078*TK_IF_Util*I26)</f>
        <v>1.95608429895171</v>
      </c>
      <c r="K63" s="10" t="n">
        <f aca="false">(K28*K56+K29*K57+K30*K61+K31*K62)*INP_074/((K52*INP_078*TK_IF_Util*K26)*INP_008/INP_007)</f>
        <v>0.201266379842666</v>
      </c>
      <c r="L63" s="10" t="n">
        <f aca="false">(L28*L56+L29*L57+L30*L61+L31*L62)*INP_074/((L52*INP_078*TK_IF_Util*L26)*INP_009/INP_007)</f>
        <v>0.345665865198732</v>
      </c>
      <c r="M63" s="13" t="s">
        <v>5820</v>
      </c>
    </row>
    <row r="64" customFormat="false" ht="15" hidden="false" customHeight="false" outlineLevel="0" collapsed="false">
      <c r="A64" s="10" t="s">
        <v>5821</v>
      </c>
      <c r="B64" s="11" t="s">
        <v>5822</v>
      </c>
      <c r="C64" s="10" t="s">
        <v>4526</v>
      </c>
      <c r="D64" s="10" t="n">
        <f aca="false">(D32*D57+D33*D56+D34*D57)*INP_074/(D52*INP_078*TK_IF_Util*D26)</f>
        <v>0.00119731136464017</v>
      </c>
      <c r="E64" s="10" t="n">
        <f aca="false">(K64*INP_008+L64*INP_009)/INP_007</f>
        <v>0.00798597042593212</v>
      </c>
      <c r="F64" s="10" t="n">
        <f aca="false">(F32*F57+F33*F56+F34*F57)*INP_074/(F52*INP_078*TK_IF_Util*F26)</f>
        <v>0.0204170507875767</v>
      </c>
      <c r="G64" s="10" t="n">
        <f aca="false">(G32*G57+G33*G56+G34*G57)*INP_074/(G52*INP_078*TK_IF_Util*G26)</f>
        <v>0.0436259241869617</v>
      </c>
      <c r="H64" s="10" t="n">
        <f aca="false">(H32*H57+H33*H56+H34*H57)*INP_074/(H52*INP_078*TK_IF_Util*H26)</f>
        <v>0.0866463940622914</v>
      </c>
      <c r="I64" s="10" t="n">
        <f aca="false">(I32*I57+I33*I56+I34*I57)*INP_074/(I52*INP_078*TK_IF_Util*I26)</f>
        <v>0.151709821999976</v>
      </c>
      <c r="K64" s="10" t="n">
        <f aca="false">(K32*K57+K33*K56+K34*K57)*INP_074/((K52*INP_078*TK_IF_Util*K26)*INP_008/INP_007)</f>
        <v>0.00457172568723525</v>
      </c>
      <c r="L64" s="10" t="n">
        <f aca="false">(L32*L57+L33*L56+L34*L57)*INP_074/((L52*INP_078*TK_IF_Util*L26)*INP_009/INP_007)</f>
        <v>0.0113445481308459</v>
      </c>
      <c r="M64" s="13" t="s">
        <v>5820</v>
      </c>
    </row>
    <row r="65" customFormat="false" ht="15" hidden="false" customHeight="false" outlineLevel="0" collapsed="false">
      <c r="A65" s="10" t="s">
        <v>5823</v>
      </c>
      <c r="B65" s="11" t="s">
        <v>5824</v>
      </c>
      <c r="C65" s="10" t="s">
        <v>4526</v>
      </c>
      <c r="D65" s="10" t="n">
        <f aca="false">D63+D64</f>
        <v>0.0283154092582706</v>
      </c>
      <c r="E65" s="10" t="n">
        <f aca="false">E63+E64</f>
        <v>0.282045515489191</v>
      </c>
      <c r="F65" s="10" t="n">
        <f aca="false">F63+F64</f>
        <v>0.522750666041573</v>
      </c>
      <c r="G65" s="10" t="n">
        <f aca="false">G63+G64</f>
        <v>0.856953999625523</v>
      </c>
      <c r="H65" s="10" t="n">
        <f aca="false">H63+H64</f>
        <v>1.38956428316229</v>
      </c>
      <c r="I65" s="10" t="n">
        <f aca="false">I63+I64</f>
        <v>2.10779412095169</v>
      </c>
      <c r="K65" s="10" t="n">
        <f aca="false">K63+K64</f>
        <v>0.205838105529902</v>
      </c>
      <c r="L65" s="10" t="n">
        <f aca="false">L63+L64</f>
        <v>0.357010413329578</v>
      </c>
      <c r="M65" s="2"/>
    </row>
    <row r="66" customFormat="false" ht="15" hidden="false" customHeight="false" outlineLevel="0" collapsed="false">
      <c r="A66" s="10" t="s">
        <v>5825</v>
      </c>
      <c r="B66" s="11" t="s">
        <v>5826</v>
      </c>
      <c r="C66" s="10" t="s">
        <v>4526</v>
      </c>
      <c r="D66" s="10" t="n">
        <f aca="false">(D30*D61+D31*D62)*INP_074/(D52*INP_078*TK_IF_Util*D26)</f>
        <v>0.0220792061645733</v>
      </c>
      <c r="E66" s="10" t="n">
        <f aca="false">(K66*INP_008+L66*INP_009)/INP_007</f>
        <v>0.208552629362542</v>
      </c>
      <c r="F66" s="10" t="n">
        <f aca="false">(F30*F61+F31*F62)*INP_074/(F52*INP_078*TK_IF_Util*F26)</f>
        <v>0.325616053057981</v>
      </c>
      <c r="G66" s="10" t="n">
        <f aca="false">(G30*G61+G31*G62)*INP_074/(G52*INP_078*TK_IF_Util*G26)</f>
        <v>0.428026715997429</v>
      </c>
      <c r="H66" s="10" t="n">
        <f aca="false">(H30*H61+H31*H62)*INP_074/(H52*INP_078*TK_IF_Util*H26)</f>
        <v>0.530555685529598</v>
      </c>
      <c r="I66" s="10" t="n">
        <f aca="false">(I30*I61+I31*I62)*INP_074/(I52*INP_078*TK_IF_Util*I26)</f>
        <v>0.597345800457961</v>
      </c>
      <c r="K66" s="10" t="n">
        <f aca="false">(K30*K61+K31*K62)*INP_074/((K52*INP_078*TK_IF_Util*K26)*INP_008/INP_007)</f>
        <v>0.166568292598092</v>
      </c>
      <c r="L66" s="10" t="n">
        <f aca="false">(L30*L61+L31*L62)*INP_074/((L52*INP_078*TK_IF_Util*L26)*INP_009/INP_007)</f>
        <v>0.249852438897138</v>
      </c>
      <c r="M66" s="13" t="s">
        <v>5827</v>
      </c>
    </row>
    <row r="67" customFormat="false" ht="15" hidden="false" customHeight="false" outlineLevel="0" collapsed="false">
      <c r="A67" s="15" t="s">
        <v>5828</v>
      </c>
    </row>
    <row r="68" customFormat="false" ht="15" hidden="false" customHeight="false" outlineLevel="0" collapsed="false">
      <c r="A68" s="10" t="s">
        <v>5829</v>
      </c>
      <c r="B68" s="11" t="s">
        <v>5830</v>
      </c>
      <c r="C68" s="10" t="s">
        <v>5698</v>
      </c>
      <c r="D68" s="10" t="n">
        <f aca="false">TK_IF_Util/(D40/D16+D41/D17)</f>
        <v>14063949254.8156</v>
      </c>
      <c r="E68" s="10" t="n">
        <f aca="false">TK_IF_Util/(E40/E16+E41/E17)</f>
        <v>14030946495.5222</v>
      </c>
      <c r="F68" s="10" t="n">
        <f aca="false">TK_IF_Util/(F40/F16+F41/F17)</f>
        <v>14130141256.1436</v>
      </c>
      <c r="G68" s="10" t="n">
        <f aca="false">TK_IF_Util/(G40/G16+G41/G17)</f>
        <v>14269511703.2743</v>
      </c>
      <c r="H68" s="10" t="n">
        <f aca="false">TK_IF_Util/(H40/H16+H41/H17)</f>
        <v>14454901647.5984</v>
      </c>
      <c r="I68" s="10" t="n">
        <f aca="false">TK_IF_Util/(I40/I16+I41/I17)</f>
        <v>14675642859.1866</v>
      </c>
      <c r="K68" s="10" t="n">
        <f aca="false">TK_IF_Util/(K40/K16+K41/K17)</f>
        <v>13982026691.7772</v>
      </c>
      <c r="L68" s="10" t="n">
        <f aca="false">TK_IF_Util/(L40/L16+L41/L17)</f>
        <v>14061959967.0629</v>
      </c>
      <c r="M68" s="2"/>
    </row>
    <row r="69" customFormat="false" ht="15" hidden="false" customHeight="false" outlineLevel="0" collapsed="false">
      <c r="A69" s="10" t="s">
        <v>5831</v>
      </c>
      <c r="B69" s="11" t="s">
        <v>5832</v>
      </c>
      <c r="C69" s="10" t="s">
        <v>5698</v>
      </c>
      <c r="D69" s="10" t="n">
        <f aca="false">TK_IF_Util/(D40/D18+D41/D19)</f>
        <v>4781742746.6373</v>
      </c>
      <c r="E69" s="10" t="n">
        <f aca="false">TK_IF_Util/(E40/E18+E41/E19)</f>
        <v>4770521808.47753</v>
      </c>
      <c r="F69" s="10" t="n">
        <f aca="false">TK_IF_Util/(F40/F18+F41/F19)</f>
        <v>4804248027.08884</v>
      </c>
      <c r="G69" s="10" t="n">
        <f aca="false">TK_IF_Util/(G40/G18+G41/G19)</f>
        <v>4851633979.11326</v>
      </c>
      <c r="H69" s="10" t="n">
        <f aca="false">TK_IF_Util/(H40/H18+H41/H19)</f>
        <v>4914666560.18346</v>
      </c>
      <c r="I69" s="10" t="n">
        <f aca="false">TK_IF_Util/(I40/I18+I41/I19)</f>
        <v>4989718572.12345</v>
      </c>
      <c r="K69" s="10" t="n">
        <f aca="false">TK_IF_Util/(K40/K18+K41/K19)</f>
        <v>4753889075.20424</v>
      </c>
      <c r="L69" s="10" t="n">
        <f aca="false">TK_IF_Util/(L40/L18+L41/L19)</f>
        <v>4781066388.80139</v>
      </c>
      <c r="M69" s="2"/>
    </row>
    <row r="70" customFormat="false" ht="15" hidden="false" customHeight="false" outlineLevel="0" collapsed="false">
      <c r="A70" s="10" t="s">
        <v>5833</v>
      </c>
      <c r="B70" s="11" t="s">
        <v>5834</v>
      </c>
      <c r="C70" s="10" t="s">
        <v>5698</v>
      </c>
      <c r="D70" s="10" t="n">
        <f aca="false">TK_IF_Util/(D40/D20+D41/D21)</f>
        <v>8438369552.88936</v>
      </c>
      <c r="E70" s="10" t="n">
        <f aca="false">TK_IF_Util/(E40/E20+E41/E21)</f>
        <v>8418567897.31329</v>
      </c>
      <c r="F70" s="10" t="n">
        <f aca="false">TK_IF_Util/(F40/F20+F41/F21)</f>
        <v>8478084753.68618</v>
      </c>
      <c r="G70" s="10" t="n">
        <f aca="false">TK_IF_Util/(G40/G20+G41/G21)</f>
        <v>8561707021.96457</v>
      </c>
      <c r="H70" s="10" t="n">
        <f aca="false">TK_IF_Util/(H40/H20+H41/H21)</f>
        <v>8672940988.55904</v>
      </c>
      <c r="I70" s="10" t="n">
        <f aca="false">TK_IF_Util/(I40/I20+I41/I21)</f>
        <v>8805385715.51197</v>
      </c>
      <c r="K70" s="10" t="n">
        <f aca="false">TK_IF_Util/(K40/K20+K41/K21)</f>
        <v>8389216015.0663</v>
      </c>
      <c r="L70" s="10" t="n">
        <f aca="false">TK_IF_Util/(L40/L20+L41/L21)</f>
        <v>8437175980.23775</v>
      </c>
      <c r="M70" s="2"/>
    </row>
    <row r="71" customFormat="false" ht="15" hidden="false" customHeight="false" outlineLevel="0" collapsed="false">
      <c r="A71" s="10" t="s">
        <v>5835</v>
      </c>
      <c r="B71" s="11" t="s">
        <v>5836</v>
      </c>
      <c r="C71" s="10" t="s">
        <v>5698</v>
      </c>
      <c r="D71" s="10" t="n">
        <f aca="false">D25*D68+D24*D69+D23*D70</f>
        <v>10519834042.6021</v>
      </c>
      <c r="E71" s="10" t="n">
        <f aca="false">E25*E68+E24*E69+E23*E70</f>
        <v>9274455633.54014</v>
      </c>
      <c r="F71" s="10" t="n">
        <f aca="false">F25*F68+F24*F69+F23*F70</f>
        <v>8958509556.39506</v>
      </c>
      <c r="G71" s="10" t="n">
        <f aca="false">G25*G68+G24*G69+G23*G70</f>
        <v>8946983837.95298</v>
      </c>
      <c r="H71" s="10" t="n">
        <f aca="false">H25*H68+H24*H69+H23*H70</f>
        <v>8774125300.09223</v>
      </c>
      <c r="I71" s="10" t="n">
        <f aca="false">I25*I68+I24*I69+I23*I70</f>
        <v>9098898572.6957</v>
      </c>
      <c r="K71" s="10" t="n">
        <f aca="false">K25*K68+K24*K69+K23*K70</f>
        <v>9242119643.26471</v>
      </c>
      <c r="L71" s="10" t="n">
        <f aca="false">L25*L68+L24*L69+L23*L70</f>
        <v>9294955538.22859</v>
      </c>
      <c r="M71" s="13" t="s">
        <v>5837</v>
      </c>
    </row>
    <row r="72" customFormat="false" ht="15" hidden="false" customHeight="false" outlineLevel="0" collapsed="false">
      <c r="A72" s="10" t="s">
        <v>5838</v>
      </c>
      <c r="B72" s="11" t="s">
        <v>5839</v>
      </c>
      <c r="C72" s="10" t="s">
        <v>5698</v>
      </c>
      <c r="D72" s="10" t="n">
        <f aca="false">TK_IF_Util/(D43/D16+D44/D17)</f>
        <v>35264838377.9875</v>
      </c>
      <c r="E72" s="10" t="n">
        <f aca="false">TK_IF_Util/(E43/E16+E44/E17)</f>
        <v>42727040346.4446</v>
      </c>
      <c r="F72" s="10" t="n">
        <f aca="false">TK_IF_Util/(F43/F16+F44/F17)</f>
        <v>43671742274.6047</v>
      </c>
      <c r="G72" s="10" t="n">
        <f aca="false">TK_IF_Util/(G43/G16+G44/G17)</f>
        <v>44040240709.6056</v>
      </c>
      <c r="H72" s="10" t="n">
        <f aca="false">TK_IF_Util/(H43/H16+H44/H17)</f>
        <v>44211448289.9971</v>
      </c>
      <c r="I72" s="10" t="n">
        <f aca="false">TK_IF_Util/(I43/I16+I44/I17)</f>
        <v>44299558205.3259</v>
      </c>
      <c r="K72" s="10" t="n">
        <f aca="false">TK_IF_Util/(K43/K16+K44/K17)</f>
        <v>41447785914.4588</v>
      </c>
      <c r="L72" s="10" t="n">
        <f aca="false">TK_IF_Util/(L43/L16+L44/L17)</f>
        <v>43234225498.3069</v>
      </c>
      <c r="M72" s="2"/>
    </row>
    <row r="73" customFormat="false" ht="15" hidden="false" customHeight="false" outlineLevel="0" collapsed="false">
      <c r="A73" s="10" t="s">
        <v>5840</v>
      </c>
      <c r="B73" s="11" t="s">
        <v>5841</v>
      </c>
      <c r="C73" s="10" t="s">
        <v>5698</v>
      </c>
      <c r="D73" s="10" t="n">
        <f aca="false">TK_IF_Util/(D43/D18+D44/D19)</f>
        <v>11990045048.5157</v>
      </c>
      <c r="E73" s="10" t="n">
        <f aca="false">TK_IF_Util/(E43/E18+E44/E19)</f>
        <v>14527193717.7912</v>
      </c>
      <c r="F73" s="10" t="n">
        <f aca="false">TK_IF_Util/(F43/F18+F44/F19)</f>
        <v>14848392373.3656</v>
      </c>
      <c r="G73" s="10" t="n">
        <f aca="false">TK_IF_Util/(G43/G18+G44/G19)</f>
        <v>14973681841.2659</v>
      </c>
      <c r="H73" s="10" t="n">
        <f aca="false">TK_IF_Util/(H43/H18+H44/H19)</f>
        <v>15031892418.599</v>
      </c>
      <c r="I73" s="10" t="n">
        <f aca="false">TK_IF_Util/(I43/I18+I44/I19)</f>
        <v>15061849789.8108</v>
      </c>
      <c r="K73" s="10" t="n">
        <f aca="false">TK_IF_Util/(K43/K18+K44/K19)</f>
        <v>14092247210.916</v>
      </c>
      <c r="L73" s="10" t="n">
        <f aca="false">TK_IF_Util/(L43/L18+L44/L19)</f>
        <v>14699636669.4243</v>
      </c>
      <c r="M73" s="2"/>
    </row>
    <row r="74" customFormat="false" ht="15" hidden="false" customHeight="false" outlineLevel="0" collapsed="false">
      <c r="A74" s="10" t="s">
        <v>5842</v>
      </c>
      <c r="B74" s="11" t="s">
        <v>5843</v>
      </c>
      <c r="C74" s="10" t="s">
        <v>5698</v>
      </c>
      <c r="D74" s="10" t="n">
        <f aca="false">TK_IF_Util/(D43/D20+D44/D21)</f>
        <v>21158903026.7925</v>
      </c>
      <c r="E74" s="10" t="n">
        <f aca="false">TK_IF_Util/(E43/E20+E44/E21)</f>
        <v>25636224207.8668</v>
      </c>
      <c r="F74" s="10" t="n">
        <f aca="false">TK_IF_Util/(F43/F20+F44/F21)</f>
        <v>26203045364.7628</v>
      </c>
      <c r="G74" s="10" t="n">
        <f aca="false">TK_IF_Util/(G43/G20+G44/G21)</f>
        <v>26424144425.7634</v>
      </c>
      <c r="H74" s="10" t="n">
        <f aca="false">TK_IF_Util/(H43/H20+H44/H21)</f>
        <v>26526868973.9982</v>
      </c>
      <c r="I74" s="10" t="n">
        <f aca="false">TK_IF_Util/(I43/I20+I44/I21)</f>
        <v>26579734923.1956</v>
      </c>
      <c r="K74" s="10" t="n">
        <f aca="false">TK_IF_Util/(K43/K20+K44/K21)</f>
        <v>24868671548.6753</v>
      </c>
      <c r="L74" s="10" t="n">
        <f aca="false">TK_IF_Util/(L43/L20+L44/L21)</f>
        <v>25940535298.9841</v>
      </c>
      <c r="M74" s="2"/>
    </row>
    <row r="75" customFormat="false" ht="15" hidden="false" customHeight="false" outlineLevel="0" collapsed="false">
      <c r="A75" s="10" t="s">
        <v>5844</v>
      </c>
      <c r="B75" s="11" t="s">
        <v>5845</v>
      </c>
      <c r="C75" s="10" t="s">
        <v>5698</v>
      </c>
      <c r="D75" s="10" t="n">
        <f aca="false">D25*D72+D24*D73+D23*D74</f>
        <v>26378099106.7346</v>
      </c>
      <c r="E75" s="10" t="n">
        <f aca="false">E25*E72+E24*E73+E23*E74</f>
        <v>28242573668.9999</v>
      </c>
      <c r="F75" s="10" t="n">
        <f aca="false">F25*F72+F24*F73+F23*F74</f>
        <v>27687884602.0994</v>
      </c>
      <c r="G75" s="10" t="n">
        <f aca="false">G25*G72+G24*G73+G23*G74</f>
        <v>27613230924.9227</v>
      </c>
      <c r="H75" s="10" t="n">
        <f aca="false">H25*H72+H24*H73+H23*H74</f>
        <v>26836349112.0282</v>
      </c>
      <c r="I75" s="10" t="n">
        <f aca="false">I25*I72+I24*I73+I23*I74</f>
        <v>27465726087.3021</v>
      </c>
      <c r="K75" s="10" t="n">
        <f aca="false">K25*K72+K24*K73+K23*K74</f>
        <v>27396986489.4573</v>
      </c>
      <c r="L75" s="10" t="n">
        <f aca="false">L25*L72+L24*L73+L23*L74</f>
        <v>28577823054.3809</v>
      </c>
      <c r="M75" s="13" t="s">
        <v>5837</v>
      </c>
    </row>
    <row r="76" customFormat="false" ht="15" hidden="false" customHeight="false" outlineLevel="0" collapsed="false">
      <c r="A76" s="10" t="s">
        <v>5846</v>
      </c>
      <c r="B76" s="11" t="s">
        <v>5847</v>
      </c>
      <c r="C76" s="10" t="s">
        <v>4526</v>
      </c>
      <c r="D76" s="10" t="n">
        <f aca="false">(D39*INP_074/D71)+(D42*INP_074/D75)</f>
        <v>0.11159213988207</v>
      </c>
      <c r="E76" s="10" t="n">
        <f aca="false">(K76*INP_008+L76*INP_009)/INP_007</f>
        <v>1.06835345194129</v>
      </c>
      <c r="F76" s="10" t="n">
        <f aca="false">(F39*INP_074/F71)+(F42*INP_074/F75)</f>
        <v>1.74870628423862</v>
      </c>
      <c r="G76" s="10" t="n">
        <f aca="false">(G39*INP_074/G71)+(G42*INP_074/G75)</f>
        <v>2.46494927940037</v>
      </c>
      <c r="H76" s="10" t="n">
        <f aca="false">(H39*INP_074/H71)+(H42*INP_074/H75)</f>
        <v>3.37591189362955</v>
      </c>
      <c r="I76" s="10" t="n">
        <f aca="false">(I39*INP_074/I71)+(I42*INP_074/I75)</f>
        <v>4.3328696700699</v>
      </c>
      <c r="K76" s="10" t="n">
        <f aca="false">(K39*INP_074/(K71*INP_008/INP_007))+(K42*INP_074/(K75*INP_008/INP_007))</f>
        <v>0.834257102338925</v>
      </c>
      <c r="L76" s="10" t="n">
        <f aca="false">(L39*INP_074/(L71*INP_009/INP_007))+(L42*INP_074/(L75*INP_009/INP_007))</f>
        <v>1.29863301323492</v>
      </c>
      <c r="M76" s="13" t="s">
        <v>5848</v>
      </c>
    </row>
    <row r="77" customFormat="false" ht="15" hidden="false" customHeight="false" outlineLevel="0" collapsed="false">
      <c r="A77" s="10" t="s">
        <v>5849</v>
      </c>
      <c r="B77" s="11" t="s">
        <v>5850</v>
      </c>
      <c r="C77" s="11" t="s">
        <v>1709</v>
      </c>
      <c r="D77" s="10" t="n">
        <f aca="false">D65/D76</f>
        <v>0.253740176397675</v>
      </c>
      <c r="E77" s="10" t="n">
        <f aca="false">E65/E76</f>
        <v>0.264000191113427</v>
      </c>
      <c r="F77" s="10" t="n">
        <f aca="false">F65/F76</f>
        <v>0.298935659323244</v>
      </c>
      <c r="G77" s="10" t="n">
        <f aca="false">G65/G76</f>
        <v>0.347655834863258</v>
      </c>
      <c r="H77" s="10" t="n">
        <f aca="false">H65/H76</f>
        <v>0.411611536955228</v>
      </c>
      <c r="I77" s="10" t="n">
        <f aca="false">I65/I76</f>
        <v>0.486466079400373</v>
      </c>
      <c r="K77" s="10" t="n">
        <f aca="false">K65/K76</f>
        <v>0.246732218344697</v>
      </c>
      <c r="L77" s="10" t="n">
        <f aca="false">L65/L76</f>
        <v>0.274912473109133</v>
      </c>
      <c r="M77" s="2" t="s">
        <v>5851</v>
      </c>
    </row>
    <row r="78" customFormat="false" ht="15" hidden="false" customHeight="false" outlineLevel="0" collapsed="false">
      <c r="A78" s="15" t="s">
        <v>5852</v>
      </c>
    </row>
    <row r="79" customFormat="false" ht="15" hidden="false" customHeight="false" outlineLevel="0" collapsed="false">
      <c r="A79" s="10" t="s">
        <v>5853</v>
      </c>
      <c r="B79" s="11" t="s">
        <v>763</v>
      </c>
      <c r="C79" s="10" t="s">
        <v>63</v>
      </c>
      <c r="D79" s="10" t="n">
        <f aca="false">SRC_ZP_197</f>
        <v>1.5438</v>
      </c>
      <c r="K79" s="10" t="n">
        <f aca="false">SRC_ZP_195</f>
        <v>6.223</v>
      </c>
      <c r="M79" s="13" t="s">
        <v>5854</v>
      </c>
    </row>
    <row r="80" customFormat="false" ht="15" hidden="false" customHeight="false" outlineLevel="0" collapsed="false">
      <c r="A80" s="10" t="s">
        <v>5855</v>
      </c>
      <c r="B80" s="11" t="s">
        <v>5856</v>
      </c>
      <c r="C80" s="10" t="s">
        <v>63</v>
      </c>
      <c r="D80" s="10" t="n">
        <f aca="false">D79*INP_102</f>
        <v>1.5438</v>
      </c>
      <c r="K80" s="10" t="n">
        <f aca="false">K79*INP_102</f>
        <v>6.223</v>
      </c>
      <c r="M80" s="13" t="s">
        <v>5857</v>
      </c>
    </row>
    <row r="81" customFormat="false" ht="15" hidden="false" customHeight="false" outlineLevel="0" collapsed="false">
      <c r="A81" s="10" t="s">
        <v>5858</v>
      </c>
      <c r="B81" s="11" t="s">
        <v>224</v>
      </c>
      <c r="C81" s="10" t="s">
        <v>63</v>
      </c>
      <c r="D81" s="10" t="n">
        <f aca="false">SRC_ZP_139</f>
        <v>31.8044</v>
      </c>
      <c r="K81" s="10" t="n">
        <f aca="false">SRC_ZP_199</f>
        <v>21.3117</v>
      </c>
      <c r="M81" s="13" t="s">
        <v>5859</v>
      </c>
    </row>
    <row r="82" customFormat="false" ht="15" hidden="false" customHeight="false" outlineLevel="0" collapsed="false">
      <c r="A82" s="10" t="s">
        <v>5860</v>
      </c>
      <c r="B82" s="11" t="s">
        <v>5861</v>
      </c>
      <c r="C82" s="10" t="s">
        <v>63</v>
      </c>
      <c r="D82" s="10" t="n">
        <f aca="false">SRC_ZP_142</f>
        <v>5.5827</v>
      </c>
      <c r="K82" s="10" t="n">
        <f aca="false">SRC_ZP_202</f>
        <v>0.8576</v>
      </c>
      <c r="M82" s="13" t="s">
        <v>5862</v>
      </c>
    </row>
    <row r="83" customFormat="false" ht="15" hidden="false" customHeight="false" outlineLevel="0" collapsed="false">
      <c r="A83" s="10" t="s">
        <v>5863</v>
      </c>
      <c r="B83" s="11" t="s">
        <v>5864</v>
      </c>
      <c r="C83" s="10" t="s">
        <v>63</v>
      </c>
      <c r="D83" s="10" t="n">
        <f aca="false">D81-D82*INP_104</f>
        <v>27.6508712</v>
      </c>
      <c r="K83" s="10" t="n">
        <f aca="false">K81-K82*INP_104</f>
        <v>20.6736456</v>
      </c>
      <c r="M83" s="2" t="s">
        <v>5865</v>
      </c>
    </row>
    <row r="84" customFormat="false" ht="15" hidden="false" customHeight="false" outlineLevel="0" collapsed="false">
      <c r="A84" s="10" t="s">
        <v>5866</v>
      </c>
      <c r="B84" s="11" t="s">
        <v>5867</v>
      </c>
      <c r="C84" s="10" t="s">
        <v>63</v>
      </c>
      <c r="D84" s="10" t="n">
        <f aca="false">D81*INP_137</f>
        <v>22.8355592</v>
      </c>
      <c r="K84" s="10" t="n">
        <f aca="false">K81*INP_137</f>
        <v>15.3018006</v>
      </c>
      <c r="M84" s="13" t="s">
        <v>5868</v>
      </c>
    </row>
    <row r="85" customFormat="false" ht="15" hidden="false" customHeight="false" outlineLevel="0" collapsed="false">
      <c r="A85" s="10" t="s">
        <v>5869</v>
      </c>
      <c r="B85" s="11" t="s">
        <v>5870</v>
      </c>
      <c r="C85" s="10" t="s">
        <v>63</v>
      </c>
      <c r="D85" s="10" t="n">
        <f aca="false">D83-(SRC_ZP_163-D82)*SRC_ZP_848/INP_014</f>
        <v>21.660704</v>
      </c>
      <c r="K85" s="10" t="n">
        <f aca="false">K83-(SRC_ZP_224-K82)*SRC_ZP_848/INP_014</f>
        <v>17.724876</v>
      </c>
      <c r="M85" s="13" t="s">
        <v>5871</v>
      </c>
    </row>
    <row r="86" customFormat="false" ht="15" hidden="false" customHeight="false" outlineLevel="0" collapsed="false">
      <c r="A86" s="10" t="s">
        <v>5872</v>
      </c>
      <c r="B86" s="11" t="s">
        <v>5873</v>
      </c>
      <c r="C86" s="11" t="s">
        <v>4705</v>
      </c>
      <c r="D86" s="10" t="n">
        <f aca="false">SRC_ZP_613/SRC_ZP_048</f>
        <v>0.707297853733192</v>
      </c>
      <c r="M86" s="13" t="s">
        <v>5874</v>
      </c>
    </row>
    <row r="87" customFormat="false" ht="15" hidden="false" customHeight="false" outlineLevel="0" collapsed="false">
      <c r="A87" s="10" t="s">
        <v>5875</v>
      </c>
      <c r="B87" s="11" t="s">
        <v>5876</v>
      </c>
      <c r="C87" s="10" t="s">
        <v>63</v>
      </c>
      <c r="D87" s="10" t="n">
        <f aca="false">D80+D84</f>
        <v>24.3793592</v>
      </c>
      <c r="K87" s="10" t="n">
        <f aca="false">K80+K84</f>
        <v>21.5248006</v>
      </c>
      <c r="M87" s="13" t="s">
        <v>5877</v>
      </c>
    </row>
    <row r="88" customFormat="false" ht="15" hidden="false" customHeight="false" outlineLevel="0" collapsed="false">
      <c r="A88" s="10" t="s">
        <v>5878</v>
      </c>
      <c r="B88" s="11" t="s">
        <v>5879</v>
      </c>
      <c r="C88" s="11" t="s">
        <v>4705</v>
      </c>
      <c r="D88" s="10" t="n">
        <f aca="false">D84/D87</f>
        <v>0.936675940194523</v>
      </c>
      <c r="K88" s="10" t="n">
        <f aca="false">K84/K87</f>
        <v>0.710891630745234</v>
      </c>
      <c r="M88" s="13" t="s">
        <v>5880</v>
      </c>
    </row>
    <row r="89" customFormat="false" ht="15" hidden="false" customHeight="false" outlineLevel="0" collapsed="false">
      <c r="A89" s="15" t="s">
        <v>5881</v>
      </c>
    </row>
    <row r="90" customFormat="false" ht="15" hidden="false" customHeight="false" outlineLevel="0" collapsed="false">
      <c r="A90" s="10" t="s">
        <v>5882</v>
      </c>
      <c r="B90" s="11" t="s">
        <v>5883</v>
      </c>
      <c r="C90" s="10" t="s">
        <v>5141</v>
      </c>
      <c r="D90" s="10" t="n">
        <f aca="false">INP_096</f>
        <v>1.393</v>
      </c>
      <c r="E90" s="10" t="n">
        <f aca="false">INP_096</f>
        <v>1.393</v>
      </c>
      <c r="F90" s="10" t="n">
        <f aca="false">INP_096</f>
        <v>1.393</v>
      </c>
      <c r="G90" s="10" t="n">
        <f aca="false">INP_096</f>
        <v>1.393</v>
      </c>
      <c r="H90" s="10" t="n">
        <f aca="false">INP_096</f>
        <v>1.393</v>
      </c>
      <c r="I90" s="10" t="n">
        <f aca="false">INP_096</f>
        <v>1.393</v>
      </c>
      <c r="K90" s="10" t="n">
        <f aca="false">INP_096</f>
        <v>1.393</v>
      </c>
      <c r="L90" s="10" t="n">
        <f aca="false">INP_096</f>
        <v>1.393</v>
      </c>
      <c r="M90" s="13" t="s">
        <v>5884</v>
      </c>
    </row>
    <row r="91" customFormat="false" ht="15" hidden="false" customHeight="false" outlineLevel="0" collapsed="false">
      <c r="A91" s="10" t="s">
        <v>5885</v>
      </c>
      <c r="B91" s="11" t="s">
        <v>5886</v>
      </c>
      <c r="C91" s="11" t="s">
        <v>5887</v>
      </c>
      <c r="D91" s="10" t="n">
        <f aca="false">INP_075/D90</f>
        <v>717875.089734386</v>
      </c>
      <c r="E91" s="10" t="n">
        <f aca="false">INP_075/E90</f>
        <v>717875.089734386</v>
      </c>
      <c r="F91" s="10" t="n">
        <f aca="false">INP_075/F90</f>
        <v>717875.089734386</v>
      </c>
      <c r="G91" s="10" t="n">
        <f aca="false">INP_075/G90</f>
        <v>717875.089734386</v>
      </c>
      <c r="H91" s="10" t="n">
        <f aca="false">INP_075/H90</f>
        <v>717875.089734386</v>
      </c>
      <c r="I91" s="10" t="n">
        <f aca="false">INP_075/I90</f>
        <v>717875.089734386</v>
      </c>
      <c r="K91" s="10" t="n">
        <f aca="false">INP_075/K90</f>
        <v>717875.089734386</v>
      </c>
      <c r="L91" s="10" t="n">
        <f aca="false">INP_075/L90</f>
        <v>717875.089734386</v>
      </c>
      <c r="M91" s="13" t="s">
        <v>5888</v>
      </c>
    </row>
    <row r="92" customFormat="false" ht="15" hidden="false" customHeight="false" outlineLevel="0" collapsed="false">
      <c r="A92" s="10" t="s">
        <v>5889</v>
      </c>
      <c r="B92" s="11" t="s">
        <v>5890</v>
      </c>
      <c r="C92" s="10" t="s">
        <v>5141</v>
      </c>
      <c r="D92" s="10" t="n">
        <f aca="false">INP_097</f>
        <v>1.09</v>
      </c>
      <c r="E92" s="10" t="n">
        <f aca="false">INP_097</f>
        <v>1.09</v>
      </c>
      <c r="F92" s="10" t="n">
        <f aca="false">INP_097</f>
        <v>1.09</v>
      </c>
      <c r="G92" s="10" t="n">
        <f aca="false">INP_097</f>
        <v>1.09</v>
      </c>
      <c r="H92" s="10" t="n">
        <f aca="false">INP_097</f>
        <v>1.09</v>
      </c>
      <c r="I92" s="10" t="n">
        <f aca="false">INP_097</f>
        <v>1.09</v>
      </c>
      <c r="K92" s="10" t="n">
        <f aca="false">INP_097</f>
        <v>1.09</v>
      </c>
      <c r="L92" s="10" t="n">
        <f aca="false">INP_097</f>
        <v>1.09</v>
      </c>
      <c r="M92" s="13" t="s">
        <v>5884</v>
      </c>
    </row>
    <row r="93" customFormat="false" ht="15" hidden="false" customHeight="false" outlineLevel="0" collapsed="false">
      <c r="A93" s="10" t="s">
        <v>5891</v>
      </c>
      <c r="B93" s="11" t="s">
        <v>5892</v>
      </c>
      <c r="C93" s="11" t="s">
        <v>5887</v>
      </c>
      <c r="D93" s="10" t="n">
        <f aca="false">INP_075/D92</f>
        <v>917431.19266055</v>
      </c>
      <c r="E93" s="10" t="n">
        <f aca="false">INP_075/E92</f>
        <v>917431.19266055</v>
      </c>
      <c r="F93" s="10" t="n">
        <f aca="false">INP_075/F92</f>
        <v>917431.19266055</v>
      </c>
      <c r="G93" s="10" t="n">
        <f aca="false">INP_075/G92</f>
        <v>917431.19266055</v>
      </c>
      <c r="H93" s="10" t="n">
        <f aca="false">INP_075/H92</f>
        <v>917431.19266055</v>
      </c>
      <c r="I93" s="10" t="n">
        <f aca="false">INP_075/I92</f>
        <v>917431.19266055</v>
      </c>
      <c r="K93" s="10" t="n">
        <f aca="false">INP_075/K92</f>
        <v>917431.19266055</v>
      </c>
      <c r="L93" s="10" t="n">
        <f aca="false">INP_075/L92</f>
        <v>917431.19266055</v>
      </c>
      <c r="M93" s="13" t="s">
        <v>5888</v>
      </c>
    </row>
    <row r="94" customFormat="false" ht="15" hidden="false" customHeight="false" outlineLevel="0" collapsed="false">
      <c r="A94" s="10" t="s">
        <v>5893</v>
      </c>
      <c r="B94" s="11" t="s">
        <v>5894</v>
      </c>
      <c r="C94" s="10" t="s">
        <v>5141</v>
      </c>
      <c r="D94" s="10" t="n">
        <f aca="false">INP_098</f>
        <v>1</v>
      </c>
      <c r="E94" s="10" t="n">
        <f aca="false">INP_098</f>
        <v>1</v>
      </c>
      <c r="F94" s="10" t="n">
        <f aca="false">INP_098</f>
        <v>1</v>
      </c>
      <c r="G94" s="10" t="n">
        <f aca="false">INP_098</f>
        <v>1</v>
      </c>
      <c r="H94" s="10" t="n">
        <f aca="false">INP_098</f>
        <v>1</v>
      </c>
      <c r="I94" s="10" t="n">
        <f aca="false">INP_098</f>
        <v>1</v>
      </c>
      <c r="K94" s="10" t="n">
        <f aca="false">INP_098</f>
        <v>1</v>
      </c>
      <c r="L94" s="10" t="n">
        <f aca="false">INP_098</f>
        <v>1</v>
      </c>
      <c r="M94" s="13" t="s">
        <v>5884</v>
      </c>
    </row>
    <row r="95" customFormat="false" ht="15" hidden="false" customHeight="false" outlineLevel="0" collapsed="false">
      <c r="A95" s="10" t="s">
        <v>5895</v>
      </c>
      <c r="B95" s="11" t="s">
        <v>5896</v>
      </c>
      <c r="C95" s="11" t="s">
        <v>5887</v>
      </c>
      <c r="D95" s="10" t="n">
        <f aca="false">INP_075/D94</f>
        <v>1000000</v>
      </c>
      <c r="E95" s="10" t="n">
        <f aca="false">INP_075/E94</f>
        <v>1000000</v>
      </c>
      <c r="F95" s="10" t="n">
        <f aca="false">INP_075/F94</f>
        <v>1000000</v>
      </c>
      <c r="G95" s="10" t="n">
        <f aca="false">INP_075/G94</f>
        <v>1000000</v>
      </c>
      <c r="H95" s="10" t="n">
        <f aca="false">INP_075/H94</f>
        <v>1000000</v>
      </c>
      <c r="I95" s="10" t="n">
        <f aca="false">INP_075/I94</f>
        <v>1000000</v>
      </c>
      <c r="K95" s="10" t="n">
        <f aca="false">INP_075/K94</f>
        <v>1000000</v>
      </c>
      <c r="L95" s="10" t="n">
        <f aca="false">INP_075/L94</f>
        <v>1000000</v>
      </c>
      <c r="M95" s="13" t="s">
        <v>5888</v>
      </c>
    </row>
    <row r="96" customFormat="false" ht="15" hidden="false" customHeight="false" outlineLevel="0" collapsed="false">
      <c r="A96" s="10" t="s">
        <v>5897</v>
      </c>
      <c r="B96" s="11" t="s">
        <v>5898</v>
      </c>
      <c r="C96" s="11" t="s">
        <v>5899</v>
      </c>
      <c r="D96" s="10" t="n">
        <f aca="false">SRC_ZP_474</f>
        <v>13.36</v>
      </c>
      <c r="E96" s="10" t="n">
        <f aca="false">(K96*INP_008+L96*INP_009)/INP_007</f>
        <v>13.0232547945205</v>
      </c>
      <c r="F96" s="10" t="n">
        <f aca="false">E96*(1+INP_100)</f>
        <v>11.7209293150685</v>
      </c>
      <c r="G96" s="10" t="n">
        <f aca="false">F96*(1+INP_100)</f>
        <v>10.5488363835616</v>
      </c>
      <c r="H96" s="10" t="n">
        <f aca="false">G96*(1+INP_100)</f>
        <v>9.49395274520548</v>
      </c>
      <c r="I96" s="10" t="n">
        <f aca="false">H96*(1+INP_100)</f>
        <v>8.54455747068493</v>
      </c>
      <c r="K96" s="10" t="n">
        <f aca="false">SRC_ZP_474</f>
        <v>13.36</v>
      </c>
      <c r="L96" s="10" t="n">
        <f aca="false">K96*(1+INP_100/INP_013)</f>
        <v>12.692</v>
      </c>
      <c r="M96" s="13" t="s">
        <v>5900</v>
      </c>
    </row>
    <row r="97" customFormat="false" ht="15" hidden="false" customHeight="false" outlineLevel="0" collapsed="false">
      <c r="A97" s="10" t="s">
        <v>5901</v>
      </c>
      <c r="B97" s="11" t="s">
        <v>5902</v>
      </c>
      <c r="C97" s="11" t="s">
        <v>5899</v>
      </c>
      <c r="D97" s="10" t="n">
        <f aca="false">SRC_ZP_462</f>
        <v>7.47</v>
      </c>
      <c r="E97" s="10" t="n">
        <f aca="false">(K97*INP_008+L97*INP_009)/INP_007</f>
        <v>7.28171506849315</v>
      </c>
      <c r="F97" s="10" t="n">
        <f aca="false">E97*(1+INP_100)</f>
        <v>6.55354356164384</v>
      </c>
      <c r="G97" s="10" t="n">
        <f aca="false">F97*(1+INP_100)</f>
        <v>5.89818920547945</v>
      </c>
      <c r="H97" s="10" t="n">
        <f aca="false">G97*(1+INP_100)</f>
        <v>5.30837028493151</v>
      </c>
      <c r="I97" s="10" t="n">
        <f aca="false">H97*(1+INP_100)</f>
        <v>4.77753325643836</v>
      </c>
      <c r="K97" s="10" t="n">
        <f aca="false">SRC_ZP_462</f>
        <v>7.47</v>
      </c>
      <c r="L97" s="10" t="n">
        <f aca="false">K97*(1+INP_100/INP_013)</f>
        <v>7.0965</v>
      </c>
      <c r="M97" s="13" t="s">
        <v>5903</v>
      </c>
    </row>
    <row r="98" customFormat="false" ht="15" hidden="false" customHeight="false" outlineLevel="0" collapsed="false">
      <c r="A98" s="10" t="s">
        <v>5904</v>
      </c>
      <c r="B98" s="11" t="s">
        <v>5905</v>
      </c>
      <c r="C98" s="11" t="s">
        <v>5899</v>
      </c>
      <c r="D98" s="10" t="n">
        <f aca="false">AVERAGE(SRC_ZP_478,SRC_ZP_479)*INP_099</f>
        <v>5.265</v>
      </c>
      <c r="E98" s="10" t="n">
        <f aca="false">(K98*INP_008+L98*INP_009)/INP_007</f>
        <v>5.13229315068493</v>
      </c>
      <c r="F98" s="10" t="n">
        <f aca="false">E98*(1+INP_100)</f>
        <v>4.61906383561644</v>
      </c>
      <c r="G98" s="10" t="n">
        <f aca="false">F98*(1+INP_100)</f>
        <v>4.1571574520548</v>
      </c>
      <c r="H98" s="10" t="n">
        <f aca="false">G98*(1+INP_100)</f>
        <v>3.74144170684932</v>
      </c>
      <c r="I98" s="10" t="n">
        <f aca="false">H98*(1+INP_100)</f>
        <v>3.36729753616438</v>
      </c>
      <c r="K98" s="10" t="n">
        <f aca="false">AVERAGE(SRC_ZP_478,SRC_ZP_479)*INP_099</f>
        <v>5.265</v>
      </c>
      <c r="L98" s="10" t="n">
        <f aca="false">K98*(1+INP_100/INP_013)</f>
        <v>5.00175</v>
      </c>
      <c r="M98" s="2" t="s">
        <v>5906</v>
      </c>
    </row>
    <row r="99" customFormat="false" ht="15" hidden="false" customHeight="false" outlineLevel="0" collapsed="false">
      <c r="A99" s="10" t="s">
        <v>5907</v>
      </c>
      <c r="B99" s="11" t="s">
        <v>5908</v>
      </c>
      <c r="C99" s="10" t="s">
        <v>5909</v>
      </c>
      <c r="D99" s="10" t="n">
        <f aca="false">D188</f>
        <v>840.155061019383</v>
      </c>
      <c r="E99" s="10" t="n">
        <f aca="false">MAX(E188,E194)</f>
        <v>818.978549892319</v>
      </c>
      <c r="F99" s="10" t="n">
        <f aca="false">MAX(F188,F194)</f>
        <v>737.080694903087</v>
      </c>
      <c r="G99" s="10" t="n">
        <f aca="false">MAX(G188,G194)</f>
        <v>680.446507149537</v>
      </c>
      <c r="H99" s="10" t="n">
        <f aca="false">MAX(H188,H194)</f>
        <v>680.446507149537</v>
      </c>
      <c r="I99" s="10" t="n">
        <f aca="false">MAX(I188,I194)</f>
        <v>680.446507149537</v>
      </c>
      <c r="K99" s="10" t="n">
        <f aca="false">K188</f>
        <v>840.155061019383</v>
      </c>
      <c r="L99" s="10" t="n">
        <f aca="false">MAX(L188,L194)</f>
        <v>798.147307968413</v>
      </c>
      <c r="M99" s="13" t="s">
        <v>5910</v>
      </c>
    </row>
    <row r="100" customFormat="false" ht="15" hidden="false" customHeight="false" outlineLevel="0" collapsed="false">
      <c r="A100" s="10" t="s">
        <v>5911</v>
      </c>
      <c r="B100" s="11" t="s">
        <v>5912</v>
      </c>
      <c r="C100" s="10" t="s">
        <v>5909</v>
      </c>
      <c r="D100" s="10" t="n">
        <f aca="false">D189</f>
        <v>600.34128440367</v>
      </c>
      <c r="E100" s="10" t="n">
        <f aca="false">MAX(E189,E195)</f>
        <v>585.209394495413</v>
      </c>
      <c r="F100" s="10" t="n">
        <f aca="false">MAX(F189,F195)</f>
        <v>526.688455045872</v>
      </c>
      <c r="G100" s="10" t="n">
        <f aca="false">MAX(G189,G195)</f>
        <v>474.019609541284</v>
      </c>
      <c r="H100" s="10" t="n">
        <f aca="false">MAX(H189,H195)</f>
        <v>426.617648587156</v>
      </c>
      <c r="I100" s="10" t="n">
        <f aca="false">MAX(I189,I195)</f>
        <v>408.267904289722</v>
      </c>
      <c r="K100" s="10" t="n">
        <f aca="false">K189</f>
        <v>600.34128440367</v>
      </c>
      <c r="L100" s="10" t="n">
        <f aca="false">MAX(L189,L195)</f>
        <v>570.324220183486</v>
      </c>
      <c r="M100" s="13" t="s">
        <v>5910</v>
      </c>
    </row>
    <row r="101" customFormat="false" ht="15" hidden="false" customHeight="false" outlineLevel="0" collapsed="false">
      <c r="A101" s="10" t="s">
        <v>5913</v>
      </c>
      <c r="B101" s="11" t="s">
        <v>5914</v>
      </c>
      <c r="C101" s="10" t="s">
        <v>5909</v>
      </c>
      <c r="D101" s="10" t="n">
        <f aca="false">D190</f>
        <v>461.214</v>
      </c>
      <c r="E101" s="10" t="n">
        <f aca="false">MAX(E190,E196)</f>
        <v>449.58888</v>
      </c>
      <c r="F101" s="10" t="n">
        <f aca="false">MAX(F190,F196)</f>
        <v>408.267904289722</v>
      </c>
      <c r="G101" s="10" t="n">
        <f aca="false">MAX(G190,G196)</f>
        <v>408.267904289722</v>
      </c>
      <c r="H101" s="10" t="n">
        <f aca="false">MAX(H190,H196)</f>
        <v>408.267904289722</v>
      </c>
      <c r="I101" s="10" t="n">
        <f aca="false">MAX(I190,I196)</f>
        <v>408.267904289722</v>
      </c>
      <c r="K101" s="10" t="n">
        <f aca="false">K190</f>
        <v>461.214</v>
      </c>
      <c r="L101" s="10" t="n">
        <f aca="false">MAX(L190,L196)</f>
        <v>438.1533</v>
      </c>
      <c r="M101" s="13" t="s">
        <v>5910</v>
      </c>
    </row>
    <row r="102" customFormat="false" ht="15" hidden="false" customHeight="false" outlineLevel="0" collapsed="false">
      <c r="A102" s="10" t="s">
        <v>5915</v>
      </c>
      <c r="B102" s="11" t="s">
        <v>5916</v>
      </c>
      <c r="C102" s="10" t="s">
        <v>5909</v>
      </c>
      <c r="D102" s="10" t="n">
        <f aca="false">D25*D99+D24*D100+D23*D101</f>
        <v>678.509987390425</v>
      </c>
      <c r="E102" s="10" t="n">
        <f aca="false">E25*E99+E24*E100+E23*E101</f>
        <v>562.279374647392</v>
      </c>
      <c r="F102" s="10" t="n">
        <f aca="false">F25*F99+F24*F100+F23*F101</f>
        <v>469.431877957342</v>
      </c>
      <c r="G102" s="10" t="n">
        <f aca="false">G25*G99+G24*G100+G23*G101</f>
        <v>438.773349838282</v>
      </c>
      <c r="H102" s="10" t="n">
        <f aca="false">H25*H99+H24*H100+H23*H101</f>
        <v>422.794321647584</v>
      </c>
      <c r="I102" s="10" t="n">
        <f aca="false">I25*I99+I24*I100+I23*I101</f>
        <v>421.876834432713</v>
      </c>
      <c r="K102" s="10" t="n">
        <f aca="false">K25*K99+K24*K100+K23*K101</f>
        <v>576.818357915396</v>
      </c>
      <c r="L102" s="10" t="n">
        <f aca="false">L25*L99+L24*L100+L23*L101</f>
        <v>547.977440019626</v>
      </c>
      <c r="M102" s="2" t="s">
        <v>5917</v>
      </c>
    </row>
    <row r="103" customFormat="false" ht="15" hidden="false" customHeight="false" outlineLevel="0" collapsed="false">
      <c r="A103" s="10" t="s">
        <v>5918</v>
      </c>
      <c r="B103" s="11" t="s">
        <v>5919</v>
      </c>
      <c r="C103" s="10" t="s">
        <v>5792</v>
      </c>
      <c r="D103" s="10" t="n">
        <f aca="false">D102/INP_023/INP_021</f>
        <v>10.0670631224562</v>
      </c>
      <c r="E103" s="10" t="n">
        <f aca="false">E102/INP_023/INP_021</f>
        <v>8.34254773286535</v>
      </c>
      <c r="F103" s="10" t="n">
        <f aca="false">F102/INP_023/INP_021</f>
        <v>6.96496799592489</v>
      </c>
      <c r="G103" s="10" t="n">
        <f aca="false">G102/INP_023/INP_021</f>
        <v>6.51008694251074</v>
      </c>
      <c r="H103" s="10" t="n">
        <f aca="false">H102/INP_023/INP_021</f>
        <v>6.27300585539228</v>
      </c>
      <c r="I103" s="10" t="n">
        <f aca="false">I102/INP_023/INP_021</f>
        <v>6.25939308346879</v>
      </c>
      <c r="K103" s="10" t="n">
        <f aca="false">K102/INP_023/INP_021</f>
        <v>8.55826285130931</v>
      </c>
      <c r="L103" s="10" t="n">
        <f aca="false">L102/INP_023/INP_021</f>
        <v>8.13034970874384</v>
      </c>
      <c r="M103" s="13" t="s">
        <v>5920</v>
      </c>
    </row>
    <row r="104" customFormat="false" ht="15" hidden="false" customHeight="false" outlineLevel="0" collapsed="false">
      <c r="A104" s="15" t="s">
        <v>5921</v>
      </c>
    </row>
    <row r="105" customFormat="false" ht="15" hidden="false" customHeight="false" outlineLevel="0" collapsed="false">
      <c r="A105" s="10" t="s">
        <v>5922</v>
      </c>
      <c r="B105" s="11" t="s">
        <v>5923</v>
      </c>
      <c r="C105" s="10" t="s">
        <v>4526</v>
      </c>
      <c r="D105" s="10" t="n">
        <f aca="false">D80/D102</f>
        <v>0.00227527969917954</v>
      </c>
      <c r="K105" s="10" t="n">
        <f aca="false">K80/(K102*INP_008/INP_007)</f>
        <v>0.0217557979461005</v>
      </c>
      <c r="M105" s="13" t="s">
        <v>5924</v>
      </c>
    </row>
    <row r="106" customFormat="false" ht="15" hidden="false" customHeight="false" outlineLevel="0" collapsed="false">
      <c r="A106" s="10" t="s">
        <v>5925</v>
      </c>
      <c r="B106" s="10" t="s">
        <v>5926</v>
      </c>
      <c r="C106" s="11" t="s">
        <v>1709</v>
      </c>
      <c r="D106" s="10" t="n">
        <f aca="false">IF(INP_139,D65/D105,MAX(INP_138,D65/(D119*(1-INP_109))))</f>
        <v>1.12579356408912</v>
      </c>
      <c r="K106" s="10" t="n">
        <f aca="false">IF(INP_139,K65/K105,MAX(INP_138,K65/(K119*(1-INP_109))))</f>
        <v>3.90762953447915</v>
      </c>
      <c r="M106" s="13" t="s">
        <v>5927</v>
      </c>
    </row>
    <row r="107" customFormat="false" ht="15" hidden="false" customHeight="false" outlineLevel="0" collapsed="false">
      <c r="A107" s="10" t="s">
        <v>5928</v>
      </c>
      <c r="B107" s="10" t="s">
        <v>5929</v>
      </c>
      <c r="C107" s="11" t="s">
        <v>1709</v>
      </c>
      <c r="D107" s="10" t="n">
        <f aca="false">D106</f>
        <v>1.12579356408912</v>
      </c>
      <c r="M107" s="2"/>
    </row>
    <row r="108" customFormat="false" ht="15" hidden="false" customHeight="false" outlineLevel="0" collapsed="false">
      <c r="A108" s="10" t="s">
        <v>5930</v>
      </c>
      <c r="B108" s="10" t="s">
        <v>5931</v>
      </c>
      <c r="C108" s="11" t="s">
        <v>1709</v>
      </c>
      <c r="K108" s="10" t="n">
        <f aca="false">K106</f>
        <v>3.90762953447915</v>
      </c>
      <c r="M108" s="2"/>
    </row>
    <row r="109" customFormat="false" ht="15" hidden="false" customHeight="false" outlineLevel="0" collapsed="false">
      <c r="A109" s="10" t="s">
        <v>5932</v>
      </c>
      <c r="B109" s="11" t="s">
        <v>5933</v>
      </c>
      <c r="C109" s="11" t="s">
        <v>1709</v>
      </c>
      <c r="D109" s="10" t="n">
        <f aca="false">D76/D105</f>
        <v>49.0454601789442</v>
      </c>
      <c r="K109" s="10" t="n">
        <f aca="false">K76/K105</f>
        <v>38.3464262908572</v>
      </c>
      <c r="M109" s="13" t="s">
        <v>5934</v>
      </c>
    </row>
    <row r="110" customFormat="false" ht="15" hidden="false" customHeight="false" outlineLevel="0" collapsed="false">
      <c r="A110" s="10" t="s">
        <v>5935</v>
      </c>
      <c r="B110" s="10" t="s">
        <v>5936</v>
      </c>
      <c r="C110" s="11" t="s">
        <v>1709</v>
      </c>
      <c r="D110" s="10" t="n">
        <f aca="false">D106</f>
        <v>1.12579356408912</v>
      </c>
      <c r="E110" s="10" t="n">
        <f aca="false">E65/E111</f>
        <v>3.90762953447915</v>
      </c>
      <c r="F110" s="10" t="n">
        <f aca="false">$K$106+IF($K$106&lt;=INP_106,INP_121,INP_105)*(INP_106-$K$106)*MIN(INP_107-INP_002,F$6-INP_002)/(INP_107-INP_002)</f>
        <v>3.90762953447915</v>
      </c>
      <c r="G110" s="10" t="n">
        <f aca="false">$K$106+IF($K$106&lt;=INP_106,INP_121,INP_105)*(INP_106-$K$106)*MIN(INP_107-INP_002,G$6-INP_002)/(INP_107-INP_002)</f>
        <v>3.90762953447915</v>
      </c>
      <c r="H110" s="10" t="n">
        <f aca="false">$K$106+IF($K$106&lt;=INP_106,INP_121,INP_105)*(INP_106-$K$106)*MIN(INP_107-INP_002,H$6-INP_002)/(INP_107-INP_002)</f>
        <v>3.90762953447915</v>
      </c>
      <c r="I110" s="10" t="n">
        <f aca="false">$K$106+IF($K$106&lt;=INP_106,INP_121,INP_105)*(INP_106-$K$106)*MIN(INP_107-INP_002,I$6-INP_002)/(INP_107-INP_002)</f>
        <v>3.90762953447915</v>
      </c>
      <c r="K110" s="10" t="n">
        <f aca="false">K106</f>
        <v>3.90762953447915</v>
      </c>
      <c r="L110" s="10" t="n">
        <f aca="false">$K$106+IF($K$106&lt;=INP_106,INP_121,INP_105)*(INP_106-$K$106)*MIN(INP_107-INP_002,INP_002-INP_002)/(INP_107-INP_002)</f>
        <v>3.90762953447915</v>
      </c>
      <c r="M110" s="13" t="s">
        <v>5937</v>
      </c>
    </row>
    <row r="111" customFormat="false" ht="15" hidden="false" customHeight="false" outlineLevel="0" collapsed="false">
      <c r="A111" s="10" t="s">
        <v>5938</v>
      </c>
      <c r="B111" s="11" t="s">
        <v>5939</v>
      </c>
      <c r="C111" s="10" t="s">
        <v>4526</v>
      </c>
      <c r="D111" s="10" t="n">
        <f aca="false">D65/D110</f>
        <v>0.0251515110420626</v>
      </c>
      <c r="E111" s="10" t="n">
        <f aca="false">(K111*INP_008+L111*INP_009)/INP_007</f>
        <v>0.0721781614660625</v>
      </c>
      <c r="F111" s="10" t="n">
        <f aca="false">F65/F110</f>
        <v>0.133776925736961</v>
      </c>
      <c r="G111" s="10" t="n">
        <f aca="false">G65/G110</f>
        <v>0.219302774754912</v>
      </c>
      <c r="H111" s="10" t="n">
        <f aca="false">H65/H110</f>
        <v>0.35560287148549</v>
      </c>
      <c r="I111" s="10" t="n">
        <f aca="false">I65/I110</f>
        <v>0.539404798319152</v>
      </c>
      <c r="K111" s="10" t="n">
        <f aca="false">K65/K110</f>
        <v>0.052675951932925</v>
      </c>
      <c r="L111" s="10" t="n">
        <f aca="false">L65/L110</f>
        <v>0.0913624001915945</v>
      </c>
      <c r="M111" s="13" t="s">
        <v>5940</v>
      </c>
    </row>
    <row r="112" customFormat="false" ht="15" hidden="false" customHeight="false" outlineLevel="0" collapsed="false">
      <c r="A112" s="15" t="s">
        <v>5941</v>
      </c>
    </row>
    <row r="113" customFormat="false" ht="15" hidden="false" customHeight="false" outlineLevel="0" collapsed="false">
      <c r="A113" s="10" t="s">
        <v>5942</v>
      </c>
      <c r="B113" s="11" t="s">
        <v>5943</v>
      </c>
      <c r="C113" s="11" t="s">
        <v>4705</v>
      </c>
      <c r="D113" s="10" t="n">
        <f aca="false">IF(D219,INP_109,D127/D119)</f>
        <v>0.3</v>
      </c>
      <c r="F113" s="10" t="n">
        <f aca="false">$K$113+INP_120*(INP_110-$K$113)*MIN(INP_006-INP_002,F$6-INP_002)/(INP_006-INP_002)</f>
        <v>0.3</v>
      </c>
      <c r="G113" s="10" t="n">
        <f aca="false">$K$113+INP_120*(INP_110-$K$113)*MIN(INP_006-INP_002,G$6-INP_002)/(INP_006-INP_002)</f>
        <v>0.3</v>
      </c>
      <c r="H113" s="10" t="n">
        <f aca="false">$K$113+INP_120*(INP_110-$K$113)*MIN(INP_006-INP_002,H$6-INP_002)/(INP_006-INP_002)</f>
        <v>0.3</v>
      </c>
      <c r="I113" s="10" t="n">
        <f aca="false">$K$113+INP_120*(INP_110-$K$113)*MIN(INP_006-INP_002,I$6-INP_002)/(INP_006-INP_002)</f>
        <v>0.3</v>
      </c>
      <c r="K113" s="10" t="n">
        <f aca="false">IF(K219,INP_109,K127/K119)</f>
        <v>0.3</v>
      </c>
      <c r="L113" s="10" t="n">
        <f aca="false">$K$113+INP_120*(INP_110-$K$113)*MIN(INP_006-INP_002,INP_002-INP_002)/(INP_006-INP_002)</f>
        <v>0.3</v>
      </c>
      <c r="M113" s="13" t="s">
        <v>5944</v>
      </c>
    </row>
    <row r="114" customFormat="false" ht="15" hidden="false" customHeight="false" outlineLevel="0" collapsed="false">
      <c r="A114" s="10" t="s">
        <v>5945</v>
      </c>
      <c r="B114" s="11" t="s">
        <v>5946</v>
      </c>
      <c r="C114" s="10" t="s">
        <v>5947</v>
      </c>
      <c r="D114" s="10" t="n">
        <f aca="false">SUMIFS(TK_IF_CapexTotal,TK_HdrGen,$D$8,TK_HdrCost,$D$10)*INP_115*INP_023*INP_021</f>
        <v>1624.8637460316</v>
      </c>
      <c r="E114" s="10" t="n">
        <f aca="false">SUMIFS(TK_IF_CapexTotal,TK_HdrGen,$D$8,TK_HdrCost,$D$10)*INP_115*INP_023*INP_021</f>
        <v>1624.8637460316</v>
      </c>
      <c r="F114" s="10" t="n">
        <f aca="false">SUMIFS(TK_IF_CapexTotal,TK_HdrGen,$D$8,TK_HdrCost,$D$10)*INP_115*INP_023*INP_021</f>
        <v>1624.8637460316</v>
      </c>
      <c r="G114" s="10" t="n">
        <f aca="false">SUMIFS(TK_IF_CapexTotal,TK_HdrGen,$D$8,TK_HdrCost,$D$10)*INP_115*INP_023*INP_021</f>
        <v>1624.8637460316</v>
      </c>
      <c r="H114" s="10" t="n">
        <f aca="false">SUMIFS(TK_IF_CapexTotal,TK_HdrGen,$D$8,TK_HdrCost,$D$10)*INP_115*INP_023*INP_021</f>
        <v>1624.8637460316</v>
      </c>
      <c r="I114" s="10" t="n">
        <f aca="false">SUMIFS(TK_IF_CapexTotal,TK_HdrGen,$D$8,TK_HdrCost,$D$10)*INP_115*INP_023*INP_021</f>
        <v>1624.8637460316</v>
      </c>
      <c r="K114" s="10" t="n">
        <f aca="false">SUMIFS(TK_IF_CapexTotal,TK_HdrGen,$D$8,TK_HdrCost,$D$10)*INP_115*INP_023*INP_021</f>
        <v>1624.8637460316</v>
      </c>
      <c r="L114" s="10" t="n">
        <f aca="false">SUMIFS(TK_IF_CapexTotal,TK_HdrGen,$D$8,TK_HdrCost,$D$10)*INP_115*INP_023*INP_021</f>
        <v>1624.8637460316</v>
      </c>
      <c r="M114" s="13" t="s">
        <v>5948</v>
      </c>
    </row>
    <row r="115" customFormat="false" ht="15" hidden="false" customHeight="false" outlineLevel="0" collapsed="false">
      <c r="A115" s="10" t="s">
        <v>5949</v>
      </c>
      <c r="B115" s="11" t="s">
        <v>5950</v>
      </c>
      <c r="C115" s="10" t="s">
        <v>63</v>
      </c>
      <c r="F115" s="10" t="n">
        <f aca="false">INP_112*SRC_ZP_458/INP_101*F114*((F$6+1)=INP_113)</f>
        <v>0</v>
      </c>
      <c r="G115" s="10" t="n">
        <f aca="false">INP_112*SRC_ZP_458/INP_101*G114*((G$6+1)=INP_113)</f>
        <v>0</v>
      </c>
      <c r="H115" s="10" t="n">
        <f aca="false">INP_112*SRC_ZP_458/INP_101*H114*((H$6+1)=INP_113)</f>
        <v>0</v>
      </c>
      <c r="I115" s="10" t="n">
        <f aca="false">INP_112*SRC_ZP_458/INP_101*I114*((I$6+1)=INP_113)</f>
        <v>0</v>
      </c>
      <c r="M115" s="2" t="s">
        <v>5951</v>
      </c>
    </row>
    <row r="116" customFormat="false" ht="15" hidden="false" customHeight="false" outlineLevel="0" collapsed="false">
      <c r="A116" s="10" t="s">
        <v>5952</v>
      </c>
      <c r="B116" s="11" t="s">
        <v>5953</v>
      </c>
      <c r="C116" s="10" t="s">
        <v>63</v>
      </c>
      <c r="F116" s="10" t="n">
        <f aca="false">INP_111</f>
        <v>0</v>
      </c>
      <c r="G116" s="10" t="n">
        <f aca="false">INP_111</f>
        <v>0</v>
      </c>
      <c r="H116" s="10" t="n">
        <f aca="false">INP_111</f>
        <v>0</v>
      </c>
      <c r="I116" s="10" t="n">
        <f aca="false">INP_111</f>
        <v>0</v>
      </c>
      <c r="M116" s="13" t="s">
        <v>5954</v>
      </c>
    </row>
    <row r="117" customFormat="false" ht="15" hidden="false" customHeight="false" outlineLevel="0" collapsed="false">
      <c r="A117" s="10" t="s">
        <v>5955</v>
      </c>
      <c r="B117" s="11" t="s">
        <v>5956</v>
      </c>
      <c r="C117" s="10" t="s">
        <v>63</v>
      </c>
      <c r="F117" s="10" t="n">
        <f aca="false">F115+F116</f>
        <v>0</v>
      </c>
      <c r="G117" s="10" t="n">
        <f aca="false">G115+G116</f>
        <v>0</v>
      </c>
      <c r="H117" s="10" t="n">
        <f aca="false">H115+H116</f>
        <v>0</v>
      </c>
      <c r="I117" s="10" t="n">
        <f aca="false">I115+I116</f>
        <v>0</v>
      </c>
      <c r="M117" s="13" t="s">
        <v>5957</v>
      </c>
    </row>
    <row r="118" customFormat="false" ht="15" hidden="false" customHeight="false" outlineLevel="0" collapsed="false">
      <c r="A118" s="10" t="s">
        <v>5958</v>
      </c>
      <c r="B118" s="11" t="s">
        <v>5959</v>
      </c>
      <c r="C118" s="10" t="s">
        <v>4526</v>
      </c>
      <c r="F118" s="10" t="n">
        <f aca="false">SUMPRODUCT(($F$6:$I$6&lt;F$6)*($F$117:$I$117))/F114</f>
        <v>0</v>
      </c>
      <c r="G118" s="10" t="n">
        <f aca="false">SUMPRODUCT(($F$6:$I$6&lt;G$6)*($F$117:$I$117))/G114</f>
        <v>0</v>
      </c>
      <c r="H118" s="10" t="n">
        <f aca="false">SUMPRODUCT(($F$6:$I$6&lt;H$6)*($F$117:$I$117))/H114</f>
        <v>0</v>
      </c>
      <c r="I118" s="10" t="n">
        <f aca="false">SUMPRODUCT(($F$6:$I$6&lt;I$6)*($F$117:$I$117))/I114</f>
        <v>0</v>
      </c>
      <c r="M118" s="2" t="s">
        <v>5960</v>
      </c>
    </row>
    <row r="119" customFormat="false" ht="15" hidden="false" customHeight="false" outlineLevel="0" collapsed="false">
      <c r="A119" s="10" t="s">
        <v>5961</v>
      </c>
      <c r="B119" s="11" t="s">
        <v>5962</v>
      </c>
      <c r="C119" s="10" t="s">
        <v>4526</v>
      </c>
      <c r="D119" s="10" t="n">
        <f aca="false">D87/D102</f>
        <v>0.0359307300600894</v>
      </c>
      <c r="E119" s="10" t="n">
        <f aca="false">(K119*INP_008+L119*INP_009)/INP_007</f>
        <v>0.110422240509358</v>
      </c>
      <c r="F119" s="10" t="n">
        <f aca="false">MAX(F111/((1-INP_108)*(1-F113)),F118)</f>
        <v>0.212344326566605</v>
      </c>
      <c r="G119" s="10" t="n">
        <f aca="false">MAX(G111/((1-INP_108)*(1-G113)),G118)</f>
        <v>0.348099642468115</v>
      </c>
      <c r="H119" s="10" t="n">
        <f aca="false">MAX(H111/((1-INP_108)*(1-H113)),H118)</f>
        <v>0.56444900235792</v>
      </c>
      <c r="I119" s="10" t="n">
        <f aca="false">MAX(I111/((1-INP_108)*(1-I113)),I118)</f>
        <v>0.856198092570083</v>
      </c>
      <c r="K119" s="10" t="n">
        <f aca="false">K87/(K102*INP_008/INP_007)</f>
        <v>0.0752513599041785</v>
      </c>
      <c r="L119" s="10" t="n">
        <f aca="false">L111/((1-INP_108)*(1-L113))</f>
        <v>0.145019682843801</v>
      </c>
      <c r="M119" s="13" t="s">
        <v>5963</v>
      </c>
    </row>
    <row r="120" customFormat="false" ht="15" hidden="false" customHeight="false" outlineLevel="0" collapsed="false">
      <c r="A120" s="10" t="s">
        <v>5964</v>
      </c>
      <c r="B120" s="11" t="s">
        <v>5965</v>
      </c>
      <c r="C120" s="10" t="s">
        <v>4526</v>
      </c>
      <c r="D120" s="10" t="n">
        <f aca="false">D119</f>
        <v>0.0359307300600894</v>
      </c>
      <c r="E120" s="10" t="n">
        <f aca="false">(K120*INP_008+L120*INP_009)/INP_007</f>
        <v>0.110422240509358</v>
      </c>
      <c r="F120" s="10" t="n">
        <f aca="false">F119-F118</f>
        <v>0.212344326566605</v>
      </c>
      <c r="G120" s="10" t="n">
        <f aca="false">G119-G118</f>
        <v>0.348099642468115</v>
      </c>
      <c r="H120" s="10" t="n">
        <f aca="false">H119-H118</f>
        <v>0.56444900235792</v>
      </c>
      <c r="I120" s="10" t="n">
        <f aca="false">I119-I118</f>
        <v>0.856198092570083</v>
      </c>
      <c r="K120" s="10" t="n">
        <f aca="false">K119</f>
        <v>0.0752513599041785</v>
      </c>
      <c r="L120" s="10" t="n">
        <f aca="false">L119</f>
        <v>0.145019682843801</v>
      </c>
      <c r="M120" s="2"/>
    </row>
    <row r="121" customFormat="false" ht="15" hidden="false" customHeight="false" outlineLevel="0" collapsed="false">
      <c r="A121" s="10" t="s">
        <v>5966</v>
      </c>
      <c r="B121" s="11" t="s">
        <v>5967</v>
      </c>
      <c r="C121" s="10" t="s">
        <v>4526</v>
      </c>
      <c r="E121" s="10" t="n">
        <f aca="false">(K121*INP_008+L121*INP_009)/INP_007</f>
        <v>0.00731058127212585</v>
      </c>
      <c r="F121" s="10" t="n">
        <f aca="false">F119*INP_108</f>
        <v>0.0212344326566605</v>
      </c>
      <c r="G121" s="10" t="n">
        <f aca="false">G119*INP_108</f>
        <v>0.0348099642468115</v>
      </c>
      <c r="H121" s="10" t="n">
        <f aca="false">H119*INP_108</f>
        <v>0.056444900235792</v>
      </c>
      <c r="I121" s="10" t="n">
        <f aca="false">I119*INP_108</f>
        <v>0.0856198092570083</v>
      </c>
      <c r="L121" s="10" t="n">
        <f aca="false">L119*INP_108</f>
        <v>0.0145019682843801</v>
      </c>
      <c r="M121" s="13" t="s">
        <v>5968</v>
      </c>
    </row>
    <row r="122" customFormat="false" ht="15" hidden="false" customHeight="false" outlineLevel="0" collapsed="false">
      <c r="A122" s="15" t="s">
        <v>5969</v>
      </c>
    </row>
    <row r="123" customFormat="false" ht="15" hidden="false" customHeight="false" outlineLevel="0" collapsed="false">
      <c r="A123" s="10" t="s">
        <v>5970</v>
      </c>
      <c r="B123" s="11" t="s">
        <v>5971</v>
      </c>
      <c r="C123" s="10" t="s">
        <v>4526</v>
      </c>
      <c r="D123" s="10" t="n">
        <f aca="false">D119*(1-INP_108)*(1-INP_109)</f>
        <v>0.0226363599378563</v>
      </c>
      <c r="E123" s="10" t="n">
        <f aca="false">(K123*INP_008+L123*INP_009)/INP_007</f>
        <v>0.0695660115208955</v>
      </c>
      <c r="F123" s="10" t="n">
        <f aca="false">F119*(1-INP_108)*(1-INP_109)</f>
        <v>0.133776925736961</v>
      </c>
      <c r="G123" s="10" t="n">
        <f aca="false">G119*(1-INP_108)*(1-INP_109)</f>
        <v>0.219302774754912</v>
      </c>
      <c r="H123" s="10" t="n">
        <f aca="false">H119*(1-INP_108)*(1-INP_109)</f>
        <v>0.35560287148549</v>
      </c>
      <c r="I123" s="10" t="n">
        <f aca="false">I119*(1-INP_108)*(1-INP_109)</f>
        <v>0.539404798319152</v>
      </c>
      <c r="K123" s="10" t="n">
        <f aca="false">K119*(1-INP_108)*(1-INP_109)</f>
        <v>0.0474083567396325</v>
      </c>
      <c r="L123" s="10" t="n">
        <f aca="false">L119*(1-INP_108)*(1-INP_109)</f>
        <v>0.0913624001915945</v>
      </c>
      <c r="M123" s="2"/>
    </row>
    <row r="124" customFormat="false" ht="15" hidden="false" customHeight="false" outlineLevel="0" collapsed="false">
      <c r="A124" s="10" t="s">
        <v>5972</v>
      </c>
      <c r="B124" s="11" t="s">
        <v>5973</v>
      </c>
      <c r="C124" s="10" t="s">
        <v>4526</v>
      </c>
      <c r="D124" s="10" t="n">
        <f aca="false">D111</f>
        <v>0.0251515110420626</v>
      </c>
      <c r="E124" s="10" t="n">
        <f aca="false">(K124*INP_008+L124*INP_009)/INP_007</f>
        <v>0.0721781614660625</v>
      </c>
      <c r="F124" s="10" t="n">
        <f aca="false">IF(F113&gt;=INP_109,F111,MIN(F123,F111))</f>
        <v>0.133776925736961</v>
      </c>
      <c r="G124" s="10" t="n">
        <f aca="false">IF(G113&gt;=INP_109,G111,MIN(G123,G111))</f>
        <v>0.219302774754912</v>
      </c>
      <c r="H124" s="10" t="n">
        <f aca="false">IF(H113&gt;=INP_109,H111,MIN(H123,H111))</f>
        <v>0.35560287148549</v>
      </c>
      <c r="I124" s="10" t="n">
        <f aca="false">IF(I113&gt;=INP_109,I111,MIN(I123,I111))</f>
        <v>0.539404798319152</v>
      </c>
      <c r="K124" s="10" t="n">
        <f aca="false">K111</f>
        <v>0.052675951932925</v>
      </c>
      <c r="L124" s="10" t="n">
        <f aca="false">IF(L113&gt;=INP_109,L111,MIN(L123,L111))</f>
        <v>0.0913624001915945</v>
      </c>
      <c r="M124" s="2" t="s">
        <v>5974</v>
      </c>
    </row>
    <row r="125" customFormat="false" ht="15" hidden="false" customHeight="false" outlineLevel="0" collapsed="false">
      <c r="A125" s="10" t="s">
        <v>5975</v>
      </c>
      <c r="B125" s="11" t="s">
        <v>5976</v>
      </c>
      <c r="C125" s="11" t="s">
        <v>1709</v>
      </c>
      <c r="D125" s="10" t="n">
        <f aca="false">D124/D111</f>
        <v>1</v>
      </c>
      <c r="E125" s="10" t="n">
        <f aca="false">E124/E111</f>
        <v>1</v>
      </c>
      <c r="F125" s="10" t="n">
        <f aca="false">F124/F111</f>
        <v>1</v>
      </c>
      <c r="G125" s="10" t="n">
        <f aca="false">G124/G111</f>
        <v>1</v>
      </c>
      <c r="H125" s="10" t="n">
        <f aca="false">H124/H111</f>
        <v>1</v>
      </c>
      <c r="I125" s="10" t="n">
        <f aca="false">I124/I111</f>
        <v>1</v>
      </c>
      <c r="K125" s="10" t="n">
        <f aca="false">K124/K111</f>
        <v>1</v>
      </c>
      <c r="L125" s="10" t="n">
        <f aca="false">L124/L111</f>
        <v>1</v>
      </c>
      <c r="M125" s="13" t="s">
        <v>5977</v>
      </c>
    </row>
    <row r="126" customFormat="false" ht="15" hidden="false" customHeight="false" outlineLevel="0" collapsed="false">
      <c r="A126" s="10" t="s">
        <v>5978</v>
      </c>
      <c r="B126" s="11" t="s">
        <v>5979</v>
      </c>
      <c r="C126" s="11" t="s">
        <v>5980</v>
      </c>
      <c r="D126" s="17" t="b">
        <f aca="false">(D111&gt;D124)</f>
        <v>0</v>
      </c>
      <c r="E126" s="17" t="b">
        <f aca="false">(E111&gt;E124)</f>
        <v>0</v>
      </c>
      <c r="F126" s="17" t="b">
        <f aca="false">(F111&gt;F124)</f>
        <v>0</v>
      </c>
      <c r="G126" s="17" t="b">
        <f aca="false">(G111&gt;G124)</f>
        <v>0</v>
      </c>
      <c r="H126" s="17" t="b">
        <f aca="false">(H111&gt;H124)</f>
        <v>0</v>
      </c>
      <c r="I126" s="17" t="b">
        <f aca="false">(I111&gt;I124)</f>
        <v>0</v>
      </c>
      <c r="K126" s="17" t="b">
        <f aca="false">(K111&gt;K124)</f>
        <v>0</v>
      </c>
      <c r="L126" s="17" t="b">
        <f aca="false">(L111&gt;L124)</f>
        <v>0</v>
      </c>
      <c r="M126" s="2" t="s">
        <v>5981</v>
      </c>
    </row>
    <row r="127" customFormat="false" ht="15" hidden="false" customHeight="false" outlineLevel="0" collapsed="false">
      <c r="A127" s="10" t="s">
        <v>5982</v>
      </c>
      <c r="B127" s="11" t="s">
        <v>5983</v>
      </c>
      <c r="C127" s="10" t="s">
        <v>4526</v>
      </c>
      <c r="D127" s="10" t="n">
        <f aca="false">D119-D124</f>
        <v>0.0107792190180268</v>
      </c>
      <c r="E127" s="10" t="n">
        <f aca="false">(K127*INP_008+L127*INP_009)/INP_007</f>
        <v>0.0309334977711696</v>
      </c>
      <c r="F127" s="10" t="n">
        <f aca="false">F119*(1-INP_108)-F124</f>
        <v>0.0573329681729833</v>
      </c>
      <c r="G127" s="10" t="n">
        <f aca="false">G119*(1-INP_108)-G124</f>
        <v>0.0939869034663909</v>
      </c>
      <c r="H127" s="10" t="n">
        <f aca="false">H119*(1-INP_108)-H124</f>
        <v>0.152401230636639</v>
      </c>
      <c r="I127" s="10" t="n">
        <f aca="false">I119*(1-INP_108)-I124</f>
        <v>0.231173484993922</v>
      </c>
      <c r="K127" s="10" t="n">
        <f aca="false">K119-K124</f>
        <v>0.0225754079712536</v>
      </c>
      <c r="L127" s="10" t="n">
        <f aca="false">L119*(1-INP_108)-L124</f>
        <v>0.0391553143678262</v>
      </c>
      <c r="M127" s="2" t="s">
        <v>5984</v>
      </c>
    </row>
    <row r="128" customFormat="false" ht="15" hidden="false" customHeight="false" outlineLevel="0" collapsed="false">
      <c r="A128" s="10" t="s">
        <v>5985</v>
      </c>
      <c r="B128" s="11" t="s">
        <v>5986</v>
      </c>
      <c r="C128" s="10" t="s">
        <v>4526</v>
      </c>
      <c r="D128" s="10" t="n">
        <f aca="false">D111+D127</f>
        <v>0.0359307300600894</v>
      </c>
      <c r="E128" s="10" t="n">
        <f aca="false">E111+E127</f>
        <v>0.103111659237232</v>
      </c>
      <c r="F128" s="10" t="n">
        <f aca="false">F111+F127</f>
        <v>0.191109893909944</v>
      </c>
      <c r="G128" s="10" t="n">
        <f aca="false">G111+G127</f>
        <v>0.313289678221303</v>
      </c>
      <c r="H128" s="10" t="n">
        <f aca="false">H111+H127</f>
        <v>0.508004102122128</v>
      </c>
      <c r="I128" s="10" t="n">
        <f aca="false">I111+I127</f>
        <v>0.770578283313074</v>
      </c>
      <c r="K128" s="10" t="n">
        <f aca="false">K111+K127</f>
        <v>0.0752513599041785</v>
      </c>
      <c r="L128" s="10" t="n">
        <f aca="false">L111+L127</f>
        <v>0.130517714559421</v>
      </c>
      <c r="M128" s="2"/>
    </row>
    <row r="129" customFormat="false" ht="15" hidden="false" customHeight="false" outlineLevel="0" collapsed="false">
      <c r="A129" s="10" t="s">
        <v>5987</v>
      </c>
      <c r="B129" s="11" t="s">
        <v>5988</v>
      </c>
      <c r="C129" s="10" t="s">
        <v>4526</v>
      </c>
      <c r="D129" s="10" t="n">
        <f aca="false">D124+D127+D121-D119</f>
        <v>0</v>
      </c>
      <c r="E129" s="10" t="n">
        <f aca="false">E124+E127+E121-E119</f>
        <v>0</v>
      </c>
      <c r="F129" s="10" t="n">
        <f aca="false">F124+F127+F121-F119</f>
        <v>0</v>
      </c>
      <c r="G129" s="10" t="n">
        <f aca="false">G124+G127+G121-G119</f>
        <v>0</v>
      </c>
      <c r="H129" s="10" t="n">
        <f aca="false">H124+H127+H121-H119</f>
        <v>0</v>
      </c>
      <c r="I129" s="10" t="n">
        <f aca="false">I124+I127+I121-I119</f>
        <v>0</v>
      </c>
      <c r="K129" s="10" t="n">
        <f aca="false">K124+K127+K121-K119</f>
        <v>0</v>
      </c>
      <c r="L129" s="10" t="n">
        <f aca="false">L124+L127+L121-L119</f>
        <v>0</v>
      </c>
      <c r="M129" s="2" t="s">
        <v>5989</v>
      </c>
    </row>
    <row r="130" customFormat="false" ht="15" hidden="false" customHeight="false" outlineLevel="0" collapsed="false">
      <c r="A130" s="10" t="s">
        <v>5990</v>
      </c>
      <c r="B130" s="11" t="s">
        <v>5991</v>
      </c>
      <c r="C130" s="10" t="s">
        <v>4526</v>
      </c>
      <c r="D130" s="10" t="n">
        <f aca="false">D85/D102</f>
        <v>0.031923928022501</v>
      </c>
      <c r="K130" s="10" t="n">
        <f aca="false">K85/(K102*INP_008/INP_007)</f>
        <v>0.0619667075165814</v>
      </c>
      <c r="M130" s="13" t="s">
        <v>5992</v>
      </c>
    </row>
    <row r="131" customFormat="false" ht="15" hidden="false" customHeight="false" outlineLevel="0" collapsed="false">
      <c r="A131" s="10" t="s">
        <v>5993</v>
      </c>
      <c r="B131" s="11" t="s">
        <v>5994</v>
      </c>
      <c r="C131" s="10" t="s">
        <v>4564</v>
      </c>
      <c r="D131" s="10" t="n">
        <f aca="false">TK_IF_AllocRDGW</f>
        <v>0.0906847035646163</v>
      </c>
      <c r="M131" s="13" t="s">
        <v>5995</v>
      </c>
    </row>
    <row r="132" customFormat="false" ht="15" hidden="false" customHeight="false" outlineLevel="0" collapsed="false">
      <c r="A132" s="15" t="s">
        <v>5996</v>
      </c>
    </row>
    <row r="133" customFormat="false" ht="15" hidden="false" customHeight="false" outlineLevel="0" collapsed="false">
      <c r="A133" s="10" t="s">
        <v>5997</v>
      </c>
      <c r="B133" s="10" t="s">
        <v>5998</v>
      </c>
      <c r="C133" s="11" t="s">
        <v>1709</v>
      </c>
      <c r="D133" s="10" t="n">
        <f aca="false">D16/D13</f>
        <v>0.0905671149585634</v>
      </c>
      <c r="E133" s="10" t="n">
        <f aca="false">E16/E13</f>
        <v>0.0905671149585634</v>
      </c>
      <c r="F133" s="10" t="n">
        <f aca="false">F16/F13</f>
        <v>0.0905671149585634</v>
      </c>
      <c r="G133" s="10" t="n">
        <f aca="false">G16/G13</f>
        <v>0.0905671149585634</v>
      </c>
      <c r="H133" s="10" t="n">
        <f aca="false">H16/H13</f>
        <v>0.0905671149585634</v>
      </c>
      <c r="I133" s="10" t="n">
        <f aca="false">I16/I13</f>
        <v>0.0905671149585634</v>
      </c>
      <c r="K133" s="10" t="n">
        <f aca="false">K16/K13</f>
        <v>0.0905671149585634</v>
      </c>
      <c r="L133" s="10" t="n">
        <f aca="false">L16/L13</f>
        <v>0.0905671149585634</v>
      </c>
      <c r="M133" s="2"/>
    </row>
    <row r="134" customFormat="false" ht="15" hidden="false" customHeight="false" outlineLevel="0" collapsed="false">
      <c r="A134" s="10" t="s">
        <v>5999</v>
      </c>
      <c r="B134" s="10" t="s">
        <v>6000</v>
      </c>
      <c r="C134" s="11" t="s">
        <v>1709</v>
      </c>
      <c r="D134" s="10" t="n">
        <f aca="false">D18/D13</f>
        <v>0.0307928190859115</v>
      </c>
      <c r="E134" s="10" t="n">
        <f aca="false">E18/E13</f>
        <v>0.0307928190859115</v>
      </c>
      <c r="F134" s="10" t="n">
        <f aca="false">F18/F13</f>
        <v>0.0307928190859115</v>
      </c>
      <c r="G134" s="10" t="n">
        <f aca="false">G18/G13</f>
        <v>0.0307928190859115</v>
      </c>
      <c r="H134" s="10" t="n">
        <f aca="false">H18/H13</f>
        <v>0.0307928190859115</v>
      </c>
      <c r="I134" s="10" t="n">
        <f aca="false">I18/I13</f>
        <v>0.0307928190859115</v>
      </c>
      <c r="K134" s="10" t="n">
        <f aca="false">K18/K13</f>
        <v>0.0307928190859115</v>
      </c>
      <c r="L134" s="10" t="n">
        <f aca="false">L18/L13</f>
        <v>0.0307928190859115</v>
      </c>
      <c r="M134" s="2"/>
    </row>
    <row r="135" customFormat="false" ht="15" hidden="false" customHeight="false" outlineLevel="0" collapsed="false">
      <c r="A135" s="10" t="s">
        <v>6001</v>
      </c>
      <c r="B135" s="10" t="s">
        <v>6002</v>
      </c>
      <c r="C135" s="11" t="s">
        <v>1709</v>
      </c>
      <c r="D135" s="10" t="n">
        <f aca="false">D20/D13</f>
        <v>0.054340268975138</v>
      </c>
      <c r="E135" s="10" t="n">
        <f aca="false">E20/E13</f>
        <v>0.054340268975138</v>
      </c>
      <c r="F135" s="10" t="n">
        <f aca="false">F20/F13</f>
        <v>0.054340268975138</v>
      </c>
      <c r="G135" s="10" t="n">
        <f aca="false">G20/G13</f>
        <v>0.054340268975138</v>
      </c>
      <c r="H135" s="10" t="n">
        <f aca="false">H20/H13</f>
        <v>0.054340268975138</v>
      </c>
      <c r="I135" s="10" t="n">
        <f aca="false">I20/I13</f>
        <v>0.054340268975138</v>
      </c>
      <c r="K135" s="10" t="n">
        <f aca="false">K20/K13</f>
        <v>0.054340268975138</v>
      </c>
      <c r="L135" s="10" t="n">
        <f aca="false">L20/L13</f>
        <v>0.054340268975138</v>
      </c>
      <c r="M135" s="2"/>
    </row>
    <row r="136" customFormat="false" ht="15" hidden="false" customHeight="false" outlineLevel="0" collapsed="false">
      <c r="A136" s="10" t="s">
        <v>6003</v>
      </c>
      <c r="B136" s="11" t="s">
        <v>6004</v>
      </c>
      <c r="C136" s="11" t="s">
        <v>1709</v>
      </c>
      <c r="D136" s="10" t="n">
        <f aca="false">D25*D133+D24*D134+D23*D135</f>
        <v>0.0677442019890054</v>
      </c>
      <c r="E136" s="10" t="n">
        <f aca="false">E25*E133+E24*E134+E23*E135</f>
        <v>0.0598648629876104</v>
      </c>
      <c r="F136" s="10" t="n">
        <f aca="false">F25*F133+F24*F134+F23*F135</f>
        <v>0.0574195508837292</v>
      </c>
      <c r="G136" s="10" t="n">
        <f aca="false">G25*G133+G24*G134+G23*G135</f>
        <v>0.0567855810790192</v>
      </c>
      <c r="H136" s="10" t="n">
        <f aca="false">H25*H133+H24*H134+H23*H135</f>
        <v>0.054974238779848</v>
      </c>
      <c r="I136" s="10" t="n">
        <f aca="false">I25*I133+I24*I134+I23*I135</f>
        <v>0.0561516112743093</v>
      </c>
      <c r="K136" s="10" t="n">
        <f aca="false">K25*K133+K24*K134+K23*K135</f>
        <v>0.0598648629876104</v>
      </c>
      <c r="L136" s="10" t="n">
        <f aca="false">L25*L133+L24*L134+L23*L135</f>
        <v>0.0598648629876104</v>
      </c>
      <c r="M136" s="2"/>
    </row>
    <row r="137" customFormat="false" ht="15" hidden="false" customHeight="false" outlineLevel="0" collapsed="false">
      <c r="A137" s="10" t="s">
        <v>6005</v>
      </c>
      <c r="B137" s="11" t="s">
        <v>6006</v>
      </c>
      <c r="C137" s="10" t="s">
        <v>4526</v>
      </c>
      <c r="D137" s="10" t="n">
        <f aca="false">D119*D136</f>
        <v>0.00243409863480312</v>
      </c>
      <c r="E137" s="10" t="n">
        <f aca="false">(K137*INP_008+L137*INP_009)/INP_007</f>
        <v>0.00661041229887767</v>
      </c>
      <c r="F137" s="10" t="n">
        <f aca="false">F119*F136</f>
        <v>0.0121927158641624</v>
      </c>
      <c r="G137" s="10" t="n">
        <f aca="false">G119*G136</f>
        <v>0.0197670404709507</v>
      </c>
      <c r="H137" s="10" t="n">
        <f aca="false">H119*H136</f>
        <v>0.0310301542346713</v>
      </c>
      <c r="I137" s="10" t="n">
        <f aca="false">I119*I136</f>
        <v>0.0480769024678003</v>
      </c>
      <c r="K137" s="10" t="n">
        <f aca="false">K119*K136</f>
        <v>0.004504912350295</v>
      </c>
      <c r="L137" s="10" t="n">
        <f aca="false">L119*L136</f>
        <v>0.00868158344395084</v>
      </c>
      <c r="M137" s="2"/>
    </row>
    <row r="138" customFormat="false" ht="15" hidden="false" customHeight="false" outlineLevel="0" collapsed="false">
      <c r="A138" s="10" t="s">
        <v>6007</v>
      </c>
      <c r="B138" s="11" t="s">
        <v>6008</v>
      </c>
      <c r="C138" s="10" t="s">
        <v>4526</v>
      </c>
      <c r="D138" s="10" t="n">
        <f aca="false">D124*D136</f>
        <v>0.00170386904436218</v>
      </c>
      <c r="E138" s="10" t="n">
        <f aca="false">(K138*INP_008+L138*INP_009)/INP_007</f>
        <v>0.00432093574686345</v>
      </c>
      <c r="F138" s="10" t="n">
        <f aca="false">F124*F136</f>
        <v>0.0076814109944223</v>
      </c>
      <c r="G138" s="10" t="n">
        <f aca="false">G124*G136</f>
        <v>0.012453235496699</v>
      </c>
      <c r="H138" s="10" t="n">
        <f aca="false">H124*H136</f>
        <v>0.0195489971678429</v>
      </c>
      <c r="I138" s="10" t="n">
        <f aca="false">I124*I136</f>
        <v>0.0302884485547142</v>
      </c>
      <c r="K138" s="10" t="n">
        <f aca="false">K124*K136</f>
        <v>0.0031534386452065</v>
      </c>
      <c r="L138" s="10" t="n">
        <f aca="false">L124*L136</f>
        <v>0.00546939756968903</v>
      </c>
      <c r="M138" s="2"/>
    </row>
    <row r="139" customFormat="false" ht="15" hidden="false" customHeight="false" outlineLevel="0" collapsed="false">
      <c r="A139" s="10" t="s">
        <v>6009</v>
      </c>
      <c r="B139" s="11" t="s">
        <v>6010</v>
      </c>
      <c r="C139" s="10" t="s">
        <v>4526</v>
      </c>
      <c r="D139" s="10" t="n">
        <f aca="false">D127*D136</f>
        <v>0.000730229590440936</v>
      </c>
      <c r="E139" s="10" t="n">
        <f aca="false">(K139*INP_008+L139*INP_009)/INP_007</f>
        <v>0.00185182960579862</v>
      </c>
      <c r="F139" s="10" t="n">
        <f aca="false">F127*F136</f>
        <v>0.00329203328332384</v>
      </c>
      <c r="G139" s="10" t="n">
        <f aca="false">G127*G136</f>
        <v>0.0053371009271567</v>
      </c>
      <c r="H139" s="10" t="n">
        <f aca="false">H127*H136</f>
        <v>0.00837814164336125</v>
      </c>
      <c r="I139" s="10" t="n">
        <f aca="false">I127*I136</f>
        <v>0.0129807636663061</v>
      </c>
      <c r="K139" s="10" t="n">
        <f aca="false">K127*K136</f>
        <v>0.0013514737050885</v>
      </c>
      <c r="L139" s="10" t="n">
        <f aca="false">L127*L136</f>
        <v>0.00234402752986673</v>
      </c>
      <c r="M139" s="2"/>
    </row>
    <row r="140" customFormat="false" ht="15" hidden="false" customHeight="false" outlineLevel="0" collapsed="false">
      <c r="A140" s="15" t="s">
        <v>6011</v>
      </c>
    </row>
    <row r="141" customFormat="false" ht="15" hidden="false" customHeight="false" outlineLevel="0" collapsed="false">
      <c r="A141" s="10" t="s">
        <v>6012</v>
      </c>
      <c r="B141" s="11" t="s">
        <v>6013</v>
      </c>
      <c r="C141" s="11" t="s">
        <v>6014</v>
      </c>
      <c r="L141" s="10" t="n">
        <f aca="false">SRC_ZP_452</f>
        <v>100000</v>
      </c>
      <c r="M141" s="13" t="s">
        <v>6015</v>
      </c>
    </row>
    <row r="142" customFormat="false" ht="15" hidden="false" customHeight="false" outlineLevel="0" collapsed="false">
      <c r="A142" s="10" t="s">
        <v>6016</v>
      </c>
      <c r="B142" s="11" t="s">
        <v>6017</v>
      </c>
      <c r="C142" s="10" t="s">
        <v>4526</v>
      </c>
      <c r="L142" s="10" t="n">
        <f aca="false">L141*L94/INP_075</f>
        <v>0.1</v>
      </c>
      <c r="M142" s="2" t="s">
        <v>6018</v>
      </c>
    </row>
    <row r="143" customFormat="false" ht="15" hidden="false" customHeight="false" outlineLevel="0" collapsed="false">
      <c r="A143" s="10" t="s">
        <v>6019</v>
      </c>
      <c r="B143" s="11" t="s">
        <v>6020</v>
      </c>
      <c r="C143" s="10" t="s">
        <v>4526</v>
      </c>
      <c r="L143" s="10" t="n">
        <f aca="false">L142*INP_101</f>
        <v>0.13</v>
      </c>
      <c r="M143" s="2"/>
    </row>
    <row r="144" customFormat="false" ht="15" hidden="false" customHeight="false" outlineLevel="0" collapsed="false">
      <c r="A144" s="10" t="s">
        <v>6021</v>
      </c>
      <c r="B144" s="11" t="s">
        <v>6022</v>
      </c>
      <c r="C144" s="10" t="s">
        <v>4526</v>
      </c>
      <c r="D144" s="10" t="n">
        <f aca="false">D119*D23</f>
        <v>0.0107792190180268</v>
      </c>
      <c r="E144" s="10" t="n">
        <f aca="false">E119*E23</f>
        <v>0.0662533443056148</v>
      </c>
      <c r="F144" s="10" t="n">
        <f aca="false">F119*F23</f>
        <v>0.159258244924954</v>
      </c>
      <c r="G144" s="10" t="n">
        <f aca="false">G119*G23</f>
        <v>0.295884696097897</v>
      </c>
      <c r="H144" s="10" t="n">
        <f aca="false">H119*H23</f>
        <v>0.508004102122128</v>
      </c>
      <c r="I144" s="10" t="n">
        <f aca="false">I119*I23</f>
        <v>0.813388187941578</v>
      </c>
      <c r="K144" s="10" t="n">
        <f aca="false">K119*K23</f>
        <v>0.0451508159425071</v>
      </c>
      <c r="L144" s="10" t="n">
        <f aca="false">L119*L23</f>
        <v>0.0870118097062804</v>
      </c>
      <c r="M144" s="2"/>
    </row>
    <row r="145" customFormat="false" ht="15" hidden="false" customHeight="false" outlineLevel="0" collapsed="false">
      <c r="A145" s="10" t="s">
        <v>6023</v>
      </c>
      <c r="B145" s="11" t="s">
        <v>6024</v>
      </c>
      <c r="C145" s="10" t="s">
        <v>4526</v>
      </c>
      <c r="D145" s="10" t="n">
        <f aca="false">D124*D23</f>
        <v>0.00754545331261877</v>
      </c>
      <c r="E145" s="10" t="n">
        <f aca="false">E124*E23</f>
        <v>0.0433068968796375</v>
      </c>
      <c r="F145" s="10" t="n">
        <f aca="false">F124*F23</f>
        <v>0.100332694302721</v>
      </c>
      <c r="G145" s="10" t="n">
        <f aca="false">G124*G23</f>
        <v>0.186407358541675</v>
      </c>
      <c r="H145" s="10" t="n">
        <f aca="false">H124*H23</f>
        <v>0.320042584336941</v>
      </c>
      <c r="I145" s="10" t="n">
        <f aca="false">I124*I23</f>
        <v>0.512434558403194</v>
      </c>
      <c r="K145" s="10" t="n">
        <f aca="false">K124*K23</f>
        <v>0.031605571159755</v>
      </c>
      <c r="L145" s="10" t="n">
        <f aca="false">L124*L23</f>
        <v>0.0548174401149567</v>
      </c>
      <c r="M145" s="2" t="s">
        <v>6025</v>
      </c>
    </row>
    <row r="146" customFormat="false" ht="15" hidden="false" customHeight="false" outlineLevel="0" collapsed="false">
      <c r="A146" s="10" t="s">
        <v>6026</v>
      </c>
      <c r="B146" s="11" t="s">
        <v>6027</v>
      </c>
      <c r="C146" s="11" t="s">
        <v>4705</v>
      </c>
      <c r="L146" s="10" t="n">
        <f aca="false">(L144-L142)/L142</f>
        <v>-0.129881902937196</v>
      </c>
      <c r="M146" s="13" t="s">
        <v>6028</v>
      </c>
    </row>
    <row r="147" customFormat="false" ht="15" hidden="false" customHeight="false" outlineLevel="0" collapsed="false">
      <c r="A147" s="10" t="s">
        <v>6029</v>
      </c>
      <c r="B147" s="11" t="s">
        <v>6030</v>
      </c>
      <c r="C147" s="11" t="s">
        <v>4705</v>
      </c>
      <c r="L147" s="10" t="n">
        <f aca="false">(L145-L142)/L142</f>
        <v>-0.451825598850433</v>
      </c>
      <c r="M147" s="2" t="s">
        <v>6031</v>
      </c>
    </row>
    <row r="148" customFormat="false" ht="15" hidden="false" customHeight="false" outlineLevel="0" collapsed="false">
      <c r="A148" s="10" t="s">
        <v>6032</v>
      </c>
      <c r="B148" s="11" t="s">
        <v>6033</v>
      </c>
      <c r="C148" s="10" t="s">
        <v>4526</v>
      </c>
      <c r="L148" s="10" t="n">
        <f aca="false">SRC_ZP_458/INP_101</f>
        <v>0.769230769230769</v>
      </c>
      <c r="M148" s="13" t="s">
        <v>6034</v>
      </c>
    </row>
    <row r="149" customFormat="false" ht="15" hidden="false" customHeight="false" outlineLevel="0" collapsed="false">
      <c r="A149" s="15" t="s">
        <v>6035</v>
      </c>
    </row>
    <row r="150" customFormat="false" ht="15" hidden="false" customHeight="false" outlineLevel="0" collapsed="false">
      <c r="A150" s="10" t="s">
        <v>6036</v>
      </c>
      <c r="B150" s="10" t="s">
        <v>6037</v>
      </c>
      <c r="C150" s="10" t="s">
        <v>4679</v>
      </c>
      <c r="D150" s="16" t="n">
        <f aca="false">Demand!D26</f>
        <v>1095.150672</v>
      </c>
      <c r="K150" s="16" t="n">
        <f aca="false">Demand!K26</f>
        <v>3620.498112</v>
      </c>
      <c r="M150" s="13" t="s">
        <v>6038</v>
      </c>
    </row>
    <row r="151" customFormat="false" ht="15" hidden="false" customHeight="false" outlineLevel="0" collapsed="false">
      <c r="A151" s="10" t="s">
        <v>6039</v>
      </c>
      <c r="B151" s="10" t="s">
        <v>6040</v>
      </c>
      <c r="C151" s="10" t="s">
        <v>4526</v>
      </c>
      <c r="D151" s="10" t="n">
        <f aca="false">D66</f>
        <v>0.0220792061645733</v>
      </c>
      <c r="K151" s="10" t="n">
        <f aca="false">K66</f>
        <v>0.166568292598092</v>
      </c>
      <c r="M151" s="2"/>
    </row>
    <row r="152" customFormat="false" ht="15" hidden="false" customHeight="false" outlineLevel="0" collapsed="false">
      <c r="A152" s="10" t="s">
        <v>6041</v>
      </c>
      <c r="B152" s="11" t="s">
        <v>6042</v>
      </c>
      <c r="C152" s="10" t="s">
        <v>4526</v>
      </c>
      <c r="D152" s="16" t="n">
        <f aca="false">Demand!D26*INP_074/D71</f>
        <v>0.10410341717987</v>
      </c>
      <c r="K152" s="16" t="n">
        <f aca="false">Demand!K26*INP_074/(K71*INP_008/INP_007)</f>
        <v>0.789970781791457</v>
      </c>
      <c r="M152" s="13" t="s">
        <v>5848</v>
      </c>
    </row>
    <row r="153" customFormat="false" ht="15" hidden="false" customHeight="false" outlineLevel="0" collapsed="false">
      <c r="A153" s="10" t="s">
        <v>6043</v>
      </c>
      <c r="B153" s="10" t="s">
        <v>6044</v>
      </c>
      <c r="C153" s="11" t="s">
        <v>4705</v>
      </c>
      <c r="D153" s="10" t="n">
        <f aca="false">D151/D65</f>
        <v>0.779759386953739</v>
      </c>
      <c r="K153" s="10" t="n">
        <f aca="false">K151/K65</f>
        <v>0.809219906922894</v>
      </c>
      <c r="M153" s="2"/>
    </row>
    <row r="154" customFormat="false" ht="15" hidden="false" customHeight="false" outlineLevel="0" collapsed="false">
      <c r="A154" s="10" t="s">
        <v>6045</v>
      </c>
      <c r="B154" s="11" t="s">
        <v>6046</v>
      </c>
      <c r="C154" s="11" t="s">
        <v>1709</v>
      </c>
      <c r="D154" s="10" t="n">
        <f aca="false">D151/D105</f>
        <v>9.70395251736962</v>
      </c>
      <c r="K154" s="10" t="n">
        <f aca="false">K151/K105</f>
        <v>7.65627135399773</v>
      </c>
      <c r="M154" s="13" t="s">
        <v>6047</v>
      </c>
    </row>
    <row r="155" customFormat="false" ht="15" hidden="false" customHeight="false" outlineLevel="0" collapsed="false">
      <c r="A155" s="10" t="s">
        <v>6048</v>
      </c>
      <c r="B155" s="11" t="s">
        <v>6049</v>
      </c>
      <c r="C155" s="11" t="s">
        <v>4705</v>
      </c>
      <c r="D155" s="10" t="n">
        <f aca="false">INP_060*(D105-(D65-D151))/D151</f>
        <v>-0.0269094144394998</v>
      </c>
      <c r="K155" s="10" t="n">
        <f aca="false">INP_060*(K105-(K65-K151))/K151</f>
        <v>-0.015771922776415</v>
      </c>
      <c r="M155" s="2" t="s">
        <v>6050</v>
      </c>
    </row>
    <row r="156" customFormat="false" ht="15" hidden="false" customHeight="false" outlineLevel="0" collapsed="false">
      <c r="A156" s="10" t="s">
        <v>6051</v>
      </c>
      <c r="B156" s="11" t="s">
        <v>6052</v>
      </c>
      <c r="C156" s="11" t="s">
        <v>4705</v>
      </c>
      <c r="D156" s="10" t="n">
        <f aca="false">(D105-(D65-D66)-D66*D60*D48/D61)/(D66*(1-D60)/D61*(D47-D46))+D46/(D46-D47)</f>
        <v>1.49915871442084</v>
      </c>
      <c r="K156" s="10" t="n">
        <f aca="false">(K105-(K65-K66)-K66*K60*K48/K61)/(K66*(1-K60)/K61*(K47-K46))+K46/(K46-K47)</f>
        <v>1.46143813743589</v>
      </c>
      <c r="M156" s="2" t="s">
        <v>6053</v>
      </c>
    </row>
    <row r="157" customFormat="false" ht="15" hidden="false" customHeight="false" outlineLevel="0" collapsed="false">
      <c r="A157" s="15" t="s">
        <v>6054</v>
      </c>
    </row>
    <row r="158" customFormat="false" ht="15" hidden="false" customHeight="false" outlineLevel="0" collapsed="false">
      <c r="A158" s="10" t="s">
        <v>6055</v>
      </c>
      <c r="B158" s="10" t="s">
        <v>6056</v>
      </c>
      <c r="C158" s="10" t="s">
        <v>5909</v>
      </c>
      <c r="I158" s="10" t="n">
        <f aca="false">I25*I99*SRC_ZP_473/SRC_ZP_474+I24*I100*SRC_ZP_462_Lo/SRC_ZP_462+I23*I101*SRC_ZP_478/AVERAGE(SRC_ZP_478,SRC_ZP_479)</f>
        <v>332.895672832281</v>
      </c>
      <c r="K158" s="10" t="n">
        <f aca="false">K25*K99*SRC_ZP_473/SRC_ZP_474+K24*K100*SRC_ZP_462_Lo/SRC_ZP_462+K23*K101*SRC_ZP_478/AVERAGE(SRC_ZP_478,SRC_ZP_479)</f>
        <v>486.75349710018</v>
      </c>
      <c r="M158" s="2" t="s">
        <v>6057</v>
      </c>
    </row>
    <row r="159" customFormat="false" ht="15" hidden="false" customHeight="false" outlineLevel="0" collapsed="false">
      <c r="A159" s="10" t="s">
        <v>6058</v>
      </c>
      <c r="B159" s="10" t="s">
        <v>6059</v>
      </c>
      <c r="C159" s="10" t="s">
        <v>4526</v>
      </c>
      <c r="K159" s="10" t="n">
        <f aca="false">K87/(K158*INP_008/INP_007)</f>
        <v>0.0891752521747064</v>
      </c>
      <c r="M159" s="13" t="s">
        <v>6060</v>
      </c>
    </row>
    <row r="160" customFormat="false" ht="15" hidden="false" customHeight="false" outlineLevel="0" collapsed="false">
      <c r="A160" s="10" t="s">
        <v>6061</v>
      </c>
      <c r="B160" s="10" t="s">
        <v>6062</v>
      </c>
      <c r="C160" s="11" t="s">
        <v>1709</v>
      </c>
      <c r="K160" s="10" t="n">
        <f aca="false">IF(INP_139,K65/(K80/(K158*INP_008/INP_007)),MAX(INP_138,K65/(K159*(1-INP_109))))</f>
        <v>3.29748926187723</v>
      </c>
      <c r="M160" s="2" t="s">
        <v>6063</v>
      </c>
    </row>
    <row r="161" customFormat="false" ht="15" hidden="false" customHeight="false" outlineLevel="0" collapsed="false">
      <c r="A161" s="10" t="s">
        <v>6064</v>
      </c>
      <c r="B161" s="10" t="s">
        <v>6065</v>
      </c>
      <c r="C161" s="11" t="s">
        <v>4705</v>
      </c>
      <c r="I161" s="10" t="n">
        <f aca="false">K161+INP_120*(INP_110-K161)</f>
        <v>0.3</v>
      </c>
      <c r="K161" s="10" t="n">
        <f aca="false">(1-K65/K160/K159)</f>
        <v>0.3</v>
      </c>
      <c r="M161" s="13" t="s">
        <v>6066</v>
      </c>
    </row>
    <row r="162" customFormat="false" ht="15" hidden="false" customHeight="false" outlineLevel="0" collapsed="false">
      <c r="A162" s="10" t="s">
        <v>6067</v>
      </c>
      <c r="B162" s="10" t="s">
        <v>6068</v>
      </c>
      <c r="C162" s="10" t="s">
        <v>4526</v>
      </c>
      <c r="I162" s="10" t="n">
        <f aca="false">I65/$K$160/((1-INP_108)*(1-I161))</f>
        <v>1.01462194056908</v>
      </c>
      <c r="M162" s="2" t="s">
        <v>6069</v>
      </c>
    </row>
    <row r="163" customFormat="false" ht="15" hidden="false" customHeight="false" outlineLevel="0" collapsed="false">
      <c r="A163" s="10" t="s">
        <v>6070</v>
      </c>
      <c r="B163" s="10" t="s">
        <v>6071</v>
      </c>
      <c r="C163" s="10" t="s">
        <v>4526</v>
      </c>
      <c r="I163" s="10" t="n">
        <f aca="false">I162*I136</f>
        <v>0.0569726567972202</v>
      </c>
      <c r="K163" s="10" t="n">
        <f aca="false">K159*K136</f>
        <v>0.0053384642533244</v>
      </c>
      <c r="M163" s="2"/>
    </row>
    <row r="164" customFormat="false" ht="15" hidden="false" customHeight="false" outlineLevel="0" collapsed="false">
      <c r="A164" s="10" t="s">
        <v>6072</v>
      </c>
      <c r="B164" s="10" t="s">
        <v>6073</v>
      </c>
      <c r="C164" s="10" t="s">
        <v>5909</v>
      </c>
      <c r="I164" s="10" t="n">
        <f aca="false">I25*I99*SRC_ZP_472/SRC_ZP_474+I24*I100*SRC_ZP_462_Hi/SRC_ZP_462+I23*I101*SRC_ZP_479/AVERAGE(SRC_ZP_478,SRC_ZP_479)</f>
        <v>520.687799616967</v>
      </c>
      <c r="K164" s="10" t="n">
        <f aca="false">K25*K99*SRC_ZP_472/SRC_ZP_474+K24*K100*SRC_ZP_462_Hi/SRC_ZP_462+K23*K101*SRC_ZP_479/AVERAGE(SRC_ZP_478,SRC_ZP_479)</f>
        <v>730.581833034109</v>
      </c>
      <c r="M164" s="2" t="s">
        <v>6057</v>
      </c>
    </row>
    <row r="165" customFormat="false" ht="15" hidden="false" customHeight="false" outlineLevel="0" collapsed="false">
      <c r="A165" s="10" t="s">
        <v>6074</v>
      </c>
      <c r="B165" s="10" t="s">
        <v>6075</v>
      </c>
      <c r="C165" s="10" t="s">
        <v>4526</v>
      </c>
      <c r="K165" s="10" t="n">
        <f aca="false">K87/(K164*INP_008/INP_007)</f>
        <v>0.0594134207670644</v>
      </c>
      <c r="M165" s="13" t="s">
        <v>6060</v>
      </c>
    </row>
    <row r="166" customFormat="false" ht="15" hidden="false" customHeight="false" outlineLevel="0" collapsed="false">
      <c r="A166" s="10" t="s">
        <v>6076</v>
      </c>
      <c r="B166" s="10" t="s">
        <v>6077</v>
      </c>
      <c r="C166" s="11" t="s">
        <v>1709</v>
      </c>
      <c r="K166" s="10" t="n">
        <f aca="false">IF(INP_139,K65/(K80/(K164*INP_008/INP_007)),MAX(INP_138,K65/(K165*(1-INP_109))))</f>
        <v>4.94929315085483</v>
      </c>
      <c r="M166" s="2" t="s">
        <v>6063</v>
      </c>
    </row>
    <row r="167" customFormat="false" ht="15" hidden="false" customHeight="false" outlineLevel="0" collapsed="false">
      <c r="A167" s="10" t="s">
        <v>6078</v>
      </c>
      <c r="B167" s="10" t="s">
        <v>6079</v>
      </c>
      <c r="C167" s="11" t="s">
        <v>4705</v>
      </c>
      <c r="I167" s="10" t="n">
        <f aca="false">K167+INP_120*(INP_110-K167)</f>
        <v>0.3</v>
      </c>
      <c r="K167" s="10" t="n">
        <f aca="false">(1-K65/K166/K165)</f>
        <v>0.3</v>
      </c>
      <c r="M167" s="13" t="s">
        <v>6066</v>
      </c>
    </row>
    <row r="168" customFormat="false" ht="15" hidden="false" customHeight="false" outlineLevel="0" collapsed="false">
      <c r="A168" s="10" t="s">
        <v>6080</v>
      </c>
      <c r="B168" s="10" t="s">
        <v>6081</v>
      </c>
      <c r="C168" s="10" t="s">
        <v>4526</v>
      </c>
      <c r="I168" s="10" t="n">
        <f aca="false">I65/$K$166/((1-INP_108)*(1-I167))</f>
        <v>0.675996521506047</v>
      </c>
      <c r="M168" s="2" t="s">
        <v>6069</v>
      </c>
    </row>
    <row r="169" customFormat="false" ht="15" hidden="false" customHeight="false" outlineLevel="0" collapsed="false">
      <c r="A169" s="10" t="s">
        <v>6082</v>
      </c>
      <c r="B169" s="10" t="s">
        <v>6083</v>
      </c>
      <c r="C169" s="10" t="s">
        <v>4526</v>
      </c>
      <c r="I169" s="10" t="n">
        <f aca="false">I168*I136</f>
        <v>0.0379582938983928</v>
      </c>
      <c r="K169" s="10" t="n">
        <f aca="false">K165*K136</f>
        <v>0.00355677629384556</v>
      </c>
      <c r="M169" s="2"/>
    </row>
    <row r="170" customFormat="false" ht="15" hidden="false" customHeight="false" outlineLevel="0" collapsed="false">
      <c r="A170" s="10" t="s">
        <v>6084</v>
      </c>
      <c r="B170" s="10" t="s">
        <v>6085</v>
      </c>
      <c r="C170" s="10" t="s">
        <v>4526</v>
      </c>
      <c r="I170" s="10" t="n">
        <f aca="false">I65/INP_106</f>
        <v>2.10779412095169</v>
      </c>
      <c r="M170" s="13" t="s">
        <v>6086</v>
      </c>
    </row>
    <row r="171" customFormat="false" ht="15" hidden="false" customHeight="false" outlineLevel="0" collapsed="false">
      <c r="A171" s="10" t="s">
        <v>6087</v>
      </c>
      <c r="B171" s="10" t="s">
        <v>6088</v>
      </c>
      <c r="C171" s="10" t="s">
        <v>4526</v>
      </c>
      <c r="I171" s="10" t="n">
        <f aca="false">I170/((1-INP_108)*(1-I113))</f>
        <v>3.34570495389157</v>
      </c>
      <c r="M171" s="2"/>
    </row>
    <row r="172" customFormat="false" ht="15" hidden="false" customHeight="false" outlineLevel="0" collapsed="false">
      <c r="A172" s="10" t="s">
        <v>6089</v>
      </c>
      <c r="B172" s="10" t="s">
        <v>6090</v>
      </c>
      <c r="C172" s="10" t="s">
        <v>4526</v>
      </c>
      <c r="I172" s="10" t="n">
        <f aca="false">I171*I136</f>
        <v>0.18786672400945</v>
      </c>
      <c r="M172" s="2"/>
    </row>
    <row r="173" customFormat="false" ht="15" hidden="false" customHeight="false" outlineLevel="0" collapsed="false">
      <c r="A173" s="10" t="s">
        <v>6091</v>
      </c>
      <c r="B173" s="10" t="s">
        <v>6092</v>
      </c>
      <c r="C173" s="11" t="s">
        <v>1709</v>
      </c>
      <c r="I173" s="16" t="n">
        <f aca="false">Inputs!$G$86</f>
        <v>0.4</v>
      </c>
      <c r="K173" s="16" t="n">
        <f aca="false">Inputs!$G$86</f>
        <v>0.4</v>
      </c>
      <c r="M173" s="13" t="s">
        <v>6093</v>
      </c>
    </row>
    <row r="174" customFormat="false" ht="15" hidden="false" customHeight="false" outlineLevel="0" collapsed="false">
      <c r="A174" s="10" t="s">
        <v>6094</v>
      </c>
      <c r="B174" s="10" t="s">
        <v>6095</v>
      </c>
      <c r="C174" s="11" t="s">
        <v>1709</v>
      </c>
      <c r="I174" s="10" t="n">
        <f aca="false">I25+I24*I14+I23*I173</f>
        <v>0.43</v>
      </c>
      <c r="K174" s="10" t="n">
        <f aca="false">K25+K24*K14+K23*K173</f>
        <v>0.541</v>
      </c>
      <c r="M174" s="2"/>
    </row>
    <row r="175" customFormat="false" ht="15" hidden="false" customHeight="false" outlineLevel="0" collapsed="false">
      <c r="A175" s="10" t="s">
        <v>6096</v>
      </c>
      <c r="B175" s="10" t="s">
        <v>6097</v>
      </c>
      <c r="C175" s="10" t="s">
        <v>4526</v>
      </c>
      <c r="I175" s="10" t="n">
        <f aca="false">I65*I26/I174</f>
        <v>3.03914501160476</v>
      </c>
      <c r="K175" s="10" t="n">
        <f aca="false">K65*K26/K174</f>
        <v>0.25149535629439</v>
      </c>
      <c r="M175" s="2" t="s">
        <v>6098</v>
      </c>
    </row>
    <row r="176" customFormat="false" ht="15" hidden="false" customHeight="false" outlineLevel="0" collapsed="false">
      <c r="A176" s="10" t="s">
        <v>6099</v>
      </c>
      <c r="B176" s="10" t="s">
        <v>6100</v>
      </c>
      <c r="C176" s="11" t="s">
        <v>1709</v>
      </c>
      <c r="K176" s="10" t="n">
        <f aca="false">IF(INP_139,K175/K105,MAX(INP_138,K175/(K119*(1-INP_109))))</f>
        <v>4.77438654767231</v>
      </c>
      <c r="M176" s="2" t="s">
        <v>6063</v>
      </c>
    </row>
    <row r="177" customFormat="false" ht="15" hidden="false" customHeight="false" outlineLevel="0" collapsed="false">
      <c r="A177" s="10" t="s">
        <v>6101</v>
      </c>
      <c r="B177" s="10" t="s">
        <v>6102</v>
      </c>
      <c r="C177" s="11" t="s">
        <v>4705</v>
      </c>
      <c r="I177" s="10" t="n">
        <f aca="false">K177+INP_120*(INP_110-K177)</f>
        <v>0.3</v>
      </c>
      <c r="K177" s="10" t="n">
        <f aca="false">(1-K175/K176/K119)</f>
        <v>0.3</v>
      </c>
      <c r="M177" s="2"/>
    </row>
    <row r="178" customFormat="false" ht="15" hidden="false" customHeight="false" outlineLevel="0" collapsed="false">
      <c r="A178" s="10" t="s">
        <v>6103</v>
      </c>
      <c r="B178" s="10" t="s">
        <v>6104</v>
      </c>
      <c r="C178" s="10" t="s">
        <v>4526</v>
      </c>
      <c r="I178" s="10" t="n">
        <f aca="false">I175/$K$176/((1-INP_108)*(1-I177))</f>
        <v>1.01039990222657</v>
      </c>
      <c r="M178" s="2"/>
    </row>
    <row r="179" customFormat="false" ht="15" hidden="false" customHeight="false" outlineLevel="0" collapsed="false">
      <c r="A179" s="10" t="s">
        <v>6105</v>
      </c>
      <c r="B179" s="10" t="s">
        <v>6106</v>
      </c>
      <c r="C179" s="10" t="s">
        <v>4526</v>
      </c>
      <c r="I179" s="10" t="n">
        <f aca="false">I178*(I25*I133+I24*I134+I23*I133*I173)</f>
        <v>0.0393488717626021</v>
      </c>
      <c r="M179" s="2"/>
    </row>
    <row r="180" customFormat="false" ht="15" hidden="false" customHeight="false" outlineLevel="0" collapsed="false">
      <c r="A180" s="10" t="s">
        <v>6107</v>
      </c>
      <c r="B180" s="10" t="s">
        <v>6108</v>
      </c>
      <c r="C180" s="11" t="s">
        <v>1709</v>
      </c>
      <c r="I180" s="16" t="n">
        <f aca="false">Inputs!$H$86</f>
        <v>0.9</v>
      </c>
      <c r="K180" s="16" t="n">
        <f aca="false">Inputs!$H$86</f>
        <v>0.9</v>
      </c>
      <c r="M180" s="13" t="s">
        <v>6109</v>
      </c>
    </row>
    <row r="181" customFormat="false" ht="15" hidden="false" customHeight="false" outlineLevel="0" collapsed="false">
      <c r="A181" s="10" t="s">
        <v>6110</v>
      </c>
      <c r="B181" s="10" t="s">
        <v>6111</v>
      </c>
      <c r="C181" s="11" t="s">
        <v>1709</v>
      </c>
      <c r="I181" s="10" t="n">
        <f aca="false">I25+I24*I14+I23*I180</f>
        <v>0.905</v>
      </c>
      <c r="K181" s="10" t="n">
        <f aca="false">K25+K24*K14+K23*K180</f>
        <v>0.841</v>
      </c>
      <c r="M181" s="2"/>
    </row>
    <row r="182" customFormat="false" ht="15" hidden="false" customHeight="false" outlineLevel="0" collapsed="false">
      <c r="A182" s="10" t="s">
        <v>6112</v>
      </c>
      <c r="B182" s="10" t="s">
        <v>6113</v>
      </c>
      <c r="C182" s="10" t="s">
        <v>4526</v>
      </c>
      <c r="I182" s="10" t="n">
        <f aca="false">I65*I26/I181</f>
        <v>1.4440136519227</v>
      </c>
      <c r="K182" s="10" t="n">
        <f aca="false">K65*K26/K181</f>
        <v>0.161782387342765</v>
      </c>
      <c r="M182" s="2" t="s">
        <v>6098</v>
      </c>
    </row>
    <row r="183" customFormat="false" ht="15" hidden="false" customHeight="false" outlineLevel="0" collapsed="false">
      <c r="A183" s="10" t="s">
        <v>6114</v>
      </c>
      <c r="B183" s="10" t="s">
        <v>6115</v>
      </c>
      <c r="C183" s="11" t="s">
        <v>1709</v>
      </c>
      <c r="K183" s="10" t="n">
        <f aca="false">IF(INP_139,K182/K105,MAX(INP_138,K182/(K119*(1-INP_109))))</f>
        <v>3.07127600748005</v>
      </c>
      <c r="M183" s="2" t="s">
        <v>6063</v>
      </c>
    </row>
    <row r="184" customFormat="false" ht="15" hidden="false" customHeight="false" outlineLevel="0" collapsed="false">
      <c r="A184" s="10" t="s">
        <v>6116</v>
      </c>
      <c r="B184" s="10" t="s">
        <v>6117</v>
      </c>
      <c r="C184" s="11" t="s">
        <v>4705</v>
      </c>
      <c r="I184" s="10" t="n">
        <f aca="false">K184+INP_120*(INP_110-K184)</f>
        <v>0.3</v>
      </c>
      <c r="K184" s="10" t="n">
        <f aca="false">(1-K182/K183/K119)</f>
        <v>0.3</v>
      </c>
      <c r="M184" s="2"/>
    </row>
    <row r="185" customFormat="false" ht="15" hidden="false" customHeight="false" outlineLevel="0" collapsed="false">
      <c r="A185" s="10" t="s">
        <v>6118</v>
      </c>
      <c r="B185" s="10" t="s">
        <v>6119</v>
      </c>
      <c r="C185" s="10" t="s">
        <v>4526</v>
      </c>
      <c r="I185" s="10" t="n">
        <f aca="false">I182/$K$183/((1-INP_108)*(1-I184))</f>
        <v>0.746297355301096</v>
      </c>
      <c r="M185" s="2"/>
    </row>
    <row r="186" customFormat="false" ht="15" hidden="false" customHeight="false" outlineLevel="0" collapsed="false">
      <c r="A186" s="10" t="s">
        <v>6120</v>
      </c>
      <c r="B186" s="10" t="s">
        <v>6121</v>
      </c>
      <c r="C186" s="10" t="s">
        <v>4526</v>
      </c>
      <c r="I186" s="10" t="n">
        <f aca="false">I185*(I25*I133+I24*I134+I23*I133*I180)</f>
        <v>0.0611689485255977</v>
      </c>
      <c r="M186" s="2"/>
    </row>
    <row r="187" customFormat="false" ht="15" hidden="false" customHeight="false" outlineLevel="0" collapsed="false">
      <c r="A187" s="15" t="s">
        <v>6122</v>
      </c>
    </row>
    <row r="188" customFormat="false" ht="15" hidden="false" customHeight="false" outlineLevel="0" collapsed="false">
      <c r="A188" s="10" t="s">
        <v>6123</v>
      </c>
      <c r="B188" s="11" t="s">
        <v>6124</v>
      </c>
      <c r="C188" s="10" t="s">
        <v>5909</v>
      </c>
      <c r="D188" s="10" t="n">
        <f aca="false">D96*D91*INP_076/INP_077</f>
        <v>840.155061019383</v>
      </c>
      <c r="E188" s="10" t="n">
        <f aca="false">E96*E91*INP_076/INP_077</f>
        <v>818.978549892319</v>
      </c>
      <c r="F188" s="10" t="n">
        <f aca="false">F96*F91*INP_076/INP_077</f>
        <v>737.080694903087</v>
      </c>
      <c r="G188" s="10" t="n">
        <f aca="false">G96*G91*INP_076/INP_077</f>
        <v>663.372625412778</v>
      </c>
      <c r="H188" s="10" t="n">
        <f aca="false">H96*H91*INP_076/INP_077</f>
        <v>597.0353628715</v>
      </c>
      <c r="I188" s="10" t="n">
        <f aca="false">I96*I91*INP_076/INP_077</f>
        <v>537.33182658435</v>
      </c>
      <c r="K188" s="10" t="n">
        <f aca="false">K96*K91*INP_076/INP_077</f>
        <v>840.155061019383</v>
      </c>
      <c r="L188" s="10" t="n">
        <f aca="false">L96*L91*INP_076/INP_077</f>
        <v>798.147307968413</v>
      </c>
      <c r="M188" s="2" t="s">
        <v>6125</v>
      </c>
    </row>
    <row r="189" customFormat="false" ht="15" hidden="false" customHeight="false" outlineLevel="0" collapsed="false">
      <c r="A189" s="10" t="s">
        <v>6126</v>
      </c>
      <c r="B189" s="11" t="s">
        <v>6127</v>
      </c>
      <c r="C189" s="10" t="s">
        <v>5909</v>
      </c>
      <c r="D189" s="10" t="n">
        <f aca="false">D97*D93*INP_076/INP_077</f>
        <v>600.34128440367</v>
      </c>
      <c r="E189" s="10" t="n">
        <f aca="false">E97*E93*INP_076/INP_077</f>
        <v>585.209394495413</v>
      </c>
      <c r="F189" s="10" t="n">
        <f aca="false">F97*F93*INP_076/INP_077</f>
        <v>526.688455045872</v>
      </c>
      <c r="G189" s="10" t="n">
        <f aca="false">G97*G93*INP_076/INP_077</f>
        <v>474.019609541284</v>
      </c>
      <c r="H189" s="10" t="n">
        <f aca="false">H97*H93*INP_076/INP_077</f>
        <v>426.617648587156</v>
      </c>
      <c r="I189" s="10" t="n">
        <f aca="false">I97*I93*INP_076/INP_077</f>
        <v>383.95588372844</v>
      </c>
      <c r="K189" s="10" t="n">
        <f aca="false">K97*K93*INP_076/INP_077</f>
        <v>600.34128440367</v>
      </c>
      <c r="L189" s="10" t="n">
        <f aca="false">L97*L93*INP_076/INP_077</f>
        <v>570.324220183486</v>
      </c>
      <c r="M189" s="2" t="s">
        <v>6125</v>
      </c>
    </row>
    <row r="190" customFormat="false" ht="15" hidden="false" customHeight="false" outlineLevel="0" collapsed="false">
      <c r="A190" s="10" t="s">
        <v>6128</v>
      </c>
      <c r="B190" s="11" t="s">
        <v>6129</v>
      </c>
      <c r="C190" s="10" t="s">
        <v>5909</v>
      </c>
      <c r="D190" s="10" t="n">
        <f aca="false">D98*D95*INP_076/INP_077</f>
        <v>461.214</v>
      </c>
      <c r="E190" s="10" t="n">
        <f aca="false">E98*E95*INP_076/INP_077</f>
        <v>449.58888</v>
      </c>
      <c r="F190" s="10" t="n">
        <f aca="false">F98*F95*INP_076/INP_077</f>
        <v>404.629992</v>
      </c>
      <c r="G190" s="10" t="n">
        <f aca="false">G98*G95*INP_076/INP_077</f>
        <v>364.1669928</v>
      </c>
      <c r="H190" s="10" t="n">
        <f aca="false">H98*H95*INP_076/INP_077</f>
        <v>327.75029352</v>
      </c>
      <c r="I190" s="10" t="n">
        <f aca="false">I98*I95*INP_076/INP_077</f>
        <v>294.975264168</v>
      </c>
      <c r="K190" s="10" t="n">
        <f aca="false">K98*K95*INP_076/INP_077</f>
        <v>461.214</v>
      </c>
      <c r="L190" s="10" t="n">
        <f aca="false">L98*L95*INP_076/INP_077</f>
        <v>438.1533</v>
      </c>
      <c r="M190" s="2" t="s">
        <v>6125</v>
      </c>
    </row>
    <row r="191" customFormat="false" ht="15" hidden="false" customHeight="false" outlineLevel="0" collapsed="false">
      <c r="A191" s="10" t="s">
        <v>6130</v>
      </c>
      <c r="B191" s="11" t="s">
        <v>6131</v>
      </c>
      <c r="C191" s="10" t="s">
        <v>5909</v>
      </c>
      <c r="D191" s="10" t="n">
        <f aca="false">SUMIFS(TK_IF_HoldEcon,TK_HdrGen,$D$8,TK_HdrCost,$D$10)*INP_023*INP_021</f>
        <v>680.446507149537</v>
      </c>
      <c r="E191" s="10" t="n">
        <f aca="false">SUMIFS(TK_IF_HoldEcon,TK_HdrGen,$D$8,TK_HdrCost,$D$10)*INP_023*INP_021</f>
        <v>680.446507149537</v>
      </c>
      <c r="F191" s="10" t="n">
        <f aca="false">SUMIFS(TK_IF_HoldEcon,TK_HdrGen,$D$8,TK_HdrCost,$D$10)*INP_023*INP_021</f>
        <v>680.446507149537</v>
      </c>
      <c r="G191" s="10" t="n">
        <f aca="false">SUMIFS(TK_IF_HoldEcon,TK_HdrGen,$D$8,TK_HdrCost,$D$10)*INP_023*INP_021</f>
        <v>680.446507149537</v>
      </c>
      <c r="H191" s="10" t="n">
        <f aca="false">SUMIFS(TK_IF_HoldEcon,TK_HdrGen,$D$8,TK_HdrCost,$D$10)*INP_023*INP_021</f>
        <v>680.446507149537</v>
      </c>
      <c r="I191" s="10" t="n">
        <f aca="false">SUMIFS(TK_IF_HoldEcon,TK_HdrGen,$D$8,TK_HdrCost,$D$10)*INP_023*INP_021</f>
        <v>680.446507149537</v>
      </c>
      <c r="K191" s="10" t="n">
        <f aca="false">SUMIFS(TK_IF_HoldEcon,TK_HdrGen,$D$8,TK_HdrCost,$D$10)*INP_023*INP_021</f>
        <v>680.446507149537</v>
      </c>
      <c r="L191" s="10" t="n">
        <f aca="false">SUMIFS(TK_IF_HoldEcon,TK_HdrGen,$D$8,TK_HdrCost,$D$10)*INP_023*INP_021</f>
        <v>680.446507149537</v>
      </c>
      <c r="M191" s="13" t="s">
        <v>6132</v>
      </c>
    </row>
    <row r="192" customFormat="false" ht="15" hidden="false" customHeight="false" outlineLevel="0" collapsed="false">
      <c r="A192" s="10" t="s">
        <v>6133</v>
      </c>
      <c r="B192" s="11" t="s">
        <v>6134</v>
      </c>
      <c r="C192" s="10" t="s">
        <v>5909</v>
      </c>
      <c r="D192" s="10" t="n">
        <f aca="false">SUMIFS(TK_IF_HoldEcon,TK_HdrGen,$D$8,TK_HdrCost,$D$10)*INP_023*INP_021*INP_114</f>
        <v>408.267904289722</v>
      </c>
      <c r="E192" s="10" t="n">
        <f aca="false">SUMIFS(TK_IF_HoldEcon,TK_HdrGen,$D$8,TK_HdrCost,$D$10)*INP_023*INP_021*INP_114</f>
        <v>408.267904289722</v>
      </c>
      <c r="F192" s="10" t="n">
        <f aca="false">SUMIFS(TK_IF_HoldEcon,TK_HdrGen,$D$8,TK_HdrCost,$D$10)*INP_023*INP_021*INP_114</f>
        <v>408.267904289722</v>
      </c>
      <c r="G192" s="10" t="n">
        <f aca="false">SUMIFS(TK_IF_HoldEcon,TK_HdrGen,$D$8,TK_HdrCost,$D$10)*INP_023*INP_021*INP_114</f>
        <v>408.267904289722</v>
      </c>
      <c r="H192" s="10" t="n">
        <f aca="false">SUMIFS(TK_IF_HoldEcon,TK_HdrGen,$D$8,TK_HdrCost,$D$10)*INP_023*INP_021*INP_114</f>
        <v>408.267904289722</v>
      </c>
      <c r="I192" s="10" t="n">
        <f aca="false">SUMIFS(TK_IF_HoldEcon,TK_HdrGen,$D$8,TK_HdrCost,$D$10)*INP_023*INP_021*INP_114</f>
        <v>408.267904289722</v>
      </c>
      <c r="K192" s="10" t="n">
        <f aca="false">SUMIFS(TK_IF_HoldEcon,TK_HdrGen,$D$8,TK_HdrCost,$D$10)*INP_023*INP_021*INP_114</f>
        <v>408.267904289722</v>
      </c>
      <c r="L192" s="10" t="n">
        <f aca="false">SUMIFS(TK_IF_HoldEcon,TK_HdrGen,$D$8,TK_HdrCost,$D$10)*INP_023*INP_021*INP_114</f>
        <v>408.267904289722</v>
      </c>
      <c r="M192" s="13" t="s">
        <v>6132</v>
      </c>
    </row>
    <row r="193" customFormat="false" ht="15" hidden="false" customHeight="false" outlineLevel="0" collapsed="false">
      <c r="A193" s="10" t="s">
        <v>6135</v>
      </c>
      <c r="B193" s="11" t="s">
        <v>6136</v>
      </c>
      <c r="C193" s="10" t="s">
        <v>5909</v>
      </c>
      <c r="D193" s="10" t="n">
        <f aca="false">SUMIFS(TK_IF_HoldEcon,TK_HdrGen,$D$8,TK_HdrCost,$D$10)*INP_023*INP_021*INP_115</f>
        <v>408.267904289722</v>
      </c>
      <c r="E193" s="10" t="n">
        <f aca="false">SUMIFS(TK_IF_HoldEcon,TK_HdrGen,$D$8,TK_HdrCost,$D$10)*INP_023*INP_021*INP_115</f>
        <v>408.267904289722</v>
      </c>
      <c r="F193" s="10" t="n">
        <f aca="false">SUMIFS(TK_IF_HoldEcon,TK_HdrGen,$D$8,TK_HdrCost,$D$10)*INP_023*INP_021*INP_115</f>
        <v>408.267904289722</v>
      </c>
      <c r="G193" s="10" t="n">
        <f aca="false">SUMIFS(TK_IF_HoldEcon,TK_HdrGen,$D$8,TK_HdrCost,$D$10)*INP_023*INP_021*INP_115</f>
        <v>408.267904289722</v>
      </c>
      <c r="H193" s="10" t="n">
        <f aca="false">SUMIFS(TK_IF_HoldEcon,TK_HdrGen,$D$8,TK_HdrCost,$D$10)*INP_023*INP_021*INP_115</f>
        <v>408.267904289722</v>
      </c>
      <c r="I193" s="10" t="n">
        <f aca="false">SUMIFS(TK_IF_HoldEcon,TK_HdrGen,$D$8,TK_HdrCost,$D$10)*INP_023*INP_021*INP_115</f>
        <v>408.267904289722</v>
      </c>
      <c r="K193" s="10" t="n">
        <f aca="false">SUMIFS(TK_IF_HoldEcon,TK_HdrGen,$D$8,TK_HdrCost,$D$10)*INP_023*INP_021*INP_115</f>
        <v>408.267904289722</v>
      </c>
      <c r="L193" s="10" t="n">
        <f aca="false">SUMIFS(TK_IF_HoldEcon,TK_HdrGen,$D$8,TK_HdrCost,$D$10)*INP_023*INP_021*INP_115</f>
        <v>408.267904289722</v>
      </c>
      <c r="M193" s="13" t="s">
        <v>6132</v>
      </c>
    </row>
    <row r="194" customFormat="false" ht="15" hidden="false" customHeight="false" outlineLevel="0" collapsed="false">
      <c r="A194" s="10" t="s">
        <v>6137</v>
      </c>
      <c r="B194" s="11" t="s">
        <v>6138</v>
      </c>
      <c r="C194" s="10" t="s">
        <v>5909</v>
      </c>
      <c r="D194" s="10" t="n">
        <f aca="false">D191*(1+INP_136)</f>
        <v>680.446507149537</v>
      </c>
      <c r="E194" s="10" t="n">
        <f aca="false">E191*(1+INP_136)</f>
        <v>680.446507149537</v>
      </c>
      <c r="F194" s="10" t="n">
        <f aca="false">F191*(1+INP_136)</f>
        <v>680.446507149537</v>
      </c>
      <c r="G194" s="10" t="n">
        <f aca="false">G191*(1+INP_136)</f>
        <v>680.446507149537</v>
      </c>
      <c r="H194" s="10" t="n">
        <f aca="false">H191*(1+INP_136)</f>
        <v>680.446507149537</v>
      </c>
      <c r="I194" s="10" t="n">
        <f aca="false">I191*(1+INP_136)</f>
        <v>680.446507149537</v>
      </c>
      <c r="K194" s="10" t="n">
        <f aca="false">K191*(1+INP_136)</f>
        <v>680.446507149537</v>
      </c>
      <c r="L194" s="10" t="n">
        <f aca="false">L191*(1+INP_136)</f>
        <v>680.446507149537</v>
      </c>
      <c r="M194" s="2" t="s">
        <v>6139</v>
      </c>
    </row>
    <row r="195" customFormat="false" ht="15" hidden="false" customHeight="false" outlineLevel="0" collapsed="false">
      <c r="A195" s="10" t="s">
        <v>6140</v>
      </c>
      <c r="B195" s="11" t="s">
        <v>6141</v>
      </c>
      <c r="C195" s="10" t="s">
        <v>5909</v>
      </c>
      <c r="D195" s="10" t="n">
        <f aca="false">D192*(1+INP_136)</f>
        <v>408.267904289722</v>
      </c>
      <c r="E195" s="10" t="n">
        <f aca="false">E192*(1+INP_136)</f>
        <v>408.267904289722</v>
      </c>
      <c r="F195" s="10" t="n">
        <f aca="false">F192*(1+INP_136)</f>
        <v>408.267904289722</v>
      </c>
      <c r="G195" s="10" t="n">
        <f aca="false">G192*(1+INP_136)</f>
        <v>408.267904289722</v>
      </c>
      <c r="H195" s="10" t="n">
        <f aca="false">H192*(1+INP_136)</f>
        <v>408.267904289722</v>
      </c>
      <c r="I195" s="10" t="n">
        <f aca="false">I192*(1+INP_136)</f>
        <v>408.267904289722</v>
      </c>
      <c r="K195" s="10" t="n">
        <f aca="false">K192*(1+INP_136)</f>
        <v>408.267904289722</v>
      </c>
      <c r="L195" s="10" t="n">
        <f aca="false">L192*(1+INP_136)</f>
        <v>408.267904289722</v>
      </c>
      <c r="M195" s="2" t="s">
        <v>6139</v>
      </c>
    </row>
    <row r="196" customFormat="false" ht="15" hidden="false" customHeight="false" outlineLevel="0" collapsed="false">
      <c r="A196" s="10" t="s">
        <v>6142</v>
      </c>
      <c r="B196" s="11" t="s">
        <v>6143</v>
      </c>
      <c r="C196" s="10" t="s">
        <v>5909</v>
      </c>
      <c r="D196" s="10" t="n">
        <f aca="false">D193*(1+INP_136)</f>
        <v>408.267904289722</v>
      </c>
      <c r="E196" s="10" t="n">
        <f aca="false">E193*(1+INP_136)</f>
        <v>408.267904289722</v>
      </c>
      <c r="F196" s="10" t="n">
        <f aca="false">F193*(1+INP_136)</f>
        <v>408.267904289722</v>
      </c>
      <c r="G196" s="10" t="n">
        <f aca="false">G193*(1+INP_136)</f>
        <v>408.267904289722</v>
      </c>
      <c r="H196" s="10" t="n">
        <f aca="false">H193*(1+INP_136)</f>
        <v>408.267904289722</v>
      </c>
      <c r="I196" s="10" t="n">
        <f aca="false">I193*(1+INP_136)</f>
        <v>408.267904289722</v>
      </c>
      <c r="K196" s="10" t="n">
        <f aca="false">K193*(1+INP_136)</f>
        <v>408.267904289722</v>
      </c>
      <c r="L196" s="10" t="n">
        <f aca="false">L193*(1+INP_136)</f>
        <v>408.267904289722</v>
      </c>
      <c r="M196" s="2" t="s">
        <v>6139</v>
      </c>
    </row>
    <row r="197" customFormat="false" ht="15" hidden="false" customHeight="false" outlineLevel="0" collapsed="false">
      <c r="A197" s="10" t="s">
        <v>6144</v>
      </c>
      <c r="B197" s="11" t="s">
        <v>6145</v>
      </c>
      <c r="C197" s="10" t="s">
        <v>5909</v>
      </c>
      <c r="D197" s="10" t="n">
        <f aca="false">D25*D188+D24*D189+D23*D190</f>
        <v>678.509987390425</v>
      </c>
      <c r="E197" s="10" t="n">
        <f aca="false">E25*E188+E24*E189+E23*E190</f>
        <v>562.279374647392</v>
      </c>
      <c r="F197" s="10" t="n">
        <f aca="false">F25*F188+F24*F189+F23*F190</f>
        <v>466.70344374005</v>
      </c>
      <c r="G197" s="10" t="n">
        <f aca="false">G25*G188+G24*G189+G23*G190</f>
        <v>399.580186898342</v>
      </c>
      <c r="H197" s="10" t="n">
        <f aca="false">H25*H188+H24*H189+H23*H190</f>
        <v>346.157914740933</v>
      </c>
      <c r="I197" s="10" t="n">
        <f aca="false">I25*I188+I24*I189+I23*I190</f>
        <v>307.093092288818</v>
      </c>
      <c r="K197" s="10" t="n">
        <f aca="false">K25*K188+K24*K189+K23*K190</f>
        <v>576.818357915396</v>
      </c>
      <c r="L197" s="10" t="n">
        <f aca="false">L25*L188+L24*L189+L23*L190</f>
        <v>547.977440019626</v>
      </c>
      <c r="M197" s="13" t="s">
        <v>6146</v>
      </c>
    </row>
    <row r="198" customFormat="false" ht="15" hidden="false" customHeight="false" outlineLevel="0" collapsed="false">
      <c r="A198" s="10" t="s">
        <v>6147</v>
      </c>
      <c r="B198" s="11" t="s">
        <v>6148</v>
      </c>
      <c r="C198" s="11" t="s">
        <v>6149</v>
      </c>
      <c r="F198" s="10" t="n">
        <f aca="false">(F194&gt;F188)+(F195&gt;F189)+(F196&gt;F190)</f>
        <v>1</v>
      </c>
      <c r="G198" s="10" t="n">
        <f aca="false">(G194&gt;G188)+(G195&gt;G189)+(G196&gt;G190)</f>
        <v>2</v>
      </c>
      <c r="H198" s="10" t="n">
        <f aca="false">(H194&gt;H188)+(H195&gt;H189)+(H196&gt;H190)</f>
        <v>2</v>
      </c>
      <c r="I198" s="10" t="n">
        <f aca="false">(I194&gt;I188)+(I195&gt;I189)+(I196&gt;I190)</f>
        <v>3</v>
      </c>
      <c r="L198" s="10" t="n">
        <f aca="false">(L194&gt;L188)+(L195&gt;L189)+(L196&gt;L190)</f>
        <v>0</v>
      </c>
      <c r="M198" s="13" t="s">
        <v>6150</v>
      </c>
    </row>
    <row r="199" customFormat="false" ht="15" hidden="false" customHeight="false" outlineLevel="0" collapsed="false">
      <c r="A199" s="10" t="s">
        <v>6151</v>
      </c>
      <c r="B199" s="11" t="s">
        <v>6152</v>
      </c>
      <c r="C199" s="10" t="s">
        <v>5909</v>
      </c>
      <c r="F199" s="10" t="n">
        <f aca="false">SUMIFS(TK_IF_OpexGW,TK_HdrGen,$D$8,TK_HdrCost,$D$10)*INP_115*INP_023*INP_021</f>
        <v>92.095698390306</v>
      </c>
      <c r="G199" s="10" t="n">
        <f aca="false">SUMIFS(TK_IF_OpexGW,TK_HdrGen,$D$8,TK_HdrCost,$D$10)*INP_115*INP_023*INP_021</f>
        <v>92.095698390306</v>
      </c>
      <c r="H199" s="10" t="n">
        <f aca="false">SUMIFS(TK_IF_OpexGW,TK_HdrGen,$D$8,TK_HdrCost,$D$10)*INP_115*INP_023*INP_021</f>
        <v>92.095698390306</v>
      </c>
      <c r="I199" s="10" t="n">
        <f aca="false">SUMIFS(TK_IF_OpexGW,TK_HdrGen,$D$8,TK_HdrCost,$D$10)*INP_115*INP_023*INP_021</f>
        <v>92.095698390306</v>
      </c>
      <c r="M199" s="13" t="s">
        <v>6153</v>
      </c>
    </row>
    <row r="200" customFormat="false" ht="15" hidden="false" customHeight="false" outlineLevel="0" collapsed="false">
      <c r="A200" s="10" t="s">
        <v>6154</v>
      </c>
      <c r="B200" s="11" t="s">
        <v>6155</v>
      </c>
      <c r="C200" s="10" t="s">
        <v>63</v>
      </c>
      <c r="F200" s="10" t="n">
        <f aca="false">F118*F199</f>
        <v>0</v>
      </c>
      <c r="G200" s="10" t="n">
        <f aca="false">G118*G199</f>
        <v>0</v>
      </c>
      <c r="H200" s="10" t="n">
        <f aca="false">H118*H199</f>
        <v>0</v>
      </c>
      <c r="I200" s="10" t="n">
        <f aca="false">I118*I199</f>
        <v>0</v>
      </c>
      <c r="M200" s="2" t="s">
        <v>6156</v>
      </c>
    </row>
    <row r="201" customFormat="false" ht="15" hidden="false" customHeight="false" outlineLevel="0" collapsed="false">
      <c r="A201" s="10" t="s">
        <v>6157</v>
      </c>
      <c r="B201" s="10" t="s">
        <v>6158</v>
      </c>
      <c r="C201" s="11" t="s">
        <v>2665</v>
      </c>
      <c r="F201" s="10" t="n">
        <f aca="false">SUMIFS(TK_IF_DeprLifeIT,TK_HdrGen,$D$8,TK_HdrCost,$D$10)</f>
        <v>6</v>
      </c>
      <c r="G201" s="10" t="n">
        <f aca="false">SUMIFS(TK_IF_DeprLifeIT,TK_HdrGen,$D$8,TK_HdrCost,$D$10)</f>
        <v>6</v>
      </c>
      <c r="H201" s="10" t="n">
        <f aca="false">SUMIFS(TK_IF_DeprLifeIT,TK_HdrGen,$D$8,TK_HdrCost,$D$10)</f>
        <v>6</v>
      </c>
      <c r="I201" s="10" t="n">
        <f aca="false">SUMIFS(TK_IF_DeprLifeIT,TK_HdrGen,$D$8,TK_HdrCost,$D$10)</f>
        <v>6</v>
      </c>
      <c r="M201" s="13" t="s">
        <v>6159</v>
      </c>
    </row>
    <row r="202" customFormat="false" ht="15" hidden="false" customHeight="false" outlineLevel="0" collapsed="false">
      <c r="A202" s="10" t="s">
        <v>6160</v>
      </c>
      <c r="B202" s="11" t="s">
        <v>6161</v>
      </c>
      <c r="C202" s="10" t="s">
        <v>63</v>
      </c>
      <c r="F202" s="10" t="n">
        <f aca="false">SUMPRODUCT(($F$6:$I$6&lt;F$6)*($F$117:$I$117))/F201</f>
        <v>0</v>
      </c>
      <c r="G202" s="10" t="n">
        <f aca="false">SUMPRODUCT(($F$6:$I$6&lt;G$6)*($F$117:$I$117))/G201</f>
        <v>0</v>
      </c>
      <c r="H202" s="10" t="n">
        <f aca="false">SUMPRODUCT(($F$6:$I$6&lt;H$6)*($F$117:$I$117))/H201</f>
        <v>0</v>
      </c>
      <c r="I202" s="10" t="n">
        <f aca="false">SUMPRODUCT(($F$6:$I$6&lt;I$6)*($F$117:$I$117))/I201</f>
        <v>0</v>
      </c>
      <c r="M202" s="2" t="s">
        <v>6162</v>
      </c>
    </row>
    <row r="203" customFormat="false" ht="15" hidden="false" customHeight="false" outlineLevel="0" collapsed="false">
      <c r="A203" s="15" t="s">
        <v>6163</v>
      </c>
    </row>
    <row r="204" customFormat="false" ht="15" hidden="false" customHeight="false" outlineLevel="0" collapsed="false">
      <c r="A204" s="10" t="s">
        <v>6164</v>
      </c>
      <c r="B204" s="11" t="s">
        <v>6165</v>
      </c>
      <c r="C204" s="10" t="s">
        <v>63</v>
      </c>
      <c r="D204" s="10" t="n">
        <f aca="false">SRC_ZP_613</f>
        <v>15.5283</v>
      </c>
      <c r="M204" s="13" t="s">
        <v>6166</v>
      </c>
    </row>
    <row r="205" customFormat="false" ht="15" hidden="false" customHeight="false" outlineLevel="0" collapsed="false">
      <c r="A205" s="10" t="s">
        <v>6167</v>
      </c>
      <c r="B205" s="11" t="s">
        <v>6168</v>
      </c>
      <c r="C205" s="10" t="s">
        <v>63</v>
      </c>
      <c r="D205" s="10" t="n">
        <f aca="false">SRC_ZP_669</f>
        <v>0.3017</v>
      </c>
      <c r="M205" s="13" t="s">
        <v>6169</v>
      </c>
    </row>
    <row r="206" customFormat="false" ht="15" hidden="false" customHeight="false" outlineLevel="0" collapsed="false">
      <c r="A206" s="10" t="s">
        <v>6170</v>
      </c>
      <c r="B206" s="11" t="s">
        <v>6171</v>
      </c>
      <c r="C206" s="10" t="s">
        <v>63</v>
      </c>
      <c r="D206" s="10" t="n">
        <f aca="false">SRC_ZP_720</f>
        <v>0.1284</v>
      </c>
      <c r="M206" s="13" t="s">
        <v>6166</v>
      </c>
    </row>
    <row r="207" customFormat="false" ht="15" hidden="false" customHeight="false" outlineLevel="0" collapsed="false">
      <c r="A207" s="10" t="s">
        <v>6172</v>
      </c>
      <c r="B207" s="11" t="s">
        <v>6173</v>
      </c>
      <c r="C207" s="10" t="s">
        <v>63</v>
      </c>
      <c r="D207" s="10" t="n">
        <f aca="false">SRC_ZP_740</f>
        <v>15.9584</v>
      </c>
      <c r="M207" s="13" t="s">
        <v>6174</v>
      </c>
    </row>
    <row r="208" customFormat="false" ht="15" hidden="false" customHeight="false" outlineLevel="0" collapsed="false">
      <c r="A208" s="10" t="s">
        <v>6175</v>
      </c>
      <c r="B208" s="11" t="s">
        <v>6176</v>
      </c>
      <c r="C208" s="11" t="s">
        <v>4705</v>
      </c>
      <c r="D208" s="10" t="n">
        <f aca="false">D205/D207</f>
        <v>0.0189054040505314</v>
      </c>
      <c r="M208" s="13" t="s">
        <v>6177</v>
      </c>
    </row>
    <row r="209" customFormat="false" ht="15" hidden="false" customHeight="false" outlineLevel="0" collapsed="false">
      <c r="A209" s="10" t="s">
        <v>6178</v>
      </c>
      <c r="B209" s="11" t="s">
        <v>6179</v>
      </c>
      <c r="C209" s="11" t="s">
        <v>4705</v>
      </c>
      <c r="D209" s="10" t="n">
        <f aca="false">SRC_ZP_638/INP_014</f>
        <v>0.707</v>
      </c>
      <c r="M209" s="13" t="s">
        <v>6180</v>
      </c>
    </row>
    <row r="210" customFormat="false" ht="15" hidden="false" customHeight="false" outlineLevel="0" collapsed="false">
      <c r="A210" s="10" t="s">
        <v>6181</v>
      </c>
      <c r="B210" s="11" t="s">
        <v>6182</v>
      </c>
      <c r="C210" s="10" t="s">
        <v>63</v>
      </c>
      <c r="D210" s="10" t="n">
        <f aca="false">SRC_ZP_615</f>
        <v>11.4512</v>
      </c>
      <c r="M210" s="13" t="s">
        <v>6166</v>
      </c>
    </row>
    <row r="211" customFormat="false" ht="15" hidden="false" customHeight="false" outlineLevel="0" collapsed="false">
      <c r="A211" s="10" t="s">
        <v>6183</v>
      </c>
      <c r="B211" s="11" t="s">
        <v>6184</v>
      </c>
      <c r="C211" s="10" t="s">
        <v>63</v>
      </c>
      <c r="D211" s="10" t="n">
        <f aca="false">SRC_ZP_671</f>
        <v>0.3584</v>
      </c>
      <c r="M211" s="13" t="s">
        <v>6169</v>
      </c>
    </row>
    <row r="212" customFormat="false" ht="15" hidden="false" customHeight="false" outlineLevel="0" collapsed="false">
      <c r="A212" s="10" t="s">
        <v>6185</v>
      </c>
      <c r="B212" s="11" t="s">
        <v>6186</v>
      </c>
      <c r="C212" s="10" t="s">
        <v>63</v>
      </c>
      <c r="D212" s="10" t="n">
        <f aca="false">SRC_ZP_722</f>
        <v>0.2056</v>
      </c>
      <c r="M212" s="13" t="s">
        <v>6166</v>
      </c>
    </row>
    <row r="213" customFormat="false" ht="15" hidden="false" customHeight="false" outlineLevel="0" collapsed="false">
      <c r="A213" s="10" t="s">
        <v>6187</v>
      </c>
      <c r="B213" s="11" t="s">
        <v>6188</v>
      </c>
      <c r="C213" s="10" t="s">
        <v>63</v>
      </c>
      <c r="D213" s="10" t="n">
        <f aca="false">SRC_ZP_742</f>
        <v>12.0153</v>
      </c>
      <c r="M213" s="13" t="s">
        <v>6174</v>
      </c>
    </row>
    <row r="214" customFormat="false" ht="15" hidden="false" customHeight="false" outlineLevel="0" collapsed="false">
      <c r="A214" s="10" t="s">
        <v>6189</v>
      </c>
      <c r="B214" s="11" t="s">
        <v>6190</v>
      </c>
      <c r="C214" s="11" t="s">
        <v>4705</v>
      </c>
      <c r="D214" s="10" t="n">
        <f aca="false">D211/D213</f>
        <v>0.0298286351568417</v>
      </c>
      <c r="M214" s="13" t="s">
        <v>6177</v>
      </c>
    </row>
    <row r="215" customFormat="false" ht="15" hidden="false" customHeight="false" outlineLevel="0" collapsed="false">
      <c r="A215" s="10" t="s">
        <v>6191</v>
      </c>
      <c r="B215" s="11" t="s">
        <v>6192</v>
      </c>
      <c r="C215" s="11" t="s">
        <v>4705</v>
      </c>
      <c r="D215" s="10" t="n">
        <f aca="false">SRC_ZP_640/INP_014</f>
        <v>0.718</v>
      </c>
      <c r="M215" s="13" t="s">
        <v>6180</v>
      </c>
    </row>
    <row r="216" customFormat="false" ht="15" hidden="false" customHeight="false" outlineLevel="0" collapsed="false">
      <c r="A216" s="10" t="s">
        <v>6193</v>
      </c>
      <c r="B216" s="11" t="s">
        <v>6194</v>
      </c>
      <c r="C216" s="10" t="s">
        <v>63</v>
      </c>
      <c r="D216" s="10" t="n">
        <f aca="false">D83*INP_103</f>
        <v>19.5491659384</v>
      </c>
      <c r="K216" s="10" t="n">
        <f aca="false">K83*INP_103</f>
        <v>14.6162674392</v>
      </c>
      <c r="M216" s="13" t="s">
        <v>6195</v>
      </c>
    </row>
    <row r="217" customFormat="false" ht="15" hidden="false" customHeight="false" outlineLevel="0" collapsed="false">
      <c r="A217" s="10" t="s">
        <v>6196</v>
      </c>
      <c r="B217" s="10" t="s">
        <v>6197</v>
      </c>
      <c r="C217" s="10" t="s">
        <v>4526</v>
      </c>
      <c r="D217" s="10" t="n">
        <f aca="false">D119-D65/INP_138</f>
        <v>0.0076153208018188</v>
      </c>
      <c r="K217" s="10" t="n">
        <f aca="false">K119-K65/INP_138</f>
        <v>-0.130586745625723</v>
      </c>
      <c r="M217" s="2" t="s">
        <v>6198</v>
      </c>
    </row>
    <row r="218" customFormat="false" ht="15" hidden="false" customHeight="false" outlineLevel="0" collapsed="false">
      <c r="A218" s="10" t="s">
        <v>6199</v>
      </c>
      <c r="B218" s="10" t="s">
        <v>6200</v>
      </c>
      <c r="C218" s="11" t="s">
        <v>4705</v>
      </c>
      <c r="D218" s="10" t="n">
        <f aca="false">D217/D119</f>
        <v>0.211944505137613</v>
      </c>
      <c r="K218" s="10" t="n">
        <f aca="false">K217/K119</f>
        <v>-1.73534067413541</v>
      </c>
      <c r="M218" s="13" t="s">
        <v>6201</v>
      </c>
    </row>
    <row r="219" customFormat="false" ht="15" hidden="false" customHeight="false" outlineLevel="0" collapsed="false">
      <c r="A219" s="10" t="s">
        <v>6202</v>
      </c>
      <c r="B219" s="10" t="s">
        <v>6203</v>
      </c>
      <c r="C219" s="11" t="s">
        <v>5980</v>
      </c>
      <c r="D219" s="10" t="n">
        <f aca="false">(1-INP_139)*(D106&gt;INP_138)</f>
        <v>1</v>
      </c>
      <c r="K219" s="10" t="n">
        <f aca="false">(1-INP_139)*(K106&gt;INP_138)</f>
        <v>1</v>
      </c>
      <c r="M219" s="13" t="s">
        <v>6204</v>
      </c>
    </row>
    <row r="220" customFormat="false" ht="15" hidden="false" customHeight="false" outlineLevel="0" collapsed="false">
      <c r="A220" s="10" t="s">
        <v>6205</v>
      </c>
      <c r="B220" s="11" t="s">
        <v>6206</v>
      </c>
      <c r="C220" s="11" t="s">
        <v>1709</v>
      </c>
      <c r="D220" s="10" t="n">
        <f aca="false">D65/D105</f>
        <v>12.4448037173105</v>
      </c>
      <c r="K220" s="10" t="n">
        <f aca="false">K65/K105</f>
        <v>9.4612988243346</v>
      </c>
      <c r="M220" s="13" t="s">
        <v>6207</v>
      </c>
    </row>
    <row r="221" customFormat="false" ht="15" hidden="false" customHeight="false" outlineLevel="0" collapsed="false">
      <c r="A221" s="10" t="s">
        <v>6208</v>
      </c>
      <c r="B221" s="11" t="s">
        <v>6209</v>
      </c>
      <c r="C221" s="10" t="s">
        <v>4526</v>
      </c>
      <c r="D221" s="10" t="n">
        <f aca="false">D105</f>
        <v>0.00227527969917954</v>
      </c>
      <c r="K221" s="10" t="n">
        <f aca="false">K105</f>
        <v>0.0217557979461005</v>
      </c>
      <c r="M221" s="2"/>
    </row>
    <row r="222" customFormat="false" ht="15" hidden="false" customHeight="false" outlineLevel="0" collapsed="false">
      <c r="A222" s="10" t="s">
        <v>6210</v>
      </c>
      <c r="B222" s="11" t="s">
        <v>6211</v>
      </c>
      <c r="C222" s="10" t="s">
        <v>4526</v>
      </c>
      <c r="D222" s="10" t="n">
        <f aca="false">D119-D105</f>
        <v>0.0336554503609098</v>
      </c>
      <c r="K222" s="10" t="n">
        <f aca="false">K119-K105</f>
        <v>0.053495561958078</v>
      </c>
      <c r="M222" s="2" t="s">
        <v>6212</v>
      </c>
    </row>
    <row r="223" customFormat="false" ht="15" hidden="false" customHeight="false" outlineLevel="0" collapsed="false">
      <c r="A223" s="10" t="s">
        <v>6213</v>
      </c>
      <c r="B223" s="11" t="s">
        <v>6214</v>
      </c>
      <c r="C223" s="11" t="s">
        <v>4705</v>
      </c>
      <c r="D223" s="10" t="n">
        <f aca="false">D222/D119</f>
        <v>0.936675940194523</v>
      </c>
      <c r="K223" s="10" t="n">
        <f aca="false">K222/K119</f>
        <v>0.710891630745234</v>
      </c>
      <c r="M223" s="13" t="s">
        <v>6215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2"/>
    <col collapsed="false" customWidth="true" hidden="false" outlineLevel="0" max="3" min="3" style="0" width="14"/>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20.1" hidden="false" customHeight="false" outlineLevel="0" collapsed="false">
      <c r="A1" s="7" t="s">
        <v>6216</v>
      </c>
    </row>
    <row r="2" customFormat="false" ht="15" hidden="false" customHeight="false" outlineLevel="0" collapsed="false">
      <c r="A2" s="2" t="s">
        <v>6217</v>
      </c>
    </row>
    <row r="3" customFormat="false" ht="15" hidden="false" customHeight="false" outlineLevel="0" collapsed="false">
      <c r="A3" s="2" t="s">
        <v>6218</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6219</v>
      </c>
    </row>
    <row r="8" customFormat="false" ht="15" hidden="false" customHeight="false" outlineLevel="0" collapsed="false">
      <c r="A8" s="10" t="s">
        <v>6220</v>
      </c>
      <c r="B8" s="11" t="s">
        <v>6221</v>
      </c>
      <c r="C8" s="10" t="s">
        <v>63</v>
      </c>
      <c r="D8" s="16" t="n">
        <f aca="false">Compute!D80</f>
        <v>1.5438</v>
      </c>
      <c r="K8" s="16" t="n">
        <f aca="false">Compute!K80</f>
        <v>6.223</v>
      </c>
      <c r="M8" s="13" t="s">
        <v>6222</v>
      </c>
    </row>
    <row r="9" customFormat="false" ht="15" hidden="false" customHeight="false" outlineLevel="0" collapsed="false">
      <c r="A9" s="10" t="s">
        <v>6223</v>
      </c>
      <c r="B9" s="11" t="s">
        <v>6224</v>
      </c>
      <c r="C9" s="10" t="s">
        <v>63</v>
      </c>
      <c r="D9" s="16" t="n">
        <f aca="false">Compute!D84</f>
        <v>22.8355592</v>
      </c>
      <c r="K9" s="16" t="n">
        <f aca="false">Compute!K84</f>
        <v>15.3018006</v>
      </c>
      <c r="M9" s="13" t="s">
        <v>6225</v>
      </c>
    </row>
    <row r="10" customFormat="false" ht="15" hidden="false" customHeight="false" outlineLevel="0" collapsed="false">
      <c r="A10" s="10" t="s">
        <v>6226</v>
      </c>
      <c r="B10" s="11" t="s">
        <v>6227</v>
      </c>
      <c r="C10" s="10" t="s">
        <v>63</v>
      </c>
      <c r="D10" s="10" t="n">
        <f aca="false">D8+D9</f>
        <v>24.3793592</v>
      </c>
      <c r="E10" s="10" t="n">
        <f aca="false">K10+L10</f>
        <v>61.5851367055494</v>
      </c>
      <c r="F10" s="16" t="n">
        <f aca="false">Compute!F120*Compute!F102</f>
        <v>99.6811959937484</v>
      </c>
      <c r="G10" s="16" t="n">
        <f aca="false">Compute!G120*Compute!G102</f>
        <v>152.736846203243</v>
      </c>
      <c r="H10" s="16" t="n">
        <f aca="false">Compute!H120*Compute!H102</f>
        <v>238.645833056573</v>
      </c>
      <c r="I10" s="16" t="n">
        <f aca="false">Compute!I120*Compute!I102</f>
        <v>361.210140940793</v>
      </c>
      <c r="K10" s="10" t="n">
        <f aca="false">K8+K9</f>
        <v>21.5248006</v>
      </c>
      <c r="L10" s="16" t="n">
        <f aca="false">Compute!L120*(Compute!L102*INP_009/INP_007)</f>
        <v>40.0603361055494</v>
      </c>
      <c r="M10" s="13" t="s">
        <v>6228</v>
      </c>
    </row>
    <row r="11" customFormat="false" ht="15" hidden="false" customHeight="false" outlineLevel="0" collapsed="false">
      <c r="A11" s="10" t="s">
        <v>6229</v>
      </c>
      <c r="B11" s="11" t="s">
        <v>6230</v>
      </c>
      <c r="C11" s="10" t="s">
        <v>63</v>
      </c>
      <c r="F11" s="16" t="n">
        <f aca="false">Compute!F117</f>
        <v>0</v>
      </c>
      <c r="G11" s="16" t="n">
        <f aca="false">Compute!G117</f>
        <v>0</v>
      </c>
      <c r="H11" s="16" t="n">
        <f aca="false">Compute!H117</f>
        <v>0</v>
      </c>
      <c r="I11" s="16" t="n">
        <f aca="false">Compute!I117</f>
        <v>0</v>
      </c>
      <c r="M11" s="13" t="s">
        <v>6231</v>
      </c>
    </row>
    <row r="12" customFormat="false" ht="15" hidden="false" customHeight="false" outlineLevel="0" collapsed="false">
      <c r="A12" s="10" t="s">
        <v>6232</v>
      </c>
      <c r="B12" s="11" t="s">
        <v>6233</v>
      </c>
      <c r="C12" s="10" t="s">
        <v>63</v>
      </c>
      <c r="D12" s="10" t="n">
        <f aca="false">D10</f>
        <v>24.3793592</v>
      </c>
      <c r="E12" s="10" t="n">
        <f aca="false">K12+L12</f>
        <v>61.5851367055494</v>
      </c>
      <c r="F12" s="10" t="n">
        <f aca="false">F10+F11+F90</f>
        <v>99.6811959937484</v>
      </c>
      <c r="G12" s="10" t="n">
        <f aca="false">G10+G11+G90</f>
        <v>152.736846203243</v>
      </c>
      <c r="H12" s="10" t="n">
        <f aca="false">H10+H11+H90</f>
        <v>238.645833056573</v>
      </c>
      <c r="I12" s="10" t="n">
        <f aca="false">I10+I11+I90</f>
        <v>361.210140940793</v>
      </c>
      <c r="K12" s="10" t="n">
        <f aca="false">K10</f>
        <v>21.5248006</v>
      </c>
      <c r="L12" s="10" t="n">
        <f aca="false">L10</f>
        <v>40.0603361055494</v>
      </c>
      <c r="M12" s="2" t="s">
        <v>6234</v>
      </c>
    </row>
    <row r="13" customFormat="false" ht="15" hidden="false" customHeight="false" outlineLevel="0" collapsed="false">
      <c r="A13" s="10" t="s">
        <v>6235</v>
      </c>
      <c r="B13" s="11" t="s">
        <v>6236</v>
      </c>
      <c r="C13" s="10" t="s">
        <v>63</v>
      </c>
      <c r="D13" s="16" t="n">
        <f aca="false">IF(Compute!D119,D12*Compute!D124/Compute!D119,Compute!D119)</f>
        <v>17.06555144</v>
      </c>
      <c r="E13" s="10" t="n">
        <f aca="false">K13+L13</f>
        <v>40.3053721664961</v>
      </c>
      <c r="F13" s="16" t="n">
        <f aca="false">IF(Compute!F119,F12*Compute!F124/Compute!F119,Compute!F119)</f>
        <v>62.7991534760615</v>
      </c>
      <c r="G13" s="16" t="n">
        <f aca="false">IF(Compute!G119,G12*Compute!G124/Compute!G119,Compute!G119)</f>
        <v>96.2242131080429</v>
      </c>
      <c r="H13" s="16" t="n">
        <f aca="false">IF(Compute!H119,H12*Compute!H124/Compute!H119,Compute!H119)</f>
        <v>150.346874825641</v>
      </c>
      <c r="I13" s="16" t="n">
        <f aca="false">IF(Compute!I119,I12*Compute!I124/Compute!I119,Compute!I119)</f>
        <v>227.5623887927</v>
      </c>
      <c r="K13" s="16" t="n">
        <f aca="false">IF(Compute!K119,K12*Compute!K124/Compute!K119,Compute!K119)</f>
        <v>15.06736042</v>
      </c>
      <c r="L13" s="16" t="n">
        <f aca="false">IF(Compute!L119,L12*Compute!L124/Compute!L119,Compute!L119)</f>
        <v>25.2380117464961</v>
      </c>
      <c r="M13" s="2" t="s">
        <v>6237</v>
      </c>
    </row>
    <row r="14" customFormat="false" ht="15" hidden="false" customHeight="false" outlineLevel="0" collapsed="false">
      <c r="A14" s="10" t="s">
        <v>6238</v>
      </c>
      <c r="B14" s="11" t="s">
        <v>6239</v>
      </c>
      <c r="C14" s="10" t="s">
        <v>63</v>
      </c>
      <c r="D14" s="16" t="n">
        <f aca="false">IF(Compute!D119,D12*Compute!D127/Compute!D119,Compute!D119)</f>
        <v>7.31380776</v>
      </c>
      <c r="E14" s="10" t="n">
        <f aca="false">K14+L14</f>
        <v>17.2737309284983</v>
      </c>
      <c r="F14" s="16" t="n">
        <f aca="false">IF(Compute!F119,F12*Compute!F127/Compute!F119,Compute!F119)</f>
        <v>26.9139229183121</v>
      </c>
      <c r="G14" s="16" t="n">
        <f aca="false">IF(Compute!G119,G12*Compute!G127/Compute!G119,Compute!G119)</f>
        <v>41.2389484748756</v>
      </c>
      <c r="H14" s="16" t="n">
        <f aca="false">IF(Compute!H119,H12*Compute!H127/Compute!H119,Compute!H119)</f>
        <v>64.4343749252747</v>
      </c>
      <c r="I14" s="16" t="n">
        <f aca="false">IF(Compute!I119,I12*Compute!I127/Compute!I119,Compute!I119)</f>
        <v>97.5267380540142</v>
      </c>
      <c r="K14" s="16" t="n">
        <f aca="false">IF(Compute!K119,K12*Compute!K127/Compute!K119,Compute!K119)</f>
        <v>6.45744018</v>
      </c>
      <c r="L14" s="16" t="n">
        <f aca="false">IF(Compute!L119,L12*Compute!L127/Compute!L119,Compute!L119)</f>
        <v>10.8162907484983</v>
      </c>
      <c r="M14" s="2" t="s">
        <v>6237</v>
      </c>
    </row>
    <row r="15" customFormat="false" ht="15" hidden="false" customHeight="false" outlineLevel="0" collapsed="false">
      <c r="A15" s="10" t="s">
        <v>6240</v>
      </c>
      <c r="B15" s="11" t="s">
        <v>6241</v>
      </c>
      <c r="C15" s="10" t="s">
        <v>63</v>
      </c>
      <c r="D15" s="16" t="n">
        <f aca="false">IF(Compute!D119,D12*Compute!D121/Compute!D119,Compute!D119)</f>
        <v>0</v>
      </c>
      <c r="E15" s="10" t="n">
        <f aca="false">K15+L15</f>
        <v>4.00603361055494</v>
      </c>
      <c r="F15" s="16" t="n">
        <f aca="false">IF(Compute!F119,F12*Compute!F121/Compute!F119,Compute!F119)</f>
        <v>9.96811959937484</v>
      </c>
      <c r="G15" s="16" t="n">
        <f aca="false">IF(Compute!G119,G12*Compute!G121/Compute!G119,Compute!G119)</f>
        <v>15.2736846203243</v>
      </c>
      <c r="H15" s="16" t="n">
        <f aca="false">IF(Compute!H119,H12*Compute!H121/Compute!H119,Compute!H119)</f>
        <v>23.8645833056573</v>
      </c>
      <c r="I15" s="16" t="n">
        <f aca="false">IF(Compute!I119,I12*Compute!I121/Compute!I119,Compute!I119)</f>
        <v>36.1210140940793</v>
      </c>
      <c r="K15" s="16" t="n">
        <f aca="false">IF(Compute!K119,K12*Compute!K121/Compute!K119,Compute!K119)</f>
        <v>0</v>
      </c>
      <c r="L15" s="16" t="n">
        <f aca="false">IF(Compute!L119,L12*Compute!L121/Compute!L119,Compute!L119)</f>
        <v>4.00603361055494</v>
      </c>
      <c r="M15" s="2" t="s">
        <v>6237</v>
      </c>
    </row>
    <row r="16" customFormat="false" ht="15" hidden="false" customHeight="false" outlineLevel="0" collapsed="false">
      <c r="A16" s="10" t="s">
        <v>6242</v>
      </c>
      <c r="B16" s="11" t="s">
        <v>6243</v>
      </c>
      <c r="C16" s="10" t="s">
        <v>63</v>
      </c>
      <c r="D16" s="10" t="n">
        <f aca="false">D12-D8-D9</f>
        <v>0</v>
      </c>
      <c r="K16" s="10" t="n">
        <f aca="false">K12-K8-K9</f>
        <v>0</v>
      </c>
      <c r="M16" s="13" t="s">
        <v>6244</v>
      </c>
    </row>
    <row r="17" customFormat="false" ht="15" hidden="false" customHeight="false" outlineLevel="0" collapsed="false">
      <c r="A17" s="15" t="s">
        <v>6245</v>
      </c>
    </row>
    <row r="18" customFormat="false" ht="15" hidden="false" customHeight="false" outlineLevel="0" collapsed="false">
      <c r="A18" s="10" t="s">
        <v>6246</v>
      </c>
      <c r="B18" s="11" t="s">
        <v>6247</v>
      </c>
      <c r="C18" s="10" t="s">
        <v>5909</v>
      </c>
      <c r="D18" s="16" t="n">
        <f aca="false">Compute!D191</f>
        <v>680.446507149537</v>
      </c>
      <c r="E18" s="16" t="n">
        <f aca="false">Compute!E191</f>
        <v>680.446507149537</v>
      </c>
      <c r="F18" s="16" t="n">
        <f aca="false">Compute!F191</f>
        <v>680.446507149537</v>
      </c>
      <c r="G18" s="16" t="n">
        <f aca="false">Compute!G191</f>
        <v>680.446507149537</v>
      </c>
      <c r="H18" s="16" t="n">
        <f aca="false">Compute!H191</f>
        <v>680.446507149537</v>
      </c>
      <c r="I18" s="16" t="n">
        <f aca="false">Compute!I191</f>
        <v>680.446507149537</v>
      </c>
      <c r="K18" s="16" t="n">
        <f aca="false">Compute!K191</f>
        <v>680.446507149537</v>
      </c>
      <c r="L18" s="16" t="n">
        <f aca="false">Compute!L191</f>
        <v>680.446507149537</v>
      </c>
      <c r="M18" s="13" t="s">
        <v>6248</v>
      </c>
    </row>
    <row r="19" customFormat="false" ht="15" hidden="false" customHeight="false" outlineLevel="0" collapsed="false">
      <c r="A19" s="10" t="s">
        <v>6249</v>
      </c>
      <c r="B19" s="11" t="s">
        <v>6250</v>
      </c>
      <c r="C19" s="10" t="s">
        <v>5909</v>
      </c>
      <c r="D19" s="16" t="n">
        <f aca="false">Compute!D192</f>
        <v>408.267904289722</v>
      </c>
      <c r="E19" s="16" t="n">
        <f aca="false">Compute!E192</f>
        <v>408.267904289722</v>
      </c>
      <c r="F19" s="16" t="n">
        <f aca="false">Compute!F192</f>
        <v>408.267904289722</v>
      </c>
      <c r="G19" s="16" t="n">
        <f aca="false">Compute!G192</f>
        <v>408.267904289722</v>
      </c>
      <c r="H19" s="16" t="n">
        <f aca="false">Compute!H192</f>
        <v>408.267904289722</v>
      </c>
      <c r="I19" s="16" t="n">
        <f aca="false">Compute!I192</f>
        <v>408.267904289722</v>
      </c>
      <c r="K19" s="16" t="n">
        <f aca="false">Compute!K192</f>
        <v>408.267904289722</v>
      </c>
      <c r="L19" s="16" t="n">
        <f aca="false">Compute!L192</f>
        <v>408.267904289722</v>
      </c>
      <c r="M19" s="13" t="s">
        <v>6248</v>
      </c>
    </row>
    <row r="20" customFormat="false" ht="15" hidden="false" customHeight="false" outlineLevel="0" collapsed="false">
      <c r="A20" s="10" t="s">
        <v>6251</v>
      </c>
      <c r="B20" s="11" t="s">
        <v>6252</v>
      </c>
      <c r="C20" s="10" t="s">
        <v>5909</v>
      </c>
      <c r="D20" s="16" t="n">
        <f aca="false">Compute!D193</f>
        <v>408.267904289722</v>
      </c>
      <c r="E20" s="16" t="n">
        <f aca="false">Compute!E193</f>
        <v>408.267904289722</v>
      </c>
      <c r="F20" s="16" t="n">
        <f aca="false">Compute!F193</f>
        <v>408.267904289722</v>
      </c>
      <c r="G20" s="16" t="n">
        <f aca="false">Compute!G193</f>
        <v>408.267904289722</v>
      </c>
      <c r="H20" s="16" t="n">
        <f aca="false">Compute!H193</f>
        <v>408.267904289722</v>
      </c>
      <c r="I20" s="16" t="n">
        <f aca="false">Compute!I193</f>
        <v>408.267904289722</v>
      </c>
      <c r="K20" s="16" t="n">
        <f aca="false">Compute!K193</f>
        <v>408.267904289722</v>
      </c>
      <c r="L20" s="16" t="n">
        <f aca="false">Compute!L193</f>
        <v>408.267904289722</v>
      </c>
      <c r="M20" s="13" t="s">
        <v>6248</v>
      </c>
    </row>
    <row r="21" customFormat="false" ht="15" hidden="false" customHeight="false" outlineLevel="0" collapsed="false">
      <c r="A21" s="10" t="s">
        <v>6253</v>
      </c>
      <c r="B21" s="11" t="s">
        <v>6254</v>
      </c>
      <c r="C21" s="10" t="s">
        <v>5909</v>
      </c>
      <c r="D21" s="16" t="n">
        <f aca="false">Compute!D25*D18+Compute!D24*D19+Compute!D23*D20</f>
        <v>544.357205719629</v>
      </c>
      <c r="E21" s="16" t="n">
        <f aca="false">Compute!E25*E18+Compute!E24*E19+Compute!E23*E20</f>
        <v>476.312555004676</v>
      </c>
      <c r="F21" s="16" t="n">
        <f aca="false">Compute!F25*F18+Compute!F24*F19+Compute!F23*F20</f>
        <v>449.094694718694</v>
      </c>
      <c r="G21" s="16" t="n">
        <f aca="false">Compute!G25*G18+Compute!G24*G19+Compute!G23*G20</f>
        <v>435.485764575704</v>
      </c>
      <c r="H21" s="16" t="n">
        <f aca="false">Compute!H25*H18+Compute!H24*H19+Compute!H23*H20</f>
        <v>421.876834432713</v>
      </c>
      <c r="I21" s="16" t="n">
        <f aca="false">Compute!I25*I18+Compute!I24*I19+Compute!I23*I20</f>
        <v>421.876834432713</v>
      </c>
      <c r="K21" s="16" t="n">
        <f aca="false">Compute!K25*K18+Compute!K24*K19+Compute!K23*K20</f>
        <v>476.312555004676</v>
      </c>
      <c r="L21" s="16" t="n">
        <f aca="false">Compute!L25*L18+Compute!L24*L19+Compute!L23*L20</f>
        <v>476.312555004676</v>
      </c>
      <c r="M21" s="2"/>
    </row>
    <row r="22" customFormat="false" ht="15" hidden="false" customHeight="false" outlineLevel="0" collapsed="false">
      <c r="A22" s="10" t="s">
        <v>6255</v>
      </c>
      <c r="B22" s="11" t="s">
        <v>6256</v>
      </c>
      <c r="C22" s="10" t="s">
        <v>63</v>
      </c>
      <c r="D22" s="16" t="n">
        <f aca="false">Compute!D120*D21</f>
        <v>19.5591518149765</v>
      </c>
      <c r="E22" s="10" t="n">
        <f aca="false">K22+L22</f>
        <v>52.5954995063531</v>
      </c>
      <c r="F22" s="16" t="n">
        <f aca="false">Compute!F120*F21</f>
        <v>95.3627105146761</v>
      </c>
      <c r="G22" s="16" t="n">
        <f aca="false">Compute!G120*G21</f>
        <v>151.592438948756</v>
      </c>
      <c r="H22" s="16" t="n">
        <f aca="false">Compute!H120*H21</f>
        <v>238.127958313462</v>
      </c>
      <c r="I22" s="16" t="n">
        <f aca="false">Compute!I120*I21</f>
        <v>361.210140940793</v>
      </c>
      <c r="K22" s="16" t="n">
        <f aca="false">Compute!K120*(K21*INP_008/INP_007)</f>
        <v>17.7742830633971</v>
      </c>
      <c r="L22" s="16" t="n">
        <f aca="false">Compute!L120*(L21*INP_009/INP_007)</f>
        <v>34.8212164429559</v>
      </c>
      <c r="M22" s="2"/>
    </row>
    <row r="23" customFormat="false" ht="15" hidden="false" customHeight="false" outlineLevel="0" collapsed="false">
      <c r="A23" s="10" t="s">
        <v>6257</v>
      </c>
      <c r="B23" s="11" t="s">
        <v>6258</v>
      </c>
      <c r="C23" s="10" t="s">
        <v>63</v>
      </c>
      <c r="D23" s="10" t="n">
        <f aca="false">D10-D22</f>
        <v>4.82020738502347</v>
      </c>
      <c r="E23" s="10" t="n">
        <f aca="false">E10-E22</f>
        <v>8.98963719919635</v>
      </c>
      <c r="F23" s="10" t="n">
        <f aca="false">F10-F22</f>
        <v>4.31848547907224</v>
      </c>
      <c r="G23" s="10" t="n">
        <f aca="false">G10-G22</f>
        <v>1.14440725448688</v>
      </c>
      <c r="H23" s="10" t="n">
        <f aca="false">H10-H22</f>
        <v>0.517874743110468</v>
      </c>
      <c r="I23" s="10" t="n">
        <f aca="false">I10-I22</f>
        <v>0</v>
      </c>
      <c r="K23" s="10" t="n">
        <f aca="false">K10-K22</f>
        <v>3.75051753660286</v>
      </c>
      <c r="L23" s="10" t="n">
        <f aca="false">L10-L22</f>
        <v>5.2391196625935</v>
      </c>
      <c r="M23" s="2"/>
    </row>
    <row r="24" customFormat="false" ht="15" hidden="false" customHeight="false" outlineLevel="0" collapsed="false">
      <c r="A24" s="10" t="s">
        <v>6259</v>
      </c>
      <c r="B24" s="11" t="s">
        <v>6260</v>
      </c>
      <c r="C24" s="11" t="s">
        <v>4705</v>
      </c>
      <c r="D24" s="10" t="n">
        <f aca="false">IF(D10,D23/D10,D10)</f>
        <v>0.19771673838841</v>
      </c>
      <c r="E24" s="10" t="n">
        <f aca="false">IF(E10,E23/E10,E10)</f>
        <v>0.145970889732332</v>
      </c>
      <c r="F24" s="10" t="n">
        <f aca="false">IF(F10,F23/F10,F10)</f>
        <v>0.0433229701552044</v>
      </c>
      <c r="G24" s="10" t="n">
        <f aca="false">IF(G10,G23/G10,G10)</f>
        <v>0.00749267307093697</v>
      </c>
      <c r="H24" s="10" t="n">
        <f aca="false">IF(H10,H23/H10,H10)</f>
        <v>0.0021700556698499</v>
      </c>
      <c r="I24" s="10" t="n">
        <f aca="false">IF(I10,I23/I10,I10)</f>
        <v>0</v>
      </c>
      <c r="K24" s="10" t="n">
        <f aca="false">IF(K10,K23/K10,K10)</f>
        <v>0.174241685500346</v>
      </c>
      <c r="L24" s="10" t="n">
        <f aca="false">IF(L10,L23/L10,L10)</f>
        <v>0.130780721579311</v>
      </c>
      <c r="M24" s="2" t="s">
        <v>6261</v>
      </c>
    </row>
    <row r="25" customFormat="false" ht="15" hidden="false" customHeight="false" outlineLevel="0" collapsed="false">
      <c r="A25" s="15" t="s">
        <v>6262</v>
      </c>
    </row>
    <row r="26" customFormat="false" ht="15" hidden="false" customHeight="false" outlineLevel="0" collapsed="false">
      <c r="A26" s="10" t="s">
        <v>6263</v>
      </c>
      <c r="B26" s="11" t="s">
        <v>767</v>
      </c>
      <c r="C26" s="10" t="s">
        <v>63</v>
      </c>
      <c r="D26" s="10" t="n">
        <f aca="false">SRC_ZP_198</f>
        <v>2.733</v>
      </c>
      <c r="K26" s="10" t="n">
        <f aca="false">SRC_ZP_196</f>
        <v>0.7998</v>
      </c>
      <c r="M26" s="13" t="s">
        <v>6264</v>
      </c>
    </row>
    <row r="27" customFormat="false" ht="15" hidden="false" customHeight="false" outlineLevel="0" collapsed="false">
      <c r="A27" s="10" t="s">
        <v>6265</v>
      </c>
      <c r="B27" s="11" t="s">
        <v>6266</v>
      </c>
      <c r="C27" s="11" t="s">
        <v>4705</v>
      </c>
      <c r="D27" s="16" t="n">
        <f aca="false">D26/Revenue!D52</f>
        <v>0.51184567843431</v>
      </c>
      <c r="K27" s="16" t="n">
        <f aca="false">K26/Revenue!K52</f>
        <v>0.621348663766315</v>
      </c>
      <c r="M27" s="13" t="s">
        <v>6267</v>
      </c>
    </row>
    <row r="28" customFormat="false" ht="15" hidden="false" customHeight="false" outlineLevel="0" collapsed="false">
      <c r="A28" s="10" t="s">
        <v>6268</v>
      </c>
      <c r="B28" s="11" t="s">
        <v>6269</v>
      </c>
      <c r="C28" s="10" t="s">
        <v>63</v>
      </c>
      <c r="D28" s="10" t="n">
        <f aca="false">D26</f>
        <v>2.733</v>
      </c>
      <c r="E28" s="10" t="n">
        <f aca="false">K28+L28</f>
        <v>3.11233545680547</v>
      </c>
      <c r="F28" s="16" t="n">
        <f aca="false">Revenue!F52*$K$27</f>
        <v>3.11233545680547</v>
      </c>
      <c r="G28" s="16" t="n">
        <f aca="false">Revenue!G52*$K$27</f>
        <v>3.11233545680547</v>
      </c>
      <c r="H28" s="16" t="n">
        <f aca="false">Revenue!H52*$K$27</f>
        <v>3.11233545680547</v>
      </c>
      <c r="I28" s="16" t="n">
        <f aca="false">Revenue!I52*$K$27</f>
        <v>3.11233545680547</v>
      </c>
      <c r="K28" s="10" t="n">
        <f aca="false">K26</f>
        <v>0.7998</v>
      </c>
      <c r="L28" s="16" t="n">
        <f aca="false">Revenue!L52*$K$27</f>
        <v>2.31253545680547</v>
      </c>
      <c r="M28" s="2"/>
    </row>
    <row r="29" customFormat="false" ht="15" hidden="false" customHeight="false" outlineLevel="0" collapsed="false">
      <c r="A29" s="15" t="s">
        <v>6270</v>
      </c>
    </row>
    <row r="30" customFormat="false" ht="15" hidden="false" customHeight="false" outlineLevel="0" collapsed="false">
      <c r="A30" s="10" t="s">
        <v>6271</v>
      </c>
      <c r="B30" s="11" t="s">
        <v>489</v>
      </c>
      <c r="C30" s="10" t="s">
        <v>63</v>
      </c>
      <c r="D30" s="10" t="n">
        <f aca="false">SRC_ZP_123</f>
        <v>4.2768</v>
      </c>
      <c r="K30" s="10" t="n">
        <f aca="false">SRC_ZP_182</f>
        <v>7.0228</v>
      </c>
      <c r="M30" s="13" t="s">
        <v>6272</v>
      </c>
    </row>
    <row r="31" customFormat="false" ht="15" hidden="false" customHeight="false" outlineLevel="0" collapsed="false">
      <c r="A31" s="10" t="s">
        <v>6273</v>
      </c>
      <c r="B31" s="11" t="s">
        <v>224</v>
      </c>
      <c r="C31" s="10" t="s">
        <v>63</v>
      </c>
      <c r="D31" s="10" t="n">
        <f aca="false">SRC_ZP_139</f>
        <v>31.8044</v>
      </c>
      <c r="K31" s="10" t="n">
        <f aca="false">SRC_ZP_199</f>
        <v>21.3117</v>
      </c>
      <c r="M31" s="13" t="s">
        <v>5859</v>
      </c>
    </row>
    <row r="32" customFormat="false" ht="15" hidden="false" customHeight="false" outlineLevel="0" collapsed="false">
      <c r="A32" s="10" t="s">
        <v>6274</v>
      </c>
      <c r="B32" s="11" t="s">
        <v>240</v>
      </c>
      <c r="C32" s="10" t="s">
        <v>63</v>
      </c>
      <c r="D32" s="10" t="n">
        <f aca="false">SRC_ZP_140</f>
        <v>3.9087</v>
      </c>
      <c r="K32" s="10" t="n">
        <f aca="false">SRC_ZP_200</f>
        <v>1.7767</v>
      </c>
      <c r="M32" s="13" t="s">
        <v>6275</v>
      </c>
    </row>
    <row r="33" customFormat="false" ht="15" hidden="false" customHeight="false" outlineLevel="0" collapsed="false">
      <c r="A33" s="10" t="s">
        <v>6276</v>
      </c>
      <c r="B33" s="11" t="s">
        <v>256</v>
      </c>
      <c r="C33" s="10" t="s">
        <v>63</v>
      </c>
      <c r="D33" s="10" t="n">
        <f aca="false">SRC_ZP_141</f>
        <v>5.0536</v>
      </c>
      <c r="K33" s="10" t="n">
        <f aca="false">SRC_ZP_201</f>
        <v>1.0335</v>
      </c>
      <c r="M33" s="13" t="s">
        <v>6277</v>
      </c>
    </row>
    <row r="34" customFormat="false" ht="15" hidden="false" customHeight="false" outlineLevel="0" collapsed="false">
      <c r="A34" s="10" t="s">
        <v>6278</v>
      </c>
      <c r="B34" s="11" t="s">
        <v>6279</v>
      </c>
      <c r="C34" s="10" t="s">
        <v>63</v>
      </c>
      <c r="D34" s="10" t="n">
        <f aca="false">D30+D31+D32+D33</f>
        <v>45.0435</v>
      </c>
      <c r="K34" s="10" t="n">
        <f aca="false">K30+K31+K32+K33</f>
        <v>31.1447</v>
      </c>
      <c r="M34" s="2"/>
    </row>
    <row r="35" customFormat="false" ht="15" hidden="false" customHeight="false" outlineLevel="0" collapsed="false">
      <c r="A35" s="10" t="s">
        <v>6280</v>
      </c>
      <c r="B35" s="11" t="s">
        <v>6281</v>
      </c>
      <c r="C35" s="10" t="s">
        <v>63</v>
      </c>
      <c r="D35" s="10" t="n">
        <f aca="false">SRC_ZP_142</f>
        <v>5.5827</v>
      </c>
      <c r="K35" s="10" t="n">
        <f aca="false">SRC_ZP_202</f>
        <v>0.8576</v>
      </c>
      <c r="M35" s="13" t="s">
        <v>5862</v>
      </c>
    </row>
    <row r="36" customFormat="false" ht="15" hidden="false" customHeight="false" outlineLevel="0" collapsed="false">
      <c r="A36" s="10" t="s">
        <v>6282</v>
      </c>
      <c r="B36" s="11" t="s">
        <v>6283</v>
      </c>
      <c r="C36" s="10" t="s">
        <v>63</v>
      </c>
      <c r="D36" s="10" t="n">
        <f aca="false">D34-D12-D28-D35</f>
        <v>12.3484408</v>
      </c>
      <c r="K36" s="10" t="n">
        <f aca="false">K34-K12-K28-K35</f>
        <v>7.9624994</v>
      </c>
      <c r="M36" s="2" t="s">
        <v>6284</v>
      </c>
    </row>
    <row r="37" customFormat="false" ht="15" hidden="false" customHeight="false" outlineLevel="0" collapsed="false">
      <c r="A37" s="10" t="s">
        <v>6285</v>
      </c>
      <c r="B37" s="11" t="s">
        <v>6286</v>
      </c>
      <c r="C37" s="11" t="s">
        <v>439</v>
      </c>
      <c r="D37" s="10" t="n">
        <f aca="false">AVERAGE(SRC_ZP_844,SRC_ZP_162)</f>
        <v>988.5</v>
      </c>
      <c r="E37" s="10" t="n">
        <f aca="false">(K37+L37)/INP_013</f>
        <v>1037.5</v>
      </c>
      <c r="F37" s="10" t="n">
        <f aca="false">E37*(1+INP_117)</f>
        <v>1141.25</v>
      </c>
      <c r="G37" s="10" t="n">
        <f aca="false">F37*(1+INP_117)</f>
        <v>1255.375</v>
      </c>
      <c r="H37" s="10" t="n">
        <f aca="false">G37*(1+INP_117)</f>
        <v>1380.9125</v>
      </c>
      <c r="I37" s="10" t="n">
        <f aca="false">H37*(1+INP_117)</f>
        <v>1519.00375</v>
      </c>
      <c r="K37" s="10" t="n">
        <f aca="false">AVERAGE(SRC_ZP_162,SRC_ZP_222)</f>
        <v>1037.5</v>
      </c>
      <c r="L37" s="10" t="n">
        <f aca="false">K37*(1+INP_116)</f>
        <v>1037.5</v>
      </c>
      <c r="M37" s="13" t="s">
        <v>6287</v>
      </c>
    </row>
    <row r="38" customFormat="false" ht="15" hidden="false" customHeight="false" outlineLevel="0" collapsed="false">
      <c r="A38" s="10" t="s">
        <v>6288</v>
      </c>
      <c r="B38" s="11" t="s">
        <v>6289</v>
      </c>
      <c r="C38" s="10" t="s">
        <v>6290</v>
      </c>
      <c r="D38" s="10" t="n">
        <f aca="false">D36/D37</f>
        <v>0.0124920999494183</v>
      </c>
      <c r="E38" s="10" t="n">
        <f aca="false">(K38*INP_008+L38*INP_009)/INP_007</f>
        <v>0.0155936299239513</v>
      </c>
      <c r="F38" s="10" t="n">
        <f aca="false">E38*(1+INP_118)</f>
        <v>0.0160614388216698</v>
      </c>
      <c r="G38" s="10" t="n">
        <f aca="false">F38*(1+INP_118)</f>
        <v>0.0165432819863199</v>
      </c>
      <c r="H38" s="10" t="n">
        <f aca="false">G38*(1+INP_118)</f>
        <v>0.0170395804459095</v>
      </c>
      <c r="I38" s="10" t="n">
        <f aca="false">H38*(1+INP_118)</f>
        <v>0.0175507678592868</v>
      </c>
      <c r="K38" s="10" t="n">
        <f aca="false">K36/(K37*INP_008/INP_007)</f>
        <v>0.0154766013765559</v>
      </c>
      <c r="L38" s="10" t="n">
        <f aca="false">K38*(1+INP_118/INP_013)</f>
        <v>0.0157087503972043</v>
      </c>
      <c r="M38" s="2" t="s">
        <v>6291</v>
      </c>
    </row>
    <row r="39" customFormat="false" ht="15" hidden="false" customHeight="false" outlineLevel="0" collapsed="false">
      <c r="A39" s="10" t="s">
        <v>6292</v>
      </c>
      <c r="B39" s="11" t="s">
        <v>6293</v>
      </c>
      <c r="C39" s="10" t="s">
        <v>6290</v>
      </c>
      <c r="D39" s="10" t="n">
        <f aca="false">D35/D37</f>
        <v>0.00564764795144158</v>
      </c>
      <c r="E39" s="10" t="n">
        <f aca="false">(K39*INP_008+L39*INP_009)/INP_007</f>
        <v>0.00166690541170206</v>
      </c>
      <c r="F39" s="10" t="n">
        <f aca="false">E39*(1+INP_119)</f>
        <v>0.00166690541170206</v>
      </c>
      <c r="G39" s="10" t="n">
        <f aca="false">F39*(1+INP_119)</f>
        <v>0.00166690541170206</v>
      </c>
      <c r="H39" s="10" t="n">
        <f aca="false">G39*(1+INP_119)</f>
        <v>0.00166690541170206</v>
      </c>
      <c r="I39" s="10" t="n">
        <f aca="false">H39*(1+INP_119)</f>
        <v>0.00166690541170206</v>
      </c>
      <c r="K39" s="10" t="n">
        <f aca="false">K35/(K37*INP_008/INP_007)</f>
        <v>0.00166690541170206</v>
      </c>
      <c r="L39" s="10" t="n">
        <f aca="false">K39*(1+INP_119/INP_013)</f>
        <v>0.00166690541170206</v>
      </c>
      <c r="M39" s="13" t="s">
        <v>6294</v>
      </c>
    </row>
    <row r="40" customFormat="false" ht="15" hidden="false" customHeight="false" outlineLevel="0" collapsed="false">
      <c r="A40" s="10" t="s">
        <v>6295</v>
      </c>
      <c r="B40" s="11" t="s">
        <v>6296</v>
      </c>
      <c r="C40" s="10" t="s">
        <v>63</v>
      </c>
      <c r="D40" s="10" t="n">
        <f aca="false">D36</f>
        <v>12.3484408</v>
      </c>
      <c r="E40" s="10" t="n">
        <f aca="false">K40+L40</f>
        <v>16.1783910460994</v>
      </c>
      <c r="F40" s="10" t="n">
        <f aca="false">F37*F38</f>
        <v>18.3301170552307</v>
      </c>
      <c r="G40" s="10" t="n">
        <f aca="false">G37*G38</f>
        <v>20.7680226235764</v>
      </c>
      <c r="H40" s="10" t="n">
        <f aca="false">H37*H38</f>
        <v>23.530169632512</v>
      </c>
      <c r="I40" s="10" t="n">
        <f aca="false">I37*I38</f>
        <v>26.6596821936361</v>
      </c>
      <c r="K40" s="10" t="n">
        <f aca="false">K36</f>
        <v>7.9624994</v>
      </c>
      <c r="L40" s="10" t="n">
        <f aca="false">L37*(L38*INP_009/INP_007)</f>
        <v>8.21589164609945</v>
      </c>
      <c r="M40" s="2" t="s">
        <v>6297</v>
      </c>
    </row>
    <row r="41" customFormat="false" ht="15" hidden="false" customHeight="false" outlineLevel="0" collapsed="false">
      <c r="A41" s="10" t="s">
        <v>6298</v>
      </c>
      <c r="B41" s="11" t="s">
        <v>6299</v>
      </c>
      <c r="C41" s="10" t="s">
        <v>63</v>
      </c>
      <c r="D41" s="10" t="n">
        <f aca="false">D35</f>
        <v>5.5827</v>
      </c>
      <c r="E41" s="10" t="n">
        <f aca="false">K41+L41</f>
        <v>1.72941436464088</v>
      </c>
      <c r="F41" s="10" t="n">
        <f aca="false">F37*F39</f>
        <v>1.90235580110497</v>
      </c>
      <c r="G41" s="10" t="n">
        <f aca="false">G37*G39</f>
        <v>2.09259138121547</v>
      </c>
      <c r="H41" s="10" t="n">
        <f aca="false">H37*H39</f>
        <v>2.30185051933702</v>
      </c>
      <c r="I41" s="10" t="n">
        <f aca="false">I37*I39</f>
        <v>2.53203557127072</v>
      </c>
      <c r="K41" s="10" t="n">
        <f aca="false">K35</f>
        <v>0.8576</v>
      </c>
      <c r="L41" s="10" t="n">
        <f aca="false">L37*(L39*INP_009/INP_007)</f>
        <v>0.871814364640884</v>
      </c>
      <c r="M41" s="2" t="s">
        <v>6300</v>
      </c>
    </row>
    <row r="42" customFormat="false" ht="15" hidden="false" customHeight="false" outlineLevel="0" collapsed="false">
      <c r="A42" s="15" t="s">
        <v>6301</v>
      </c>
    </row>
    <row r="43" customFormat="false" ht="15" hidden="false" customHeight="false" outlineLevel="0" collapsed="false">
      <c r="A43" s="10" t="s">
        <v>6302</v>
      </c>
      <c r="B43" s="11" t="s">
        <v>6303</v>
      </c>
      <c r="C43" s="10" t="s">
        <v>63</v>
      </c>
      <c r="D43" s="10" t="n">
        <f aca="false">D12+D28+D40+D41</f>
        <v>45.0435</v>
      </c>
      <c r="E43" s="10" t="n">
        <f aca="false">E12+E28+E40+E41</f>
        <v>82.6052775730952</v>
      </c>
      <c r="F43" s="10" t="n">
        <f aca="false">F12+F28+F40+F41</f>
        <v>123.026004306889</v>
      </c>
      <c r="G43" s="10" t="n">
        <f aca="false">G12+G28+G40+G41</f>
        <v>178.70979566484</v>
      </c>
      <c r="H43" s="10" t="n">
        <f aca="false">H12+H28+H40+H41</f>
        <v>267.590188665227</v>
      </c>
      <c r="I43" s="10" t="n">
        <f aca="false">I12+I28+I40+I41</f>
        <v>393.514194162506</v>
      </c>
      <c r="K43" s="10" t="n">
        <f aca="false">K12+K28+K40+K41</f>
        <v>31.1447</v>
      </c>
      <c r="L43" s="10" t="n">
        <f aca="false">L12+L28+L40+L41</f>
        <v>51.4605775730952</v>
      </c>
      <c r="M43" s="2"/>
    </row>
    <row r="44" customFormat="false" ht="15" hidden="false" customHeight="false" outlineLevel="0" collapsed="false">
      <c r="A44" s="10" t="s">
        <v>6304</v>
      </c>
      <c r="B44" s="11" t="s">
        <v>6305</v>
      </c>
      <c r="C44" s="10" t="s">
        <v>63</v>
      </c>
      <c r="D44" s="10" t="n">
        <f aca="false">D43-D41</f>
        <v>39.4608</v>
      </c>
      <c r="E44" s="10" t="n">
        <f aca="false">E43-E41</f>
        <v>80.8758632084544</v>
      </c>
      <c r="F44" s="10" t="n">
        <f aca="false">F43-F41</f>
        <v>121.123648505785</v>
      </c>
      <c r="G44" s="10" t="n">
        <f aca="false">G43-G41</f>
        <v>176.617204283625</v>
      </c>
      <c r="H44" s="10" t="n">
        <f aca="false">H43-H41</f>
        <v>265.28833814589</v>
      </c>
      <c r="I44" s="10" t="n">
        <f aca="false">I43-I41</f>
        <v>390.982158591235</v>
      </c>
      <c r="K44" s="10" t="n">
        <f aca="false">K43-K41</f>
        <v>30.2871</v>
      </c>
      <c r="L44" s="10" t="n">
        <f aca="false">L43-L41</f>
        <v>50.5887632084544</v>
      </c>
      <c r="M44" s="2"/>
    </row>
    <row r="45" customFormat="false" ht="15" hidden="false" customHeight="false" outlineLevel="0" collapsed="false">
      <c r="A45" s="10" t="s">
        <v>6306</v>
      </c>
      <c r="B45" s="11" t="s">
        <v>6307</v>
      </c>
      <c r="C45" s="10" t="s">
        <v>63</v>
      </c>
      <c r="D45" s="10" t="n">
        <f aca="false">D43-D34</f>
        <v>0</v>
      </c>
      <c r="K45" s="10" t="n">
        <f aca="false">K43-K34</f>
        <v>0</v>
      </c>
      <c r="M45" s="2" t="s">
        <v>6308</v>
      </c>
    </row>
    <row r="46" customFormat="false" ht="15" hidden="false" customHeight="false" outlineLevel="0" collapsed="false">
      <c r="A46" s="10" t="s">
        <v>6309</v>
      </c>
      <c r="B46" s="11" t="s">
        <v>5591</v>
      </c>
      <c r="C46" s="10" t="s">
        <v>63</v>
      </c>
      <c r="D46" s="16" t="n">
        <f aca="false">Revenue!D59</f>
        <v>7.2433</v>
      </c>
      <c r="E46" s="16" t="n">
        <f aca="false">Revenue!E59</f>
        <v>40.4193747158106</v>
      </c>
      <c r="F46" s="16" t="n">
        <f aca="false">Revenue!F59</f>
        <v>80.2764384371044</v>
      </c>
      <c r="G46" s="16" t="n">
        <f aca="false">Revenue!G59</f>
        <v>131.465536042481</v>
      </c>
      <c r="H46" s="16" t="n">
        <f aca="false">Revenue!H59</f>
        <v>197.688557668085</v>
      </c>
      <c r="I46" s="16" t="n">
        <f aca="false">Revenue!I59</f>
        <v>278.419186089535</v>
      </c>
      <c r="M46" s="13" t="s">
        <v>4673</v>
      </c>
    </row>
    <row r="47" customFormat="false" ht="15" hidden="false" customHeight="false" outlineLevel="0" collapsed="false">
      <c r="A47" s="10" t="s">
        <v>6310</v>
      </c>
      <c r="B47" s="11" t="s">
        <v>6311</v>
      </c>
      <c r="C47" s="10" t="s">
        <v>63</v>
      </c>
      <c r="D47" s="16" t="n">
        <f aca="false">Revenue!D56*Revenue!D57</f>
        <v>1.9038</v>
      </c>
      <c r="E47" s="16" t="n">
        <f aca="false">Revenue!E56*Revenue!E57</f>
        <v>35.4103747158106</v>
      </c>
      <c r="F47" s="16" t="n">
        <f aca="false">Revenue!F56*Revenue!F57</f>
        <v>75.2674384371044</v>
      </c>
      <c r="G47" s="16" t="n">
        <f aca="false">Revenue!G56*Revenue!G57</f>
        <v>126.456536042481</v>
      </c>
      <c r="H47" s="16" t="n">
        <f aca="false">Revenue!H56*Revenue!H57</f>
        <v>192.679557668085</v>
      </c>
      <c r="I47" s="16" t="n">
        <f aca="false">Revenue!I56*Revenue!I57</f>
        <v>273.410186089535</v>
      </c>
      <c r="M47" s="2"/>
    </row>
    <row r="48" customFormat="false" ht="15" hidden="false" customHeight="false" outlineLevel="0" collapsed="false">
      <c r="A48" s="10" t="s">
        <v>6312</v>
      </c>
      <c r="B48" s="11" t="s">
        <v>6313</v>
      </c>
      <c r="C48" s="10" t="s">
        <v>63</v>
      </c>
      <c r="D48" s="10" t="n">
        <f aca="false">D46-D43</f>
        <v>-37.8002</v>
      </c>
      <c r="E48" s="10" t="n">
        <f aca="false">E46-E43</f>
        <v>-42.1859028572847</v>
      </c>
      <c r="F48" s="10" t="n">
        <f aca="false">F46-F43</f>
        <v>-42.7495658697851</v>
      </c>
      <c r="G48" s="10" t="n">
        <f aca="false">G46-G43</f>
        <v>-47.244259622359</v>
      </c>
      <c r="H48" s="10" t="n">
        <f aca="false">H46-H43</f>
        <v>-69.9016309971421</v>
      </c>
      <c r="I48" s="10" t="n">
        <f aca="false">I46-I43</f>
        <v>-115.095008072971</v>
      </c>
      <c r="M48" s="2" t="s">
        <v>6314</v>
      </c>
    </row>
    <row r="49" customFormat="false" ht="15" hidden="false" customHeight="false" outlineLevel="0" collapsed="false">
      <c r="A49" s="10" t="s">
        <v>6315</v>
      </c>
      <c r="B49" s="11" t="s">
        <v>6316</v>
      </c>
      <c r="C49" s="10" t="s">
        <v>63</v>
      </c>
      <c r="D49" s="10" t="n">
        <f aca="false">-SRC_ZP_145</f>
        <v>-47.1817</v>
      </c>
      <c r="M49" s="13" t="s">
        <v>6317</v>
      </c>
    </row>
    <row r="50" customFormat="false" ht="15" hidden="false" customHeight="false" outlineLevel="0" collapsed="false">
      <c r="A50" s="15" t="s">
        <v>6318</v>
      </c>
    </row>
    <row r="51" customFormat="false" ht="15" hidden="false" customHeight="false" outlineLevel="0" collapsed="false">
      <c r="A51" s="10" t="s">
        <v>6319</v>
      </c>
      <c r="B51" s="11" t="s">
        <v>6320</v>
      </c>
      <c r="C51" s="10" t="s">
        <v>4526</v>
      </c>
      <c r="D51" s="16" t="n">
        <f aca="false">Compute!D137</f>
        <v>0.00243409863480312</v>
      </c>
      <c r="E51" s="16" t="n">
        <f aca="false">Compute!E137</f>
        <v>0.00661041229887767</v>
      </c>
      <c r="F51" s="16" t="n">
        <f aca="false">Compute!F137</f>
        <v>0.0121927158641624</v>
      </c>
      <c r="G51" s="16" t="n">
        <f aca="false">Compute!G137</f>
        <v>0.0197670404709507</v>
      </c>
      <c r="H51" s="16" t="n">
        <f aca="false">Compute!H137</f>
        <v>0.0310301542346713</v>
      </c>
      <c r="I51" s="16" t="n">
        <f aca="false">Compute!I137</f>
        <v>0.0480769024678003</v>
      </c>
      <c r="M51" s="13" t="s">
        <v>4683</v>
      </c>
    </row>
    <row r="52" customFormat="false" ht="15" hidden="false" customHeight="false" outlineLevel="0" collapsed="false">
      <c r="A52" s="10" t="s">
        <v>6321</v>
      </c>
      <c r="B52" s="11" t="s">
        <v>6322</v>
      </c>
      <c r="C52" s="10" t="s">
        <v>5909</v>
      </c>
      <c r="D52" s="10" t="n">
        <f aca="false">IF(D51,D46/D51,D51)</f>
        <v>2975.76273057886</v>
      </c>
      <c r="E52" s="10" t="n">
        <f aca="false">IF(E51,E46/E51,E51)</f>
        <v>6114.50131827224</v>
      </c>
      <c r="F52" s="10" t="n">
        <f aca="false">IF(F51,F46/F51,F51)</f>
        <v>6583.96696285346</v>
      </c>
      <c r="G52" s="10" t="n">
        <f aca="false">IF(G51,G46/G51,G51)</f>
        <v>6650.74451765708</v>
      </c>
      <c r="H52" s="10" t="n">
        <f aca="false">IF(H51,H46/H51,H51)</f>
        <v>6370.85320856058</v>
      </c>
      <c r="I52" s="10" t="n">
        <f aca="false">IF(I51,I46/I51,I51)</f>
        <v>5791.12155314097</v>
      </c>
      <c r="M52" s="2" t="s">
        <v>6323</v>
      </c>
    </row>
    <row r="53" customFormat="false" ht="15" hidden="false" customHeight="false" outlineLevel="0" collapsed="false">
      <c r="A53" s="10" t="s">
        <v>6324</v>
      </c>
      <c r="B53" s="11" t="s">
        <v>6325</v>
      </c>
      <c r="C53" s="10" t="s">
        <v>5909</v>
      </c>
      <c r="D53" s="10" t="n">
        <f aca="false">IF(D51,D47/D51,D51)</f>
        <v>782.13757354742</v>
      </c>
      <c r="E53" s="10" t="n">
        <f aca="false">IF(E51,E47/E51,E51)</f>
        <v>5356.75735715041</v>
      </c>
      <c r="F53" s="10" t="n">
        <f aca="false">IF(F51,F47/F51,F51)</f>
        <v>6173.14790860791</v>
      </c>
      <c r="G53" s="10" t="n">
        <f aca="false">IF(G51,G47/G51,G51)</f>
        <v>6397.34290160023</v>
      </c>
      <c r="H53" s="10" t="n">
        <f aca="false">IF(H51,H47/H51,H51)</f>
        <v>6209.42958294407</v>
      </c>
      <c r="I53" s="10" t="n">
        <f aca="false">IF(I51,I47/I51,I51)</f>
        <v>5686.93430847904</v>
      </c>
      <c r="M53" s="2" t="s">
        <v>6323</v>
      </c>
    </row>
    <row r="54" customFormat="false" ht="15" hidden="false" customHeight="false" outlineLevel="0" collapsed="false">
      <c r="A54" s="10" t="s">
        <v>6326</v>
      </c>
      <c r="B54" s="11" t="s">
        <v>6327</v>
      </c>
      <c r="C54" s="10" t="s">
        <v>5909</v>
      </c>
      <c r="D54" s="10" t="n">
        <f aca="false">IF(D51,D12/D51,D51)</f>
        <v>10015.7647070748</v>
      </c>
      <c r="E54" s="10" t="n">
        <f aca="false">IF(E51,E12/E51,E51)</f>
        <v>9316.38359622523</v>
      </c>
      <c r="F54" s="10" t="n">
        <f aca="false">IF(F51,F12/F51,F51)</f>
        <v>8175.47108489076</v>
      </c>
      <c r="G54" s="10" t="n">
        <f aca="false">IF(G51,G12/G51,G51)</f>
        <v>7726.84441192408</v>
      </c>
      <c r="H54" s="10" t="n">
        <f aca="false">IF(H51,H12/H51,H51)</f>
        <v>7690.77173293338</v>
      </c>
      <c r="I54" s="10" t="n">
        <f aca="false">IF(I51,I12/I51,I51)</f>
        <v>7513.17415223901</v>
      </c>
      <c r="M54" s="2" t="s">
        <v>6323</v>
      </c>
    </row>
    <row r="55" customFormat="false" ht="15" hidden="false" customHeight="false" outlineLevel="0" collapsed="false">
      <c r="A55" s="10" t="s">
        <v>6328</v>
      </c>
      <c r="B55" s="11" t="s">
        <v>6329</v>
      </c>
      <c r="C55" s="10" t="s">
        <v>5909</v>
      </c>
      <c r="D55" s="10" t="n">
        <f aca="false">IF(D51,D28/D51,D51)</f>
        <v>1122.79755673133</v>
      </c>
      <c r="E55" s="10" t="n">
        <f aca="false">IF(E51,E28/E51,E51)</f>
        <v>470.82319772004</v>
      </c>
      <c r="F55" s="10" t="n">
        <f aca="false">IF(F51,F28/F51,F51)</f>
        <v>255.261870405219</v>
      </c>
      <c r="G55" s="10" t="n">
        <f aca="false">IF(G51,G28/G51,G51)</f>
        <v>157.450755533146</v>
      </c>
      <c r="H55" s="10" t="n">
        <f aca="false">IF(H51,H28/H51,H51)</f>
        <v>100.30035407713</v>
      </c>
      <c r="I55" s="10" t="n">
        <f aca="false">IF(I51,I28/I51,I51)</f>
        <v>64.7366052521784</v>
      </c>
      <c r="M55" s="2" t="s">
        <v>6323</v>
      </c>
    </row>
    <row r="56" customFormat="false" ht="15" hidden="false" customHeight="false" outlineLevel="0" collapsed="false">
      <c r="A56" s="10" t="s">
        <v>6330</v>
      </c>
      <c r="B56" s="11" t="s">
        <v>6331</v>
      </c>
      <c r="C56" s="10" t="s">
        <v>5909</v>
      </c>
      <c r="D56" s="10" t="n">
        <f aca="false">IF(D51,D40/D51,D51)</f>
        <v>5073.10616892844</v>
      </c>
      <c r="E56" s="10" t="n">
        <f aca="false">IF(E51,E40/E51,E51)</f>
        <v>2447.41028465747</v>
      </c>
      <c r="F56" s="10" t="n">
        <f aca="false">IF(F51,F40/F51,F51)</f>
        <v>1503.36621138755</v>
      </c>
      <c r="G56" s="10" t="n">
        <f aca="false">IF(G51,G40/G51,G51)</f>
        <v>1050.63894891583</v>
      </c>
      <c r="H56" s="10" t="n">
        <f aca="false">IF(H51,H40/H51,H51)</f>
        <v>758.300118477039</v>
      </c>
      <c r="I56" s="10" t="n">
        <f aca="false">IF(I51,I40/I51,I51)</f>
        <v>554.52162733428</v>
      </c>
      <c r="M56" s="2" t="s">
        <v>6323</v>
      </c>
    </row>
    <row r="57" customFormat="false" ht="15" hidden="false" customHeight="false" outlineLevel="0" collapsed="false">
      <c r="A57" s="10" t="s">
        <v>6332</v>
      </c>
      <c r="B57" s="11" t="s">
        <v>6333</v>
      </c>
      <c r="C57" s="10" t="s">
        <v>5909</v>
      </c>
      <c r="D57" s="10" t="n">
        <f aca="false">IF(D51,D41/D51,D51)</f>
        <v>2293.53893888181</v>
      </c>
      <c r="E57" s="10" t="n">
        <f aca="false">IF(E51,E41/E51,E51)</f>
        <v>261.61974267997</v>
      </c>
      <c r="F57" s="10" t="n">
        <f aca="false">IF(F51,F41/F51,F51)</f>
        <v>156.023959083349</v>
      </c>
      <c r="G57" s="10" t="n">
        <f aca="false">IF(G51,G41/G51,G51)</f>
        <v>105.862654770738</v>
      </c>
      <c r="H57" s="10" t="n">
        <f aca="false">IF(H51,H41/H51,H51)</f>
        <v>74.1810853381149</v>
      </c>
      <c r="I57" s="10" t="n">
        <f aca="false">IF(I51,I41/I51,I51)</f>
        <v>52.6663624589075</v>
      </c>
      <c r="M57" s="2" t="s">
        <v>6323</v>
      </c>
    </row>
    <row r="58" customFormat="false" ht="15" hidden="false" customHeight="false" outlineLevel="0" collapsed="false">
      <c r="A58" s="10" t="s">
        <v>6334</v>
      </c>
      <c r="B58" s="11" t="s">
        <v>6335</v>
      </c>
      <c r="C58" s="10" t="s">
        <v>5909</v>
      </c>
      <c r="D58" s="10" t="n">
        <f aca="false">IF(D51,D43/D51,D51)</f>
        <v>18505.2073716164</v>
      </c>
      <c r="E58" s="10" t="n">
        <f aca="false">IF(E51,E43/E51,E51)</f>
        <v>12496.2368212827</v>
      </c>
      <c r="F58" s="10" t="n">
        <f aca="false">IF(F51,F43/F51,F51)</f>
        <v>10090.1231257669</v>
      </c>
      <c r="G58" s="10" t="n">
        <f aca="false">IF(G51,G43/G51,G51)</f>
        <v>9040.7967711438</v>
      </c>
      <c r="H58" s="10" t="n">
        <f aca="false">IF(H51,H43/H51,H51)</f>
        <v>8623.55329082566</v>
      </c>
      <c r="I58" s="10" t="n">
        <f aca="false">IF(I51,I43/I51,I51)</f>
        <v>8185.09874728437</v>
      </c>
      <c r="M58" s="2" t="s">
        <v>6323</v>
      </c>
    </row>
    <row r="59" customFormat="false" ht="15" hidden="false" customHeight="false" outlineLevel="0" collapsed="false">
      <c r="A59" s="10" t="s">
        <v>6336</v>
      </c>
      <c r="B59" s="11" t="s">
        <v>6337</v>
      </c>
      <c r="C59" s="10" t="s">
        <v>5909</v>
      </c>
      <c r="D59" s="10" t="n">
        <f aca="false">IF(D51,D44/D51,D51)</f>
        <v>16211.6684327345</v>
      </c>
      <c r="E59" s="10" t="n">
        <f aca="false">IF(E51,E44/E51,E51)</f>
        <v>12234.6170786027</v>
      </c>
      <c r="F59" s="10" t="n">
        <f aca="false">IF(F51,F44/F51,F51)</f>
        <v>9934.09916668353</v>
      </c>
      <c r="G59" s="10" t="n">
        <f aca="false">IF(G51,G44/G51,G51)</f>
        <v>8934.93411637306</v>
      </c>
      <c r="H59" s="10" t="n">
        <f aca="false">IF(H51,H44/H51,H51)</f>
        <v>8549.37220548755</v>
      </c>
      <c r="I59" s="10" t="n">
        <f aca="false">IF(I51,I44/I51,I51)</f>
        <v>8132.43238482546</v>
      </c>
      <c r="M59" s="2" t="s">
        <v>6323</v>
      </c>
    </row>
    <row r="60" customFormat="false" ht="15" hidden="false" customHeight="false" outlineLevel="0" collapsed="false">
      <c r="A60" s="10" t="s">
        <v>6338</v>
      </c>
      <c r="B60" s="11" t="s">
        <v>6339</v>
      </c>
      <c r="C60" s="10" t="s">
        <v>5909</v>
      </c>
      <c r="D60" s="10" t="n">
        <f aca="false">D52-D58</f>
        <v>-15529.4446410375</v>
      </c>
      <c r="E60" s="10" t="n">
        <f aca="false">E52-E58</f>
        <v>-6381.73550301047</v>
      </c>
      <c r="F60" s="10" t="n">
        <f aca="false">F52-F58</f>
        <v>-3506.15616291342</v>
      </c>
      <c r="G60" s="10" t="n">
        <f aca="false">G52-G58</f>
        <v>-2390.05225348672</v>
      </c>
      <c r="H60" s="10" t="n">
        <f aca="false">H52-H58</f>
        <v>-2252.70008226508</v>
      </c>
      <c r="I60" s="10" t="n">
        <f aca="false">I52-I58</f>
        <v>-2393.97719414341</v>
      </c>
      <c r="M60" s="2" t="s">
        <v>6340</v>
      </c>
    </row>
    <row r="61" customFormat="false" ht="15" hidden="false" customHeight="false" outlineLevel="0" collapsed="false">
      <c r="A61" s="10" t="s">
        <v>6341</v>
      </c>
      <c r="B61" s="11" t="s">
        <v>6342</v>
      </c>
      <c r="C61" s="10" t="s">
        <v>5909</v>
      </c>
      <c r="D61" s="10" t="n">
        <f aca="false">D52-D59</f>
        <v>-13235.9057021557</v>
      </c>
      <c r="E61" s="10" t="n">
        <f aca="false">E52-E59</f>
        <v>-6120.1157603305</v>
      </c>
      <c r="F61" s="10" t="n">
        <f aca="false">F52-F59</f>
        <v>-3350.13220383007</v>
      </c>
      <c r="G61" s="10" t="n">
        <f aca="false">G52-G59</f>
        <v>-2284.18959871598</v>
      </c>
      <c r="H61" s="10" t="n">
        <f aca="false">H52-H59</f>
        <v>-2178.51899692697</v>
      </c>
      <c r="I61" s="10" t="n">
        <f aca="false">I52-I59</f>
        <v>-2341.3108316845</v>
      </c>
      <c r="M61" s="2"/>
    </row>
    <row r="62" customFormat="false" ht="15" hidden="false" customHeight="false" outlineLevel="0" collapsed="false">
      <c r="A62" s="10" t="s">
        <v>6343</v>
      </c>
      <c r="B62" s="11" t="s">
        <v>6344</v>
      </c>
      <c r="C62" s="10" t="s">
        <v>5909</v>
      </c>
      <c r="D62" s="10" t="n">
        <f aca="false">D53-D58+D55</f>
        <v>-16600.2722413376</v>
      </c>
      <c r="E62" s="10" t="n">
        <f aca="false">E53-E58+E55</f>
        <v>-6668.65626641225</v>
      </c>
      <c r="F62" s="10" t="n">
        <f aca="false">F53-F58+F55</f>
        <v>-3661.71334675376</v>
      </c>
      <c r="G62" s="10" t="n">
        <f aca="false">G53-G58+G55</f>
        <v>-2486.00311401042</v>
      </c>
      <c r="H62" s="10" t="n">
        <f aca="false">H53-H58+H55</f>
        <v>-2313.82335380446</v>
      </c>
      <c r="I62" s="10" t="n">
        <f aca="false">I53-I58+I55</f>
        <v>-2433.42783355315</v>
      </c>
      <c r="M62" s="13" t="s">
        <v>6345</v>
      </c>
    </row>
    <row r="63" customFormat="false" ht="15" hidden="false" customHeight="false" outlineLevel="0" collapsed="false">
      <c r="A63" s="10" t="s">
        <v>6346</v>
      </c>
      <c r="B63" s="11" t="s">
        <v>6347</v>
      </c>
      <c r="C63" s="11" t="s">
        <v>1709</v>
      </c>
      <c r="D63" s="10" t="n">
        <f aca="false">D46/D43</f>
        <v>0.160806775672406</v>
      </c>
      <c r="E63" s="10" t="n">
        <f aca="false">E46/E43</f>
        <v>0.489307413561373</v>
      </c>
      <c r="F63" s="10" t="n">
        <f aca="false">F46/F43</f>
        <v>0.652516017970104</v>
      </c>
      <c r="G63" s="10" t="n">
        <f aca="false">G46/G43</f>
        <v>0.735636989306602</v>
      </c>
      <c r="H63" s="10" t="n">
        <f aca="false">H46/H43</f>
        <v>0.738773565107824</v>
      </c>
      <c r="I63" s="10" t="n">
        <f aca="false">I46/I43</f>
        <v>0.70752005955485</v>
      </c>
      <c r="M63" s="2"/>
    </row>
    <row r="64" customFormat="false" ht="15" hidden="false" customHeight="false" outlineLevel="0" collapsed="false">
      <c r="A64" s="10" t="s">
        <v>6348</v>
      </c>
      <c r="B64" s="11" t="s">
        <v>6349</v>
      </c>
      <c r="C64" s="11" t="s">
        <v>1709</v>
      </c>
      <c r="D64" s="10" t="n">
        <f aca="false">D47/(D43-D28)</f>
        <v>0.0449959229978374</v>
      </c>
      <c r="E64" s="10" t="n">
        <f aca="false">E47/(E43-E28)</f>
        <v>0.445453065053359</v>
      </c>
      <c r="F64" s="10" t="n">
        <f aca="false">F47/(F43-F28)</f>
        <v>0.627680223271324</v>
      </c>
      <c r="G64" s="10" t="n">
        <f aca="false">G47/(G43-G28)</f>
        <v>0.72015014279059</v>
      </c>
      <c r="H64" s="10" t="n">
        <f aca="false">H47/(H43-H28)</f>
        <v>0.728528136971242</v>
      </c>
      <c r="I64" s="10" t="n">
        <f aca="false">I47/(I43-I28)</f>
        <v>0.700330134175006</v>
      </c>
      <c r="M64" s="2"/>
    </row>
    <row r="65" customFormat="false" ht="15" hidden="false" customHeight="false" outlineLevel="0" collapsed="false">
      <c r="A65" s="15" t="s">
        <v>6350</v>
      </c>
    </row>
    <row r="66" customFormat="false" ht="15" hidden="false" customHeight="false" outlineLevel="0" collapsed="false">
      <c r="A66" s="10" t="s">
        <v>6351</v>
      </c>
      <c r="B66" s="11" t="s">
        <v>6352</v>
      </c>
      <c r="C66" s="10" t="s">
        <v>5792</v>
      </c>
      <c r="D66" s="10" t="n">
        <f aca="false">D52/INP_023/INP_021</f>
        <v>44.1514374186391</v>
      </c>
      <c r="E66" s="10" t="n">
        <f aca="false">E52/INP_023/INP_021</f>
        <v>90.7209501368305</v>
      </c>
      <c r="F66" s="10" t="n">
        <f aca="false">F52/INP_023/INP_021</f>
        <v>97.6864191286735</v>
      </c>
      <c r="G66" s="10" t="n">
        <f aca="false">G52/INP_023/INP_021</f>
        <v>98.6771987367332</v>
      </c>
      <c r="H66" s="10" t="n">
        <f aca="false">H52/INP_023/INP_021</f>
        <v>94.5244470772649</v>
      </c>
      <c r="I66" s="10" t="n">
        <f aca="false">I52/INP_023/INP_021</f>
        <v>85.9229595860616</v>
      </c>
      <c r="M66" s="2"/>
    </row>
    <row r="67" customFormat="false" ht="15" hidden="false" customHeight="false" outlineLevel="0" collapsed="false">
      <c r="A67" s="10" t="s">
        <v>6353</v>
      </c>
      <c r="B67" s="11" t="s">
        <v>6354</v>
      </c>
      <c r="C67" s="10" t="s">
        <v>5792</v>
      </c>
      <c r="D67" s="10" t="n">
        <f aca="false">D53/INP_023/INP_021</f>
        <v>11.60458721268</v>
      </c>
      <c r="E67" s="10" t="n">
        <f aca="false">E53/INP_023/INP_021</f>
        <v>79.4782913270288</v>
      </c>
      <c r="F67" s="10" t="n">
        <f aca="false">F53/INP_023/INP_021</f>
        <v>91.5910904999764</v>
      </c>
      <c r="G67" s="10" t="n">
        <f aca="false">G53/INP_023/INP_021</f>
        <v>94.9174750604643</v>
      </c>
      <c r="H67" s="10" t="n">
        <f aca="false">H53/INP_023/INP_021</f>
        <v>92.1294022603314</v>
      </c>
      <c r="I67" s="10" t="n">
        <f aca="false">I53/INP_023/INP_021</f>
        <v>84.3771318339893</v>
      </c>
      <c r="M67" s="2"/>
    </row>
    <row r="68" customFormat="false" ht="15" hidden="false" customHeight="false" outlineLevel="0" collapsed="false">
      <c r="A68" s="10" t="s">
        <v>6355</v>
      </c>
      <c r="B68" s="11" t="s">
        <v>6356</v>
      </c>
      <c r="C68" s="10" t="s">
        <v>5792</v>
      </c>
      <c r="D68" s="10" t="n">
        <f aca="false">D54/INP_023/INP_021</f>
        <v>148.604055061274</v>
      </c>
      <c r="E68" s="10" t="n">
        <f aca="false">E54/INP_023/INP_021</f>
        <v>138.227326758932</v>
      </c>
      <c r="F68" s="10" t="n">
        <f aca="false">F54/INP_023/INP_021</f>
        <v>121.299590274199</v>
      </c>
      <c r="G68" s="10" t="n">
        <f aca="false">G54/INP_023/INP_021</f>
        <v>114.64330942483</v>
      </c>
      <c r="H68" s="10" t="n">
        <f aca="false">H54/INP_023/INP_021</f>
        <v>114.108098531631</v>
      </c>
      <c r="I68" s="10" t="n">
        <f aca="false">I54/INP_023/INP_021</f>
        <v>111.473080494355</v>
      </c>
      <c r="M68" s="2"/>
    </row>
    <row r="69" customFormat="false" ht="15" hidden="false" customHeight="false" outlineLevel="0" collapsed="false">
      <c r="A69" s="10" t="s">
        <v>6357</v>
      </c>
      <c r="B69" s="11" t="s">
        <v>6358</v>
      </c>
      <c r="C69" s="10" t="s">
        <v>5792</v>
      </c>
      <c r="D69" s="10" t="n">
        <f aca="false">D58/INP_023/INP_021</f>
        <v>274.562046493514</v>
      </c>
      <c r="E69" s="10" t="n">
        <f aca="false">E58/INP_023/INP_021</f>
        <v>185.406857984283</v>
      </c>
      <c r="F69" s="10" t="n">
        <f aca="false">F58/INP_023/INP_021</f>
        <v>149.707312063486</v>
      </c>
      <c r="G69" s="10" t="n">
        <f aca="false">G58/INP_023/INP_021</f>
        <v>134.138440795024</v>
      </c>
      <c r="H69" s="10" t="n">
        <f aca="false">H58/INP_023/INP_021</f>
        <v>127.947792857842</v>
      </c>
      <c r="I69" s="10" t="n">
        <f aca="false">I58/INP_023/INP_021</f>
        <v>121.442436049264</v>
      </c>
      <c r="M69" s="2"/>
    </row>
    <row r="70" customFormat="false" ht="15" hidden="false" customHeight="false" outlineLevel="0" collapsed="false">
      <c r="A70" s="10" t="s">
        <v>6359</v>
      </c>
      <c r="B70" s="11" t="s">
        <v>6360</v>
      </c>
      <c r="C70" s="10" t="s">
        <v>5792</v>
      </c>
      <c r="D70" s="10" t="n">
        <f aca="false">D60/INP_023/INP_021</f>
        <v>-230.410609074875</v>
      </c>
      <c r="E70" s="10" t="n">
        <f aca="false">E60/INP_023/INP_021</f>
        <v>-94.6859078474528</v>
      </c>
      <c r="F70" s="10" t="n">
        <f aca="false">F60/INP_023/INP_021</f>
        <v>-52.0208929348123</v>
      </c>
      <c r="G70" s="10" t="n">
        <f aca="false">G60/INP_023/INP_021</f>
        <v>-35.4612420582905</v>
      </c>
      <c r="H70" s="10" t="n">
        <f aca="false">H60/INP_023/INP_021</f>
        <v>-33.4233457805766</v>
      </c>
      <c r="I70" s="10" t="n">
        <f aca="false">I60/INP_023/INP_021</f>
        <v>-35.5194764632028</v>
      </c>
      <c r="M70" s="2"/>
    </row>
    <row r="71" customFormat="false" ht="15" hidden="false" customHeight="false" outlineLevel="0" collapsed="false">
      <c r="A71" s="10" t="s">
        <v>6361</v>
      </c>
      <c r="B71" s="11" t="s">
        <v>6362</v>
      </c>
      <c r="C71" s="10" t="s">
        <v>5792</v>
      </c>
      <c r="D71" s="10" t="n">
        <f aca="false">D61/INP_023/INP_021</f>
        <v>-196.38133655033</v>
      </c>
      <c r="E71" s="10" t="n">
        <f aca="false">E61/INP_023/INP_021</f>
        <v>-90.8042517000326</v>
      </c>
      <c r="F71" s="10" t="n">
        <f aca="false">F61/INP_023/INP_021</f>
        <v>-49.7059630533104</v>
      </c>
      <c r="G71" s="10" t="n">
        <f aca="false">G61/INP_023/INP_021</f>
        <v>-33.8905562206558</v>
      </c>
      <c r="H71" s="10" t="n">
        <f aca="false">H61/INP_023/INP_021</f>
        <v>-32.3227198760659</v>
      </c>
      <c r="I71" s="10" t="n">
        <f aca="false">I61/INP_023/INP_021</f>
        <v>-34.7380648330761</v>
      </c>
      <c r="M71" s="2"/>
    </row>
    <row r="72" customFormat="false" ht="15" hidden="false" customHeight="false" outlineLevel="0" collapsed="false">
      <c r="A72" s="10" t="s">
        <v>6363</v>
      </c>
      <c r="B72" s="11" t="s">
        <v>6364</v>
      </c>
      <c r="C72" s="10" t="s">
        <v>5792</v>
      </c>
      <c r="D72" s="10" t="n">
        <f aca="false">D62/INP_023/INP_021</f>
        <v>-246.298494656265</v>
      </c>
      <c r="E72" s="10" t="n">
        <f aca="false">E62/INP_023/INP_021</f>
        <v>-98.9429556286036</v>
      </c>
      <c r="F72" s="10" t="n">
        <f aca="false">F62/INP_023/INP_021</f>
        <v>-54.328897264852</v>
      </c>
      <c r="G72" s="10" t="n">
        <f aca="false">G62/INP_023/INP_021</f>
        <v>-36.8848664521792</v>
      </c>
      <c r="H72" s="10" t="n">
        <f aca="false">H62/INP_023/INP_021</f>
        <v>-34.330232700848</v>
      </c>
      <c r="I72" s="10" t="n">
        <f aca="false">I62/INP_023/INP_021</f>
        <v>-36.1048062071121</v>
      </c>
      <c r="M72" s="2"/>
    </row>
    <row r="73" customFormat="false" ht="15" hidden="false" customHeight="false" outlineLevel="0" collapsed="false">
      <c r="A73" s="10" t="s">
        <v>6365</v>
      </c>
      <c r="B73" s="11" t="s">
        <v>6366</v>
      </c>
      <c r="C73" s="10" t="s">
        <v>4513</v>
      </c>
      <c r="D73" s="10" t="n">
        <f aca="false">D46/INP_023/INP_021</f>
        <v>0.107468953545305</v>
      </c>
      <c r="E73" s="10" t="n">
        <f aca="false">E46/INP_023/INP_021</f>
        <v>0.599702884550373</v>
      </c>
      <c r="F73" s="10" t="n">
        <f aca="false">F46/INP_023/INP_021</f>
        <v>1.19106275222339</v>
      </c>
      <c r="G73" s="10" t="n">
        <f aca="false">G46/INP_023/INP_021</f>
        <v>1.95055618098905</v>
      </c>
      <c r="H73" s="10" t="n">
        <f aca="false">H46/INP_023/INP_021</f>
        <v>2.93310817175455</v>
      </c>
      <c r="I73" s="10" t="n">
        <f aca="false">I46/INP_023/INP_021</f>
        <v>4.13090974776383</v>
      </c>
      <c r="M73" s="2"/>
    </row>
    <row r="74" customFormat="false" ht="15" hidden="false" customHeight="false" outlineLevel="0" collapsed="false">
      <c r="A74" s="10" t="s">
        <v>6367</v>
      </c>
      <c r="B74" s="11" t="s">
        <v>6368</v>
      </c>
      <c r="C74" s="10" t="s">
        <v>4513</v>
      </c>
      <c r="D74" s="10" t="n">
        <f aca="false">D43/INP_023/INP_021</f>
        <v>0.668311102538614</v>
      </c>
      <c r="E74" s="10" t="n">
        <f aca="false">E43/INP_023/INP_021</f>
        <v>1.22561577431557</v>
      </c>
      <c r="F74" s="10" t="n">
        <f aca="false">F43/INP_023/INP_021</f>
        <v>1.82533871877757</v>
      </c>
      <c r="G74" s="10" t="n">
        <f aca="false">G43/INP_023/INP_021</f>
        <v>2.65151998790546</v>
      </c>
      <c r="H74" s="10" t="n">
        <f aca="false">H43/INP_023/INP_021</f>
        <v>3.97023974636459</v>
      </c>
      <c r="I74" s="10" t="n">
        <f aca="false">I43/INP_023/INP_021</f>
        <v>5.83857615339257</v>
      </c>
      <c r="M74" s="2"/>
    </row>
    <row r="75" customFormat="false" ht="15" hidden="false" customHeight="false" outlineLevel="0" collapsed="false">
      <c r="A75" s="10" t="s">
        <v>6369</v>
      </c>
      <c r="B75" s="11" t="s">
        <v>6370</v>
      </c>
      <c r="C75" s="10" t="s">
        <v>4513</v>
      </c>
      <c r="D75" s="10" t="n">
        <f aca="false">D48/INP_023/INP_021</f>
        <v>-0.560842148993309</v>
      </c>
      <c r="E75" s="10" t="n">
        <f aca="false">E48/INP_023/INP_021</f>
        <v>-0.6259128897652</v>
      </c>
      <c r="F75" s="10" t="n">
        <f aca="false">F48/INP_023/INP_021</f>
        <v>-0.634275966554179</v>
      </c>
      <c r="G75" s="10" t="n">
        <f aca="false">G48/INP_023/INP_021</f>
        <v>-0.700963806916409</v>
      </c>
      <c r="H75" s="10" t="n">
        <f aca="false">H48/INP_023/INP_021</f>
        <v>-1.03713157461004</v>
      </c>
      <c r="I75" s="10" t="n">
        <f aca="false">I48/INP_023/INP_021</f>
        <v>-1.70766640562873</v>
      </c>
      <c r="M75" s="2"/>
    </row>
    <row r="76" customFormat="false" ht="15" hidden="false" customHeight="false" outlineLevel="0" collapsed="false">
      <c r="A76" s="15" t="s">
        <v>6371</v>
      </c>
    </row>
    <row r="77" customFormat="false" ht="15" hidden="false" customHeight="false" outlineLevel="0" collapsed="false">
      <c r="A77" s="10" t="s">
        <v>6372</v>
      </c>
      <c r="B77" s="10" t="s">
        <v>6373</v>
      </c>
      <c r="C77" s="10" t="s">
        <v>5909</v>
      </c>
      <c r="D77" s="16" t="n">
        <f aca="false">SUMIFS(TK_IF_FullCostDefault_Sol,TK_HdrGen,Compute!$D$9,TK_HdrCost,Compute!$D$10)*SUMIFS(TK_IF_TokGW_Sol,TK_HdrGen,Compute!$D$9,TK_HdrCost,Compute!$D$10)*TK_IF_Util/INP_078*INP_023*INP_021</f>
        <v>1074.67731219448</v>
      </c>
      <c r="E77" s="16" t="n">
        <f aca="false">SUMIFS(TK_IF_FullCostDefault_Sol,TK_HdrGen,Compute!$D$9,TK_HdrCost,Compute!$D$10)*SUMIFS(TK_IF_TokGW_Sol,TK_HdrGen,Compute!$D$9,TK_HdrCost,Compute!$D$10)*TK_IF_Util/INP_078*INP_023*INP_021</f>
        <v>1074.67731219448</v>
      </c>
      <c r="F77" s="16" t="n">
        <f aca="false">SUMIFS(TK_IF_FullCostDefault_Sol,TK_HdrGen,Compute!$D$9,TK_HdrCost,Compute!$D$10)*SUMIFS(TK_IF_TokGW_Sol,TK_HdrGen,Compute!$D$9,TK_HdrCost,Compute!$D$10)*TK_IF_Util/INP_078*INP_023*INP_021</f>
        <v>1074.67731219448</v>
      </c>
      <c r="G77" s="16" t="n">
        <f aca="false">SUMIFS(TK_IF_FullCostDefault_Sol,TK_HdrGen,Compute!$D$9,TK_HdrCost,Compute!$D$10)*SUMIFS(TK_IF_TokGW_Sol,TK_HdrGen,Compute!$D$9,TK_HdrCost,Compute!$D$10)*TK_IF_Util/INP_078*INP_023*INP_021</f>
        <v>1074.67731219448</v>
      </c>
      <c r="H77" s="16" t="n">
        <f aca="false">SUMIFS(TK_IF_FullCostDefault_Sol,TK_HdrGen,Compute!$D$9,TK_HdrCost,Compute!$D$10)*SUMIFS(TK_IF_TokGW_Sol,TK_HdrGen,Compute!$D$9,TK_HdrCost,Compute!$D$10)*TK_IF_Util/INP_078*INP_023*INP_021</f>
        <v>1074.67731219448</v>
      </c>
      <c r="I77" s="16" t="n">
        <f aca="false">SUMIFS(TK_IF_FullCostDefault_Sol,TK_HdrGen,Compute!$D$9,TK_HdrCost,Compute!$D$10)*SUMIFS(TK_IF_TokGW_Sol,TK_HdrGen,Compute!$D$9,TK_HdrCost,Compute!$D$10)*TK_IF_Util/INP_078*INP_023*INP_021</f>
        <v>1074.67731219448</v>
      </c>
      <c r="M77" s="13" t="s">
        <v>6374</v>
      </c>
    </row>
    <row r="78" customFormat="false" ht="15" hidden="false" customHeight="false" outlineLevel="0" collapsed="false">
      <c r="A78" s="10" t="s">
        <v>6375</v>
      </c>
      <c r="B78" s="10" t="s">
        <v>6376</v>
      </c>
      <c r="C78" s="10" t="s">
        <v>5909</v>
      </c>
      <c r="D78" s="16" t="n">
        <f aca="false">SUMIFS(TK_IF_FullCost_Sol,TK_HdrGen,Compute!$D$9,TK_HdrCost,Compute!$D$10)*SUMIFS(TK_IF_TokGW_Sol,TK_HdrGen,Compute!$D$9,TK_HdrCost,Compute!$D$10)*TK_IF_Util/INP_078*INP_023*INP_021</f>
        <v>766.491994712315</v>
      </c>
      <c r="E78" s="16" t="n">
        <f aca="false">SUMIFS(TK_IF_FullCost_Sol,TK_HdrGen,Compute!$D$9,TK_HdrCost,Compute!$D$10)*SUMIFS(TK_IF_TokGW_Sol,TK_HdrGen,Compute!$D$9,TK_HdrCost,Compute!$D$10)*TK_IF_Util/INP_078*INP_023*INP_021</f>
        <v>766.491994712315</v>
      </c>
      <c r="F78" s="16" t="n">
        <f aca="false">SUMIFS(TK_IF_FullCost_Sol,TK_HdrGen,Compute!$D$9,TK_HdrCost,Compute!$D$10)*SUMIFS(TK_IF_TokGW_Sol,TK_HdrGen,Compute!$D$9,TK_HdrCost,Compute!$D$10)*TK_IF_Util/INP_078*INP_023*INP_021</f>
        <v>766.491994712315</v>
      </c>
      <c r="G78" s="16" t="n">
        <f aca="false">SUMIFS(TK_IF_FullCost_Sol,TK_HdrGen,Compute!$D$9,TK_HdrCost,Compute!$D$10)*SUMIFS(TK_IF_TokGW_Sol,TK_HdrGen,Compute!$D$9,TK_HdrCost,Compute!$D$10)*TK_IF_Util/INP_078*INP_023*INP_021</f>
        <v>766.491994712315</v>
      </c>
      <c r="H78" s="16" t="n">
        <f aca="false">SUMIFS(TK_IF_FullCost_Sol,TK_HdrGen,Compute!$D$9,TK_HdrCost,Compute!$D$10)*SUMIFS(TK_IF_TokGW_Sol,TK_HdrGen,Compute!$D$9,TK_HdrCost,Compute!$D$10)*TK_IF_Util/INP_078*INP_023*INP_021</f>
        <v>766.491994712315</v>
      </c>
      <c r="I78" s="16" t="n">
        <f aca="false">SUMIFS(TK_IF_FullCost_Sol,TK_HdrGen,Compute!$D$9,TK_HdrCost,Compute!$D$10)*SUMIFS(TK_IF_TokGW_Sol,TK_HdrGen,Compute!$D$9,TK_HdrCost,Compute!$D$10)*TK_IF_Util/INP_078*INP_023*INP_021</f>
        <v>766.491994712315</v>
      </c>
      <c r="M78" s="13" t="s">
        <v>6374</v>
      </c>
    </row>
    <row r="79" customFormat="false" ht="15" hidden="false" customHeight="false" outlineLevel="0" collapsed="false">
      <c r="A79" s="10" t="s">
        <v>6377</v>
      </c>
      <c r="B79" s="11" t="s">
        <v>6378</v>
      </c>
      <c r="C79" s="10" t="s">
        <v>5909</v>
      </c>
      <c r="D79" s="10" t="n">
        <f aca="false">D54-D77</f>
        <v>8941.0873948803</v>
      </c>
      <c r="E79" s="10" t="n">
        <f aca="false">E54-E77</f>
        <v>8241.70628403074</v>
      </c>
      <c r="F79" s="10" t="n">
        <f aca="false">F54-F77</f>
        <v>7100.79377269628</v>
      </c>
      <c r="G79" s="10" t="n">
        <f aca="false">G54-G77</f>
        <v>6652.1670997296</v>
      </c>
      <c r="H79" s="10" t="n">
        <f aca="false">H54-H77</f>
        <v>6616.09442073889</v>
      </c>
      <c r="I79" s="10" t="n">
        <f aca="false">I54-I77</f>
        <v>6438.49684004452</v>
      </c>
      <c r="M79" s="2"/>
    </row>
    <row r="80" customFormat="false" ht="15" hidden="false" customHeight="false" outlineLevel="0" collapsed="false">
      <c r="A80" s="15" t="s">
        <v>6379</v>
      </c>
    </row>
    <row r="81" customFormat="false" ht="15" hidden="false" customHeight="false" outlineLevel="0" collapsed="false">
      <c r="A81" s="10" t="s">
        <v>6380</v>
      </c>
      <c r="B81" s="11" t="s">
        <v>6381</v>
      </c>
      <c r="C81" s="10" t="s">
        <v>4526</v>
      </c>
      <c r="D81" s="16" t="n">
        <f aca="false">Compute!D119</f>
        <v>0.0359307300600894</v>
      </c>
      <c r="E81" s="16" t="n">
        <f aca="false">Compute!E119</f>
        <v>0.110422240509358</v>
      </c>
      <c r="F81" s="16" t="n">
        <f aca="false">Compute!F119</f>
        <v>0.212344326566605</v>
      </c>
      <c r="G81" s="16" t="n">
        <f aca="false">Compute!G119</f>
        <v>0.348099642468115</v>
      </c>
      <c r="H81" s="16" t="n">
        <f aca="false">Compute!H119</f>
        <v>0.56444900235792</v>
      </c>
      <c r="I81" s="16" t="n">
        <f aca="false">Compute!I119</f>
        <v>0.856198092570083</v>
      </c>
      <c r="M81" s="13" t="s">
        <v>6382</v>
      </c>
    </row>
    <row r="82" customFormat="false" ht="15" hidden="false" customHeight="false" outlineLevel="0" collapsed="false">
      <c r="A82" s="10" t="s">
        <v>6383</v>
      </c>
      <c r="B82" s="11" t="s">
        <v>6384</v>
      </c>
      <c r="C82" s="11" t="s">
        <v>1709</v>
      </c>
      <c r="D82" s="10" t="n">
        <f aca="false">IF(D81,D51/D81,D81)</f>
        <v>0.0677442019890054</v>
      </c>
      <c r="E82" s="10" t="n">
        <f aca="false">IF(E81,E51/E81,E81)</f>
        <v>0.0598648629876104</v>
      </c>
      <c r="F82" s="10" t="n">
        <f aca="false">IF(F81,F51/F81,F81)</f>
        <v>0.0574195508837292</v>
      </c>
      <c r="G82" s="10" t="n">
        <f aca="false">IF(G81,G51/G81,G81)</f>
        <v>0.0567855810790192</v>
      </c>
      <c r="H82" s="10" t="n">
        <f aca="false">IF(H81,H51/H81,H81)</f>
        <v>0.054974238779848</v>
      </c>
      <c r="I82" s="10" t="n">
        <f aca="false">IF(I81,I51/I81,I81)</f>
        <v>0.0561516112743093</v>
      </c>
      <c r="M82" s="2" t="s">
        <v>6385</v>
      </c>
    </row>
    <row r="83" customFormat="false" ht="15" hidden="false" customHeight="false" outlineLevel="0" collapsed="false">
      <c r="A83" s="10" t="s">
        <v>6386</v>
      </c>
      <c r="B83" s="11" t="s">
        <v>6387</v>
      </c>
      <c r="C83" s="10" t="s">
        <v>5909</v>
      </c>
      <c r="D83" s="10" t="n">
        <f aca="false">IF(D81,D46/D81,D81)</f>
        <v>201.590671491688</v>
      </c>
      <c r="E83" s="10" t="n">
        <f aca="false">IF(E81,E46/E81,E81)</f>
        <v>366.043783655931</v>
      </c>
      <c r="F83" s="10" t="n">
        <f aca="false">IF(F81,F46/F81,F81)</f>
        <v>378.048426040356</v>
      </c>
      <c r="G83" s="10" t="n">
        <f aca="false">IF(G81,G46/G81,G81)</f>
        <v>377.666392043259</v>
      </c>
      <c r="H83" s="10" t="n">
        <f aca="false">IF(H81,H46/H81,H81)</f>
        <v>350.23280551877</v>
      </c>
      <c r="I83" s="10" t="n">
        <f aca="false">IF(I81,I46/I81,I81)</f>
        <v>325.180806294246</v>
      </c>
      <c r="M83" s="2" t="s">
        <v>6323</v>
      </c>
    </row>
    <row r="84" customFormat="false" ht="15" hidden="false" customHeight="false" outlineLevel="0" collapsed="false">
      <c r="A84" s="10" t="s">
        <v>6388</v>
      </c>
      <c r="B84" s="11" t="s">
        <v>6389</v>
      </c>
      <c r="C84" s="10" t="s">
        <v>5909</v>
      </c>
      <c r="D84" s="10" t="n">
        <f aca="false">IF(D81,D43/D81,D81)</f>
        <v>1253.62050603121</v>
      </c>
      <c r="E84" s="10" t="n">
        <f aca="false">IF(E81,E43/E81,E81)</f>
        <v>748.085505166821</v>
      </c>
      <c r="F84" s="10" t="n">
        <f aca="false">IF(F81,F43/F81,F81)</f>
        <v>579.370338243064</v>
      </c>
      <c r="G84" s="10" t="n">
        <f aca="false">IF(G81,G43/G81,G81)</f>
        <v>513.386898066721</v>
      </c>
      <c r="H84" s="10" t="n">
        <f aca="false">IF(H81,H43/H81,H81)</f>
        <v>474.073277740593</v>
      </c>
      <c r="I84" s="10" t="n">
        <f aca="false">IF(I81,I43/I81,I81)</f>
        <v>459.606483099348</v>
      </c>
      <c r="M84" s="2" t="s">
        <v>6323</v>
      </c>
    </row>
    <row r="85" customFormat="false" ht="15" hidden="false" customHeight="false" outlineLevel="0" collapsed="false">
      <c r="A85" s="10" t="s">
        <v>6390</v>
      </c>
      <c r="B85" s="11" t="s">
        <v>6391</v>
      </c>
      <c r="C85" s="10" t="s">
        <v>5909</v>
      </c>
      <c r="D85" s="10" t="n">
        <f aca="false">D83-D84</f>
        <v>-1052.02983453952</v>
      </c>
      <c r="E85" s="10" t="n">
        <f aca="false">E83-E84</f>
        <v>-382.04172151089</v>
      </c>
      <c r="F85" s="10" t="n">
        <f aca="false">F83-F84</f>
        <v>-201.321912202708</v>
      </c>
      <c r="G85" s="10" t="n">
        <f aca="false">G83-G84</f>
        <v>-135.720506023463</v>
      </c>
      <c r="H85" s="10" t="n">
        <f aca="false">H83-H84</f>
        <v>-123.840472221824</v>
      </c>
      <c r="I85" s="10" t="n">
        <f aca="false">I83-I84</f>
        <v>-134.425676805102</v>
      </c>
      <c r="M85" s="2" t="s">
        <v>6392</v>
      </c>
    </row>
    <row r="86" customFormat="false" ht="15" hidden="false" customHeight="false" outlineLevel="0" collapsed="false">
      <c r="A86" s="10" t="s">
        <v>6393</v>
      </c>
      <c r="B86" s="11" t="s">
        <v>6394</v>
      </c>
      <c r="C86" s="10" t="s">
        <v>5792</v>
      </c>
      <c r="D86" s="10" t="n">
        <f aca="false">D83/INP_023/INP_021</f>
        <v>2.99100389459322</v>
      </c>
      <c r="E86" s="10" t="n">
        <f aca="false">E83/INP_023/INP_021</f>
        <v>5.43099725004719</v>
      </c>
      <c r="F86" s="10" t="n">
        <f aca="false">F83/INP_023/INP_021</f>
        <v>5.60911031380816</v>
      </c>
      <c r="G86" s="10" t="n">
        <f aca="false">G83/INP_023/INP_021</f>
        <v>5.60344206951525</v>
      </c>
      <c r="H86" s="10" t="n">
        <f aca="false">H83/INP_023/INP_021</f>
        <v>5.19640952415866</v>
      </c>
      <c r="I86" s="10" t="n">
        <f aca="false">I83/INP_023/INP_021</f>
        <v>4.82471262621472</v>
      </c>
      <c r="M86" s="2"/>
    </row>
    <row r="87" customFormat="false" ht="15" hidden="false" customHeight="false" outlineLevel="0" collapsed="false">
      <c r="A87" s="10" t="s">
        <v>6395</v>
      </c>
      <c r="B87" s="11" t="s">
        <v>6396</v>
      </c>
      <c r="C87" s="10" t="s">
        <v>5792</v>
      </c>
      <c r="D87" s="10" t="n">
        <f aca="false">D84/INP_023/INP_021</f>
        <v>18.5999867361713</v>
      </c>
      <c r="E87" s="10" t="n">
        <f aca="false">E84/INP_023/INP_021</f>
        <v>11.0993561501925</v>
      </c>
      <c r="F87" s="10" t="n">
        <f aca="false">F84/INP_023/INP_021</f>
        <v>8.59612662269565</v>
      </c>
      <c r="G87" s="10" t="n">
        <f aca="false">G84/INP_023/INP_021</f>
        <v>7.61712930557904</v>
      </c>
      <c r="H87" s="10" t="n">
        <f aca="false">H84/INP_023/INP_021</f>
        <v>7.0338325159215</v>
      </c>
      <c r="I87" s="10" t="n">
        <f aca="false">I84/INP_023/INP_021</f>
        <v>6.81918846124346</v>
      </c>
      <c r="M87" s="2"/>
    </row>
    <row r="88" customFormat="false" ht="15" hidden="false" customHeight="false" outlineLevel="0" collapsed="false">
      <c r="A88" s="10" t="s">
        <v>6397</v>
      </c>
      <c r="B88" s="11" t="s">
        <v>6398</v>
      </c>
      <c r="C88" s="10" t="s">
        <v>5792</v>
      </c>
      <c r="D88" s="10" t="n">
        <f aca="false">D85/INP_023/INP_021</f>
        <v>-15.6089828415781</v>
      </c>
      <c r="E88" s="10" t="n">
        <f aca="false">E85/INP_023/INP_021</f>
        <v>-5.66835890014526</v>
      </c>
      <c r="F88" s="10" t="n">
        <f aca="false">F85/INP_023/INP_021</f>
        <v>-2.98701630888749</v>
      </c>
      <c r="G88" s="10" t="n">
        <f aca="false">G85/INP_023/INP_021</f>
        <v>-2.01368723606378</v>
      </c>
      <c r="H88" s="10" t="n">
        <f aca="false">H85/INP_023/INP_021</f>
        <v>-1.83742299176284</v>
      </c>
      <c r="I88" s="10" t="n">
        <f aca="false">I85/INP_023/INP_021</f>
        <v>-1.99447583502874</v>
      </c>
      <c r="M88" s="2"/>
    </row>
    <row r="89" customFormat="false" ht="15" hidden="false" customHeight="false" outlineLevel="0" collapsed="false">
      <c r="A89" s="15" t="s">
        <v>6399</v>
      </c>
    </row>
    <row r="90" customFormat="false" ht="15" hidden="false" customHeight="false" outlineLevel="0" collapsed="false">
      <c r="A90" s="10" t="s">
        <v>6400</v>
      </c>
      <c r="B90" s="11" t="s">
        <v>6401</v>
      </c>
      <c r="C90" s="10" t="s">
        <v>63</v>
      </c>
      <c r="F90" s="16" t="n">
        <f aca="false">Compute!F200</f>
        <v>0</v>
      </c>
      <c r="G90" s="16" t="n">
        <f aca="false">Compute!G200</f>
        <v>0</v>
      </c>
      <c r="H90" s="16" t="n">
        <f aca="false">Compute!H200</f>
        <v>0</v>
      </c>
      <c r="I90" s="16" t="n">
        <f aca="false">Compute!I200</f>
        <v>0</v>
      </c>
      <c r="M90" s="13" t="s">
        <v>6402</v>
      </c>
    </row>
    <row r="91" customFormat="false" ht="15" hidden="false" customHeight="false" outlineLevel="0" collapsed="false">
      <c r="A91" s="10" t="s">
        <v>6403</v>
      </c>
      <c r="B91" s="11" t="s">
        <v>6404</v>
      </c>
      <c r="C91" s="10" t="s">
        <v>63</v>
      </c>
      <c r="F91" s="16" t="n">
        <f aca="false">Compute!F202</f>
        <v>0</v>
      </c>
      <c r="G91" s="16" t="n">
        <f aca="false">Compute!G202</f>
        <v>0</v>
      </c>
      <c r="H91" s="16" t="n">
        <f aca="false">Compute!H202</f>
        <v>0</v>
      </c>
      <c r="I91" s="16" t="n">
        <f aca="false">Compute!I202</f>
        <v>0</v>
      </c>
      <c r="M91" s="13" t="s">
        <v>6405</v>
      </c>
    </row>
    <row r="92" customFormat="false" ht="15" hidden="false" customHeight="false" outlineLevel="0" collapsed="false">
      <c r="A92" s="10" t="s">
        <v>6406</v>
      </c>
      <c r="B92" s="11" t="s">
        <v>6407</v>
      </c>
      <c r="C92" s="10" t="s">
        <v>63</v>
      </c>
      <c r="D92" s="10" t="n">
        <f aca="false">D12</f>
        <v>24.3793592</v>
      </c>
      <c r="E92" s="10" t="n">
        <f aca="false">E12</f>
        <v>61.5851367055494</v>
      </c>
      <c r="F92" s="10" t="n">
        <f aca="false">F10+F90+F91</f>
        <v>99.6811959937484</v>
      </c>
      <c r="G92" s="10" t="n">
        <f aca="false">G10+G90+G91</f>
        <v>152.736846203243</v>
      </c>
      <c r="H92" s="10" t="n">
        <f aca="false">H10+H90+H91</f>
        <v>238.645833056573</v>
      </c>
      <c r="I92" s="10" t="n">
        <f aca="false">I10+I90+I91</f>
        <v>361.210140940793</v>
      </c>
      <c r="K92" s="10" t="n">
        <f aca="false">K12</f>
        <v>21.5248006</v>
      </c>
      <c r="L92" s="10" t="n">
        <f aca="false">L12</f>
        <v>40.0603361055494</v>
      </c>
      <c r="M92" s="13" t="s">
        <v>6408</v>
      </c>
    </row>
    <row r="93" customFormat="false" ht="15" hidden="false" customHeight="false" outlineLevel="0" collapsed="false">
      <c r="A93" s="10" t="s">
        <v>6409</v>
      </c>
      <c r="B93" s="11" t="s">
        <v>6410</v>
      </c>
      <c r="C93" s="10" t="s">
        <v>63</v>
      </c>
      <c r="D93" s="10" t="n">
        <f aca="false">D43-D12+D92</f>
        <v>45.0435</v>
      </c>
      <c r="E93" s="10" t="n">
        <f aca="false">E43-E12+E92</f>
        <v>82.6052775730952</v>
      </c>
      <c r="F93" s="10" t="n">
        <f aca="false">F43-F12+F92</f>
        <v>123.026004306889</v>
      </c>
      <c r="G93" s="10" t="n">
        <f aca="false">G43-G12+G92</f>
        <v>178.70979566484</v>
      </c>
      <c r="H93" s="10" t="n">
        <f aca="false">H43-H12+H92</f>
        <v>267.590188665227</v>
      </c>
      <c r="I93" s="10" t="n">
        <f aca="false">I43-I12+I92</f>
        <v>393.514194162506</v>
      </c>
      <c r="M93" s="2"/>
    </row>
    <row r="94" customFormat="false" ht="15" hidden="false" customHeight="false" outlineLevel="0" collapsed="false">
      <c r="A94" s="10" t="s">
        <v>6411</v>
      </c>
      <c r="B94" s="11" t="s">
        <v>6412</v>
      </c>
      <c r="C94" s="10" t="s">
        <v>5909</v>
      </c>
      <c r="D94" s="10" t="n">
        <f aca="false">IF(D51,(D46-D93)/D51,D51)</f>
        <v>-15529.4446410375</v>
      </c>
      <c r="E94" s="10" t="n">
        <f aca="false">IF(E51,(E46-E93)/E51,E51)</f>
        <v>-6381.73550301047</v>
      </c>
      <c r="F94" s="10" t="n">
        <f aca="false">IF(F51,(F46-F93)/F51,F51)</f>
        <v>-3506.15616291342</v>
      </c>
      <c r="G94" s="10" t="n">
        <f aca="false">IF(G51,(G46-G93)/G51,G51)</f>
        <v>-2390.05225348672</v>
      </c>
      <c r="H94" s="10" t="n">
        <f aca="false">IF(H51,(H46-H93)/H51,H51)</f>
        <v>-2252.70008226508</v>
      </c>
      <c r="I94" s="10" t="n">
        <f aca="false">IF(I51,(I46-I93)/I51,I51)</f>
        <v>-2393.97719414341</v>
      </c>
      <c r="M94" s="13" t="s">
        <v>6413</v>
      </c>
    </row>
    <row r="95" customFormat="false" ht="15" hidden="false" customHeight="false" outlineLevel="0" collapsed="false">
      <c r="A95" s="10" t="s">
        <v>6414</v>
      </c>
      <c r="B95" s="11" t="s">
        <v>6415</v>
      </c>
      <c r="C95" s="11" t="s">
        <v>1709</v>
      </c>
      <c r="D95" s="10" t="n">
        <f aca="false">D46/D93</f>
        <v>0.160806775672406</v>
      </c>
      <c r="E95" s="10" t="n">
        <f aca="false">E46/E93</f>
        <v>0.489307413561373</v>
      </c>
      <c r="F95" s="10" t="n">
        <f aca="false">F46/F93</f>
        <v>0.652516017970104</v>
      </c>
      <c r="G95" s="10" t="n">
        <f aca="false">G46/G93</f>
        <v>0.735636989306602</v>
      </c>
      <c r="H95" s="10" t="n">
        <f aca="false">H46/H93</f>
        <v>0.738773565107824</v>
      </c>
      <c r="I95" s="10" t="n">
        <f aca="false">I46/I93</f>
        <v>0.70752005955485</v>
      </c>
      <c r="M9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6"/>
    <col collapsed="false" customWidth="true" hidden="false" outlineLevel="0" max="3" min="3" style="0" width="10"/>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20.1" hidden="false" customHeight="false" outlineLevel="0" collapsed="false">
      <c r="A1" s="7" t="s">
        <v>6416</v>
      </c>
    </row>
    <row r="2" customFormat="false" ht="15" hidden="false" customHeight="false" outlineLevel="0" collapsed="false">
      <c r="A2" s="2" t="s">
        <v>6417</v>
      </c>
    </row>
    <row r="3" customFormat="false" ht="15" hidden="false" customHeight="false" outlineLevel="0" collapsed="false">
      <c r="A3" s="2" t="s">
        <v>6418</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6419</v>
      </c>
    </row>
    <row r="8" customFormat="false" ht="15" hidden="false" customHeight="false" outlineLevel="0" collapsed="false">
      <c r="A8" s="10" t="s">
        <v>6420</v>
      </c>
      <c r="B8" s="11" t="s">
        <v>5591</v>
      </c>
      <c r="C8" s="10" t="s">
        <v>63</v>
      </c>
      <c r="D8" s="16" t="n">
        <f aca="false">Revenue!D59</f>
        <v>7.2433</v>
      </c>
      <c r="E8" s="10" t="n">
        <f aca="false">K8+L8</f>
        <v>40.4193747158106</v>
      </c>
      <c r="F8" s="16" t="n">
        <f aca="false">Revenue!F59</f>
        <v>80.2764384371044</v>
      </c>
      <c r="G8" s="16" t="n">
        <f aca="false">Revenue!G59</f>
        <v>131.465536042481</v>
      </c>
      <c r="H8" s="16" t="n">
        <f aca="false">Revenue!H59</f>
        <v>197.688557668085</v>
      </c>
      <c r="I8" s="16" t="n">
        <f aca="false">Revenue!I59</f>
        <v>278.419186089535</v>
      </c>
      <c r="K8" s="16" t="n">
        <f aca="false">Revenue!K54</f>
        <v>9.539</v>
      </c>
      <c r="L8" s="16" t="n">
        <f aca="false">Revenue!L56*Compute!L125+Revenue!L52+Revenue!L53</f>
        <v>30.8803747158106</v>
      </c>
      <c r="M8" s="13" t="s">
        <v>6421</v>
      </c>
    </row>
    <row r="9" customFormat="false" ht="15" hidden="false" customHeight="false" outlineLevel="0" collapsed="false">
      <c r="A9" s="10" t="s">
        <v>6422</v>
      </c>
      <c r="B9" s="11" t="s">
        <v>6423</v>
      </c>
      <c r="C9" s="10" t="s">
        <v>63</v>
      </c>
      <c r="D9" s="16" t="n">
        <f aca="false">Cost!D12</f>
        <v>24.3793592</v>
      </c>
      <c r="E9" s="16" t="n">
        <f aca="false">Cost!E12</f>
        <v>61.5851367055494</v>
      </c>
      <c r="F9" s="16" t="n">
        <f aca="false">Cost!F12</f>
        <v>99.6811959937484</v>
      </c>
      <c r="G9" s="16" t="n">
        <f aca="false">Cost!G12</f>
        <v>152.736846203243</v>
      </c>
      <c r="H9" s="16" t="n">
        <f aca="false">Cost!H12</f>
        <v>238.645833056573</v>
      </c>
      <c r="I9" s="16" t="n">
        <f aca="false">Cost!I12</f>
        <v>361.210140940793</v>
      </c>
      <c r="K9" s="16" t="n">
        <f aca="false">Cost!K12</f>
        <v>21.5248006</v>
      </c>
      <c r="L9" s="16" t="n">
        <f aca="false">Cost!L12</f>
        <v>40.0603361055494</v>
      </c>
      <c r="M9" s="13" t="s">
        <v>4686</v>
      </c>
    </row>
    <row r="10" customFormat="false" ht="15" hidden="false" customHeight="false" outlineLevel="0" collapsed="false">
      <c r="A10" s="10" t="s">
        <v>6424</v>
      </c>
      <c r="B10" s="11" t="s">
        <v>6269</v>
      </c>
      <c r="C10" s="10" t="s">
        <v>63</v>
      </c>
      <c r="D10" s="16" t="n">
        <f aca="false">Cost!D28</f>
        <v>2.733</v>
      </c>
      <c r="E10" s="16" t="n">
        <f aca="false">Cost!E28</f>
        <v>3.11233545680547</v>
      </c>
      <c r="F10" s="16" t="n">
        <f aca="false">Cost!F28</f>
        <v>3.11233545680547</v>
      </c>
      <c r="G10" s="16" t="n">
        <f aca="false">Cost!G28</f>
        <v>3.11233545680547</v>
      </c>
      <c r="H10" s="16" t="n">
        <f aca="false">Cost!H28</f>
        <v>3.11233545680547</v>
      </c>
      <c r="I10" s="16" t="n">
        <f aca="false">Cost!I28</f>
        <v>3.11233545680547</v>
      </c>
      <c r="K10" s="16" t="n">
        <f aca="false">Cost!K28</f>
        <v>0.7998</v>
      </c>
      <c r="L10" s="16" t="n">
        <f aca="false">Cost!L28</f>
        <v>2.31253545680547</v>
      </c>
      <c r="M10" s="13" t="s">
        <v>6425</v>
      </c>
    </row>
    <row r="11" customFormat="false" ht="15" hidden="false" customHeight="false" outlineLevel="0" collapsed="false">
      <c r="A11" s="10" t="s">
        <v>6426</v>
      </c>
      <c r="B11" s="11" t="s">
        <v>6296</v>
      </c>
      <c r="C11" s="10" t="s">
        <v>63</v>
      </c>
      <c r="D11" s="16" t="n">
        <f aca="false">Cost!D40</f>
        <v>12.3484408</v>
      </c>
      <c r="E11" s="16" t="n">
        <f aca="false">Cost!E40</f>
        <v>16.1783910460994</v>
      </c>
      <c r="F11" s="16" t="n">
        <f aca="false">Cost!F40</f>
        <v>18.3301170552307</v>
      </c>
      <c r="G11" s="16" t="n">
        <f aca="false">Cost!G40</f>
        <v>20.7680226235764</v>
      </c>
      <c r="H11" s="16" t="n">
        <f aca="false">Cost!H40</f>
        <v>23.530169632512</v>
      </c>
      <c r="I11" s="16" t="n">
        <f aca="false">Cost!I40</f>
        <v>26.6596821936361</v>
      </c>
      <c r="K11" s="16" t="n">
        <f aca="false">Cost!K40</f>
        <v>7.9624994</v>
      </c>
      <c r="L11" s="16" t="n">
        <f aca="false">Cost!L40</f>
        <v>8.21589164609945</v>
      </c>
      <c r="M11" s="13" t="s">
        <v>6427</v>
      </c>
    </row>
    <row r="12" customFormat="false" ht="15" hidden="false" customHeight="false" outlineLevel="0" collapsed="false">
      <c r="A12" s="10" t="s">
        <v>6428</v>
      </c>
      <c r="B12" s="11" t="s">
        <v>6429</v>
      </c>
      <c r="C12" s="10" t="s">
        <v>63</v>
      </c>
      <c r="D12" s="16" t="n">
        <f aca="false">Cost!D41</f>
        <v>5.5827</v>
      </c>
      <c r="E12" s="16" t="n">
        <f aca="false">Cost!E41</f>
        <v>1.72941436464088</v>
      </c>
      <c r="F12" s="16" t="n">
        <f aca="false">Cost!F41</f>
        <v>1.90235580110497</v>
      </c>
      <c r="G12" s="16" t="n">
        <f aca="false">Cost!G41</f>
        <v>2.09259138121547</v>
      </c>
      <c r="H12" s="16" t="n">
        <f aca="false">Cost!H41</f>
        <v>2.30185051933702</v>
      </c>
      <c r="I12" s="16" t="n">
        <f aca="false">Cost!I41</f>
        <v>2.53203557127072</v>
      </c>
      <c r="K12" s="16" t="n">
        <f aca="false">Cost!K41</f>
        <v>0.8576</v>
      </c>
      <c r="L12" s="16" t="n">
        <f aca="false">Cost!L41</f>
        <v>0.871814364640884</v>
      </c>
      <c r="M12" s="13" t="s">
        <v>6430</v>
      </c>
    </row>
    <row r="13" customFormat="false" ht="15" hidden="false" customHeight="false" outlineLevel="0" collapsed="false">
      <c r="A13" s="10" t="s">
        <v>6431</v>
      </c>
      <c r="B13" s="11" t="s">
        <v>6432</v>
      </c>
      <c r="C13" s="10" t="s">
        <v>63</v>
      </c>
      <c r="D13" s="10" t="n">
        <f aca="false">D8-D9-D10-D11-D12</f>
        <v>-37.8002</v>
      </c>
      <c r="E13" s="10" t="n">
        <f aca="false">E8-E9-E10-E11-E12</f>
        <v>-42.1859028572847</v>
      </c>
      <c r="F13" s="10" t="n">
        <f aca="false">F8-F9-F10-F11-F12</f>
        <v>-42.7495658697851</v>
      </c>
      <c r="G13" s="10" t="n">
        <f aca="false">G8-G9-G10-G11-G12</f>
        <v>-47.244259622359</v>
      </c>
      <c r="H13" s="10" t="n">
        <f aca="false">H8-H9-H10-H11-H12</f>
        <v>-69.9016309971421</v>
      </c>
      <c r="I13" s="10" t="n">
        <f aca="false">I8-I9-I10-I11-I12</f>
        <v>-115.095008072971</v>
      </c>
      <c r="K13" s="10" t="n">
        <f aca="false">K8-K9-K10-K11-K12</f>
        <v>-21.6057</v>
      </c>
      <c r="L13" s="10" t="n">
        <f aca="false">L8-L9-L10-L11-L12</f>
        <v>-20.5802028572847</v>
      </c>
      <c r="M13" s="2" t="s">
        <v>6433</v>
      </c>
    </row>
    <row r="14" customFormat="false" ht="15" hidden="false" customHeight="false" outlineLevel="0" collapsed="false">
      <c r="A14" s="10" t="s">
        <v>6434</v>
      </c>
      <c r="B14" s="11" t="s">
        <v>6435</v>
      </c>
      <c r="C14" s="10" t="s">
        <v>63</v>
      </c>
      <c r="D14" s="10" t="n">
        <f aca="false">SRC_ZP_143</f>
        <v>0.1484</v>
      </c>
      <c r="E14" s="10" t="n">
        <f aca="false">K14+L14</f>
        <v>0.4144</v>
      </c>
      <c r="F14" s="10" t="n">
        <f aca="false">INP_125</f>
        <v>0</v>
      </c>
      <c r="G14" s="10" t="n">
        <f aca="false">INP_125</f>
        <v>0</v>
      </c>
      <c r="H14" s="10" t="n">
        <f aca="false">INP_125</f>
        <v>0</v>
      </c>
      <c r="I14" s="10" t="n">
        <f aca="false">INP_125</f>
        <v>0</v>
      </c>
      <c r="K14" s="10" t="n">
        <f aca="false">SRC_ZP_203</f>
        <v>0.4144</v>
      </c>
      <c r="L14" s="10" t="n">
        <f aca="false">INP_125*INP_009/INP_007</f>
        <v>0</v>
      </c>
      <c r="M14" s="13" t="s">
        <v>6436</v>
      </c>
    </row>
    <row r="15" customFormat="false" ht="15" hidden="false" customHeight="false" outlineLevel="0" collapsed="false">
      <c r="A15" s="10" t="s">
        <v>6437</v>
      </c>
      <c r="B15" s="11" t="s">
        <v>6438</v>
      </c>
      <c r="C15" s="10" t="s">
        <v>63</v>
      </c>
      <c r="D15" s="10" t="n">
        <f aca="false">SRC_ZP_144</f>
        <v>0.7431</v>
      </c>
      <c r="E15" s="10" t="n">
        <f aca="false">K15+L15</f>
        <v>1.29576139178082</v>
      </c>
      <c r="F15" s="10" t="n">
        <f aca="false">E29*INP_126</f>
        <v>0.667437</v>
      </c>
      <c r="G15" s="10" t="n">
        <f aca="false">F29*INP_126</f>
        <v>0.667437</v>
      </c>
      <c r="H15" s="10" t="n">
        <f aca="false">G29*INP_126</f>
        <v>0.667437</v>
      </c>
      <c r="I15" s="10" t="n">
        <f aca="false">H29*INP_126</f>
        <v>0.667437</v>
      </c>
      <c r="K15" s="10" t="n">
        <f aca="false">SRC_ZP_204</f>
        <v>0.9593</v>
      </c>
      <c r="L15" s="10" t="n">
        <f aca="false">K29*INP_126*INP_009/INP_007</f>
        <v>0.336461391780822</v>
      </c>
      <c r="M15" s="2" t="s">
        <v>6439</v>
      </c>
    </row>
    <row r="16" customFormat="false" ht="15" hidden="false" customHeight="false" outlineLevel="0" collapsed="false">
      <c r="A16" s="10" t="s">
        <v>6440</v>
      </c>
      <c r="B16" s="11" t="s">
        <v>6441</v>
      </c>
      <c r="C16" s="10" t="s">
        <v>63</v>
      </c>
      <c r="D16" s="10" t="n">
        <f aca="false">D13+D12+D14-D15</f>
        <v>-32.8122</v>
      </c>
      <c r="E16" s="10" t="n">
        <f aca="false">E13+E12+E14-E15</f>
        <v>-41.3378498844246</v>
      </c>
      <c r="F16" s="10" t="n">
        <f aca="false">F13+F12+F14-F15</f>
        <v>-41.5146470686801</v>
      </c>
      <c r="G16" s="10" t="n">
        <f aca="false">G13+G12+G14-G15</f>
        <v>-45.8191052411435</v>
      </c>
      <c r="H16" s="10" t="n">
        <f aca="false">H13+H12+H14-H15</f>
        <v>-68.2672174778051</v>
      </c>
      <c r="I16" s="10" t="n">
        <f aca="false">I13+I12+I14-I15</f>
        <v>-113.2304095017</v>
      </c>
      <c r="K16" s="10" t="n">
        <f aca="false">K13+K12+K14-K15</f>
        <v>-21.293</v>
      </c>
      <c r="L16" s="10" t="n">
        <f aca="false">L13+L12+L14-L15</f>
        <v>-20.0448498844246</v>
      </c>
      <c r="M16" s="2" t="s">
        <v>6442</v>
      </c>
    </row>
    <row r="17" customFormat="false" ht="15" hidden="false" customHeight="false" outlineLevel="0" collapsed="false">
      <c r="A17" s="15" t="s">
        <v>6443</v>
      </c>
    </row>
    <row r="18" customFormat="false" ht="15" hidden="false" customHeight="false" outlineLevel="0" collapsed="false">
      <c r="A18" s="10" t="s">
        <v>6444</v>
      </c>
      <c r="B18" s="11" t="s">
        <v>6445</v>
      </c>
      <c r="C18" s="10" t="s">
        <v>63</v>
      </c>
      <c r="D18" s="10" t="n">
        <f aca="false">SRC_ZP_149</f>
        <v>0.747</v>
      </c>
      <c r="E18" s="10" t="n">
        <f aca="false">K18+L18</f>
        <v>4.28408219178082</v>
      </c>
      <c r="F18" s="10" t="n">
        <f aca="false">INP_131</f>
        <v>0.75</v>
      </c>
      <c r="G18" s="10" t="n">
        <f aca="false">INP_131</f>
        <v>0.75</v>
      </c>
      <c r="H18" s="10" t="n">
        <f aca="false">INP_131</f>
        <v>0.75</v>
      </c>
      <c r="I18" s="10" t="n">
        <f aca="false">INP_131</f>
        <v>0.75</v>
      </c>
      <c r="K18" s="10" t="n">
        <f aca="false">SRC_ZP_209</f>
        <v>3.906</v>
      </c>
      <c r="L18" s="10" t="n">
        <f aca="false">INP_131*INP_009/INP_007</f>
        <v>0.378082191780822</v>
      </c>
      <c r="M18" s="13" t="s">
        <v>6446</v>
      </c>
    </row>
    <row r="19" customFormat="false" ht="15" hidden="false" customHeight="false" outlineLevel="0" collapsed="false">
      <c r="A19" s="10" t="s">
        <v>6447</v>
      </c>
      <c r="B19" s="11" t="s">
        <v>6448</v>
      </c>
      <c r="C19" s="10" t="s">
        <v>63</v>
      </c>
      <c r="K19" s="10" t="n">
        <f aca="false">SRC_ZP_555/INP_020</f>
        <v>3.6052</v>
      </c>
      <c r="M19" s="13" t="s">
        <v>6449</v>
      </c>
    </row>
    <row r="20" customFormat="false" ht="15" hidden="false" customHeight="false" outlineLevel="0" collapsed="false">
      <c r="A20" s="10" t="s">
        <v>6450</v>
      </c>
      <c r="B20" s="11" t="s">
        <v>6451</v>
      </c>
      <c r="C20" s="10" t="s">
        <v>63</v>
      </c>
      <c r="E20" s="10" t="n">
        <f aca="false">L20</f>
        <v>3</v>
      </c>
      <c r="L20" s="10" t="n">
        <f aca="false">INP_132</f>
        <v>3</v>
      </c>
      <c r="M20" s="13" t="s">
        <v>6452</v>
      </c>
    </row>
    <row r="21" customFormat="false" ht="15" hidden="false" customHeight="false" outlineLevel="0" collapsed="false">
      <c r="A21" s="10" t="s">
        <v>6453</v>
      </c>
      <c r="B21" s="11" t="s">
        <v>6454</v>
      </c>
      <c r="C21" s="10" t="s">
        <v>63</v>
      </c>
      <c r="D21" s="10" t="n">
        <f aca="false">D16-D18</f>
        <v>-33.5592</v>
      </c>
      <c r="E21" s="10" t="n">
        <f aca="false">E16-E18-E20</f>
        <v>-48.6219320762054</v>
      </c>
      <c r="F21" s="10" t="n">
        <f aca="false">F16-F18</f>
        <v>-42.2646470686801</v>
      </c>
      <c r="G21" s="10" t="n">
        <f aca="false">G16-G18</f>
        <v>-46.5691052411435</v>
      </c>
      <c r="H21" s="10" t="n">
        <f aca="false">H16-H18</f>
        <v>-69.0172174778051</v>
      </c>
      <c r="I21" s="10" t="n">
        <f aca="false">I16-I18</f>
        <v>-113.9804095017</v>
      </c>
      <c r="K21" s="10" t="n">
        <f aca="false">K16-K18</f>
        <v>-25.199</v>
      </c>
      <c r="L21" s="10" t="n">
        <f aca="false">L16-L18-L20</f>
        <v>-23.4229320762054</v>
      </c>
      <c r="M21" s="2"/>
    </row>
    <row r="22" customFormat="false" ht="15" hidden="false" customHeight="false" outlineLevel="0" collapsed="false">
      <c r="A22" s="15" t="s">
        <v>6455</v>
      </c>
    </row>
    <row r="23" customFormat="false" ht="15" hidden="false" customHeight="false" outlineLevel="0" collapsed="false">
      <c r="A23" s="10" t="s">
        <v>6456</v>
      </c>
      <c r="B23" s="10" t="s">
        <v>6457</v>
      </c>
      <c r="C23" s="10" t="s">
        <v>63</v>
      </c>
      <c r="E23" s="10" t="n">
        <f aca="false">K23</f>
        <v>42.06961926</v>
      </c>
      <c r="K23" s="10" t="n">
        <f aca="false">SRC_ZP_522*INP_024/INP_020</f>
        <v>42.06961926</v>
      </c>
      <c r="M23" s="13" t="s">
        <v>6458</v>
      </c>
    </row>
    <row r="24" customFormat="false" ht="15" hidden="false" customHeight="false" outlineLevel="0" collapsed="false">
      <c r="A24" s="10" t="s">
        <v>6459</v>
      </c>
      <c r="B24" s="10" t="s">
        <v>6460</v>
      </c>
      <c r="C24" s="10" t="s">
        <v>63</v>
      </c>
      <c r="E24" s="10" t="n">
        <f aca="false">L24</f>
        <v>269.582982885</v>
      </c>
      <c r="L24" s="10" t="n">
        <f aca="false">SRC_ZP_536*INP_024/INP_020</f>
        <v>269.582982885</v>
      </c>
      <c r="M24" s="13" t="s">
        <v>6461</v>
      </c>
    </row>
    <row r="25" customFormat="false" ht="15" hidden="false" customHeight="false" outlineLevel="0" collapsed="false">
      <c r="A25" s="10" t="s">
        <v>6462</v>
      </c>
      <c r="B25" s="10" t="s">
        <v>6463</v>
      </c>
      <c r="C25" s="10" t="s">
        <v>63</v>
      </c>
      <c r="E25" s="10" t="n">
        <f aca="false">L25</f>
        <v>134.590904199</v>
      </c>
      <c r="L25" s="10" t="n">
        <f aca="false">SRC_ZP_544*INP_024/INP_020</f>
        <v>134.590904199</v>
      </c>
      <c r="M25" s="13" t="s">
        <v>6464</v>
      </c>
    </row>
    <row r="26" customFormat="false" ht="15" hidden="false" customHeight="false" outlineLevel="0" collapsed="false">
      <c r="A26" s="10" t="s">
        <v>6465</v>
      </c>
      <c r="B26" s="11" t="s">
        <v>6466</v>
      </c>
      <c r="C26" s="10" t="s">
        <v>63</v>
      </c>
      <c r="E26" s="10" t="n">
        <f aca="false">K26+L26</f>
        <v>446.243506344</v>
      </c>
      <c r="K26" s="10" t="n">
        <f aca="false">K23</f>
        <v>42.06961926</v>
      </c>
      <c r="L26" s="10" t="n">
        <f aca="false">L24+L25</f>
        <v>404.173887084</v>
      </c>
      <c r="M26" s="2"/>
    </row>
    <row r="27" customFormat="false" ht="15" hidden="false" customHeight="false" outlineLevel="0" collapsed="false">
      <c r="A27" s="10" t="s">
        <v>6467</v>
      </c>
      <c r="B27" s="10" t="s">
        <v>6468</v>
      </c>
      <c r="C27" s="10" t="s">
        <v>63</v>
      </c>
      <c r="E27" s="10" t="n">
        <f aca="false">L27</f>
        <v>202.92288723</v>
      </c>
      <c r="L27" s="10" t="n">
        <f aca="false">SRC_ZP_547*INP_023/INP_020</f>
        <v>202.92288723</v>
      </c>
      <c r="M27" s="13" t="s">
        <v>6469</v>
      </c>
    </row>
    <row r="28" customFormat="false" ht="15" hidden="false" customHeight="false" outlineLevel="0" collapsed="false">
      <c r="A28" s="10" t="s">
        <v>6470</v>
      </c>
      <c r="B28" s="11" t="s">
        <v>6471</v>
      </c>
      <c r="C28" s="10" t="s">
        <v>63</v>
      </c>
      <c r="F28" s="10" t="n">
        <f aca="false">INP_127*SRC_ZP_214</f>
        <v>0</v>
      </c>
      <c r="G28" s="10" t="n">
        <f aca="false">INP_127*SRC_ZP_215</f>
        <v>0</v>
      </c>
      <c r="M28" s="2" t="s">
        <v>6472</v>
      </c>
    </row>
    <row r="29" customFormat="false" ht="15" hidden="false" customHeight="false" outlineLevel="0" collapsed="false">
      <c r="A29" s="10" t="s">
        <v>6473</v>
      </c>
      <c r="B29" s="11" t="s">
        <v>6474</v>
      </c>
      <c r="C29" s="10" t="s">
        <v>63</v>
      </c>
      <c r="D29" s="10" t="n">
        <f aca="false">SRC_ZP_155</f>
        <v>6.8945</v>
      </c>
      <c r="E29" s="10" t="n">
        <f aca="false">L29</f>
        <v>22.2479</v>
      </c>
      <c r="F29" s="10" t="n">
        <f aca="false">E29-F28</f>
        <v>22.2479</v>
      </c>
      <c r="G29" s="10" t="n">
        <f aca="false">F29-G28</f>
        <v>22.2479</v>
      </c>
      <c r="H29" s="10" t="n">
        <f aca="false">G29</f>
        <v>22.2479</v>
      </c>
      <c r="I29" s="10" t="n">
        <f aca="false">H29</f>
        <v>22.2479</v>
      </c>
      <c r="K29" s="10" t="n">
        <f aca="false">SRC_ZP_213</f>
        <v>22.2479</v>
      </c>
      <c r="L29" s="10" t="n">
        <f aca="false">K29</f>
        <v>22.2479</v>
      </c>
      <c r="M29" s="13" t="s">
        <v>6475</v>
      </c>
    </row>
    <row r="30" customFormat="false" ht="15" hidden="false" customHeight="false" outlineLevel="0" collapsed="false">
      <c r="A30" s="10" t="s">
        <v>6476</v>
      </c>
      <c r="B30" s="11" t="s">
        <v>6477</v>
      </c>
      <c r="C30" s="10" t="s">
        <v>63</v>
      </c>
      <c r="D30" s="10" t="n">
        <f aca="false">D29-SRC_ZP_980</f>
        <v>5.522</v>
      </c>
      <c r="E30" s="10" t="n">
        <f aca="false">E29-D29</f>
        <v>15.3534</v>
      </c>
      <c r="F30" s="10" t="n">
        <f aca="false">F29-E29</f>
        <v>0</v>
      </c>
      <c r="G30" s="10" t="n">
        <f aca="false">G29-F29</f>
        <v>0</v>
      </c>
      <c r="H30" s="10" t="n">
        <f aca="false">H29-G29</f>
        <v>0</v>
      </c>
      <c r="I30" s="10" t="n">
        <f aca="false">I29-H29</f>
        <v>0</v>
      </c>
      <c r="K30" s="10" t="n">
        <f aca="false">K29-D29</f>
        <v>15.3534</v>
      </c>
      <c r="L30" s="10" t="n">
        <f aca="false">L29-K29</f>
        <v>0</v>
      </c>
      <c r="M30" s="13" t="s">
        <v>6478</v>
      </c>
    </row>
    <row r="31" customFormat="false" ht="15" hidden="false" customHeight="false" outlineLevel="0" collapsed="false">
      <c r="A31" s="10" t="s">
        <v>6479</v>
      </c>
      <c r="B31" s="11" t="s">
        <v>6480</v>
      </c>
      <c r="C31" s="10" t="s">
        <v>63</v>
      </c>
      <c r="E31" s="10" t="n">
        <f aca="false">K31+L31</f>
        <v>664.519793574</v>
      </c>
      <c r="F31" s="10" t="n">
        <f aca="false">F30</f>
        <v>0</v>
      </c>
      <c r="G31" s="10" t="n">
        <f aca="false">G30</f>
        <v>0</v>
      </c>
      <c r="H31" s="10" t="n">
        <f aca="false">H30</f>
        <v>0</v>
      </c>
      <c r="I31" s="10" t="n">
        <f aca="false">I30</f>
        <v>0</v>
      </c>
      <c r="K31" s="10" t="n">
        <f aca="false">K26+K30</f>
        <v>57.42301926</v>
      </c>
      <c r="L31" s="10" t="n">
        <f aca="false">L26+L27+L30</f>
        <v>607.096774314</v>
      </c>
      <c r="M31" s="2" t="s">
        <v>6481</v>
      </c>
    </row>
    <row r="32" customFormat="false" ht="15" hidden="false" customHeight="false" outlineLevel="0" collapsed="false">
      <c r="A32" s="10" t="s">
        <v>6482</v>
      </c>
      <c r="B32" s="11" t="s">
        <v>6483</v>
      </c>
      <c r="C32" s="10" t="s">
        <v>63</v>
      </c>
      <c r="F32" s="10" t="n">
        <f aca="false">SRC_ZP_545*INP_129*(1-INP_128)*(F$6=INP_130)</f>
        <v>201.4</v>
      </c>
      <c r="G32" s="10" t="n">
        <f aca="false">SRC_ZP_545*INP_129*(1-INP_128)*(G$6=INP_130)</f>
        <v>0</v>
      </c>
      <c r="H32" s="10" t="n">
        <f aca="false">SRC_ZP_545*INP_129*(1-INP_128)*(H$6=INP_130)</f>
        <v>0</v>
      </c>
      <c r="I32" s="10" t="n">
        <f aca="false">SRC_ZP_545*INP_129*(1-INP_128)*(I$6=INP_130)</f>
        <v>0</v>
      </c>
      <c r="M32" s="13" t="s">
        <v>6484</v>
      </c>
    </row>
    <row r="33" customFormat="false" ht="15" hidden="false" customHeight="false" outlineLevel="0" collapsed="false">
      <c r="A33" s="15" t="s">
        <v>6485</v>
      </c>
    </row>
    <row r="34" customFormat="false" ht="15" hidden="false" customHeight="false" outlineLevel="0" collapsed="false">
      <c r="A34" s="10" t="s">
        <v>6486</v>
      </c>
      <c r="B34" s="11" t="s">
        <v>6487</v>
      </c>
      <c r="C34" s="10" t="s">
        <v>63</v>
      </c>
      <c r="D34" s="16" t="n">
        <f aca="false">(Cost!E12+Cost!E40)*INP_124/INP_010</f>
        <v>38.8817638758244</v>
      </c>
      <c r="E34" s="16" t="n">
        <f aca="false">(Cost!F12+Cost!F40)*INP_124/INP_010</f>
        <v>59.0056565244895</v>
      </c>
      <c r="F34" s="16" t="n">
        <f aca="false">(Cost!G12+Cost!G40)*INP_124/INP_010</f>
        <v>86.7524344134096</v>
      </c>
      <c r="G34" s="16" t="n">
        <f aca="false">(Cost!H12+Cost!H40)*INP_124/INP_010</f>
        <v>131.088001344542</v>
      </c>
      <c r="H34" s="16" t="n">
        <f aca="false">(Cost!I12+Cost!I40)*INP_124/INP_010</f>
        <v>193.934911567215</v>
      </c>
      <c r="I34" s="16" t="n">
        <f aca="false">(Cost!I12+Cost!I40)*INP_124/INP_010</f>
        <v>193.934911567215</v>
      </c>
      <c r="M34" s="13" t="s">
        <v>6488</v>
      </c>
    </row>
    <row r="35" customFormat="false" ht="15" hidden="false" customHeight="false" outlineLevel="0" collapsed="false">
      <c r="A35" s="10" t="s">
        <v>6489</v>
      </c>
      <c r="B35" s="11" t="s">
        <v>6490</v>
      </c>
      <c r="C35" s="10" t="s">
        <v>63</v>
      </c>
      <c r="E35" s="10" t="n">
        <f aca="false">D39</f>
        <v>22.5915</v>
      </c>
      <c r="F35" s="10" t="n">
        <f aca="false">E39</f>
        <v>623.611042237795</v>
      </c>
      <c r="G35" s="10" t="n">
        <f aca="false">F39</f>
        <v>379.946395169115</v>
      </c>
      <c r="H35" s="10" t="n">
        <f aca="false">G39</f>
        <v>333.377289927971</v>
      </c>
      <c r="I35" s="10" t="n">
        <f aca="false">H39</f>
        <v>264.360072450166</v>
      </c>
      <c r="K35" s="10" t="n">
        <f aca="false">D39</f>
        <v>22.5915</v>
      </c>
      <c r="L35" s="10" t="n">
        <f aca="false">K39</f>
        <v>39.9372</v>
      </c>
      <c r="M35" s="13" t="s">
        <v>6491</v>
      </c>
    </row>
    <row r="36" customFormat="false" ht="15" hidden="false" customHeight="false" outlineLevel="0" collapsed="false">
      <c r="A36" s="10" t="s">
        <v>6492</v>
      </c>
      <c r="B36" s="10" t="s">
        <v>6493</v>
      </c>
      <c r="C36" s="10" t="s">
        <v>63</v>
      </c>
      <c r="E36" s="10" t="n">
        <f aca="false">K36</f>
        <v>-14.87831926</v>
      </c>
      <c r="K36" s="10" t="n">
        <f aca="false">SRC_ZP_211-(K35+K21+K31)</f>
        <v>-14.87831926</v>
      </c>
      <c r="M36" s="2" t="s">
        <v>6494</v>
      </c>
    </row>
    <row r="37" customFormat="false" ht="15" hidden="false" customHeight="false" outlineLevel="0" collapsed="false">
      <c r="A37" s="10" t="s">
        <v>6495</v>
      </c>
      <c r="B37" s="11" t="s">
        <v>6496</v>
      </c>
      <c r="C37" s="10" t="s">
        <v>63</v>
      </c>
      <c r="E37" s="10" t="n">
        <f aca="false">L37</f>
        <v>623.611042237795</v>
      </c>
      <c r="F37" s="10" t="n">
        <f aca="false">F35+F21+F31-F32</f>
        <v>379.946395169115</v>
      </c>
      <c r="G37" s="10" t="n">
        <f aca="false">G35+G21+G31-G32</f>
        <v>333.377289927971</v>
      </c>
      <c r="H37" s="10" t="n">
        <f aca="false">H35+H21+H31-H32</f>
        <v>264.360072450166</v>
      </c>
      <c r="I37" s="10" t="n">
        <f aca="false">I35+I21+I31-I32</f>
        <v>150.379662948466</v>
      </c>
      <c r="K37" s="10" t="n">
        <f aca="false">K35+K21+K31+K36</f>
        <v>39.9372</v>
      </c>
      <c r="L37" s="10" t="n">
        <f aca="false">L35+L21+L31</f>
        <v>623.611042237795</v>
      </c>
      <c r="M37" s="13" t="s">
        <v>6497</v>
      </c>
    </row>
    <row r="38" customFormat="false" ht="15" hidden="false" customHeight="false" outlineLevel="0" collapsed="false">
      <c r="A38" s="10" t="s">
        <v>6498</v>
      </c>
      <c r="B38" s="11" t="s">
        <v>6499</v>
      </c>
      <c r="C38" s="10" t="s">
        <v>63</v>
      </c>
      <c r="E38" s="10" t="n">
        <f aca="false">(E34-E37)*(E34&gt;E37)</f>
        <v>-0</v>
      </c>
      <c r="F38" s="10" t="n">
        <f aca="false">(F34-F37)*(F34&gt;F37)</f>
        <v>-0</v>
      </c>
      <c r="G38" s="10" t="n">
        <f aca="false">(G34-G37)*(G34&gt;G37)</f>
        <v>-0</v>
      </c>
      <c r="H38" s="10" t="n">
        <f aca="false">(H34-H37)*(H34&gt;H37)</f>
        <v>-0</v>
      </c>
      <c r="I38" s="10" t="n">
        <f aca="false">(I34-I37)*(I34&gt;I37)</f>
        <v>43.5552486187488</v>
      </c>
      <c r="M38" s="2" t="s">
        <v>6500</v>
      </c>
    </row>
    <row r="39" customFormat="false" ht="15" hidden="false" customHeight="false" outlineLevel="0" collapsed="false">
      <c r="A39" s="10" t="s">
        <v>6501</v>
      </c>
      <c r="B39" s="11" t="s">
        <v>6502</v>
      </c>
      <c r="C39" s="10" t="s">
        <v>63</v>
      </c>
      <c r="D39" s="10" t="n">
        <f aca="false">SRC_ZP_151</f>
        <v>22.5915</v>
      </c>
      <c r="E39" s="10" t="n">
        <f aca="false">L39</f>
        <v>623.611042237795</v>
      </c>
      <c r="F39" s="10" t="n">
        <f aca="false">F37+F38</f>
        <v>379.946395169115</v>
      </c>
      <c r="G39" s="10" t="n">
        <f aca="false">G37+G38</f>
        <v>333.377289927971</v>
      </c>
      <c r="H39" s="10" t="n">
        <f aca="false">H37+H38</f>
        <v>264.360072450166</v>
      </c>
      <c r="I39" s="10" t="n">
        <f aca="false">I37+I38</f>
        <v>193.934911567215</v>
      </c>
      <c r="K39" s="10" t="n">
        <f aca="false">K37</f>
        <v>39.9372</v>
      </c>
      <c r="L39" s="10" t="n">
        <f aca="false">L37+E38</f>
        <v>623.611042237795</v>
      </c>
      <c r="M39" s="13" t="s">
        <v>6503</v>
      </c>
    </row>
    <row r="40" customFormat="false" ht="15" hidden="false" customHeight="false" outlineLevel="0" collapsed="false">
      <c r="A40" s="10" t="s">
        <v>6504</v>
      </c>
      <c r="B40" s="11" t="s">
        <v>6505</v>
      </c>
      <c r="C40" s="10" t="s">
        <v>63</v>
      </c>
      <c r="E40" s="10" t="n">
        <f aca="false">E38</f>
        <v>-0</v>
      </c>
      <c r="F40" s="10" t="n">
        <f aca="false">E40+F38</f>
        <v>-0</v>
      </c>
      <c r="G40" s="10" t="n">
        <f aca="false">F40+G38</f>
        <v>-0</v>
      </c>
      <c r="H40" s="10" t="n">
        <f aca="false">G40+H38</f>
        <v>-0</v>
      </c>
      <c r="I40" s="10" t="n">
        <f aca="false">H40+I38</f>
        <v>43.5552486187488</v>
      </c>
      <c r="M40" s="2" t="s">
        <v>6506</v>
      </c>
    </row>
    <row r="41" customFormat="false" ht="15" hidden="false" customHeight="false" outlineLevel="0" collapsed="false">
      <c r="A41" s="10" t="s">
        <v>6507</v>
      </c>
      <c r="B41" s="11" t="s">
        <v>6508</v>
      </c>
      <c r="C41" s="11" t="s">
        <v>5980</v>
      </c>
      <c r="E41" s="10" t="n">
        <f aca="false">SIGN(E38)</f>
        <v>0</v>
      </c>
      <c r="F41" s="10" t="n">
        <f aca="false">SIGN(F38)</f>
        <v>0</v>
      </c>
      <c r="G41" s="10" t="n">
        <f aca="false">SIGN(G38)</f>
        <v>0</v>
      </c>
      <c r="H41" s="10" t="n">
        <f aca="false">SIGN(H38)</f>
        <v>0</v>
      </c>
      <c r="I41" s="10" t="n">
        <f aca="false">SIGN(I38)</f>
        <v>1</v>
      </c>
      <c r="M41" s="2"/>
    </row>
    <row r="42" customFormat="false" ht="15" hidden="false" customHeight="false" outlineLevel="0" collapsed="false">
      <c r="A42" s="10" t="s">
        <v>6509</v>
      </c>
      <c r="B42" s="11" t="s">
        <v>6510</v>
      </c>
      <c r="C42" s="11" t="s">
        <v>2665</v>
      </c>
      <c r="E42" s="10" t="str">
        <f aca="false">IF(E41,E$6,"")</f>
        <v/>
      </c>
      <c r="F42" s="10" t="str">
        <f aca="false">IF(F41,F$6,"")</f>
        <v/>
      </c>
      <c r="G42" s="10" t="str">
        <f aca="false">IF(G41,G$6,"")</f>
        <v/>
      </c>
      <c r="H42" s="10" t="str">
        <f aca="false">IF(H41,H$6,"")</f>
        <v/>
      </c>
      <c r="I42" s="10" t="n">
        <f aca="false">IF(I41,I$6,"")</f>
        <v>2030</v>
      </c>
      <c r="M42" s="2"/>
    </row>
    <row r="43" customFormat="false" ht="15" hidden="false" customHeight="false" outlineLevel="0" collapsed="false">
      <c r="A43" s="10" t="s">
        <v>6511</v>
      </c>
      <c r="B43" s="11" t="s">
        <v>6512</v>
      </c>
      <c r="C43" s="11" t="s">
        <v>2665</v>
      </c>
      <c r="E43" s="10" t="str">
        <f aca="false">IF(AND(E41,E38=MAX($E$38:$I$38)),E$6,"")</f>
        <v/>
      </c>
      <c r="F43" s="10" t="str">
        <f aca="false">IF(AND(F41,F38=MAX($E$38:$I$38)),F$6,"")</f>
        <v/>
      </c>
      <c r="G43" s="10" t="str">
        <f aca="false">IF(AND(G41,G38=MAX($E$38:$I$38)),G$6,"")</f>
        <v/>
      </c>
      <c r="H43" s="10" t="str">
        <f aca="false">IF(AND(H41,H38=MAX($E$38:$I$38)),H$6,"")</f>
        <v/>
      </c>
      <c r="I43" s="10" t="n">
        <f aca="false">IF(AND(I41,I38=MAX($E$38:$I$38)),I$6,"")</f>
        <v>2030</v>
      </c>
      <c r="M43" s="2"/>
    </row>
    <row r="44" customFormat="false" ht="15" hidden="false" customHeight="false" outlineLevel="0" collapsed="false">
      <c r="A44" s="10" t="s">
        <v>6513</v>
      </c>
      <c r="B44" s="11" t="s">
        <v>6514</v>
      </c>
      <c r="C44" s="10" t="s">
        <v>63</v>
      </c>
      <c r="E44" s="10" t="n">
        <f aca="false">L37</f>
        <v>623.611042237795</v>
      </c>
      <c r="F44" s="10" t="n">
        <f aca="false">E44+F21+F31-F32</f>
        <v>379.946395169115</v>
      </c>
      <c r="G44" s="10" t="n">
        <f aca="false">F44+G21+G31-G32</f>
        <v>333.377289927971</v>
      </c>
      <c r="H44" s="10" t="n">
        <f aca="false">G44+H21+H31-H32</f>
        <v>264.360072450166</v>
      </c>
      <c r="I44" s="10" t="n">
        <f aca="false">H44+I21+I31-I32</f>
        <v>150.379662948466</v>
      </c>
      <c r="M44" s="2" t="s">
        <v>6515</v>
      </c>
    </row>
    <row r="45" customFormat="false" ht="15" hidden="false" customHeight="false" outlineLevel="0" collapsed="false">
      <c r="A45" s="10" t="s">
        <v>6516</v>
      </c>
      <c r="B45" s="11" t="s">
        <v>6517</v>
      </c>
      <c r="C45" s="11" t="s">
        <v>2665</v>
      </c>
      <c r="E45" s="10" t="str">
        <f aca="false">IF(E44&lt;E34,E$6,"")</f>
        <v/>
      </c>
      <c r="F45" s="10" t="str">
        <f aca="false">IF(F44&lt;F34,F$6,"")</f>
        <v/>
      </c>
      <c r="G45" s="10" t="str">
        <f aca="false">IF(G44&lt;G34,G$6,"")</f>
        <v/>
      </c>
      <c r="H45" s="10" t="str">
        <f aca="false">IF(H44&lt;H34,H$6,"")</f>
        <v/>
      </c>
      <c r="I45" s="10" t="n">
        <f aca="false">IF(I44&lt;I34,I$6,"")</f>
        <v>2030</v>
      </c>
      <c r="M45" s="2"/>
    </row>
    <row r="46" customFormat="false" ht="15" hidden="false" customHeight="false" outlineLevel="0" collapsed="false">
      <c r="A46" s="10" t="s">
        <v>6518</v>
      </c>
      <c r="B46" s="11" t="s">
        <v>6519</v>
      </c>
      <c r="C46" s="11" t="s">
        <v>2665</v>
      </c>
      <c r="D46" s="10" t="n">
        <f aca="false">IF(COUNT($E$42:$I$42),MIN($E$42:$I$42),"期間內無")</f>
        <v>2030</v>
      </c>
      <c r="M46" s="2"/>
    </row>
    <row r="47" customFormat="false" ht="15" hidden="false" customHeight="false" outlineLevel="0" collapsed="false">
      <c r="A47" s="10" t="s">
        <v>6520</v>
      </c>
      <c r="B47" s="11" t="s">
        <v>6521</v>
      </c>
      <c r="C47" s="11" t="s">
        <v>2665</v>
      </c>
      <c r="D47" s="10" t="n">
        <f aca="false">IF(COUNT($E$43:$I$43),MIN($E$43:$I$43),"期間內無")</f>
        <v>2030</v>
      </c>
      <c r="M47" s="2"/>
    </row>
    <row r="48" customFormat="false" ht="15" hidden="false" customHeight="false" outlineLevel="0" collapsed="false">
      <c r="A48" s="10" t="s">
        <v>6522</v>
      </c>
      <c r="B48" s="11" t="s">
        <v>6523</v>
      </c>
      <c r="C48" s="10" t="s">
        <v>63</v>
      </c>
      <c r="D48" s="10" t="n">
        <f aca="false">MAX($E$38:$I$38)</f>
        <v>43.5552486187488</v>
      </c>
      <c r="M48" s="2"/>
    </row>
    <row r="49" customFormat="false" ht="15" hidden="false" customHeight="false" outlineLevel="0" collapsed="false">
      <c r="A49" s="10" t="s">
        <v>6524</v>
      </c>
      <c r="B49" s="11" t="s">
        <v>6525</v>
      </c>
      <c r="C49" s="11" t="s">
        <v>2665</v>
      </c>
      <c r="D49" s="10" t="n">
        <f aca="false">IF(COUNT($E$45:$I$45),MIN($E$45:$I$45),"期間內無")</f>
        <v>2030</v>
      </c>
      <c r="M49" s="2"/>
    </row>
    <row r="50" customFormat="false" ht="15" hidden="false" customHeight="false" outlineLevel="0" collapsed="false">
      <c r="A50" s="10" t="s">
        <v>6526</v>
      </c>
      <c r="B50" s="11" t="s">
        <v>6527</v>
      </c>
      <c r="C50" s="11" t="s">
        <v>2665</v>
      </c>
      <c r="D50" s="10" t="n">
        <f aca="false">IF(I21&lt;ABS(I21),I39/(-I21),"融資前現金流為正")</f>
        <v>1.70147582742561</v>
      </c>
      <c r="M50" s="2" t="s">
        <v>6528</v>
      </c>
    </row>
    <row r="51" customFormat="false" ht="15" hidden="false" customHeight="false" outlineLevel="0" collapsed="false">
      <c r="A51" s="15" t="s">
        <v>6529</v>
      </c>
    </row>
    <row r="52" customFormat="false" ht="15" hidden="false" customHeight="false" outlineLevel="0" collapsed="false">
      <c r="A52" s="10" t="s">
        <v>6530</v>
      </c>
      <c r="B52" s="11" t="s">
        <v>6531</v>
      </c>
      <c r="C52" s="10" t="s">
        <v>63</v>
      </c>
      <c r="E52" s="10" t="n">
        <f aca="false">E37</f>
        <v>623.611042237795</v>
      </c>
      <c r="F52" s="10" t="n">
        <f aca="false">E54+F21+F31</f>
        <v>581.346395169115</v>
      </c>
      <c r="G52" s="10" t="n">
        <f aca="false">F54+G21+G31</f>
        <v>534.777289927971</v>
      </c>
      <c r="H52" s="10" t="n">
        <f aca="false">G54+H21+H31</f>
        <v>465.760072450166</v>
      </c>
      <c r="I52" s="10" t="n">
        <f aca="false">H54+I21+I31</f>
        <v>351.779662948466</v>
      </c>
      <c r="M52" s="2"/>
    </row>
    <row r="53" customFormat="false" ht="15" hidden="false" customHeight="false" outlineLevel="0" collapsed="false">
      <c r="A53" s="10" t="s">
        <v>6532</v>
      </c>
      <c r="B53" s="11" t="s">
        <v>6533</v>
      </c>
      <c r="C53" s="10" t="s">
        <v>63</v>
      </c>
      <c r="E53" s="10" t="n">
        <f aca="false">(E34-E52)*(E34&gt;E52)</f>
        <v>-0</v>
      </c>
      <c r="F53" s="10" t="n">
        <f aca="false">(F34-F52)*(F34&gt;F52)</f>
        <v>-0</v>
      </c>
      <c r="G53" s="10" t="n">
        <f aca="false">(G34-G52)*(G34&gt;G52)</f>
        <v>-0</v>
      </c>
      <c r="H53" s="10" t="n">
        <f aca="false">(H34-H52)*(H34&gt;H52)</f>
        <v>-0</v>
      </c>
      <c r="I53" s="10" t="n">
        <f aca="false">(I34-I52)*(I34&gt;I52)</f>
        <v>-0</v>
      </c>
      <c r="M53" s="2"/>
    </row>
    <row r="54" customFormat="false" ht="15" hidden="false" customHeight="false" outlineLevel="0" collapsed="false">
      <c r="A54" s="10" t="s">
        <v>6534</v>
      </c>
      <c r="B54" s="11" t="s">
        <v>6535</v>
      </c>
      <c r="C54" s="10" t="s">
        <v>63</v>
      </c>
      <c r="E54" s="10" t="n">
        <f aca="false">E52+E53</f>
        <v>623.611042237795</v>
      </c>
      <c r="F54" s="10" t="n">
        <f aca="false">F52+F53</f>
        <v>581.346395169115</v>
      </c>
      <c r="G54" s="10" t="n">
        <f aca="false">G52+G53</f>
        <v>534.777289927971</v>
      </c>
      <c r="H54" s="10" t="n">
        <f aca="false">H52+H53</f>
        <v>465.760072450166</v>
      </c>
      <c r="I54" s="10" t="n">
        <f aca="false">I52+I53</f>
        <v>351.779662948466</v>
      </c>
      <c r="M54" s="2"/>
    </row>
    <row r="55" customFormat="false" ht="15" hidden="false" customHeight="false" outlineLevel="0" collapsed="false">
      <c r="A55" s="10" t="s">
        <v>6536</v>
      </c>
      <c r="B55" s="11" t="s">
        <v>6537</v>
      </c>
      <c r="C55" s="10" t="s">
        <v>63</v>
      </c>
      <c r="E55" s="10" t="n">
        <f aca="false">E53</f>
        <v>-0</v>
      </c>
      <c r="F55" s="10" t="n">
        <f aca="false">E55+F53</f>
        <v>-0</v>
      </c>
      <c r="G55" s="10" t="n">
        <f aca="false">F55+G53</f>
        <v>-0</v>
      </c>
      <c r="H55" s="10" t="n">
        <f aca="false">G55+H53</f>
        <v>-0</v>
      </c>
      <c r="I55" s="10" t="n">
        <f aca="false">H55+I53</f>
        <v>-0</v>
      </c>
      <c r="M55" s="2"/>
    </row>
    <row r="56" customFormat="false" ht="15" hidden="false" customHeight="false" outlineLevel="0" collapsed="false">
      <c r="A56" s="10" t="s">
        <v>6538</v>
      </c>
      <c r="B56" s="11" t="s">
        <v>6539</v>
      </c>
      <c r="C56" s="11" t="s">
        <v>4705</v>
      </c>
      <c r="D56" s="10" t="n">
        <f aca="false">SRC_ZP_549/(SRC_ZP_563+SRC_ZP_549)</f>
        <v>0.0512985040448709</v>
      </c>
      <c r="M56" s="13" t="s">
        <v>6540</v>
      </c>
    </row>
    <row r="57" customFormat="false" ht="15" hidden="false" customHeight="false" outlineLevel="0" collapsed="false">
      <c r="A57" s="15" t="s">
        <v>6541</v>
      </c>
    </row>
    <row r="58" customFormat="false" ht="15" hidden="false" customHeight="false" outlineLevel="0" collapsed="false">
      <c r="A58" s="10" t="s">
        <v>6542</v>
      </c>
      <c r="B58" s="11" t="s">
        <v>6543</v>
      </c>
      <c r="C58" s="10" t="s">
        <v>63</v>
      </c>
      <c r="D58" s="10" t="n">
        <f aca="false">SRC_ZP_545*INP_129</f>
        <v>201.4</v>
      </c>
      <c r="M58" s="2" t="s">
        <v>6544</v>
      </c>
    </row>
    <row r="59" customFormat="false" ht="15" hidden="false" customHeight="false" outlineLevel="0" collapsed="false">
      <c r="A59" s="10" t="s">
        <v>6545</v>
      </c>
      <c r="B59" s="11" t="s">
        <v>6546</v>
      </c>
      <c r="C59" s="11" t="s">
        <v>1709</v>
      </c>
      <c r="D59" s="10" t="n">
        <f aca="false">SRC_ZP_569/SRC_ZP_548</f>
        <v>0.779831932773109</v>
      </c>
      <c r="M59" s="13" t="s">
        <v>6547</v>
      </c>
    </row>
    <row r="60" customFormat="false" ht="15" hidden="false" customHeight="false" outlineLevel="0" collapsed="false">
      <c r="A60" s="10" t="s">
        <v>6548</v>
      </c>
      <c r="B60" s="11" t="s">
        <v>6549</v>
      </c>
      <c r="C60" s="10" t="s">
        <v>63</v>
      </c>
      <c r="D60" s="10" t="n">
        <f aca="false">SRC_ZP_110</f>
        <v>89.431</v>
      </c>
      <c r="M60" s="13" t="s">
        <v>6550</v>
      </c>
    </row>
    <row r="61" customFormat="false" ht="15" hidden="false" customHeight="false" outlineLevel="0" collapsed="false">
      <c r="A61" s="10" t="s">
        <v>6551</v>
      </c>
      <c r="B61" s="11" t="s">
        <v>6552</v>
      </c>
      <c r="C61" s="10" t="s">
        <v>2121</v>
      </c>
      <c r="M61" s="2" t="s">
        <v>6553</v>
      </c>
    </row>
    <row r="62" customFormat="false" ht="15" hidden="false" customHeight="false" outlineLevel="0" collapsed="false">
      <c r="A62" s="10" t="s">
        <v>6554</v>
      </c>
      <c r="B62" s="11" t="s">
        <v>6555</v>
      </c>
      <c r="C62" s="10" t="s">
        <v>401</v>
      </c>
      <c r="D62" s="10" t="n">
        <f aca="false">SRC_ZP_568_Lo</f>
        <v>40</v>
      </c>
      <c r="M62" s="13" t="s">
        <v>6556</v>
      </c>
    </row>
    <row r="63" customFormat="false" ht="15" hidden="false" customHeight="false" outlineLevel="0" collapsed="false">
      <c r="A63" s="15" t="s">
        <v>6557</v>
      </c>
    </row>
    <row r="64" customFormat="false" ht="15" hidden="false" customHeight="false" outlineLevel="0" collapsed="false">
      <c r="A64" s="10" t="s">
        <v>6558</v>
      </c>
      <c r="B64" s="10" t="s">
        <v>6559</v>
      </c>
      <c r="C64" s="10" t="s">
        <v>63</v>
      </c>
      <c r="L64" s="10" t="n">
        <f aca="false">L24*SRC_ZP_539/INP_014</f>
        <v>148.27064058675</v>
      </c>
      <c r="M64" s="13" t="s">
        <v>6560</v>
      </c>
    </row>
    <row r="65" customFormat="false" ht="15" hidden="false" customHeight="false" outlineLevel="0" collapsed="false">
      <c r="A65" s="10" t="s">
        <v>6561</v>
      </c>
      <c r="B65" s="10" t="s">
        <v>6562</v>
      </c>
      <c r="C65" s="10" t="s">
        <v>63</v>
      </c>
      <c r="L65" s="10" t="n">
        <f aca="false">SRC_ZP_540*INP_024/INP_020</f>
        <v>94.12692804</v>
      </c>
      <c r="M65" s="13" t="s">
        <v>6563</v>
      </c>
    </row>
    <row r="66" customFormat="false" ht="15" hidden="false" customHeight="false" outlineLevel="0" collapsed="false">
      <c r="A66" s="10" t="s">
        <v>6564</v>
      </c>
      <c r="B66" s="11" t="s">
        <v>6565</v>
      </c>
      <c r="C66" s="10" t="s">
        <v>63</v>
      </c>
      <c r="L66" s="10" t="n">
        <f aca="false">-L21*INP_133/INP_009</f>
        <v>7.89250972133009</v>
      </c>
      <c r="M66" s="2" t="s">
        <v>6566</v>
      </c>
    </row>
    <row r="67" customFormat="false" ht="15" hidden="false" customHeight="false" outlineLevel="0" collapsed="false">
      <c r="A67" s="10" t="s">
        <v>6567</v>
      </c>
      <c r="B67" s="11" t="s">
        <v>6568</v>
      </c>
      <c r="C67" s="11" t="s">
        <v>1709</v>
      </c>
      <c r="L67" s="10" t="n">
        <f aca="false">L65/L66</f>
        <v>11.9261085970683</v>
      </c>
      <c r="M67" s="13" t="s">
        <v>6569</v>
      </c>
    </row>
    <row r="68" customFormat="false" ht="15" hidden="false" customHeight="false" outlineLevel="0" collapsed="false">
      <c r="A68" s="10" t="s">
        <v>6570</v>
      </c>
      <c r="B68" s="10" t="s">
        <v>6571</v>
      </c>
      <c r="C68" s="10" t="s">
        <v>63</v>
      </c>
      <c r="L68" s="10" t="n">
        <f aca="false">(L25+L27)*SRC_ZP_550/INP_014</f>
        <v>202.5082748574</v>
      </c>
      <c r="M68" s="13" t="s">
        <v>6572</v>
      </c>
    </row>
    <row r="69" customFormat="false" ht="15" hidden="false" customHeight="false" outlineLevel="0" collapsed="false">
      <c r="A69" s="10" t="s">
        <v>6573</v>
      </c>
      <c r="B69" s="11" t="s">
        <v>6574</v>
      </c>
      <c r="C69" s="10" t="s">
        <v>63</v>
      </c>
      <c r="L69" s="10" t="n">
        <f aca="false">L9+L11+F9+F11+G9+G11</f>
        <v>339.792409627447</v>
      </c>
      <c r="M69" s="2" t="s">
        <v>6575</v>
      </c>
    </row>
    <row r="70" customFormat="false" ht="15" hidden="false" customHeight="false" outlineLevel="0" collapsed="false">
      <c r="A70" s="10" t="s">
        <v>6576</v>
      </c>
      <c r="B70" s="11" t="s">
        <v>6577</v>
      </c>
      <c r="C70" s="11" t="s">
        <v>1709</v>
      </c>
      <c r="L70" s="10" t="n">
        <f aca="false">(L64+L68)/L69</f>
        <v>1.03233299363205</v>
      </c>
      <c r="M70" s="2"/>
    </row>
    <row r="71" customFormat="false" ht="15" hidden="false" customHeight="false" outlineLevel="0" collapsed="false">
      <c r="A71" s="15" t="s">
        <v>6578</v>
      </c>
    </row>
    <row r="72" customFormat="false" ht="15" hidden="false" customHeight="false" outlineLevel="0" collapsed="false">
      <c r="A72" s="10" t="s">
        <v>6579</v>
      </c>
      <c r="B72" s="11" t="s">
        <v>6580</v>
      </c>
      <c r="C72" s="10" t="s">
        <v>63</v>
      </c>
      <c r="D72" s="10" t="n">
        <f aca="false">SRC_ZP_785</f>
        <v>0.242</v>
      </c>
      <c r="M72" s="13" t="s">
        <v>6581</v>
      </c>
    </row>
    <row r="73" customFormat="false" ht="15" hidden="false" customHeight="false" outlineLevel="0" collapsed="false">
      <c r="A73" s="10" t="s">
        <v>6582</v>
      </c>
      <c r="B73" s="11" t="s">
        <v>6583</v>
      </c>
      <c r="C73" s="10" t="s">
        <v>63</v>
      </c>
      <c r="D73" s="10" t="n">
        <f aca="false">SRC_ZP_786</f>
        <v>0.247</v>
      </c>
      <c r="M73" s="13" t="s">
        <v>6584</v>
      </c>
    </row>
    <row r="74" customFormat="false" ht="15" hidden="false" customHeight="false" outlineLevel="0" collapsed="false">
      <c r="A74" s="10" t="s">
        <v>6585</v>
      </c>
      <c r="B74" s="11" t="s">
        <v>6586</v>
      </c>
      <c r="C74" s="11" t="s">
        <v>1709</v>
      </c>
      <c r="D74" s="10" t="n">
        <f aca="false">D73/D72</f>
        <v>1.02066115702479</v>
      </c>
      <c r="M74" s="13" t="s">
        <v>6587</v>
      </c>
    </row>
    <row r="75" customFormat="false" ht="15" hidden="false" customHeight="false" outlineLevel="0" collapsed="false">
      <c r="A75" s="10" t="s">
        <v>6588</v>
      </c>
      <c r="B75" s="10" t="s">
        <v>6589</v>
      </c>
      <c r="C75" s="10" t="s">
        <v>63</v>
      </c>
      <c r="D75" s="10" t="n">
        <f aca="false">SRC_ZP_510_Lo+SRC_ZP_511+SRC_ZP_512+SRC_ZP_513</f>
        <v>28</v>
      </c>
      <c r="M75" s="13" t="s">
        <v>6590</v>
      </c>
    </row>
    <row r="76" customFormat="false" ht="15" hidden="false" customHeight="false" outlineLevel="0" collapsed="false">
      <c r="A76" s="15" t="s">
        <v>6591</v>
      </c>
    </row>
    <row r="77" customFormat="false" ht="15" hidden="false" customHeight="false" outlineLevel="0" collapsed="false">
      <c r="A77" s="10" t="s">
        <v>6592</v>
      </c>
      <c r="B77" s="11" t="s">
        <v>6593</v>
      </c>
      <c r="C77" s="10" t="s">
        <v>63</v>
      </c>
      <c r="D77" s="10" t="n">
        <f aca="false">SRC_ZP_151-SRC_ZP_152</f>
        <v>-0.1007</v>
      </c>
      <c r="K77" s="10" t="n">
        <f aca="false">SRC_ZP_211-SRC_ZP_151</f>
        <v>17.3457</v>
      </c>
      <c r="M77" s="13" t="s">
        <v>6594</v>
      </c>
    </row>
    <row r="78" customFormat="false" ht="15" hidden="false" customHeight="false" outlineLevel="0" collapsed="false">
      <c r="A78" s="10" t="s">
        <v>6595</v>
      </c>
      <c r="B78" s="11" t="s">
        <v>6596</v>
      </c>
      <c r="C78" s="10" t="s">
        <v>63</v>
      </c>
      <c r="D78" s="10" t="n">
        <f aca="false">D75+D30</f>
        <v>33.522</v>
      </c>
      <c r="K78" s="10" t="n">
        <f aca="false">K31</f>
        <v>57.42301926</v>
      </c>
      <c r="M78" s="13" t="s">
        <v>6597</v>
      </c>
    </row>
    <row r="79" customFormat="false" ht="15" hidden="false" customHeight="false" outlineLevel="0" collapsed="false">
      <c r="A79" s="10" t="s">
        <v>6598</v>
      </c>
      <c r="B79" s="11" t="s">
        <v>6599</v>
      </c>
      <c r="C79" s="10" t="s">
        <v>63</v>
      </c>
      <c r="D79" s="10" t="n">
        <f aca="false">D77-D78</f>
        <v>-33.6227</v>
      </c>
      <c r="K79" s="10" t="n">
        <f aca="false">K77-K78</f>
        <v>-40.07731926</v>
      </c>
      <c r="M79" s="2"/>
    </row>
    <row r="80" customFormat="false" ht="15" hidden="false" customHeight="false" outlineLevel="0" collapsed="false">
      <c r="A80" s="10" t="s">
        <v>6600</v>
      </c>
      <c r="B80" s="11" t="s">
        <v>6601</v>
      </c>
      <c r="C80" s="10" t="s">
        <v>63</v>
      </c>
      <c r="D80" s="10" t="n">
        <f aca="false">D21</f>
        <v>-33.5592</v>
      </c>
      <c r="K80" s="10" t="n">
        <f aca="false">K21</f>
        <v>-25.199</v>
      </c>
      <c r="M80" s="2"/>
    </row>
    <row r="81" customFormat="false" ht="15" hidden="false" customHeight="false" outlineLevel="0" collapsed="false">
      <c r="A81" s="10" t="s">
        <v>6602</v>
      </c>
      <c r="B81" s="11" t="s">
        <v>6603</v>
      </c>
      <c r="C81" s="10" t="s">
        <v>63</v>
      </c>
      <c r="D81" s="10" t="n">
        <f aca="false">D79-D80</f>
        <v>-0.0634999999999906</v>
      </c>
      <c r="K81" s="10" t="n">
        <f aca="false">K79-K80</f>
        <v>-14.87831926</v>
      </c>
      <c r="M81" s="13" t="s">
        <v>6604</v>
      </c>
    </row>
    <row r="82" customFormat="false" ht="15" hidden="false" customHeight="false" outlineLevel="0" collapsed="false">
      <c r="A82" s="10" t="s">
        <v>6605</v>
      </c>
      <c r="B82" s="11" t="s">
        <v>6606</v>
      </c>
      <c r="C82" s="10" t="s">
        <v>63</v>
      </c>
      <c r="D82" s="10" t="n">
        <f aca="false">-SRC_ZP_146</f>
        <v>-31.8197</v>
      </c>
      <c r="K82" s="10" t="n">
        <f aca="false">-SRC_ZP_206</f>
        <v>-19.6414</v>
      </c>
      <c r="M82" s="13" t="s">
        <v>6607</v>
      </c>
    </row>
    <row r="83" customFormat="false" ht="15" hidden="false" customHeight="false" outlineLevel="0" collapsed="false">
      <c r="A83" s="15" t="s">
        <v>6608</v>
      </c>
    </row>
    <row r="84" customFormat="false" ht="15" hidden="false" customHeight="false" outlineLevel="0" collapsed="false">
      <c r="A84" s="10" t="s">
        <v>6609</v>
      </c>
      <c r="B84" s="11" t="s">
        <v>6610</v>
      </c>
      <c r="C84" s="10" t="s">
        <v>4513</v>
      </c>
      <c r="D84" s="10" t="n">
        <f aca="false">D16/INP_023/INP_021</f>
        <v>-0.486835116248016</v>
      </c>
      <c r="E84" s="10" t="n">
        <f aca="false">E16/INP_023/INP_021</f>
        <v>-0.613330314758745</v>
      </c>
      <c r="F84" s="10" t="n">
        <f aca="false">F16/INP_023/INP_021</f>
        <v>-0.615953457301742</v>
      </c>
      <c r="G84" s="10" t="n">
        <f aca="false">G16/INP_023/INP_021</f>
        <v>-0.679818769434911</v>
      </c>
      <c r="H84" s="10" t="n">
        <f aca="false">H16/INP_023/INP_021</f>
        <v>-1.01288175607658</v>
      </c>
      <c r="I84" s="10" t="n">
        <f aca="false">I16/INP_023/INP_021</f>
        <v>-1.6800013279381</v>
      </c>
      <c r="M84" s="2"/>
    </row>
    <row r="85" customFormat="false" ht="15" hidden="false" customHeight="false" outlineLevel="0" collapsed="false">
      <c r="A85" s="10" t="s">
        <v>6611</v>
      </c>
      <c r="B85" s="11" t="s">
        <v>6612</v>
      </c>
      <c r="C85" s="10" t="s">
        <v>4513</v>
      </c>
      <c r="E85" s="10" t="n">
        <f aca="false">E31/INP_023/INP_021</f>
        <v>9.85949040154899</v>
      </c>
      <c r="F85" s="10" t="n">
        <f aca="false">F31/INP_023/INP_021</f>
        <v>0</v>
      </c>
      <c r="G85" s="10" t="n">
        <f aca="false">G31/INP_023/INP_021</f>
        <v>0</v>
      </c>
      <c r="H85" s="10" t="n">
        <f aca="false">H31/INP_023/INP_021</f>
        <v>0</v>
      </c>
      <c r="I85" s="10" t="n">
        <f aca="false">I31/INP_023/INP_021</f>
        <v>0</v>
      </c>
      <c r="M85" s="2"/>
    </row>
    <row r="86" customFormat="false" ht="15" hidden="false" customHeight="false" outlineLevel="0" collapsed="false">
      <c r="A86" s="10" t="s">
        <v>6613</v>
      </c>
      <c r="B86" s="11" t="s">
        <v>6614</v>
      </c>
      <c r="C86" s="10" t="s">
        <v>4513</v>
      </c>
      <c r="E86" s="10" t="n">
        <f aca="false">E38/INP_023/INP_021</f>
        <v>-0</v>
      </c>
      <c r="F86" s="10" t="n">
        <f aca="false">F38/INP_023/INP_021</f>
        <v>-0</v>
      </c>
      <c r="G86" s="10" t="n">
        <f aca="false">G38/INP_023/INP_021</f>
        <v>-0</v>
      </c>
      <c r="H86" s="10" t="n">
        <f aca="false">H38/INP_023/INP_021</f>
        <v>-0</v>
      </c>
      <c r="I86" s="10" t="n">
        <f aca="false">I38/INP_023/INP_021</f>
        <v>0.646229893896776</v>
      </c>
      <c r="M86" s="2"/>
    </row>
    <row r="87" customFormat="false" ht="15" hidden="false" customHeight="false" outlineLevel="0" collapsed="false">
      <c r="A87" s="10" t="s">
        <v>6615</v>
      </c>
      <c r="B87" s="11" t="s">
        <v>6616</v>
      </c>
      <c r="C87" s="10" t="s">
        <v>4513</v>
      </c>
      <c r="E87" s="10" t="n">
        <f aca="false">E40/INP_023/INP_021</f>
        <v>-0</v>
      </c>
      <c r="F87" s="10" t="n">
        <f aca="false">F40/INP_023/INP_021</f>
        <v>-0</v>
      </c>
      <c r="G87" s="10" t="n">
        <f aca="false">G40/INP_023/INP_021</f>
        <v>-0</v>
      </c>
      <c r="H87" s="10" t="n">
        <f aca="false">H40/INP_023/INP_021</f>
        <v>-0</v>
      </c>
      <c r="I87" s="10" t="n">
        <f aca="false">I40/INP_023/INP_021</f>
        <v>0.646229893896776</v>
      </c>
      <c r="M87" s="2"/>
    </row>
    <row r="88" customFormat="false" ht="15" hidden="false" customHeight="false" outlineLevel="0" collapsed="false">
      <c r="A88" s="10" t="s">
        <v>6617</v>
      </c>
      <c r="B88" s="11" t="s">
        <v>6618</v>
      </c>
      <c r="C88" s="10" t="s">
        <v>4513</v>
      </c>
      <c r="D88" s="10" t="n">
        <f aca="false">D39/INP_023/INP_021</f>
        <v>0.335190433092479</v>
      </c>
      <c r="E88" s="10" t="n">
        <f aca="false">E39/INP_023/INP_021</f>
        <v>9.25252662855227</v>
      </c>
      <c r="F88" s="10" t="n">
        <f aca="false">F39/INP_023/INP_021</f>
        <v>5.63727051097367</v>
      </c>
      <c r="G88" s="10" t="n">
        <f aca="false">G39/INP_023/INP_021</f>
        <v>4.94632397999927</v>
      </c>
      <c r="H88" s="10" t="n">
        <f aca="false">H39/INP_023/INP_021</f>
        <v>3.92231446238321</v>
      </c>
      <c r="I88" s="10" t="n">
        <f aca="false">I39/INP_023/INP_021</f>
        <v>2.8774152668024</v>
      </c>
      <c r="M88" s="2"/>
    </row>
    <row r="89" customFormat="false" ht="15" hidden="false" customHeight="false" outlineLevel="0" collapsed="false">
      <c r="A89" s="10" t="s">
        <v>6619</v>
      </c>
      <c r="B89" s="11" t="s">
        <v>6620</v>
      </c>
      <c r="C89" s="10" t="s">
        <v>4513</v>
      </c>
      <c r="E89" s="10" t="n">
        <f aca="false">E55/INP_023/INP_021</f>
        <v>-0</v>
      </c>
      <c r="F89" s="10" t="n">
        <f aca="false">F55/INP_023/INP_021</f>
        <v>-0</v>
      </c>
      <c r="G89" s="10" t="n">
        <f aca="false">G55/INP_023/INP_021</f>
        <v>-0</v>
      </c>
      <c r="H89" s="10" t="n">
        <f aca="false">H55/INP_023/INP_021</f>
        <v>-0</v>
      </c>
      <c r="I89" s="10" t="n">
        <f aca="false">I55/INP_023/INP_021</f>
        <v>-0</v>
      </c>
      <c r="M89" s="2"/>
    </row>
    <row r="90" customFormat="false" ht="15" hidden="false" customHeight="false" outlineLevel="0" collapsed="false">
      <c r="A90" s="10" t="s">
        <v>6621</v>
      </c>
      <c r="B90" s="11" t="s">
        <v>6622</v>
      </c>
      <c r="C90" s="10" t="s">
        <v>4513</v>
      </c>
      <c r="E90" s="10" t="n">
        <f aca="false">E54/INP_023/INP_021</f>
        <v>9.25252662855227</v>
      </c>
      <c r="F90" s="10" t="n">
        <f aca="false">F54/INP_023/INP_021</f>
        <v>8.62544540971104</v>
      </c>
      <c r="G90" s="10" t="n">
        <f aca="false">G54/INP_023/INP_021</f>
        <v>7.93449887873664</v>
      </c>
      <c r="H90" s="10" t="n">
        <f aca="false">H54/INP_023/INP_021</f>
        <v>6.91048936112058</v>
      </c>
      <c r="I90" s="10" t="n">
        <f aca="false">I54/INP_023/INP_021</f>
        <v>5.21936027164299</v>
      </c>
      <c r="M90" s="2"/>
    </row>
    <row r="91" customFormat="false" ht="15" hidden="false" customHeight="false" outlineLevel="0" collapsed="false">
      <c r="A91" s="15" t="s">
        <v>6623</v>
      </c>
    </row>
    <row r="92" customFormat="false" ht="15" hidden="false" customHeight="false" outlineLevel="0" collapsed="false">
      <c r="A92" s="10" t="s">
        <v>6624</v>
      </c>
      <c r="B92" s="10" t="s">
        <v>6625</v>
      </c>
      <c r="C92" s="10" t="s">
        <v>63</v>
      </c>
      <c r="D92" s="10" t="n">
        <f aca="false">SRC_ZP_150</f>
        <v>4.623</v>
      </c>
      <c r="M92" s="13" t="s">
        <v>6626</v>
      </c>
    </row>
    <row r="93" customFormat="false" ht="15" hidden="false" customHeight="false" outlineLevel="0" collapsed="false">
      <c r="A93" s="10" t="s">
        <v>6627</v>
      </c>
      <c r="B93" s="10" t="s">
        <v>6628</v>
      </c>
      <c r="C93" s="10" t="s">
        <v>63</v>
      </c>
      <c r="D93" s="10" t="n">
        <f aca="false">SRC_ZP_210</f>
        <v>0.537</v>
      </c>
      <c r="M93" s="13" t="s">
        <v>6629</v>
      </c>
    </row>
    <row r="94" customFormat="false" ht="15" hidden="false" customHeight="false" outlineLevel="0" collapsed="false">
      <c r="A94" s="10" t="s">
        <v>6630</v>
      </c>
      <c r="B94" s="10" t="s">
        <v>6631</v>
      </c>
      <c r="C94" s="10" t="s">
        <v>63</v>
      </c>
      <c r="D94" s="10" t="n">
        <f aca="false">SRC_ZP_889</f>
        <v>1.3276</v>
      </c>
      <c r="M94" s="13" t="s">
        <v>6632</v>
      </c>
    </row>
    <row r="95" customFormat="false" ht="15" hidden="false" customHeight="false" outlineLevel="0" collapsed="false">
      <c r="A95" s="10" t="s">
        <v>6633</v>
      </c>
      <c r="B95" s="10" t="s">
        <v>6634</v>
      </c>
      <c r="C95" s="10" t="s">
        <v>63</v>
      </c>
      <c r="D95" s="10" t="n">
        <f aca="false">SRC_ZP_898</f>
        <v>3.3709</v>
      </c>
      <c r="M95" s="13" t="s">
        <v>6635</v>
      </c>
    </row>
    <row r="96" customFormat="false" ht="15" hidden="false" customHeight="false" outlineLevel="0" collapsed="false">
      <c r="A96" s="10" t="s">
        <v>6636</v>
      </c>
      <c r="B96" s="10" t="s">
        <v>6637</v>
      </c>
      <c r="C96" s="10" t="s">
        <v>63</v>
      </c>
      <c r="D96" s="10" t="n">
        <f aca="false">D92-D94</f>
        <v>3.2954</v>
      </c>
      <c r="M96" s="2" t="s">
        <v>6638</v>
      </c>
    </row>
    <row r="97" customFormat="false" ht="15" hidden="false" customHeight="false" outlineLevel="0" collapsed="false">
      <c r="A97" s="10" t="s">
        <v>6639</v>
      </c>
      <c r="B97" s="10" t="s">
        <v>6640</v>
      </c>
      <c r="C97" s="10" t="s">
        <v>63</v>
      </c>
      <c r="D97" s="10" t="n">
        <f aca="false">SRC_ZP_891</f>
        <v>0.2391</v>
      </c>
      <c r="M97" s="13" t="s">
        <v>6632</v>
      </c>
    </row>
    <row r="98" customFormat="false" ht="15" hidden="false" customHeight="false" outlineLevel="0" collapsed="false">
      <c r="A98" s="10" t="s">
        <v>6641</v>
      </c>
      <c r="B98" s="10" t="s">
        <v>6642</v>
      </c>
      <c r="C98" s="10" t="s">
        <v>63</v>
      </c>
      <c r="D98" s="10" t="n">
        <f aca="false">SRC_ZP_899</f>
        <v>0.344</v>
      </c>
      <c r="M98" s="13" t="s">
        <v>6635</v>
      </c>
    </row>
    <row r="99" customFormat="false" ht="15" hidden="false" customHeight="false" outlineLevel="0" collapsed="false">
      <c r="A99" s="10" t="s">
        <v>6643</v>
      </c>
      <c r="B99" s="10" t="s">
        <v>6644</v>
      </c>
      <c r="C99" s="10" t="s">
        <v>63</v>
      </c>
      <c r="D99" s="10" t="n">
        <f aca="false">D93-D97</f>
        <v>0.2979</v>
      </c>
      <c r="M99" s="2" t="s">
        <v>6638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6"/>
    <col collapsed="false" customWidth="true" hidden="false" outlineLevel="0" max="3" min="3" style="0" width="10"/>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20.1" hidden="false" customHeight="false" outlineLevel="0" collapsed="false">
      <c r="A1" s="7" t="s">
        <v>6645</v>
      </c>
    </row>
    <row r="2" customFormat="false" ht="15" hidden="false" customHeight="false" outlineLevel="0" collapsed="false">
      <c r="A2" s="2" t="s">
        <v>6646</v>
      </c>
    </row>
    <row r="3" customFormat="false" ht="15" hidden="false" customHeight="false" outlineLevel="0" collapsed="false">
      <c r="A3" s="2" t="s">
        <v>6647</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6648</v>
      </c>
    </row>
    <row r="8" customFormat="false" ht="15" hidden="false" customHeight="false" outlineLevel="0" collapsed="false">
      <c r="A8" s="10" t="s">
        <v>6649</v>
      </c>
      <c r="B8" s="11" t="s">
        <v>6650</v>
      </c>
      <c r="C8" s="10" t="s">
        <v>2121</v>
      </c>
      <c r="M8" s="2" t="s">
        <v>6651</v>
      </c>
    </row>
    <row r="9" customFormat="false" ht="15" hidden="false" customHeight="false" outlineLevel="0" collapsed="false">
      <c r="A9" s="10" t="s">
        <v>6652</v>
      </c>
      <c r="B9" s="10" t="s">
        <v>6653</v>
      </c>
      <c r="C9" s="10" t="s">
        <v>63</v>
      </c>
      <c r="L9" s="10" t="n">
        <f aca="false">SRC_ZP_576*INP_023*INP_021</f>
        <v>202.197</v>
      </c>
      <c r="M9" s="13" t="s">
        <v>6654</v>
      </c>
    </row>
    <row r="10" customFormat="false" ht="15" hidden="false" customHeight="false" outlineLevel="0" collapsed="false">
      <c r="A10" s="10" t="s">
        <v>6655</v>
      </c>
      <c r="B10" s="11" t="s">
        <v>6656</v>
      </c>
      <c r="C10" s="10" t="s">
        <v>63</v>
      </c>
      <c r="L10" s="16" t="n">
        <f aca="false">Funding!L8*INP_013</f>
        <v>61.7607494316211</v>
      </c>
      <c r="M10" s="2"/>
    </row>
    <row r="11" customFormat="false" ht="15" hidden="false" customHeight="false" outlineLevel="0" collapsed="false">
      <c r="A11" s="10" t="s">
        <v>6657</v>
      </c>
      <c r="B11" s="11" t="s">
        <v>6658</v>
      </c>
      <c r="C11" s="11" t="s">
        <v>4705</v>
      </c>
      <c r="L11" s="10" t="n">
        <f aca="false">(L10-L9)/L9</f>
        <v>-0.694551603477692</v>
      </c>
      <c r="M11" s="2" t="s">
        <v>6659</v>
      </c>
    </row>
    <row r="12" customFormat="false" ht="15" hidden="false" customHeight="false" outlineLevel="0" collapsed="false">
      <c r="A12" s="15" t="s">
        <v>6660</v>
      </c>
    </row>
    <row r="13" customFormat="false" ht="15" hidden="false" customHeight="false" outlineLevel="0" collapsed="false">
      <c r="A13" s="10" t="s">
        <v>6661</v>
      </c>
      <c r="B13" s="10" t="s">
        <v>6662</v>
      </c>
      <c r="C13" s="10" t="s">
        <v>63</v>
      </c>
      <c r="E13" s="10" t="n">
        <f aca="false">SRC_ZP_582/INP_020</f>
        <v>60.48</v>
      </c>
      <c r="F13" s="10" t="n">
        <f aca="false">SRC_ZP_583/INP_020</f>
        <v>180.13</v>
      </c>
      <c r="G13" s="10" t="n">
        <f aca="false">SRC_ZP_584/INP_020</f>
        <v>379</v>
      </c>
      <c r="M13" s="13" t="s">
        <v>6663</v>
      </c>
    </row>
    <row r="14" customFormat="false" ht="15" hidden="false" customHeight="false" outlineLevel="0" collapsed="false">
      <c r="A14" s="10" t="s">
        <v>6664</v>
      </c>
      <c r="B14" s="11" t="s">
        <v>6665</v>
      </c>
      <c r="C14" s="10" t="s">
        <v>63</v>
      </c>
      <c r="E14" s="10" t="n">
        <f aca="false">SRC_ZP_591</f>
        <v>62</v>
      </c>
      <c r="F14" s="10" t="n">
        <f aca="false">SRC_ZP_606</f>
        <v>155</v>
      </c>
      <c r="G14" s="10" t="n">
        <f aca="false">SRC_ZP_607</f>
        <v>344</v>
      </c>
      <c r="M14" s="13" t="s">
        <v>6666</v>
      </c>
    </row>
    <row r="15" customFormat="false" ht="15" hidden="false" customHeight="false" outlineLevel="0" collapsed="false">
      <c r="A15" s="10" t="s">
        <v>6667</v>
      </c>
      <c r="B15" s="11" t="s">
        <v>6668</v>
      </c>
      <c r="C15" s="10" t="s">
        <v>63</v>
      </c>
      <c r="E15" s="10" t="n">
        <f aca="false">SRC_ZP_592</f>
        <v>42</v>
      </c>
      <c r="F15" s="10" t="n">
        <f aca="false">SRC_ZP_608</f>
        <v>114</v>
      </c>
      <c r="G15" s="10" t="n">
        <f aca="false">SRC_ZP_609</f>
        <v>251</v>
      </c>
      <c r="M15" s="13" t="s">
        <v>6669</v>
      </c>
    </row>
    <row r="16" customFormat="false" ht="15" hidden="false" customHeight="false" outlineLevel="0" collapsed="false">
      <c r="A16" s="10" t="s">
        <v>6670</v>
      </c>
      <c r="B16" s="11" t="s">
        <v>6671</v>
      </c>
      <c r="C16" s="10" t="s">
        <v>63</v>
      </c>
      <c r="H16" s="10" t="n">
        <f aca="false">SRC_ZP_610</f>
        <v>475</v>
      </c>
      <c r="M16" s="13" t="s">
        <v>6672</v>
      </c>
    </row>
    <row r="17" customFormat="false" ht="15" hidden="false" customHeight="false" outlineLevel="0" collapsed="false">
      <c r="A17" s="10" t="s">
        <v>6673</v>
      </c>
      <c r="B17" s="11" t="s">
        <v>6674</v>
      </c>
      <c r="C17" s="11" t="s">
        <v>6675</v>
      </c>
      <c r="E17" s="10" t="n">
        <f aca="false">COUNT(E13,E14,E15)</f>
        <v>3</v>
      </c>
      <c r="F17" s="10" t="n">
        <f aca="false">COUNT(F13,F14,F15)</f>
        <v>3</v>
      </c>
      <c r="G17" s="10" t="n">
        <f aca="false">COUNT(G13,G14,G15)</f>
        <v>3</v>
      </c>
      <c r="M17" s="2" t="s">
        <v>6676</v>
      </c>
    </row>
    <row r="18" customFormat="false" ht="15" hidden="false" customHeight="false" outlineLevel="0" collapsed="false">
      <c r="A18" s="10" t="s">
        <v>6677</v>
      </c>
      <c r="B18" s="11" t="s">
        <v>6678</v>
      </c>
      <c r="C18" s="10" t="s">
        <v>63</v>
      </c>
      <c r="E18" s="10" t="n">
        <f aca="false">AVERAGE(E13,E14,E15)</f>
        <v>54.8266666666667</v>
      </c>
      <c r="F18" s="10" t="n">
        <f aca="false">AVERAGE(F13,F14,F15)</f>
        <v>149.71</v>
      </c>
      <c r="G18" s="10" t="n">
        <f aca="false">AVERAGE(G13,G14,G15)</f>
        <v>324.666666666667</v>
      </c>
      <c r="M18" s="2" t="s">
        <v>6679</v>
      </c>
    </row>
    <row r="19" customFormat="false" ht="15" hidden="false" customHeight="false" outlineLevel="0" collapsed="false">
      <c r="A19" s="10" t="s">
        <v>6680</v>
      </c>
      <c r="B19" s="11" t="s">
        <v>6681</v>
      </c>
      <c r="C19" s="10" t="s">
        <v>63</v>
      </c>
      <c r="E19" s="10" t="n">
        <f aca="false">MIN(E13,E14,E15)</f>
        <v>42</v>
      </c>
      <c r="F19" s="10" t="n">
        <f aca="false">MIN(F13,F14,F15)</f>
        <v>114</v>
      </c>
      <c r="G19" s="10" t="n">
        <f aca="false">MIN(G13,G14,G15)</f>
        <v>251</v>
      </c>
      <c r="M19" s="2"/>
    </row>
    <row r="20" customFormat="false" ht="15" hidden="false" customHeight="false" outlineLevel="0" collapsed="false">
      <c r="A20" s="10" t="s">
        <v>6682</v>
      </c>
      <c r="B20" s="11" t="s">
        <v>6683</v>
      </c>
      <c r="C20" s="10" t="s">
        <v>63</v>
      </c>
      <c r="E20" s="10" t="n">
        <f aca="false">MAX(E13,E14,E15)</f>
        <v>62</v>
      </c>
      <c r="F20" s="10" t="n">
        <f aca="false">MAX(F13,F14,F15)</f>
        <v>180.13</v>
      </c>
      <c r="G20" s="10" t="n">
        <f aca="false">MAX(G13,G14,G15)</f>
        <v>379</v>
      </c>
      <c r="M20" s="2"/>
    </row>
    <row r="21" customFormat="false" ht="15" hidden="false" customHeight="false" outlineLevel="0" collapsed="false">
      <c r="A21" s="10" t="s">
        <v>6684</v>
      </c>
      <c r="B21" s="11" t="s">
        <v>6685</v>
      </c>
      <c r="C21" s="10" t="s">
        <v>63</v>
      </c>
      <c r="D21" s="16" t="n">
        <f aca="false">Revenue!D54</f>
        <v>7.2433</v>
      </c>
      <c r="E21" s="10" t="n">
        <f aca="false">E18</f>
        <v>54.8266666666667</v>
      </c>
      <c r="F21" s="10" t="n">
        <f aca="false">F18</f>
        <v>149.71</v>
      </c>
      <c r="G21" s="10" t="n">
        <f aca="false">G18</f>
        <v>324.666666666667</v>
      </c>
      <c r="H21" s="10" t="n">
        <f aca="false">G21*(1+INP_134)</f>
        <v>324.666666666667</v>
      </c>
      <c r="I21" s="10" t="n">
        <f aca="false">H21*(1+INP_134)</f>
        <v>324.666666666667</v>
      </c>
      <c r="M21" s="2"/>
    </row>
    <row r="22" customFormat="false" ht="15" hidden="false" customHeight="false" outlineLevel="0" collapsed="false">
      <c r="A22" s="10" t="s">
        <v>6686</v>
      </c>
      <c r="B22" s="11" t="s">
        <v>6687</v>
      </c>
      <c r="C22" s="10" t="s">
        <v>63</v>
      </c>
      <c r="D22" s="16" t="n">
        <f aca="false">Revenue!D54</f>
        <v>7.2433</v>
      </c>
      <c r="E22" s="10" t="n">
        <f aca="false">E19</f>
        <v>42</v>
      </c>
      <c r="F22" s="10" t="n">
        <f aca="false">F19</f>
        <v>114</v>
      </c>
      <c r="G22" s="10" t="n">
        <f aca="false">G19</f>
        <v>251</v>
      </c>
      <c r="H22" s="10" t="n">
        <f aca="false">G22*(1+INP_134)</f>
        <v>251</v>
      </c>
      <c r="I22" s="10" t="n">
        <f aca="false">H22*(1+INP_134)</f>
        <v>251</v>
      </c>
      <c r="M22" s="2"/>
    </row>
    <row r="23" customFormat="false" ht="15" hidden="false" customHeight="false" outlineLevel="0" collapsed="false">
      <c r="A23" s="10" t="s">
        <v>6688</v>
      </c>
      <c r="B23" s="11" t="s">
        <v>6689</v>
      </c>
      <c r="C23" s="10" t="s">
        <v>63</v>
      </c>
      <c r="D23" s="16" t="n">
        <f aca="false">Revenue!D54</f>
        <v>7.2433</v>
      </c>
      <c r="E23" s="10" t="n">
        <f aca="false">E20</f>
        <v>62</v>
      </c>
      <c r="F23" s="10" t="n">
        <f aca="false">F20</f>
        <v>180.13</v>
      </c>
      <c r="G23" s="10" t="n">
        <f aca="false">G20</f>
        <v>379</v>
      </c>
      <c r="H23" s="10" t="n">
        <f aca="false">G23*(1+INP_134)</f>
        <v>379</v>
      </c>
      <c r="I23" s="10" t="n">
        <f aca="false">H23*(1+INP_134)</f>
        <v>379</v>
      </c>
      <c r="M23" s="2"/>
    </row>
    <row r="24" customFormat="false" ht="15" hidden="false" customHeight="false" outlineLevel="0" collapsed="false">
      <c r="A24" s="15" t="s">
        <v>6690</v>
      </c>
    </row>
    <row r="25" customFormat="false" ht="15" hidden="false" customHeight="false" outlineLevel="0" collapsed="false">
      <c r="A25" s="10" t="s">
        <v>6691</v>
      </c>
      <c r="B25" s="11" t="s">
        <v>6692</v>
      </c>
      <c r="C25" s="10" t="s">
        <v>63</v>
      </c>
      <c r="D25" s="16" t="n">
        <f aca="false">Funding!D8</f>
        <v>7.2433</v>
      </c>
      <c r="E25" s="16" t="n">
        <f aca="false">Funding!E8</f>
        <v>40.4193747158106</v>
      </c>
      <c r="F25" s="16" t="n">
        <f aca="false">Funding!F8</f>
        <v>80.2764384371044</v>
      </c>
      <c r="G25" s="16" t="n">
        <f aca="false">Funding!G8</f>
        <v>131.465536042481</v>
      </c>
      <c r="H25" s="16" t="n">
        <f aca="false">Funding!H8</f>
        <v>197.688557668085</v>
      </c>
      <c r="I25" s="16" t="n">
        <f aca="false">Funding!I8</f>
        <v>278.419186089535</v>
      </c>
      <c r="M25" s="13" t="s">
        <v>6693</v>
      </c>
    </row>
    <row r="26" customFormat="false" ht="15" hidden="false" customHeight="false" outlineLevel="0" collapsed="false">
      <c r="A26" s="10" t="s">
        <v>6694</v>
      </c>
      <c r="B26" s="11" t="s">
        <v>6695</v>
      </c>
      <c r="C26" s="10" t="s">
        <v>63</v>
      </c>
      <c r="D26" s="16" t="n">
        <f aca="false">Revenue!D47*Revenue!D57</f>
        <v>1.55208902747077</v>
      </c>
      <c r="E26" s="16" t="n">
        <f aca="false">Revenue!E47*Revenue!E57</f>
        <v>30.7053100592986</v>
      </c>
      <c r="F26" s="16" t="n">
        <f aca="false">Revenue!F47*Revenue!F57</f>
        <v>67.3149789982244</v>
      </c>
      <c r="G26" s="16" t="n">
        <f aca="false">Revenue!G47*Revenue!G57</f>
        <v>116.118338771937</v>
      </c>
      <c r="H26" s="16" t="n">
        <f aca="false">Revenue!H47*Revenue!H57</f>
        <v>180.273720943432</v>
      </c>
      <c r="I26" s="16" t="n">
        <f aca="false">Revenue!I47*Revenue!I57</f>
        <v>259.143473856184</v>
      </c>
      <c r="M26" s="2"/>
    </row>
    <row r="27" customFormat="false" ht="15" hidden="false" customHeight="false" outlineLevel="0" collapsed="false">
      <c r="A27" s="10" t="s">
        <v>6696</v>
      </c>
      <c r="B27" s="11" t="s">
        <v>6697</v>
      </c>
      <c r="C27" s="10" t="s">
        <v>63</v>
      </c>
      <c r="D27" s="16" t="n">
        <f aca="false">Revenue!D43*Revenue!D57</f>
        <v>0.351710972529231</v>
      </c>
      <c r="E27" s="16" t="n">
        <f aca="false">Revenue!E43*Revenue!E57</f>
        <v>4.705064656512</v>
      </c>
      <c r="F27" s="16" t="n">
        <f aca="false">Revenue!F43*Revenue!F57</f>
        <v>7.95245943888</v>
      </c>
      <c r="G27" s="16" t="n">
        <f aca="false">Revenue!G43*Revenue!G57</f>
        <v>10.338197270544</v>
      </c>
      <c r="H27" s="16" t="n">
        <f aca="false">Revenue!H43*Revenue!H57</f>
        <v>12.4058367246528</v>
      </c>
      <c r="I27" s="16" t="n">
        <f aca="false">Revenue!I43*Revenue!I57</f>
        <v>14.2667122333507</v>
      </c>
      <c r="M27" s="2"/>
    </row>
    <row r="28" customFormat="false" ht="15" hidden="false" customHeight="false" outlineLevel="0" collapsed="false">
      <c r="A28" s="10" t="s">
        <v>6698</v>
      </c>
      <c r="B28" s="11" t="s">
        <v>6699</v>
      </c>
      <c r="C28" s="10" t="s">
        <v>63</v>
      </c>
      <c r="D28" s="16" t="n">
        <f aca="false">Revenue!D52+Revenue!D53</f>
        <v>5.3395</v>
      </c>
      <c r="E28" s="16" t="n">
        <f aca="false">Revenue!E52+Revenue!E53</f>
        <v>5.009</v>
      </c>
      <c r="F28" s="16" t="n">
        <f aca="false">Revenue!F52+Revenue!F53</f>
        <v>5.009</v>
      </c>
      <c r="G28" s="16" t="n">
        <f aca="false">Revenue!G52+Revenue!G53</f>
        <v>5.009</v>
      </c>
      <c r="H28" s="16" t="n">
        <f aca="false">Revenue!H52+Revenue!H53</f>
        <v>5.009</v>
      </c>
      <c r="I28" s="16" t="n">
        <f aca="false">Revenue!I52+Revenue!I53</f>
        <v>5.009</v>
      </c>
      <c r="M28" s="2"/>
    </row>
    <row r="29" customFormat="false" ht="15" hidden="false" customHeight="false" outlineLevel="0" collapsed="false">
      <c r="A29" s="10" t="s">
        <v>6700</v>
      </c>
      <c r="B29" s="11" t="s">
        <v>6701</v>
      </c>
      <c r="C29" s="10" t="s">
        <v>63</v>
      </c>
      <c r="D29" s="10" t="n">
        <f aca="false">D21-D25</f>
        <v>0</v>
      </c>
      <c r="E29" s="10" t="n">
        <f aca="false">E21-E25</f>
        <v>14.4072919508561</v>
      </c>
      <c r="F29" s="10" t="n">
        <f aca="false">F21-F25</f>
        <v>69.4335615628956</v>
      </c>
      <c r="G29" s="10" t="n">
        <f aca="false">G21-G25</f>
        <v>193.201130624186</v>
      </c>
      <c r="H29" s="10" t="n">
        <f aca="false">H21-H25</f>
        <v>126.978108998582</v>
      </c>
      <c r="I29" s="10" t="n">
        <f aca="false">I21-I25</f>
        <v>46.2474805771321</v>
      </c>
      <c r="M29" s="2"/>
    </row>
    <row r="30" customFormat="false" ht="15" hidden="false" customHeight="false" outlineLevel="0" collapsed="false">
      <c r="A30" s="10" t="s">
        <v>6702</v>
      </c>
      <c r="B30" s="11" t="s">
        <v>6703</v>
      </c>
      <c r="C30" s="11" t="s">
        <v>1709</v>
      </c>
      <c r="D30" s="10" t="n">
        <f aca="false">D21/D25</f>
        <v>1</v>
      </c>
      <c r="E30" s="10" t="n">
        <f aca="false">E21/E25</f>
        <v>1.35644519619994</v>
      </c>
      <c r="F30" s="10" t="n">
        <f aca="false">F21/F25</f>
        <v>1.86493076816426</v>
      </c>
      <c r="G30" s="10" t="n">
        <f aca="false">G21/G25</f>
        <v>2.46959527523438</v>
      </c>
      <c r="H30" s="10" t="n">
        <f aca="false">H21/H25</f>
        <v>1.64231390271851</v>
      </c>
      <c r="I30" s="10" t="n">
        <f aca="false">I21/I25</f>
        <v>1.16610737653065</v>
      </c>
      <c r="M30" s="2"/>
    </row>
    <row r="31" customFormat="false" ht="15" hidden="false" customHeight="false" outlineLevel="0" collapsed="false">
      <c r="A31" s="10" t="s">
        <v>6704</v>
      </c>
      <c r="B31" s="11" t="s">
        <v>6705</v>
      </c>
      <c r="C31" s="11" t="s">
        <v>1709</v>
      </c>
      <c r="D31" s="10" t="n">
        <f aca="false">D22/D25</f>
        <v>1</v>
      </c>
      <c r="E31" s="10" t="n">
        <f aca="false">E22/E25</f>
        <v>1.0391056342485</v>
      </c>
      <c r="F31" s="10" t="n">
        <f aca="false">F22/F25</f>
        <v>1.42009289673853</v>
      </c>
      <c r="G31" s="10" t="n">
        <f aca="false">G22/G25</f>
        <v>1.90924562859496</v>
      </c>
      <c r="H31" s="10" t="n">
        <f aca="false">H22/H25</f>
        <v>1.26967388988403</v>
      </c>
      <c r="I31" s="10" t="n">
        <f aca="false">I22/I25</f>
        <v>0.901518331137147</v>
      </c>
      <c r="M31" s="2"/>
    </row>
    <row r="32" customFormat="false" ht="15" hidden="false" customHeight="false" outlineLevel="0" collapsed="false">
      <c r="A32" s="10" t="s">
        <v>6706</v>
      </c>
      <c r="B32" s="11" t="s">
        <v>6707</v>
      </c>
      <c r="C32" s="11" t="s">
        <v>1709</v>
      </c>
      <c r="D32" s="10" t="n">
        <f aca="false">D23/D25</f>
        <v>1</v>
      </c>
      <c r="E32" s="10" t="n">
        <f aca="false">E23/E25</f>
        <v>1.5339178410335</v>
      </c>
      <c r="F32" s="10" t="n">
        <f aca="false">F23/F25</f>
        <v>2.24387134639923</v>
      </c>
      <c r="G32" s="10" t="n">
        <f aca="false">G23/G25</f>
        <v>2.8828848336155</v>
      </c>
      <c r="H32" s="10" t="n">
        <f aca="false">H23/H25</f>
        <v>1.91715698910775</v>
      </c>
      <c r="I32" s="10" t="n">
        <f aca="false">I23/I25</f>
        <v>1.36125676295211</v>
      </c>
      <c r="M32" s="2"/>
    </row>
    <row r="33" customFormat="false" ht="15" hidden="false" customHeight="false" outlineLevel="0" collapsed="false">
      <c r="A33" s="15" t="s">
        <v>6708</v>
      </c>
    </row>
    <row r="34" customFormat="false" ht="15" hidden="false" customHeight="false" outlineLevel="0" collapsed="false">
      <c r="A34" s="10" t="s">
        <v>6709</v>
      </c>
      <c r="B34" s="11" t="s">
        <v>6710</v>
      </c>
      <c r="C34" s="11" t="s">
        <v>1709</v>
      </c>
      <c r="D34" s="10" t="n">
        <f aca="false">(D21-D28-D27)/D26</f>
        <v>1</v>
      </c>
      <c r="E34" s="10" t="n">
        <f aca="false">(E21-E28-E27)/E26</f>
        <v>1.4692117396969</v>
      </c>
      <c r="F34" s="10" t="n">
        <f aca="false">(F21-F28-F27)/F26</f>
        <v>2.03147267660482</v>
      </c>
      <c r="G34" s="10" t="n">
        <f aca="false">(G21-G28-G27)/G26</f>
        <v>2.66382961268197</v>
      </c>
      <c r="H34" s="10" t="n">
        <f aca="false">(H21-H28-H27)/H26</f>
        <v>1.70436283410617</v>
      </c>
      <c r="I34" s="10" t="n">
        <f aca="false">(I21-I28-I27)/I26</f>
        <v>1.17846284102373</v>
      </c>
      <c r="M34" s="2"/>
    </row>
    <row r="35" customFormat="false" ht="15" hidden="false" customHeight="false" outlineLevel="0" collapsed="false">
      <c r="A35" s="10" t="s">
        <v>6711</v>
      </c>
      <c r="B35" s="11" t="s">
        <v>6712</v>
      </c>
      <c r="C35" s="11" t="s">
        <v>1709</v>
      </c>
      <c r="D35" s="10" t="n">
        <f aca="false">(D21-D28-D26)/D27</f>
        <v>0.999999999999999</v>
      </c>
      <c r="E35" s="10" t="n">
        <f aca="false">(E21-E28-E26)/E27</f>
        <v>4.06208160836129</v>
      </c>
      <c r="F35" s="10" t="n">
        <f aca="false">(F21-F28-F26)/F27</f>
        <v>9.73108025215838</v>
      </c>
      <c r="G35" s="10" t="n">
        <f aca="false">(G21-G28-G26)/G27</f>
        <v>19.6880870589171</v>
      </c>
      <c r="H35" s="10" t="n">
        <f aca="false">(H21-H28-H26)/H27</f>
        <v>11.2353522633626</v>
      </c>
      <c r="I35" s="10" t="n">
        <f aca="false">(I21-I28-I26)/I27</f>
        <v>4.24163548130039</v>
      </c>
      <c r="M35" s="2"/>
    </row>
    <row r="36" customFormat="false" ht="15" hidden="false" customHeight="false" outlineLevel="0" collapsed="false">
      <c r="A36" s="10" t="s">
        <v>6713</v>
      </c>
      <c r="B36" s="11" t="s">
        <v>6714</v>
      </c>
      <c r="C36" s="11" t="s">
        <v>1709</v>
      </c>
      <c r="D36" s="10" t="n">
        <f aca="false">(D21-D28)/(D26+D27)</f>
        <v>1</v>
      </c>
      <c r="E36" s="10" t="n">
        <f aca="false">(E21-E28)/(E26+E27)</f>
        <v>1.40686640755663</v>
      </c>
      <c r="F36" s="10" t="n">
        <f aca="false">(F21-F28)/(F26+F27)</f>
        <v>1.92249135887514</v>
      </c>
      <c r="G36" s="10" t="n">
        <f aca="false">(G21-G28)/(G26+G27)</f>
        <v>2.52780660194015</v>
      </c>
      <c r="H36" s="10" t="n">
        <f aca="false">(H21-H28)/(H26+H27)</f>
        <v>1.65901183568896</v>
      </c>
      <c r="I36" s="10" t="n">
        <f aca="false">(I21-I28)/(I26+I27)</f>
        <v>1.16915053984853</v>
      </c>
      <c r="M36" s="2"/>
    </row>
    <row r="37" customFormat="false" ht="15" hidden="false" customHeight="false" outlineLevel="0" collapsed="false">
      <c r="A37" s="10" t="s">
        <v>6715</v>
      </c>
      <c r="B37" s="10" t="s">
        <v>6716</v>
      </c>
      <c r="C37" s="10" t="s">
        <v>4679</v>
      </c>
      <c r="G37" s="16" t="n">
        <f aca="false">(G21-G28-G27)*INP_015/Revenue!G24</f>
        <v>10325.442915334</v>
      </c>
      <c r="M37" s="13" t="s">
        <v>6717</v>
      </c>
    </row>
    <row r="38" customFormat="false" ht="15" hidden="false" customHeight="false" outlineLevel="0" collapsed="false">
      <c r="A38" s="10" t="s">
        <v>6718</v>
      </c>
      <c r="B38" s="10" t="s">
        <v>6719</v>
      </c>
      <c r="C38" s="10" t="s">
        <v>4679</v>
      </c>
      <c r="G38" s="16" t="n">
        <f aca="false">Demand!G11</f>
        <v>3876.16492668172</v>
      </c>
      <c r="M38" s="13" t="s">
        <v>6720</v>
      </c>
    </row>
    <row r="39" customFormat="false" ht="15" hidden="false" customHeight="false" outlineLevel="0" collapsed="false">
      <c r="A39" s="10" t="s">
        <v>6721</v>
      </c>
      <c r="B39" s="10" t="s">
        <v>6722</v>
      </c>
      <c r="C39" s="11" t="s">
        <v>5380</v>
      </c>
      <c r="G39" s="16" t="n">
        <f aca="false">Demand!G16*G35</f>
        <v>1161.35103538787</v>
      </c>
      <c r="M39" s="13" t="s">
        <v>6723</v>
      </c>
    </row>
    <row r="40" customFormat="false" ht="15" hidden="false" customHeight="false" outlineLevel="0" collapsed="false">
      <c r="A40" s="10" t="s">
        <v>6724</v>
      </c>
      <c r="B40" s="10" t="s">
        <v>6725</v>
      </c>
      <c r="C40" s="10" t="s">
        <v>4526</v>
      </c>
      <c r="G40" s="16" t="n">
        <f aca="false">Compute!G111*G36</f>
        <v>0.554355001849262</v>
      </c>
      <c r="M40" s="2" t="s">
        <v>6726</v>
      </c>
    </row>
    <row r="41" customFormat="false" ht="15" hidden="false" customHeight="false" outlineLevel="0" collapsed="false">
      <c r="A41" s="10" t="s">
        <v>6727</v>
      </c>
      <c r="B41" s="11" t="s">
        <v>6728</v>
      </c>
      <c r="C41" s="11" t="s">
        <v>1709</v>
      </c>
      <c r="D41" s="16" t="n">
        <f aca="false">D21/Cost!D43</f>
        <v>0.160806775672406</v>
      </c>
      <c r="E41" s="16" t="n">
        <f aca="false">E21/Cost!E43</f>
        <v>0.663718690590344</v>
      </c>
      <c r="F41" s="16" t="n">
        <f aca="false">F21/Cost!F43</f>
        <v>1.21689719863247</v>
      </c>
      <c r="G41" s="16" t="n">
        <f aca="false">G21/Cost!G43</f>
        <v>1.81672563307923</v>
      </c>
      <c r="H41" s="16" t="n">
        <f aca="false">H21/Cost!H43</f>
        <v>1.2132980969375</v>
      </c>
      <c r="I41" s="16" t="n">
        <f aca="false">I21/Cost!I43</f>
        <v>0.825044360490317</v>
      </c>
      <c r="M41" s="2" t="s">
        <v>6729</v>
      </c>
    </row>
    <row r="42" customFormat="false" ht="15" hidden="false" customHeight="false" outlineLevel="0" collapsed="false">
      <c r="A42" s="15" t="s">
        <v>6730</v>
      </c>
    </row>
    <row r="43" customFormat="false" ht="15" hidden="false" customHeight="false" outlineLevel="0" collapsed="false">
      <c r="A43" s="10" t="s">
        <v>6731</v>
      </c>
      <c r="B43" s="11" t="s">
        <v>6732</v>
      </c>
      <c r="C43" s="10" t="s">
        <v>63</v>
      </c>
      <c r="E43" s="16" t="n">
        <f aca="false">Funding!E16+E29</f>
        <v>-26.9305579335685</v>
      </c>
      <c r="F43" s="16" t="n">
        <f aca="false">Funding!F16+F29</f>
        <v>27.9189144942155</v>
      </c>
      <c r="G43" s="16" t="n">
        <f aca="false">Funding!G16+G29</f>
        <v>147.382025383042</v>
      </c>
      <c r="H43" s="16" t="n">
        <f aca="false">Funding!H16+H29</f>
        <v>58.7108915207765</v>
      </c>
      <c r="I43" s="16" t="n">
        <f aca="false">Funding!I16+I29</f>
        <v>-66.9829289245681</v>
      </c>
      <c r="M43" s="2"/>
    </row>
    <row r="44" customFormat="false" ht="15" hidden="false" customHeight="false" outlineLevel="0" collapsed="false">
      <c r="A44" s="10" t="s">
        <v>6733</v>
      </c>
      <c r="B44" s="11" t="s">
        <v>6734</v>
      </c>
      <c r="C44" s="10" t="s">
        <v>63</v>
      </c>
      <c r="E44" s="16" t="n">
        <f aca="false">Funding!D39</f>
        <v>22.5915</v>
      </c>
      <c r="F44" s="10" t="n">
        <f aca="false">E47</f>
        <v>638.018334188651</v>
      </c>
      <c r="G44" s="10" t="n">
        <f aca="false">F47</f>
        <v>463.787248682866</v>
      </c>
      <c r="H44" s="10" t="n">
        <f aca="false">G47</f>
        <v>610.419274065908</v>
      </c>
      <c r="I44" s="10" t="n">
        <f aca="false">H47</f>
        <v>668.380165586685</v>
      </c>
      <c r="M44" s="2"/>
    </row>
    <row r="45" customFormat="false" ht="15" hidden="false" customHeight="false" outlineLevel="0" collapsed="false">
      <c r="A45" s="10" t="s">
        <v>6735</v>
      </c>
      <c r="B45" s="11" t="s">
        <v>6736</v>
      </c>
      <c r="C45" s="10" t="s">
        <v>63</v>
      </c>
      <c r="E45" s="16" t="n">
        <f aca="false">Funding!E37+E29</f>
        <v>638.018334188651</v>
      </c>
      <c r="F45" s="16" t="n">
        <f aca="false">F44+Funding!F21+F29+Funding!F31-Funding!F32</f>
        <v>463.787248682866</v>
      </c>
      <c r="G45" s="16" t="n">
        <f aca="false">G44+Funding!G21+G29+Funding!G31-Funding!G32</f>
        <v>610.419274065908</v>
      </c>
      <c r="H45" s="16" t="n">
        <f aca="false">H44+Funding!H21+H29+Funding!H31-Funding!H32</f>
        <v>668.380165586685</v>
      </c>
      <c r="I45" s="16" t="n">
        <f aca="false">I44+Funding!I21+I29+Funding!I31-Funding!I32</f>
        <v>600.647236662117</v>
      </c>
      <c r="M45" s="13" t="s">
        <v>6737</v>
      </c>
    </row>
    <row r="46" customFormat="false" ht="15" hidden="false" customHeight="false" outlineLevel="0" collapsed="false">
      <c r="A46" s="10" t="s">
        <v>6738</v>
      </c>
      <c r="B46" s="11" t="s">
        <v>6739</v>
      </c>
      <c r="C46" s="10" t="s">
        <v>63</v>
      </c>
      <c r="E46" s="16" t="n">
        <f aca="false">(Funding!E34-E45)*(Funding!E34&gt;E45)</f>
        <v>-0</v>
      </c>
      <c r="F46" s="16" t="n">
        <f aca="false">(Funding!F34-F45)*(Funding!F34&gt;F45)</f>
        <v>-0</v>
      </c>
      <c r="G46" s="16" t="n">
        <f aca="false">(Funding!G34-G45)*(Funding!G34&gt;G45)</f>
        <v>-0</v>
      </c>
      <c r="H46" s="16" t="n">
        <f aca="false">(Funding!H34-H45)*(Funding!H34&gt;H45)</f>
        <v>-0</v>
      </c>
      <c r="I46" s="16" t="n">
        <f aca="false">(Funding!I34-I45)*(Funding!I34&gt;I45)</f>
        <v>-0</v>
      </c>
      <c r="M46" s="2"/>
    </row>
    <row r="47" customFormat="false" ht="15" hidden="false" customHeight="false" outlineLevel="0" collapsed="false">
      <c r="A47" s="10" t="s">
        <v>6740</v>
      </c>
      <c r="B47" s="11" t="s">
        <v>6502</v>
      </c>
      <c r="C47" s="10" t="s">
        <v>63</v>
      </c>
      <c r="E47" s="10" t="n">
        <f aca="false">E45+E46</f>
        <v>638.018334188651</v>
      </c>
      <c r="F47" s="10" t="n">
        <f aca="false">F45+F46</f>
        <v>463.787248682866</v>
      </c>
      <c r="G47" s="10" t="n">
        <f aca="false">G45+G46</f>
        <v>610.419274065908</v>
      </c>
      <c r="H47" s="10" t="n">
        <f aca="false">H45+H46</f>
        <v>668.380165586685</v>
      </c>
      <c r="I47" s="10" t="n">
        <f aca="false">I45+I46</f>
        <v>600.647236662117</v>
      </c>
      <c r="M47" s="2"/>
    </row>
    <row r="48" customFormat="false" ht="15" hidden="false" customHeight="false" outlineLevel="0" collapsed="false">
      <c r="A48" s="10" t="s">
        <v>6741</v>
      </c>
      <c r="B48" s="11" t="s">
        <v>6742</v>
      </c>
      <c r="C48" s="10" t="s">
        <v>63</v>
      </c>
      <c r="E48" s="10" t="n">
        <f aca="false">E46</f>
        <v>-0</v>
      </c>
      <c r="F48" s="10" t="n">
        <f aca="false">E48+F46</f>
        <v>-0</v>
      </c>
      <c r="G48" s="10" t="n">
        <f aca="false">F48+G46</f>
        <v>-0</v>
      </c>
      <c r="H48" s="10" t="n">
        <f aca="false">G48+H46</f>
        <v>-0</v>
      </c>
      <c r="I48" s="10" t="n">
        <f aca="false">H48+I46</f>
        <v>-0</v>
      </c>
      <c r="M48" s="2"/>
    </row>
    <row r="49" customFormat="false" ht="15" hidden="false" customHeight="false" outlineLevel="0" collapsed="false">
      <c r="A49" s="15" t="s">
        <v>6743</v>
      </c>
    </row>
    <row r="50" customFormat="false" ht="15" hidden="false" customHeight="false" outlineLevel="0" collapsed="false">
      <c r="A50" s="10" t="s">
        <v>6744</v>
      </c>
      <c r="B50" s="11" t="s">
        <v>6745</v>
      </c>
      <c r="C50" s="10" t="s">
        <v>2297</v>
      </c>
      <c r="D50" s="10" t="n">
        <f aca="false">SRC_ZP_569</f>
        <v>696</v>
      </c>
      <c r="M50" s="13" t="s">
        <v>2593</v>
      </c>
    </row>
    <row r="51" customFormat="false" ht="15" hidden="false" customHeight="false" outlineLevel="0" collapsed="false">
      <c r="A51" s="10" t="s">
        <v>6746</v>
      </c>
      <c r="B51" s="11" t="s">
        <v>6747</v>
      </c>
      <c r="C51" s="11" t="s">
        <v>2306</v>
      </c>
      <c r="D51" s="10" t="n">
        <f aca="false">SRC_ZP_563</f>
        <v>487588090</v>
      </c>
      <c r="M51" s="13" t="s">
        <v>6748</v>
      </c>
    </row>
    <row r="52" customFormat="false" ht="15" hidden="false" customHeight="false" outlineLevel="0" collapsed="false">
      <c r="A52" s="10" t="s">
        <v>6749</v>
      </c>
      <c r="B52" s="11" t="s">
        <v>6750</v>
      </c>
      <c r="C52" s="10" t="s">
        <v>2346</v>
      </c>
      <c r="D52" s="10" t="n">
        <f aca="false">D50*D51/INP_077</f>
        <v>3393.6131064</v>
      </c>
      <c r="M52" s="2" t="s">
        <v>6751</v>
      </c>
    </row>
    <row r="53" customFormat="false" ht="15" hidden="false" customHeight="false" outlineLevel="0" collapsed="false">
      <c r="A53" s="10" t="s">
        <v>6752</v>
      </c>
      <c r="B53" s="11" t="s">
        <v>6753</v>
      </c>
      <c r="C53" s="10" t="s">
        <v>63</v>
      </c>
      <c r="D53" s="10" t="n">
        <f aca="false">D52*INP_024</f>
        <v>2915.89418941207</v>
      </c>
      <c r="M53" s="13" t="s">
        <v>6754</v>
      </c>
    </row>
    <row r="54" customFormat="false" ht="15" hidden="false" customHeight="false" outlineLevel="0" collapsed="false">
      <c r="A54" s="10" t="s">
        <v>6755</v>
      </c>
      <c r="B54" s="11" t="s">
        <v>6756</v>
      </c>
      <c r="C54" s="10" t="s">
        <v>63</v>
      </c>
      <c r="D54" s="16" t="n">
        <f aca="false">SRC_ZP_211+Funding!L24+Funding!L25+Funding!L27-Funding!L65-SRC_ZP_213-SRC_ZP_545*INP_129</f>
        <v>329.259146274</v>
      </c>
      <c r="M54" s="13" t="s">
        <v>6757</v>
      </c>
    </row>
    <row r="55" customFormat="false" ht="15" hidden="false" customHeight="false" outlineLevel="0" collapsed="false">
      <c r="A55" s="10" t="s">
        <v>6758</v>
      </c>
      <c r="B55" s="11" t="s">
        <v>6759</v>
      </c>
      <c r="C55" s="10" t="s">
        <v>63</v>
      </c>
      <c r="D55" s="16" t="n">
        <f aca="false">Funding!E39-Funding!E29-SRC_ZP_545*INP_129</f>
        <v>399.963142237795</v>
      </c>
      <c r="M55" s="2" t="s">
        <v>6760</v>
      </c>
    </row>
    <row r="56" customFormat="false" ht="15" hidden="false" customHeight="false" outlineLevel="0" collapsed="false">
      <c r="A56" s="10" t="s">
        <v>6761</v>
      </c>
      <c r="B56" s="11" t="s">
        <v>6762</v>
      </c>
      <c r="C56" s="10" t="s">
        <v>63</v>
      </c>
      <c r="D56" s="10" t="n">
        <f aca="false">D53-D54</f>
        <v>2586.63504313807</v>
      </c>
      <c r="M56" s="2"/>
    </row>
    <row r="57" customFormat="false" ht="15" hidden="false" customHeight="false" outlineLevel="0" collapsed="false">
      <c r="A57" s="10" t="s">
        <v>6763</v>
      </c>
      <c r="B57" s="10" t="s">
        <v>6764</v>
      </c>
      <c r="C57" s="10" t="s">
        <v>1739</v>
      </c>
      <c r="D57" s="10" t="n">
        <f aca="false">SRC_ZP_596*INP_024/INP_023</f>
        <v>105.903581002686</v>
      </c>
      <c r="M57" s="13" t="s">
        <v>6765</v>
      </c>
    </row>
    <row r="58" customFormat="false" ht="15" hidden="false" customHeight="false" outlineLevel="0" collapsed="false">
      <c r="A58" s="10" t="s">
        <v>6766</v>
      </c>
      <c r="B58" s="10" t="s">
        <v>2814</v>
      </c>
      <c r="C58" s="10" t="s">
        <v>1739</v>
      </c>
      <c r="D58" s="10" t="n">
        <f aca="false">SRC_ZP_603/INP_020</f>
        <v>13.2</v>
      </c>
      <c r="M58" s="13" t="s">
        <v>6767</v>
      </c>
    </row>
    <row r="59" customFormat="false" ht="15" hidden="false" customHeight="false" outlineLevel="0" collapsed="false">
      <c r="A59" s="10" t="s">
        <v>6768</v>
      </c>
      <c r="B59" s="10" t="s">
        <v>6769</v>
      </c>
      <c r="C59" s="10" t="s">
        <v>1739</v>
      </c>
      <c r="D59" s="10" t="n">
        <f aca="false">D57-D58</f>
        <v>92.7035810026855</v>
      </c>
      <c r="M59" s="2"/>
    </row>
    <row r="60" customFormat="false" ht="15" hidden="false" customHeight="false" outlineLevel="0" collapsed="false">
      <c r="A60" s="10" t="s">
        <v>6770</v>
      </c>
      <c r="B60" s="10" t="s">
        <v>6771</v>
      </c>
      <c r="C60" s="10" t="s">
        <v>1739</v>
      </c>
      <c r="D60" s="10" t="n">
        <f aca="false">SRC_ZP_601*INP_013/INP_020</f>
        <v>2.3314</v>
      </c>
      <c r="M60" s="13" t="s">
        <v>2800</v>
      </c>
    </row>
    <row r="61" customFormat="false" ht="15" hidden="false" customHeight="false" outlineLevel="0" collapsed="false">
      <c r="A61" s="10" t="s">
        <v>6772</v>
      </c>
      <c r="B61" s="10" t="s">
        <v>6773</v>
      </c>
      <c r="C61" s="11" t="s">
        <v>1709</v>
      </c>
      <c r="D61" s="10" t="n">
        <f aca="false">D59/D60</f>
        <v>39.763052673366</v>
      </c>
      <c r="M61" s="13" t="s">
        <v>6774</v>
      </c>
    </row>
    <row r="62" customFormat="false" ht="15" hidden="false" customHeight="false" outlineLevel="0" collapsed="false">
      <c r="A62" s="10" t="s">
        <v>6775</v>
      </c>
      <c r="B62" s="11" t="s">
        <v>6776</v>
      </c>
      <c r="C62" s="11" t="s">
        <v>1709</v>
      </c>
      <c r="D62" s="10" t="n">
        <f aca="false">D61*INP_135</f>
        <v>39.763052673366</v>
      </c>
      <c r="M62" s="13" t="s">
        <v>6777</v>
      </c>
    </row>
    <row r="63" customFormat="false" ht="15" hidden="false" customHeight="false" outlineLevel="0" collapsed="false">
      <c r="A63" s="10" t="s">
        <v>6778</v>
      </c>
      <c r="B63" s="11" t="s">
        <v>6779</v>
      </c>
      <c r="C63" s="11" t="s">
        <v>1709</v>
      </c>
      <c r="D63" s="16" t="n">
        <f aca="false">D61*Inputs!$G$138</f>
        <v>19.881526336683</v>
      </c>
      <c r="M63" s="13" t="s">
        <v>6780</v>
      </c>
    </row>
    <row r="64" customFormat="false" ht="15" hidden="false" customHeight="false" outlineLevel="0" collapsed="false">
      <c r="A64" s="10" t="s">
        <v>6781</v>
      </c>
      <c r="B64" s="11" t="s">
        <v>6782</v>
      </c>
      <c r="C64" s="11" t="s">
        <v>1709</v>
      </c>
      <c r="D64" s="16" t="n">
        <f aca="false">D61*Inputs!$H$138</f>
        <v>79.526105346732</v>
      </c>
      <c r="M64" s="13" t="s">
        <v>6783</v>
      </c>
    </row>
    <row r="65" customFormat="false" ht="15" hidden="false" customHeight="false" outlineLevel="0" collapsed="false">
      <c r="A65" s="10" t="s">
        <v>6784</v>
      </c>
      <c r="B65" s="11" t="s">
        <v>6785</v>
      </c>
      <c r="C65" s="10" t="s">
        <v>63</v>
      </c>
      <c r="D65" s="10" t="n">
        <f aca="false">D56/D62</f>
        <v>65.0512188887008</v>
      </c>
      <c r="M65" s="2" t="s">
        <v>6786</v>
      </c>
    </row>
    <row r="66" customFormat="false" ht="15" hidden="false" customHeight="false" outlineLevel="0" collapsed="false">
      <c r="A66" s="10" t="s">
        <v>6787</v>
      </c>
      <c r="B66" s="11" t="s">
        <v>6788</v>
      </c>
      <c r="C66" s="10" t="s">
        <v>63</v>
      </c>
      <c r="D66" s="10" t="n">
        <f aca="false">D56/D63</f>
        <v>130.102437777402</v>
      </c>
      <c r="M66" s="2"/>
    </row>
    <row r="67" customFormat="false" ht="15" hidden="false" customHeight="false" outlineLevel="0" collapsed="false">
      <c r="A67" s="10" t="s">
        <v>6789</v>
      </c>
      <c r="B67" s="11" t="s">
        <v>6790</v>
      </c>
      <c r="C67" s="10" t="s">
        <v>63</v>
      </c>
      <c r="D67" s="10" t="n">
        <f aca="false">D56/D64</f>
        <v>32.5256094443504</v>
      </c>
      <c r="M67" s="2"/>
    </row>
    <row r="68" customFormat="false" ht="15" hidden="false" customHeight="false" outlineLevel="0" collapsed="false">
      <c r="A68" s="10" t="s">
        <v>6791</v>
      </c>
      <c r="B68" s="11" t="s">
        <v>6792</v>
      </c>
      <c r="C68" s="10" t="s">
        <v>4513</v>
      </c>
      <c r="D68" s="10" t="n">
        <f aca="false">D65/INP_023/INP_021</f>
        <v>0.965165935528729</v>
      </c>
      <c r="M68" s="13" t="s">
        <v>6793</v>
      </c>
    </row>
    <row r="69" customFormat="false" ht="15" hidden="false" customHeight="false" outlineLevel="0" collapsed="false">
      <c r="A69" s="10" t="s">
        <v>6794</v>
      </c>
      <c r="B69" s="11" t="s">
        <v>6795</v>
      </c>
      <c r="C69" s="11" t="s">
        <v>1709</v>
      </c>
      <c r="D69" s="16" t="n">
        <f aca="false">D56/(Revenue!K54*INP_013)</f>
        <v>135.582086337041</v>
      </c>
      <c r="M69" s="2"/>
    </row>
    <row r="70" customFormat="false" ht="15" hidden="false" customHeight="false" outlineLevel="0" collapsed="false">
      <c r="A70" s="10" t="s">
        <v>6796</v>
      </c>
      <c r="B70" s="11" t="s">
        <v>6797</v>
      </c>
      <c r="C70" s="11" t="s">
        <v>1709</v>
      </c>
      <c r="D70" s="10" t="n">
        <f aca="false">D56/L10</f>
        <v>41.8815358774408</v>
      </c>
      <c r="M70" s="2"/>
    </row>
    <row r="71" customFormat="false" ht="15" hidden="false" customHeight="false" outlineLevel="0" collapsed="false">
      <c r="A71" s="10" t="s">
        <v>6798</v>
      </c>
      <c r="B71" s="11" t="s">
        <v>6799</v>
      </c>
      <c r="C71" s="11" t="s">
        <v>1709</v>
      </c>
      <c r="D71" s="10" t="n">
        <f aca="false">D25/$D$65</f>
        <v>0.11134764457516</v>
      </c>
      <c r="E71" s="10" t="n">
        <f aca="false">E25/$D$65</f>
        <v>0.621346923336916</v>
      </c>
      <c r="F71" s="10" t="n">
        <f aca="false">F25/$D$65</f>
        <v>1.2340497197209</v>
      </c>
      <c r="G71" s="10" t="n">
        <f aca="false">G25/$D$65</f>
        <v>2.02095423096394</v>
      </c>
      <c r="H71" s="10" t="n">
        <f aca="false">H25/$D$65</f>
        <v>3.03896777101625</v>
      </c>
      <c r="I71" s="10" t="n">
        <f aca="false">I25/$D$65</f>
        <v>4.27999952723246</v>
      </c>
      <c r="M71" s="13" t="s">
        <v>6800</v>
      </c>
    </row>
    <row r="72" customFormat="false" ht="15" hidden="false" customHeight="false" outlineLevel="0" collapsed="false">
      <c r="A72" s="10" t="s">
        <v>6801</v>
      </c>
      <c r="B72" s="11" t="s">
        <v>6802</v>
      </c>
      <c r="C72" s="11" t="s">
        <v>2665</v>
      </c>
      <c r="D72" s="10" t="str">
        <f aca="false">IF(D25&gt;=$D$65,D$6,"")</f>
        <v/>
      </c>
      <c r="E72" s="10" t="str">
        <f aca="false">IF(E25&gt;=$D$65,E$6,"")</f>
        <v/>
      </c>
      <c r="F72" s="10" t="n">
        <f aca="false">IF(F25&gt;=$D$65,F$6,"")</f>
        <v>2027</v>
      </c>
      <c r="G72" s="10" t="n">
        <f aca="false">IF(G25&gt;=$D$65,G$6,"")</f>
        <v>2028</v>
      </c>
      <c r="H72" s="10" t="n">
        <f aca="false">IF(H25&gt;=$D$65,H$6,"")</f>
        <v>2029</v>
      </c>
      <c r="I72" s="10" t="n">
        <f aca="false">IF(I25&gt;=$D$65,I$6,"")</f>
        <v>2030</v>
      </c>
      <c r="M72" s="2"/>
    </row>
    <row r="73" customFormat="false" ht="15" hidden="false" customHeight="false" outlineLevel="0" collapsed="false">
      <c r="A73" s="10" t="s">
        <v>6803</v>
      </c>
      <c r="B73" s="11" t="s">
        <v>6804</v>
      </c>
      <c r="C73" s="11" t="s">
        <v>2665</v>
      </c>
      <c r="D73" s="10" t="n">
        <f aca="false">IF(COUNT($D$72:$I$72),MIN($D$72:$I$72),"期間內未達")</f>
        <v>2027</v>
      </c>
      <c r="M73" s="2"/>
    </row>
    <row r="74" customFormat="false" ht="15" hidden="false" customHeight="false" outlineLevel="0" collapsed="false">
      <c r="A74" s="10" t="s">
        <v>6805</v>
      </c>
      <c r="B74" s="11" t="s">
        <v>6806</v>
      </c>
      <c r="C74" s="11" t="s">
        <v>1709</v>
      </c>
      <c r="G74" s="10" t="n">
        <f aca="false">G21/$D$65</f>
        <v>4.99093902025347</v>
      </c>
      <c r="M7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62"/>
    <col collapsed="false" customWidth="true" hidden="false" outlineLevel="0" max="3" min="3" style="0" width="14"/>
    <col collapsed="false" customWidth="true" hidden="false" outlineLevel="0" max="6" min="6" style="0" width="70"/>
  </cols>
  <sheetData>
    <row r="1" customFormat="false" ht="20.1" hidden="false" customHeight="false" outlineLevel="0" collapsed="false">
      <c r="A1" s="7" t="s">
        <v>6807</v>
      </c>
    </row>
    <row r="2" customFormat="false" ht="15" hidden="false" customHeight="false" outlineLevel="0" collapsed="false">
      <c r="A2" s="13" t="s">
        <v>6808</v>
      </c>
    </row>
    <row r="4" customFormat="false" ht="15" hidden="false" customHeight="false" outlineLevel="0" collapsed="false">
      <c r="A4" s="9" t="s">
        <v>5351</v>
      </c>
      <c r="B4" s="9" t="s">
        <v>6809</v>
      </c>
      <c r="C4" s="9" t="s">
        <v>6810</v>
      </c>
      <c r="D4" s="9" t="s">
        <v>6811</v>
      </c>
      <c r="E4" s="9" t="s">
        <v>6812</v>
      </c>
      <c r="F4" s="9" t="s">
        <v>4409</v>
      </c>
    </row>
    <row r="5" customFormat="false" ht="15" hidden="false" customHeight="false" outlineLevel="0" collapsed="false">
      <c r="A5" s="10" t="s">
        <v>6813</v>
      </c>
      <c r="B5" s="10" t="s">
        <v>6814</v>
      </c>
      <c r="C5" s="10" t="n">
        <f aca="false">SUMPRODUCT(--(LEN(SRC_ZP!$A$5:$A$2000)&gt;0))</f>
        <v>1054</v>
      </c>
      <c r="D5" s="10" t="n">
        <v>1054</v>
      </c>
      <c r="E5" s="10" t="str">
        <f aca="false">IF(C5=D5,"OK","ERR")</f>
        <v>OK</v>
      </c>
      <c r="F5" s="13" t="s">
        <v>6815</v>
      </c>
    </row>
    <row r="6" customFormat="false" ht="15" hidden="false" customHeight="false" outlineLevel="0" collapsed="false">
      <c r="A6" s="10" t="s">
        <v>6816</v>
      </c>
      <c r="B6" s="10" t="s">
        <v>6817</v>
      </c>
      <c r="C6" s="10" t="n">
        <f aca="false">SUM(SRC_ZP!$U$5:$U$2000)</f>
        <v>29</v>
      </c>
      <c r="D6" s="10" t="n">
        <v>29</v>
      </c>
      <c r="E6" s="10" t="str">
        <f aca="false">IF(C6=D6,"OK","ERR")</f>
        <v>OK</v>
      </c>
      <c r="F6" s="2" t="s">
        <v>6818</v>
      </c>
    </row>
    <row r="7" customFormat="false" ht="15" hidden="false" customHeight="false" outlineLevel="0" collapsed="false">
      <c r="A7" s="10" t="s">
        <v>6819</v>
      </c>
      <c r="B7" s="10" t="s">
        <v>6820</v>
      </c>
      <c r="C7" s="10" t="n">
        <f aca="false">SUM(SRC_ZP!$V$5:$V$2000)</f>
        <v>0</v>
      </c>
      <c r="D7" s="10" t="n">
        <v>0</v>
      </c>
      <c r="E7" s="10" t="str">
        <f aca="false">IF(C7=D7,"OK","ERR")</f>
        <v>OK</v>
      </c>
      <c r="F7" s="2"/>
    </row>
    <row r="8" customFormat="false" ht="15" hidden="false" customHeight="false" outlineLevel="0" collapsed="false">
      <c r="A8" s="10" t="s">
        <v>6821</v>
      </c>
      <c r="B8" s="10" t="s">
        <v>6822</v>
      </c>
      <c r="C8" s="10" t="n">
        <f aca="false">SUM(SRC_ZP!$W$5:$W$2000)</f>
        <v>0</v>
      </c>
      <c r="D8" s="10" t="n">
        <v>0</v>
      </c>
      <c r="E8" s="10" t="str">
        <f aca="false">IF(C8=D8,"OK","ERR")</f>
        <v>OK</v>
      </c>
      <c r="F8" s="2"/>
    </row>
    <row r="9" customFormat="false" ht="15" hidden="false" customHeight="false" outlineLevel="0" collapsed="false">
      <c r="A9" s="10" t="s">
        <v>6823</v>
      </c>
      <c r="B9" s="10" t="s">
        <v>6824</v>
      </c>
      <c r="C9" s="10" t="n">
        <f aca="false">SUMPRODUCT(--(LEN(Inputs!$A$5:$A$600)&gt;0))</f>
        <v>139</v>
      </c>
      <c r="D9" s="10" t="n">
        <v>139</v>
      </c>
      <c r="E9" s="10" t="str">
        <f aca="false">IF(C9=D9,"OK","ERR")</f>
        <v>OK</v>
      </c>
      <c r="F9" s="13" t="s">
        <v>6825</v>
      </c>
    </row>
    <row r="10" customFormat="false" ht="15" hidden="false" customHeight="false" outlineLevel="0" collapsed="false">
      <c r="A10" s="10" t="s">
        <v>6826</v>
      </c>
      <c r="B10" s="10" t="s">
        <v>6827</v>
      </c>
      <c r="C10" s="10" t="n">
        <f aca="false">SUM(Inputs!$L$5:$L$600)</f>
        <v>0</v>
      </c>
      <c r="D10" s="10" t="n">
        <v>0</v>
      </c>
      <c r="E10" s="10" t="str">
        <f aca="false">IF(C10=D10,"OK","ERR")</f>
        <v>OK</v>
      </c>
      <c r="F10" s="2" t="s">
        <v>6828</v>
      </c>
    </row>
    <row r="11" customFormat="false" ht="15" hidden="false" customHeight="false" outlineLevel="0" collapsed="false">
      <c r="A11" s="10" t="s">
        <v>6829</v>
      </c>
      <c r="B11" s="10" t="s">
        <v>6830</v>
      </c>
      <c r="C11" s="10" t="n">
        <f aca="false">SUM(Inputs!$M$5:$M$600)</f>
        <v>0</v>
      </c>
      <c r="D11" s="10" t="n">
        <v>0</v>
      </c>
      <c r="E11" s="10" t="str">
        <f aca="false">IF(C11=D11,"OK","ERR")</f>
        <v>OK</v>
      </c>
      <c r="F11" s="2" t="s">
        <v>6831</v>
      </c>
    </row>
    <row r="12" customFormat="false" ht="15" hidden="false" customHeight="false" outlineLevel="0" collapsed="false">
      <c r="A12" s="10" t="s">
        <v>6832</v>
      </c>
      <c r="B12" s="10" t="s">
        <v>6833</v>
      </c>
      <c r="C12" s="10" t="n">
        <f aca="false">COUNTIF(TK_Link!$F$10:$F$200,"OK")</f>
        <v>74</v>
      </c>
      <c r="D12" s="10" t="n">
        <v>74</v>
      </c>
      <c r="E12" s="10" t="str">
        <f aca="false">IF(C12=D12,"OK","ERR")</f>
        <v>OK</v>
      </c>
      <c r="F12" s="2" t="s">
        <v>6834</v>
      </c>
    </row>
    <row r="13" customFormat="false" ht="15" hidden="false" customHeight="false" outlineLevel="0" collapsed="false">
      <c r="A13" s="10" t="s">
        <v>6835</v>
      </c>
      <c r="B13" s="10" t="s">
        <v>6836</v>
      </c>
      <c r="C13" s="10" t="n">
        <f aca="false">COUNTIF(TK_Link!$F$10:$F$200,"讀表（非具名）")</f>
        <v>7</v>
      </c>
      <c r="D13" s="10" t="n">
        <v>7</v>
      </c>
      <c r="E13" s="10" t="str">
        <f aca="false">IF(C13=D13,"OK","ERR")</f>
        <v>OK</v>
      </c>
      <c r="F13" s="2" t="s">
        <v>6837</v>
      </c>
    </row>
    <row r="14" customFormat="false" ht="15" hidden="false" customHeight="false" outlineLevel="0" collapsed="false">
      <c r="A14" s="10" t="s">
        <v>6838</v>
      </c>
      <c r="B14" s="10" t="s">
        <v>6839</v>
      </c>
      <c r="C14" s="10" t="n">
        <f aca="false">SUMPRODUCT(--ISERROR(TK_Link!$J$10:$X$200))</f>
        <v>0</v>
      </c>
      <c r="D14" s="10" t="n">
        <v>0</v>
      </c>
      <c r="E14" s="10" t="str">
        <f aca="false">IF(C14=D14,"OK","ERR")</f>
        <v>OK</v>
      </c>
      <c r="F14" s="2"/>
    </row>
    <row r="15" customFormat="false" ht="15" hidden="false" customHeight="false" outlineLevel="0" collapsed="false">
      <c r="A15" s="10" t="s">
        <v>6840</v>
      </c>
      <c r="B15" s="10" t="s">
        <v>6841</v>
      </c>
      <c r="C15" s="10" t="str">
        <f aca="false">TK_Version</f>
        <v>v5.26</v>
      </c>
      <c r="D15" s="10" t="s">
        <v>4393</v>
      </c>
      <c r="E15" s="10" t="str">
        <f aca="false">IF(C15=D15,"OK","ERR")</f>
        <v>OK</v>
      </c>
      <c r="F15" s="2" t="s">
        <v>6842</v>
      </c>
    </row>
    <row r="16" customFormat="false" ht="15" hidden="false" customHeight="false" outlineLevel="0" collapsed="false">
      <c r="A16" s="10" t="s">
        <v>6843</v>
      </c>
      <c r="B16" s="10" t="s">
        <v>6844</v>
      </c>
      <c r="C16" s="10" t="n">
        <f aca="false">COUNTIF(OAI_Link!$E$10:$E$60,"OK")</f>
        <v>17</v>
      </c>
      <c r="D16" s="10" t="n">
        <v>17</v>
      </c>
      <c r="E16" s="10" t="str">
        <f aca="false">IF(C16=D16,"OK","ERR")</f>
        <v>OK</v>
      </c>
      <c r="F16" s="13" t="s">
        <v>6845</v>
      </c>
    </row>
    <row r="17" customFormat="false" ht="15" hidden="false" customHeight="false" outlineLevel="0" collapsed="false">
      <c r="A17" s="10" t="s">
        <v>6846</v>
      </c>
      <c r="B17" s="10" t="s">
        <v>6847</v>
      </c>
      <c r="C17" s="10" t="n">
        <v>0</v>
      </c>
      <c r="D17" s="10" t="n">
        <v>0</v>
      </c>
      <c r="E17" s="10" t="str">
        <f aca="false">IF(C17=D17,"OK","ERR")</f>
        <v>OK</v>
      </c>
      <c r="F17" s="2" t="s">
        <v>6848</v>
      </c>
    </row>
    <row r="18" customFormat="false" ht="15" hidden="false" customHeight="false" outlineLevel="0" collapsed="false">
      <c r="A18" s="10" t="s">
        <v>6849</v>
      </c>
      <c r="B18" s="10" t="s">
        <v>6850</v>
      </c>
      <c r="C18" s="10" t="n">
        <v>0</v>
      </c>
      <c r="D18" s="10" t="n">
        <v>0</v>
      </c>
      <c r="E18" s="10" t="str">
        <f aca="false">IF(C18=D18,"OK","ERR")</f>
        <v>OK</v>
      </c>
      <c r="F18" s="13" t="s">
        <v>6851</v>
      </c>
    </row>
    <row r="19" customFormat="false" ht="15" hidden="false" customHeight="false" outlineLevel="0" collapsed="false">
      <c r="A19" s="10" t="s">
        <v>6852</v>
      </c>
      <c r="B19" s="10" t="s">
        <v>6853</v>
      </c>
      <c r="C19" s="10" t="n">
        <f aca="false">ABS(Revenue!$D$66)+ABS(Revenue!$D$68)+ABS(Revenue!$D$70)+ABS(Revenue!$D$72)</f>
        <v>0</v>
      </c>
      <c r="D19" s="10" t="n">
        <v>0</v>
      </c>
      <c r="E19" s="10" t="str">
        <f aca="false">IF(ISNUMBER(C19),IF(ABS(C19-D19)&lt;0.000000001,"OK","ERR"),"ERR")</f>
        <v>OK</v>
      </c>
      <c r="F19" s="13" t="s">
        <v>6854</v>
      </c>
    </row>
    <row r="20" customFormat="false" ht="15" hidden="false" customHeight="false" outlineLevel="0" collapsed="false">
      <c r="A20" s="10" t="s">
        <v>6855</v>
      </c>
      <c r="B20" s="10" t="s">
        <v>6856</v>
      </c>
      <c r="C20" s="10" t="n">
        <f aca="false">ABS(Revenue!$K$67)+ABS(Revenue!$K$69)+ABS(Revenue!$K$71)+ABS(Revenue!$K$73)</f>
        <v>0</v>
      </c>
      <c r="D20" s="10" t="n">
        <v>0</v>
      </c>
      <c r="E20" s="10" t="str">
        <f aca="false">IF(ISNUMBER(C20),IF(ABS(C20-D20)&lt;0.000000001,"OK","ERR"),"ERR")</f>
        <v>OK</v>
      </c>
      <c r="F20" s="2" t="s">
        <v>6857</v>
      </c>
    </row>
    <row r="21" customFormat="false" ht="15" hidden="false" customHeight="false" outlineLevel="0" collapsed="false">
      <c r="A21" s="10" t="s">
        <v>6858</v>
      </c>
      <c r="B21" s="10" t="s">
        <v>6859</v>
      </c>
      <c r="C21" s="10" t="n">
        <f aca="false">REV_Gap2025</f>
        <v>0</v>
      </c>
      <c r="D21" s="10" t="n">
        <v>0</v>
      </c>
      <c r="E21" s="10" t="str">
        <f aca="false">IF(ISNUMBER(C21),IF(ABS(C21-D21)&lt;0.000000001,"OK","ERR"),"ERR")</f>
        <v>OK</v>
      </c>
      <c r="F21" s="2" t="s">
        <v>6860</v>
      </c>
    </row>
    <row r="22" customFormat="false" ht="15" hidden="false" customHeight="false" outlineLevel="0" collapsed="false">
      <c r="A22" s="10" t="s">
        <v>6861</v>
      </c>
      <c r="B22" s="10" t="s">
        <v>6862</v>
      </c>
      <c r="C22" s="10" t="n">
        <f aca="false">REV_Gap1H26</f>
        <v>9.99999999979906E-005</v>
      </c>
      <c r="D22" s="10" t="n">
        <v>0</v>
      </c>
      <c r="E22" s="10" t="str">
        <f aca="false">IF(ISNUMBER(C22),IF(ABS(C22-D22)&lt;=0.0005,"OK","ERR"),"ERR")</f>
        <v>OK</v>
      </c>
      <c r="F22" s="2" t="s">
        <v>6863</v>
      </c>
    </row>
    <row r="23" customFormat="false" ht="15" hidden="false" customHeight="false" outlineLevel="0" collapsed="false">
      <c r="A23" s="10" t="s">
        <v>6864</v>
      </c>
      <c r="B23" s="11" t="s">
        <v>6865</v>
      </c>
      <c r="C23" s="10" t="n">
        <f aca="false">ABS(Revenue!D48+Revenue!D52+Revenue!D53-Revenue!D54)+ABS(Revenue!E48+Revenue!E52+Revenue!E53-Revenue!E54)+ABS(Revenue!F48+Revenue!F52+Revenue!F53-Revenue!F54)+ABS(Revenue!G48+Revenue!G52+Revenue!G53-Revenue!G54)+ABS(Revenue!H48+Revenue!H52+Revenue!H53-Revenue!H54)+ABS(Revenue!I48+Revenue!I52+Revenue!I53-Revenue!I54)+ABS(Revenue!K48+Revenue!K52+Revenue!K53-Revenue!K54)+ABS(Revenue!L48+Revenue!L52+Revenue!L53-Revenue!L54)</f>
        <v>0</v>
      </c>
      <c r="D23" s="10" t="n">
        <v>0</v>
      </c>
      <c r="E23" s="10" t="str">
        <f aca="false">IF(ISNUMBER(C23),IF(ABS(C23-D23)&lt;0.000000001,"OK","ERR"),"ERR")</f>
        <v>OK</v>
      </c>
      <c r="F23" s="13" t="s">
        <v>6866</v>
      </c>
    </row>
    <row r="24" customFormat="false" ht="15" hidden="false" customHeight="false" outlineLevel="0" collapsed="false">
      <c r="A24" s="10" t="s">
        <v>6867</v>
      </c>
      <c r="B24" s="11" t="s">
        <v>6868</v>
      </c>
      <c r="C24" s="10" t="n">
        <f aca="false">ABS(Revenue!D62)+ABS(Revenue!E62)+ABS(Revenue!F62)+ABS(Revenue!G62)+ABS(Revenue!H62)+ABS(Revenue!I62)+ABS(Revenue!K62)+ABS(Revenue!L62)</f>
        <v>0</v>
      </c>
      <c r="D24" s="10" t="n">
        <v>0</v>
      </c>
      <c r="E24" s="10" t="str">
        <f aca="false">IF(ISNUMBER(C24),IF(ABS(C24-D24)&lt;0.000000001,"OK","ERR"),"ERR")</f>
        <v>OK</v>
      </c>
      <c r="F24" s="13" t="s">
        <v>6869</v>
      </c>
    </row>
    <row r="25" customFormat="false" ht="15" hidden="false" customHeight="false" outlineLevel="0" collapsed="false">
      <c r="A25" s="10" t="s">
        <v>6870</v>
      </c>
      <c r="B25" s="11" t="s">
        <v>6871</v>
      </c>
      <c r="C25" s="10" t="n">
        <f aca="false">(Revenue!D44&lt;=0)+(Revenue!K44&lt;=0)</f>
        <v>0</v>
      </c>
      <c r="D25" s="10" t="n">
        <v>0</v>
      </c>
      <c r="E25" s="10" t="str">
        <f aca="false">IF(C25=D25,"OK","ERR")</f>
        <v>OK</v>
      </c>
      <c r="F25" s="13" t="s">
        <v>6872</v>
      </c>
    </row>
    <row r="26" customFormat="false" ht="15" hidden="false" customHeight="false" outlineLevel="0" collapsed="false">
      <c r="A26" s="10" t="s">
        <v>6873</v>
      </c>
      <c r="B26" s="10" t="s">
        <v>6874</v>
      </c>
      <c r="C26" s="10" t="n">
        <f aca="false">SUMPRODUCT(--(ABS(Demand!$D$11:$I$11+Demand!$D$26:$I$26+Demand!$D$31:$I$31+Demand!$D$14:$I$14-Demand!$D$41:$I$41)&gt;0.000000001*Demand!$D$41:$I$41))</f>
        <v>0</v>
      </c>
      <c r="D26" s="10" t="n">
        <v>0</v>
      </c>
      <c r="E26" s="10" t="str">
        <f aca="false">IF(C26=D26,"OK","ERR")</f>
        <v>OK</v>
      </c>
      <c r="F26" s="13" t="s">
        <v>6875</v>
      </c>
    </row>
    <row r="27" customFormat="false" ht="15" hidden="false" customHeight="false" outlineLevel="0" collapsed="false">
      <c r="A27" s="10" t="s">
        <v>6876</v>
      </c>
      <c r="B27" s="10" t="s">
        <v>6877</v>
      </c>
      <c r="C27" s="10" t="n">
        <f aca="false">(Revenue!D37&lt;0)+(Revenue!D37&gt;1)+(Revenue!E37&lt;0)+(Revenue!E37&gt;1)+(Revenue!F37&lt;0)+(Revenue!F37&gt;1)+(Revenue!G37&lt;0)+(Revenue!G37&gt;1)+(Revenue!H37&lt;0)+(Revenue!H37&gt;1)+(Revenue!I37&lt;0)+(Revenue!I37&gt;1)+(Revenue!K37&lt;0)+(Revenue!K37&gt;1)+(Revenue!L37&lt;0)+(Revenue!L37&gt;1)</f>
        <v>0</v>
      </c>
      <c r="D27" s="10" t="n">
        <v>0</v>
      </c>
      <c r="E27" s="10" t="str">
        <f aca="false">IF(C27=D27,"OK","ERR")</f>
        <v>OK</v>
      </c>
      <c r="F27" s="13" t="s">
        <v>6878</v>
      </c>
    </row>
    <row r="28" customFormat="false" ht="15" hidden="false" customHeight="false" outlineLevel="0" collapsed="false">
      <c r="A28" s="10" t="s">
        <v>6879</v>
      </c>
      <c r="B28" s="10" t="s">
        <v>6880</v>
      </c>
      <c r="C28" s="10" t="n">
        <f aca="false">(Revenue!D22&lt;0)+(Revenue!D22&gt;1)+(Revenue!E22&lt;0)+(Revenue!E22&gt;1)+(Revenue!F22&lt;0)+(Revenue!F22&gt;1)+(Revenue!G22&lt;0)+(Revenue!G22&gt;1)+(Revenue!H22&lt;0)+(Revenue!H22&gt;1)+(Revenue!I22&lt;0)+(Revenue!I22&gt;1)+(Revenue!K22&lt;0)+(Revenue!K22&gt;1)+(Revenue!L22&lt;0)+(Revenue!L22&gt;1)</f>
        <v>0</v>
      </c>
      <c r="D28" s="10" t="n">
        <v>0</v>
      </c>
      <c r="E28" s="10" t="str">
        <f aca="false">IF(C28=D28,"OK","ERR")</f>
        <v>OK</v>
      </c>
      <c r="F28" s="2"/>
    </row>
    <row r="29" customFormat="false" ht="15" hidden="false" customHeight="false" outlineLevel="0" collapsed="false">
      <c r="A29" s="10" t="s">
        <v>6881</v>
      </c>
      <c r="B29" s="10" t="s">
        <v>6882</v>
      </c>
      <c r="C29" s="10" t="n">
        <f aca="false">IF(Revenue!K10&lt;0,1,0)</f>
        <v>0</v>
      </c>
      <c r="D29" s="10" t="n">
        <v>0</v>
      </c>
      <c r="E29" s="10" t="str">
        <f aca="false">IF(C29=D29,"OK","ERR")</f>
        <v>OK</v>
      </c>
      <c r="F29" s="13" t="s">
        <v>6883</v>
      </c>
    </row>
    <row r="30" customFormat="false" ht="15" hidden="false" customHeight="false" outlineLevel="0" collapsed="false">
      <c r="A30" s="10" t="s">
        <v>6884</v>
      </c>
      <c r="B30" s="11" t="s">
        <v>6885</v>
      </c>
      <c r="C30" s="10" t="n">
        <f aca="false">IF(OR(INP_069&lt;0,INP_069&gt;1),1,0)</f>
        <v>0</v>
      </c>
      <c r="D30" s="10" t="n">
        <v>0</v>
      </c>
      <c r="E30" s="10" t="str">
        <f aca="false">IF(C30=D30,"OK","ERR")</f>
        <v>OK</v>
      </c>
      <c r="F30" s="2" t="s">
        <v>6886</v>
      </c>
    </row>
    <row r="31" customFormat="false" ht="15" hidden="false" customHeight="false" outlineLevel="0" collapsed="false">
      <c r="A31" s="10" t="s">
        <v>6887</v>
      </c>
      <c r="B31" s="10" t="s">
        <v>6888</v>
      </c>
      <c r="C31" s="10" t="n">
        <f aca="false">SUMPRODUCT(--(Demand!$D$10:$I$10&lt;=0))+SUMPRODUCT(--(Demand!$D$9:$I$9&lt;=0))</f>
        <v>0</v>
      </c>
      <c r="D31" s="10" t="n">
        <v>0</v>
      </c>
      <c r="E31" s="10" t="str">
        <f aca="false">IF(C31=D31,"OK","ERR")</f>
        <v>OK</v>
      </c>
      <c r="F31" s="2"/>
    </row>
    <row r="32" customFormat="false" ht="15" hidden="false" customHeight="false" outlineLevel="0" collapsed="false">
      <c r="A32" s="10" t="s">
        <v>6889</v>
      </c>
      <c r="B32" s="10" t="s">
        <v>6890</v>
      </c>
      <c r="C32" s="10" t="n">
        <f aca="false">REV_ARRGapMaaS</f>
        <v>-0.496309761350121</v>
      </c>
      <c r="E32" s="10" t="str">
        <f aca="false">IF(ISNUMBER(C32),IF(ABS(C32)&gt;INP_073,"WARN","OK"),"WARN")</f>
        <v>WARN</v>
      </c>
      <c r="F32" s="2" t="s">
        <v>6891</v>
      </c>
    </row>
    <row r="33" customFormat="false" ht="15" hidden="false" customHeight="false" outlineLevel="0" collapsed="false">
      <c r="A33" s="10" t="s">
        <v>6892</v>
      </c>
      <c r="B33" s="10" t="s">
        <v>6893</v>
      </c>
      <c r="C33" s="10" t="n">
        <f aca="false">REV_ARRGapTotal</f>
        <v>-0.490919339129487</v>
      </c>
      <c r="E33" s="10" t="str">
        <f aca="false">IF(ISNUMBER(C33),IF(ABS(C33)&gt;INP_073,"WARN","OK"),"WARN")</f>
        <v>WARN</v>
      </c>
      <c r="F33" s="2" t="s">
        <v>1095</v>
      </c>
    </row>
    <row r="34" customFormat="false" ht="15" hidden="false" customHeight="false" outlineLevel="0" collapsed="false">
      <c r="A34" s="10" t="s">
        <v>6894</v>
      </c>
      <c r="B34" s="11" t="s">
        <v>6895</v>
      </c>
      <c r="C34" s="10" t="n">
        <f aca="false">Revenue!K78</f>
        <v>0.578681729516549</v>
      </c>
      <c r="E34" s="10" t="s">
        <v>6896</v>
      </c>
      <c r="F34" s="2" t="s">
        <v>6897</v>
      </c>
    </row>
    <row r="35" customFormat="false" ht="15" hidden="false" customHeight="false" outlineLevel="0" collapsed="false">
      <c r="A35" s="10" t="s">
        <v>6898</v>
      </c>
      <c r="B35" s="11" t="s">
        <v>6899</v>
      </c>
      <c r="C35" s="10" t="n">
        <f aca="false">Revenue!L79</f>
        <v>1.00434369296006</v>
      </c>
      <c r="E35" s="10" t="s">
        <v>6896</v>
      </c>
      <c r="F35" s="2" t="s">
        <v>6900</v>
      </c>
    </row>
    <row r="36" customFormat="false" ht="15" hidden="false" customHeight="false" outlineLevel="0" collapsed="false">
      <c r="A36" s="10" t="s">
        <v>6901</v>
      </c>
      <c r="B36" s="11" t="s">
        <v>6902</v>
      </c>
      <c r="C36" s="10" t="n">
        <f aca="false">Demand!L44</f>
        <v>2.80711422085888</v>
      </c>
      <c r="E36" s="10" t="s">
        <v>6896</v>
      </c>
      <c r="F36" s="2" t="s">
        <v>6903</v>
      </c>
    </row>
    <row r="37" customFormat="false" ht="15" hidden="false" customHeight="false" outlineLevel="0" collapsed="false">
      <c r="A37" s="10" t="s">
        <v>6904</v>
      </c>
      <c r="B37" s="11" t="s">
        <v>6905</v>
      </c>
      <c r="C37" s="10" t="n">
        <f aca="false">DEM_ImpliedVolGrowth</f>
        <v>3.24095943895404</v>
      </c>
      <c r="E37" s="10" t="s">
        <v>6896</v>
      </c>
      <c r="F37" s="13" t="s">
        <v>6906</v>
      </c>
    </row>
    <row r="38" customFormat="false" ht="15" hidden="false" customHeight="false" outlineLevel="0" collapsed="false">
      <c r="A38" s="10" t="s">
        <v>6907</v>
      </c>
      <c r="B38" s="11" t="s">
        <v>6908</v>
      </c>
      <c r="C38" s="10" t="n">
        <f aca="false">REV_GapUncal2025</f>
        <v>34.2483665725292</v>
      </c>
      <c r="E38" s="10" t="s">
        <v>6896</v>
      </c>
      <c r="F38" s="2" t="s">
        <v>6909</v>
      </c>
    </row>
    <row r="39" customFormat="false" ht="15" hidden="false" customHeight="false" outlineLevel="0" collapsed="false">
      <c r="A39" s="10" t="s">
        <v>6910</v>
      </c>
      <c r="B39" s="11" t="s">
        <v>6911</v>
      </c>
      <c r="C39" s="10" t="n">
        <f aca="false">DEM_ApiBilledRatio2025</f>
        <v>0.0433538903753719</v>
      </c>
      <c r="E39" s="10" t="s">
        <v>6896</v>
      </c>
      <c r="F39" s="2"/>
    </row>
    <row r="40" customFormat="false" ht="15" hidden="false" customHeight="false" outlineLevel="0" collapsed="false">
      <c r="A40" s="10" t="s">
        <v>6912</v>
      </c>
      <c r="B40" s="11" t="s">
        <v>6913</v>
      </c>
      <c r="C40" s="10" t="n">
        <f aca="false">Revenue!E89</f>
        <v>-20.0606252841894</v>
      </c>
      <c r="E40" s="10" t="s">
        <v>6896</v>
      </c>
      <c r="F40" s="2" t="s">
        <v>6914</v>
      </c>
    </row>
    <row r="41" customFormat="false" ht="15" hidden="false" customHeight="false" outlineLevel="0" collapsed="false">
      <c r="A41" s="10" t="s">
        <v>6915</v>
      </c>
      <c r="B41" s="11" t="s">
        <v>6916</v>
      </c>
      <c r="C41" s="10" t="n">
        <f aca="false">Revenue!L94</f>
        <v>0.799571301094215</v>
      </c>
      <c r="E41" s="10" t="s">
        <v>6896</v>
      </c>
      <c r="F41" s="13" t="s">
        <v>6917</v>
      </c>
    </row>
    <row r="42" customFormat="false" ht="15" hidden="false" customHeight="false" outlineLevel="0" collapsed="false">
      <c r="A42" s="10" t="s">
        <v>6918</v>
      </c>
      <c r="B42" s="11" t="s">
        <v>6919</v>
      </c>
      <c r="C42" s="10" t="n">
        <f aca="false">Revenue!L95</f>
        <v>0.928708215926929</v>
      </c>
      <c r="E42" s="10" t="s">
        <v>6896</v>
      </c>
      <c r="F42" s="13" t="s">
        <v>6917</v>
      </c>
    </row>
    <row r="43" customFormat="false" ht="15" hidden="false" customHeight="false" outlineLevel="0" collapsed="false">
      <c r="A43" s="10" t="s">
        <v>6920</v>
      </c>
      <c r="B43" s="11" t="s">
        <v>6921</v>
      </c>
      <c r="C43" s="10" t="n">
        <f aca="false">INDEX(OAI_COST_PropGap_VR,1,6)</f>
        <v>-10.0544787766386</v>
      </c>
      <c r="E43" s="10" t="s">
        <v>6896</v>
      </c>
      <c r="F43" s="13" t="s">
        <v>6922</v>
      </c>
    </row>
    <row r="44" customFormat="false" ht="15" hidden="false" customHeight="false" outlineLevel="0" collapsed="false">
      <c r="A44" s="10" t="s">
        <v>6923</v>
      </c>
      <c r="B44" s="11" t="s">
        <v>6924</v>
      </c>
      <c r="C44" s="10" t="n">
        <f aca="false">INDEX(REV_GrossCapped,1,6)</f>
        <v>278.419186089535</v>
      </c>
      <c r="E44" s="10" t="s">
        <v>6896</v>
      </c>
      <c r="F44" s="2"/>
    </row>
    <row r="45" customFormat="false" ht="15" hidden="false" customHeight="false" outlineLevel="0" collapsed="false">
      <c r="A45" s="10" t="s">
        <v>6925</v>
      </c>
      <c r="B45" s="11" t="s">
        <v>6926</v>
      </c>
      <c r="C45" s="10" t="n">
        <f aca="false">INDEX(DEM_Tok_Total,1,6)</f>
        <v>42147.7372298162</v>
      </c>
      <c r="E45" s="10" t="s">
        <v>6896</v>
      </c>
      <c r="F45" s="2" t="s">
        <v>6927</v>
      </c>
    </row>
    <row r="46" customFormat="false" ht="15" hidden="false" customHeight="false" outlineLevel="0" collapsed="false">
      <c r="A46" s="10" t="s">
        <v>6928</v>
      </c>
      <c r="B46" s="10" t="s">
        <v>6929</v>
      </c>
      <c r="C46" s="10" t="n">
        <f aca="false">(Compute!D25&lt;0)+(Compute!D25&gt;1)+(Compute!D24&lt;0)+(Compute!D24&gt;1)+(Compute!D23&lt;0)+(Compute!D23&gt;1)+(Compute!E25&lt;0)+(Compute!E25&gt;1)+(Compute!E24&lt;0)+(Compute!E24&gt;1)+(Compute!E23&lt;0)+(Compute!E23&gt;1)+(Compute!F25&lt;0)+(Compute!F25&gt;1)+(Compute!F24&lt;0)+(Compute!F24&gt;1)+(Compute!F23&lt;0)+(Compute!F23&gt;1)+(Compute!G25&lt;0)+(Compute!G25&gt;1)+(Compute!G24&lt;0)+(Compute!G24&gt;1)+(Compute!G23&lt;0)+(Compute!G23&gt;1)+(Compute!H25&lt;0)+(Compute!H25&gt;1)+(Compute!H24&lt;0)+(Compute!H24&gt;1)+(Compute!H23&lt;0)+(Compute!H23&gt;1)+(Compute!I25&lt;0)+(Compute!I25&gt;1)+(Compute!I24&lt;0)+(Compute!I24&gt;1)+(Compute!I23&lt;0)+(Compute!I23&gt;1)+(Compute!K25&lt;0)+(Compute!K25&gt;1)+(Compute!K24&lt;0)+(Compute!K24&gt;1)+(Compute!K23&lt;0)+(Compute!K23&gt;1)+(Compute!L25&lt;0)+(Compute!L25&gt;1)+(Compute!L24&lt;0)+(Compute!L24&gt;1)+(Compute!L23&lt;0)+(Compute!L23&gt;1)</f>
        <v>0</v>
      </c>
      <c r="D46" s="10" t="n">
        <v>0</v>
      </c>
      <c r="E46" s="10" t="str">
        <f aca="false">IF(C46=D46,"OK","ERR")</f>
        <v>OK</v>
      </c>
      <c r="F46" s="13" t="s">
        <v>6930</v>
      </c>
    </row>
    <row r="47" customFormat="false" ht="15" hidden="false" customHeight="false" outlineLevel="0" collapsed="false">
      <c r="A47" s="10" t="s">
        <v>6931</v>
      </c>
      <c r="B47" s="10" t="s">
        <v>6932</v>
      </c>
      <c r="C47" s="10" t="n">
        <f aca="false">(Compute!D119&lt;Compute!D124)+(Compute!E119&lt;Compute!E124)+(Compute!F119&lt;Compute!F124)+(Compute!G119&lt;Compute!G124)+(Compute!H119&lt;Compute!H124)+(Compute!I119&lt;Compute!I124)+(Compute!K119&lt;Compute!K124)+(Compute!L119&lt;Compute!L124)</f>
        <v>0</v>
      </c>
      <c r="D47" s="10" t="n">
        <v>0</v>
      </c>
      <c r="E47" s="10" t="str">
        <f aca="false">IF(C47=D47,"OK","ERR")</f>
        <v>OK</v>
      </c>
      <c r="F47" s="2" t="s">
        <v>6933</v>
      </c>
    </row>
    <row r="48" customFormat="false" ht="15" hidden="false" customHeight="false" outlineLevel="0" collapsed="false">
      <c r="A48" s="10" t="s">
        <v>6934</v>
      </c>
      <c r="B48" s="10" t="s">
        <v>6935</v>
      </c>
      <c r="C48" s="10" t="n">
        <f aca="false">(Compute!D127&lt;0)+(Compute!E127&lt;0)+(Compute!F127&lt;0)+(Compute!G127&lt;0)+(Compute!H127&lt;0)+(Compute!I127&lt;0)+(Compute!K127&lt;0)+(Compute!L127&lt;0)</f>
        <v>0</v>
      </c>
      <c r="D48" s="10" t="n">
        <v>0</v>
      </c>
      <c r="E48" s="10" t="str">
        <f aca="false">IF(C48=D48,"OK","ERR")</f>
        <v>OK</v>
      </c>
      <c r="F48" s="2" t="s">
        <v>6936</v>
      </c>
    </row>
    <row r="49" customFormat="false" ht="15" hidden="false" customHeight="false" outlineLevel="0" collapsed="false">
      <c r="A49" s="10" t="s">
        <v>6937</v>
      </c>
      <c r="B49" s="10" t="s">
        <v>6938</v>
      </c>
      <c r="C49" s="10" t="n">
        <f aca="false">MAX(ABS(Compute!D129),ABS(Compute!E129),ABS(Compute!F129),ABS(Compute!G129),ABS(Compute!H129),ABS(Compute!I129),ABS(Compute!K129),ABS(Compute!L129))</f>
        <v>0</v>
      </c>
      <c r="D49" s="10" t="n">
        <v>0</v>
      </c>
      <c r="E49" s="10" t="str">
        <f aca="false">IF(ISNUMBER(C49),IF(ABS(C49-D49)&lt;0.000000001,"OK","ERR"),"ERR")</f>
        <v>OK</v>
      </c>
      <c r="F49" s="2" t="s">
        <v>6939</v>
      </c>
    </row>
    <row r="50" customFormat="false" ht="15" hidden="false" customHeight="false" outlineLevel="0" collapsed="false">
      <c r="A50" s="10" t="s">
        <v>6940</v>
      </c>
      <c r="B50" s="10" t="s">
        <v>6941</v>
      </c>
      <c r="C50" s="10" t="n">
        <f aca="false">(Compute!D125&lt;=0)+(Compute!D125&gt;1)+(Compute!E125&lt;=0)+(Compute!E125&gt;1)+(Compute!F125&lt;=0)+(Compute!F125&gt;1)+(Compute!G125&lt;=0)+(Compute!G125&gt;1)+(Compute!H125&lt;=0)+(Compute!H125&gt;1)+(Compute!I125&lt;=0)+(Compute!I125&gt;1)+(Compute!K125&lt;=0)+(Compute!K125&gt;1)+(Compute!L125&lt;=0)+(Compute!L125&gt;1)</f>
        <v>0</v>
      </c>
      <c r="D50" s="10" t="n">
        <v>0</v>
      </c>
      <c r="E50" s="10" t="str">
        <f aca="false">IF(C50=D50,"OK","ERR")</f>
        <v>OK</v>
      </c>
      <c r="F50" s="2"/>
    </row>
    <row r="51" customFormat="false" ht="15" hidden="false" customHeight="false" outlineLevel="0" collapsed="false">
      <c r="A51" s="10" t="s">
        <v>6942</v>
      </c>
      <c r="B51" s="10" t="s">
        <v>6943</v>
      </c>
      <c r="C51" s="10" t="n">
        <f aca="false">(Revenue!D58&gt;Revenue!D54)+(Revenue!E58&gt;Revenue!E54)+(Revenue!F58&gt;Revenue!F54)+(Revenue!G58&gt;Revenue!G54)+(Revenue!H58&gt;Revenue!H54)+(Revenue!I58&gt;Revenue!I54)</f>
        <v>0</v>
      </c>
      <c r="D51" s="10" t="n">
        <v>0</v>
      </c>
      <c r="E51" s="10" t="str">
        <f aca="false">IF(C51=D51,"OK","ERR")</f>
        <v>OK</v>
      </c>
      <c r="F51" s="2" t="s">
        <v>6944</v>
      </c>
    </row>
    <row r="52" customFormat="false" ht="15" hidden="false" customHeight="false" outlineLevel="0" collapsed="false">
      <c r="A52" s="10" t="s">
        <v>6945</v>
      </c>
      <c r="B52" s="10" t="s">
        <v>6946</v>
      </c>
      <c r="C52" s="10" t="n">
        <f aca="false">Cost!D16</f>
        <v>0</v>
      </c>
      <c r="D52" s="10" t="n">
        <v>0</v>
      </c>
      <c r="E52" s="10" t="str">
        <f aca="false">IF(ISNUMBER(C52),IF(ABS(C52-D52)&lt;0.000000001,"OK","ERR"),"ERR")</f>
        <v>OK</v>
      </c>
      <c r="F52" s="2" t="s">
        <v>6947</v>
      </c>
    </row>
    <row r="53" customFormat="false" ht="15" hidden="false" customHeight="false" outlineLevel="0" collapsed="false">
      <c r="A53" s="10" t="s">
        <v>6948</v>
      </c>
      <c r="B53" s="10" t="s">
        <v>6949</v>
      </c>
      <c r="C53" s="10" t="n">
        <f aca="false">Cost!K16</f>
        <v>0</v>
      </c>
      <c r="D53" s="10" t="n">
        <v>0</v>
      </c>
      <c r="E53" s="10" t="str">
        <f aca="false">IF(ISNUMBER(C53),IF(ABS(C53-D53)&lt;0.000000001,"OK","ERR"),"ERR")</f>
        <v>OK</v>
      </c>
      <c r="F53" s="2" t="s">
        <v>6950</v>
      </c>
    </row>
    <row r="54" customFormat="false" ht="15" hidden="false" customHeight="false" outlineLevel="0" collapsed="false">
      <c r="A54" s="10" t="s">
        <v>6951</v>
      </c>
      <c r="B54" s="10" t="s">
        <v>6952</v>
      </c>
      <c r="C54" s="10" t="n">
        <f aca="false">Cost!D45</f>
        <v>0</v>
      </c>
      <c r="D54" s="10" t="n">
        <v>0</v>
      </c>
      <c r="E54" s="10" t="str">
        <f aca="false">IF(ISNUMBER(C54),IF(ABS(C54-D54)&lt;0.000000001,"OK","ERR"),"ERR")</f>
        <v>OK</v>
      </c>
      <c r="F54" s="2" t="s">
        <v>6953</v>
      </c>
    </row>
    <row r="55" customFormat="false" ht="15" hidden="false" customHeight="false" outlineLevel="0" collapsed="false">
      <c r="A55" s="10" t="s">
        <v>6954</v>
      </c>
      <c r="B55" s="10" t="s">
        <v>6955</v>
      </c>
      <c r="C55" s="10" t="n">
        <f aca="false">Cost!K45</f>
        <v>0</v>
      </c>
      <c r="D55" s="10" t="n">
        <v>0</v>
      </c>
      <c r="E55" s="10" t="str">
        <f aca="false">IF(ISNUMBER(C55),IF(ABS(C55-D55)&lt;0.000000001,"OK","ERR"),"ERR")</f>
        <v>OK</v>
      </c>
      <c r="F55" s="2"/>
    </row>
    <row r="56" customFormat="false" ht="15" hidden="false" customHeight="false" outlineLevel="0" collapsed="false">
      <c r="A56" s="10" t="s">
        <v>6956</v>
      </c>
      <c r="B56" s="10" t="s">
        <v>6957</v>
      </c>
      <c r="C56" s="10" t="n">
        <f aca="false">(Cost!D36&lt;0)+(Cost!K36&lt;0)</f>
        <v>0</v>
      </c>
      <c r="D56" s="10" t="n">
        <v>0</v>
      </c>
      <c r="E56" s="10" t="str">
        <f aca="false">IF(C56=D56,"OK","ERR")</f>
        <v>OK</v>
      </c>
      <c r="F56" s="2" t="s">
        <v>6958</v>
      </c>
    </row>
    <row r="57" customFormat="false" ht="15" hidden="false" customHeight="false" outlineLevel="0" collapsed="false">
      <c r="A57" s="10" t="s">
        <v>6959</v>
      </c>
      <c r="B57" s="10" t="s">
        <v>6960</v>
      </c>
      <c r="C57" s="10" t="n">
        <f aca="false">CMP_Eta2025</f>
        <v>1.12579356408912</v>
      </c>
      <c r="D57" s="10" t="s">
        <v>6961</v>
      </c>
      <c r="E57" s="10" t="str">
        <f aca="false">IF(ISNUMBER(C57),IF(AND(C57&gt;=INP_079,C57&lt;=INP_080),"OK","WARN"),"WARN")</f>
        <v>WARN</v>
      </c>
      <c r="F57" s="13" t="s">
        <v>6962</v>
      </c>
    </row>
    <row r="58" customFormat="false" ht="15" hidden="false" customHeight="false" outlineLevel="0" collapsed="false">
      <c r="A58" s="10" t="s">
        <v>6963</v>
      </c>
      <c r="B58" s="10" t="s">
        <v>6964</v>
      </c>
      <c r="C58" s="10" t="n">
        <f aca="false">CMP_Eta1H26</f>
        <v>3.90762953447915</v>
      </c>
      <c r="D58" s="10" t="s">
        <v>6961</v>
      </c>
      <c r="E58" s="10" t="str">
        <f aca="false">IF(ISNUMBER(C58),IF(AND(C58&gt;=INP_079,C58&lt;=INP_080),"OK","WARN"),"WARN")</f>
        <v>WARN</v>
      </c>
      <c r="F58" s="2" t="s">
        <v>1095</v>
      </c>
    </row>
    <row r="59" customFormat="false" ht="15" hidden="false" customHeight="false" outlineLevel="0" collapsed="false">
      <c r="A59" s="10" t="s">
        <v>6965</v>
      </c>
      <c r="B59" s="11" t="s">
        <v>6966</v>
      </c>
      <c r="C59" s="10" t="n">
        <f aca="false">CMP_ChipGWGap</f>
        <v>-0.129881902937196</v>
      </c>
      <c r="D59" s="10" t="n">
        <f aca="false">INP_081</f>
        <v>0.5</v>
      </c>
      <c r="E59" s="10" t="str">
        <f aca="false">IF(ISNUMBER(C59),IF(ABS(C59)&gt;INP_081,"WARN","OK"),"WARN")</f>
        <v>OK</v>
      </c>
      <c r="F59" s="2" t="s">
        <v>6967</v>
      </c>
    </row>
    <row r="60" customFormat="false" ht="15" hidden="false" customHeight="false" outlineLevel="0" collapsed="false">
      <c r="A60" s="10" t="s">
        <v>6968</v>
      </c>
      <c r="B60" s="11" t="s">
        <v>6969</v>
      </c>
      <c r="C60" s="10" t="n">
        <f aca="false">Compute!D154</f>
        <v>9.70395251736962</v>
      </c>
      <c r="E60" s="10" t="s">
        <v>6896</v>
      </c>
      <c r="F60" s="13" t="s">
        <v>6970</v>
      </c>
    </row>
    <row r="61" customFormat="false" ht="15" hidden="false" customHeight="false" outlineLevel="0" collapsed="false">
      <c r="A61" s="10" t="s">
        <v>6971</v>
      </c>
      <c r="B61" s="11" t="s">
        <v>6972</v>
      </c>
      <c r="C61" s="10" t="n">
        <f aca="false">Compute!K154</f>
        <v>7.65627135399773</v>
      </c>
      <c r="E61" s="10" t="s">
        <v>6896</v>
      </c>
      <c r="F61" s="13" t="s">
        <v>6970</v>
      </c>
    </row>
    <row r="62" customFormat="false" ht="15" hidden="false" customHeight="false" outlineLevel="0" collapsed="false">
      <c r="A62" s="10" t="s">
        <v>6973</v>
      </c>
      <c r="B62" s="11" t="s">
        <v>6974</v>
      </c>
      <c r="C62" s="10" t="n">
        <f aca="false">Compute!K102</f>
        <v>576.818357915396</v>
      </c>
      <c r="E62" s="10" t="s">
        <v>6896</v>
      </c>
      <c r="F62" s="13" t="s">
        <v>6975</v>
      </c>
    </row>
    <row r="63" customFormat="false" ht="15" hidden="false" customHeight="false" outlineLevel="0" collapsed="false">
      <c r="A63" s="10" t="s">
        <v>6976</v>
      </c>
      <c r="B63" s="11" t="s">
        <v>6977</v>
      </c>
      <c r="C63" s="10" t="n">
        <f aca="false">Compute!K127/Compute!K130</f>
        <v>0.364315111710796</v>
      </c>
      <c r="E63" s="10" t="s">
        <v>6896</v>
      </c>
      <c r="F63" s="13" t="s">
        <v>6978</v>
      </c>
    </row>
    <row r="64" customFormat="false" ht="15" hidden="false" customHeight="false" outlineLevel="0" collapsed="false">
      <c r="A64" s="10" t="s">
        <v>6979</v>
      </c>
      <c r="B64" s="11" t="s">
        <v>6980</v>
      </c>
      <c r="C64" s="10" t="n">
        <f aca="false">Cost!D24</f>
        <v>0.19771673838841</v>
      </c>
      <c r="E64" s="10" t="s">
        <v>6896</v>
      </c>
      <c r="F64" s="13" t="s">
        <v>6981</v>
      </c>
    </row>
    <row r="65" customFormat="false" ht="15" hidden="false" customHeight="false" outlineLevel="0" collapsed="false">
      <c r="A65" s="10" t="s">
        <v>6982</v>
      </c>
      <c r="B65" s="11" t="s">
        <v>6983</v>
      </c>
      <c r="C65" s="10" t="n">
        <f aca="false">INDEX(CMP_SupplyGW,1,2)</f>
        <v>0.110422240509358</v>
      </c>
      <c r="E65" s="10" t="s">
        <v>6896</v>
      </c>
      <c r="F65" s="2"/>
    </row>
    <row r="66" customFormat="false" ht="15" hidden="false" customHeight="false" outlineLevel="0" collapsed="false">
      <c r="A66" s="10" t="s">
        <v>6984</v>
      </c>
      <c r="B66" s="11" t="s">
        <v>6985</v>
      </c>
      <c r="C66" s="10" t="n">
        <f aca="false">INDEX(CMP_SupplyGW,1,6)</f>
        <v>0.856198092570083</v>
      </c>
      <c r="E66" s="10" t="s">
        <v>6896</v>
      </c>
      <c r="F66" s="2"/>
    </row>
    <row r="67" customFormat="false" ht="15" hidden="false" customHeight="false" outlineLevel="0" collapsed="false">
      <c r="A67" s="10" t="s">
        <v>6986</v>
      </c>
      <c r="B67" s="11" t="s">
        <v>6987</v>
      </c>
      <c r="C67" s="10" t="n">
        <f aca="false">INDEX(COST_PropGap_VR,1,6)</f>
        <v>-2393.97719414341</v>
      </c>
      <c r="E67" s="10" t="s">
        <v>6896</v>
      </c>
      <c r="F67" s="2" t="s">
        <v>6988</v>
      </c>
    </row>
    <row r="68" customFormat="false" ht="15" hidden="false" customHeight="false" outlineLevel="0" collapsed="false">
      <c r="A68" s="10" t="s">
        <v>6989</v>
      </c>
      <c r="B68" s="11" t="s">
        <v>6990</v>
      </c>
      <c r="C68" s="10" t="n">
        <f aca="false">INDEX(COST_PropGap_VR_Cloud,1,6)</f>
        <v>-2433.42783355315</v>
      </c>
      <c r="E68" s="10" t="s">
        <v>6896</v>
      </c>
      <c r="F68" s="2"/>
    </row>
    <row r="69" customFormat="false" ht="15" hidden="false" customHeight="false" outlineLevel="0" collapsed="false">
      <c r="A69" s="10" t="s">
        <v>6991</v>
      </c>
      <c r="B69" s="11" t="s">
        <v>6992</v>
      </c>
      <c r="C69" s="10" t="n">
        <f aca="false">INDEX(COST_Coverage,1,6)</f>
        <v>0.70752005955485</v>
      </c>
      <c r="E69" s="10" t="s">
        <v>6896</v>
      </c>
      <c r="F69" s="2"/>
    </row>
    <row r="70" customFormat="false" ht="15" hidden="false" customHeight="false" outlineLevel="0" collapsed="false">
      <c r="A70" s="10" t="s">
        <v>6993</v>
      </c>
      <c r="B70" s="11" t="s">
        <v>6994</v>
      </c>
      <c r="C70" s="10" t="n">
        <f aca="false">INDEX(COST_PropGap_VR_USD,1,6)-INDEX(OAI_COST_PropGap_VR,1,6)</f>
        <v>-25.4649976865642</v>
      </c>
      <c r="E70" s="10" t="s">
        <v>6896</v>
      </c>
      <c r="F70" s="13" t="s">
        <v>6995</v>
      </c>
    </row>
    <row r="71" customFormat="false" ht="15" hidden="false" customHeight="false" outlineLevel="0" collapsed="false">
      <c r="A71" s="10" t="s">
        <v>6996</v>
      </c>
      <c r="B71" s="10" t="s">
        <v>6997</v>
      </c>
      <c r="C71" s="10" t="n">
        <f aca="false">MAX(ABS(Funding!D16-(Funding!D8-Funding!D9-Funding!D10-Funding!D11+Funding!D14-Funding!D15)),ABS(Funding!K16-(Funding!K8-Funding!K9-Funding!K10-Funding!K11+Funding!K14-Funding!K15)),ABS(Funding!L16-(Funding!L8-Funding!L9-Funding!L10-Funding!L11+Funding!L14-Funding!L15)),ABS(Funding!E16-(Funding!E8-Funding!E9-Funding!E10-Funding!E11+Funding!E14-Funding!E15)),ABS(Funding!F16-(Funding!F8-Funding!F9-Funding!F10-Funding!F11+Funding!F14-Funding!F15)),ABS(Funding!G16-(Funding!G8-Funding!G9-Funding!G10-Funding!G11+Funding!G14-Funding!G15)),ABS(Funding!H16-(Funding!H8-Funding!H9-Funding!H10-Funding!H11+Funding!H14-Funding!H15)),ABS(Funding!I16-(Funding!I8-Funding!I9-Funding!I10-Funding!I11+Funding!I14-Funding!I15)))</f>
        <v>0</v>
      </c>
      <c r="D71" s="10" t="n">
        <v>0</v>
      </c>
      <c r="E71" s="10" t="str">
        <f aca="false">IF(ISNUMBER(C71),IF(ABS(C71-D71)&lt;0.000000001,"OK","ERR"),"ERR")</f>
        <v>OK</v>
      </c>
      <c r="F71" s="2" t="s">
        <v>6998</v>
      </c>
    </row>
    <row r="72" customFormat="false" ht="15" hidden="false" customHeight="false" outlineLevel="0" collapsed="false">
      <c r="A72" s="10" t="s">
        <v>6999</v>
      </c>
      <c r="B72" s="10" t="s">
        <v>7000</v>
      </c>
      <c r="C72" s="10" t="n">
        <f aca="false">MAX(ABS(Funding!D13-Cost!D48),ABS(Funding!E13-Cost!E48),ABS(Funding!F13-Cost!F48),ABS(Funding!G13-Cost!G48),ABS(Funding!H13-Cost!H48),ABS(Funding!I13-Cost!I48))</f>
        <v>0</v>
      </c>
      <c r="D72" s="10" t="n">
        <v>0</v>
      </c>
      <c r="E72" s="10" t="str">
        <f aca="false">IF(ISNUMBER(C72),IF(ABS(C72-D72)&lt;0.000000001,"OK","ERR"),"ERR")</f>
        <v>OK</v>
      </c>
      <c r="F72" s="2" t="s">
        <v>7001</v>
      </c>
    </row>
    <row r="73" customFormat="false" ht="15" hidden="false" customHeight="false" outlineLevel="0" collapsed="false">
      <c r="A73" s="10" t="s">
        <v>7002</v>
      </c>
      <c r="B73" s="10" t="s">
        <v>7003</v>
      </c>
      <c r="C73" s="10" t="n">
        <f aca="false">ABS(Funding!E8-Revenue!E59)</f>
        <v>0</v>
      </c>
      <c r="D73" s="10" t="n">
        <v>0</v>
      </c>
      <c r="E73" s="10" t="str">
        <f aca="false">IF(ISNUMBER(C73),IF(ABS(C73-D73)&lt;0.000000001,"OK","ERR"),"ERR")</f>
        <v>OK</v>
      </c>
      <c r="F73" s="2"/>
    </row>
    <row r="74" customFormat="false" ht="15" hidden="false" customHeight="false" outlineLevel="0" collapsed="false">
      <c r="A74" s="10" t="s">
        <v>7004</v>
      </c>
      <c r="B74" s="10" t="s">
        <v>7005</v>
      </c>
      <c r="C74" s="10" t="n">
        <f aca="false">MAX(ABS(Funding!E8-Funding!K8-Funding!L8),ABS(Funding!E9-Funding!K9-Funding!L9),ABS(Funding!E10-Funding!K10-Funding!L10),ABS(Funding!E11-Funding!K11-Funding!L11),ABS(Funding!E12-Funding!K12-Funding!L12),ABS(Funding!E14-Funding!K14-Funding!L14),ABS(Funding!E15-Funding!K15-Funding!L15),ABS(Funding!E16-Funding!K16-Funding!L16),ABS(Funding!E18-Funding!K18-Funding!L18),ABS(Funding!E21-Funding!K21-Funding!L21),ABS(Funding!E26-Funding!K26-Funding!L26),ABS(Funding!E31-Funding!K31-Funding!L31))</f>
        <v>0</v>
      </c>
      <c r="D74" s="10" t="n">
        <v>0</v>
      </c>
      <c r="E74" s="10" t="str">
        <f aca="false">IF(ISNUMBER(C74),IF(ABS(C74-D74)&lt;0.000000001,"OK","ERR"),"ERR")</f>
        <v>OK</v>
      </c>
      <c r="F74" s="2"/>
    </row>
    <row r="75" customFormat="false" ht="15" hidden="false" customHeight="false" outlineLevel="0" collapsed="false">
      <c r="A75" s="10" t="s">
        <v>7006</v>
      </c>
      <c r="B75" s="10" t="s">
        <v>7007</v>
      </c>
      <c r="C75" s="10" t="n">
        <f aca="false">Funding!K39-SRC_ZP_211</f>
        <v>0</v>
      </c>
      <c r="D75" s="10" t="n">
        <v>0</v>
      </c>
      <c r="E75" s="10" t="str">
        <f aca="false">IF(ISNUMBER(C75),IF(ABS(C75-D75)&lt;0.000000001,"OK","ERR"),"ERR")</f>
        <v>OK</v>
      </c>
      <c r="F75" s="13" t="s">
        <v>7008</v>
      </c>
    </row>
    <row r="76" customFormat="false" ht="15" hidden="false" customHeight="false" outlineLevel="0" collapsed="false">
      <c r="A76" s="10" t="s">
        <v>7009</v>
      </c>
      <c r="B76" s="10" t="s">
        <v>7010</v>
      </c>
      <c r="C76" s="10" t="n">
        <f aca="false">(Funding!E38&lt;0)+(Funding!F38&lt;0)+(Funding!G38&lt;0)+(Funding!H38&lt;0)+(Funding!I38&lt;0)</f>
        <v>0</v>
      </c>
      <c r="D76" s="10" t="n">
        <v>0</v>
      </c>
      <c r="E76" s="10" t="str">
        <f aca="false">IF(C76=D76,"OK","ERR")</f>
        <v>OK</v>
      </c>
      <c r="F76" s="2"/>
    </row>
    <row r="77" customFormat="false" ht="15" hidden="false" customHeight="false" outlineLevel="0" collapsed="false">
      <c r="A77" s="10" t="s">
        <v>7011</v>
      </c>
      <c r="B77" s="10" t="s">
        <v>7012</v>
      </c>
      <c r="C77" s="10" t="n">
        <f aca="false">(Funding!E39&lt;Funding!E34-0.00000001)+(Funding!F39&lt;Funding!F34-0.00000001)+(Funding!G39&lt;Funding!G34-0.00000001)+(Funding!H39&lt;Funding!H34-0.00000001)+(Funding!I39&lt;Funding!I34-0.00000001)</f>
        <v>0</v>
      </c>
      <c r="D77" s="10" t="n">
        <v>0</v>
      </c>
      <c r="E77" s="10" t="str">
        <f aca="false">IF(C77=D77,"OK","ERR")</f>
        <v>OK</v>
      </c>
      <c r="F77" s="2" t="s">
        <v>7013</v>
      </c>
    </row>
    <row r="78" customFormat="false" ht="15" hidden="false" customHeight="false" outlineLevel="0" collapsed="false">
      <c r="A78" s="10" t="s">
        <v>7014</v>
      </c>
      <c r="B78" s="10" t="s">
        <v>7015</v>
      </c>
      <c r="C78" s="10" t="n">
        <f aca="false">(Funding!E55&gt;Funding!E40)+(Funding!F55&gt;Funding!F40)+(Funding!G55&gt;Funding!G40)+(Funding!H55&gt;Funding!H40)+(Funding!I55&gt;Funding!I40)</f>
        <v>0</v>
      </c>
      <c r="D78" s="10" t="n">
        <v>0</v>
      </c>
      <c r="E78" s="10" t="str">
        <f aca="false">IF(C78=D78,"OK","ERR")</f>
        <v>OK</v>
      </c>
      <c r="F78" s="2" t="s">
        <v>7016</v>
      </c>
    </row>
    <row r="79" customFormat="false" ht="15" hidden="false" customHeight="false" outlineLevel="0" collapsed="false">
      <c r="A79" s="10" t="s">
        <v>7017</v>
      </c>
      <c r="B79" s="10" t="s">
        <v>7018</v>
      </c>
      <c r="C79" s="10" t="n">
        <f aca="false">Funding!E39-Funding!L39</f>
        <v>0</v>
      </c>
      <c r="D79" s="10" t="n">
        <v>0</v>
      </c>
      <c r="E79" s="10" t="str">
        <f aca="false">IF(ISNUMBER(C79),IF(ABS(C79-D79)&lt;0.000000001,"OK","ERR"),"ERR")</f>
        <v>OK</v>
      </c>
      <c r="F79" s="2"/>
    </row>
    <row r="80" customFormat="false" ht="15" hidden="false" customHeight="false" outlineLevel="0" collapsed="false">
      <c r="A80" s="10" t="s">
        <v>7019</v>
      </c>
      <c r="B80" s="10" t="s">
        <v>7020</v>
      </c>
      <c r="C80" s="10" t="n">
        <f aca="false">Reverse!D21-Reverse!D25</f>
        <v>0</v>
      </c>
      <c r="D80" s="10" t="n">
        <v>0</v>
      </c>
      <c r="E80" s="10" t="str">
        <f aca="false">IF(ISNUMBER(C80),IF(ABS(C80-D80)&lt;0.000000001,"OK","ERR"),"ERR")</f>
        <v>OK</v>
      </c>
      <c r="F80" s="2"/>
    </row>
    <row r="81" customFormat="false" ht="15" hidden="false" customHeight="false" outlineLevel="0" collapsed="false">
      <c r="A81" s="10" t="s">
        <v>7021</v>
      </c>
      <c r="B81" s="10" t="s">
        <v>7022</v>
      </c>
      <c r="C81" s="10" t="n">
        <f aca="false">(Reverse!E17&lt;1)+(Reverse!F17&lt;1)+(Reverse!G17&lt;1)</f>
        <v>0</v>
      </c>
      <c r="D81" s="10" t="n">
        <v>0</v>
      </c>
      <c r="E81" s="10" t="str">
        <f aca="false">IF(C81=D81,"OK","ERR")</f>
        <v>OK</v>
      </c>
      <c r="F81" s="2" t="s">
        <v>6676</v>
      </c>
    </row>
    <row r="82" customFormat="false" ht="15" hidden="false" customHeight="false" outlineLevel="0" collapsed="false">
      <c r="A82" s="10" t="s">
        <v>7023</v>
      </c>
      <c r="B82" s="10" t="s">
        <v>7024</v>
      </c>
      <c r="C82" s="10" t="n">
        <f aca="false">(Reverse!E19&gt;Reverse!E18)+(Reverse!E18&gt;Reverse!E20)+(Reverse!F19&gt;Reverse!F18)+(Reverse!F18&gt;Reverse!F20)+(Reverse!G19&gt;Reverse!G18)+(Reverse!G18&gt;Reverse!G20)</f>
        <v>0</v>
      </c>
      <c r="D82" s="10" t="n">
        <v>0</v>
      </c>
      <c r="E82" s="10" t="str">
        <f aca="false">IF(C82=D82,"OK","ERR")</f>
        <v>OK</v>
      </c>
      <c r="F82" s="2"/>
    </row>
    <row r="83" customFormat="false" ht="15" hidden="false" customHeight="false" outlineLevel="0" collapsed="false">
      <c r="A83" s="10" t="s">
        <v>7025</v>
      </c>
      <c r="B83" s="11" t="s">
        <v>7026</v>
      </c>
      <c r="C83" s="10" t="n">
        <f aca="false">Funding!K36</f>
        <v>-14.87831926</v>
      </c>
      <c r="E83" s="10" t="s">
        <v>6896</v>
      </c>
      <c r="F83" s="2" t="s">
        <v>7027</v>
      </c>
    </row>
    <row r="84" customFormat="false" ht="15" hidden="false" customHeight="false" outlineLevel="0" collapsed="false">
      <c r="A84" s="10" t="s">
        <v>7028</v>
      </c>
      <c r="B84" s="11" t="s">
        <v>7029</v>
      </c>
      <c r="C84" s="10" t="n">
        <f aca="false">INDEX(FND_CashRecon,1,1)</f>
        <v>-0.0634999999999906</v>
      </c>
      <c r="E84" s="10" t="s">
        <v>6896</v>
      </c>
      <c r="F84" s="2" t="s">
        <v>7030</v>
      </c>
    </row>
    <row r="85" customFormat="false" ht="15" hidden="false" customHeight="false" outlineLevel="0" collapsed="false">
      <c r="A85" s="10" t="s">
        <v>7031</v>
      </c>
      <c r="B85" s="11" t="s">
        <v>7032</v>
      </c>
      <c r="C85" s="10" t="n">
        <f aca="false">FND_UseVsModel</f>
        <v>11.9261085970683</v>
      </c>
      <c r="E85" s="10" t="s">
        <v>6896</v>
      </c>
      <c r="F85" s="2" t="s">
        <v>7033</v>
      </c>
    </row>
    <row r="86" customFormat="false" ht="15" hidden="false" customHeight="false" outlineLevel="0" collapsed="false">
      <c r="A86" s="10" t="s">
        <v>7034</v>
      </c>
      <c r="B86" s="11" t="s">
        <v>7035</v>
      </c>
      <c r="C86" s="10" t="n">
        <f aca="false">INDEX(FND_ExtNeedCum,1,6)</f>
        <v>43.5552486187488</v>
      </c>
      <c r="E86" s="10" t="s">
        <v>6896</v>
      </c>
      <c r="F86" s="2" t="s">
        <v>6506</v>
      </c>
    </row>
    <row r="87" customFormat="false" ht="15" hidden="false" customHeight="false" outlineLevel="0" collapsed="false">
      <c r="A87" s="10" t="s">
        <v>7036</v>
      </c>
      <c r="B87" s="11" t="s">
        <v>7037</v>
      </c>
      <c r="C87" s="10" t="n">
        <f aca="false">INDEX(FND_ExtNeedCumConv,1,6)</f>
        <v>-0</v>
      </c>
      <c r="E87" s="10" t="s">
        <v>6896</v>
      </c>
      <c r="F87" s="2"/>
    </row>
    <row r="88" customFormat="false" ht="15" hidden="false" customHeight="false" outlineLevel="0" collapsed="false">
      <c r="A88" s="10" t="s">
        <v>7038</v>
      </c>
      <c r="B88" s="11" t="s">
        <v>7039</v>
      </c>
      <c r="C88" s="10" t="n">
        <f aca="false">FND_FirstGapYear</f>
        <v>2030</v>
      </c>
      <c r="E88" s="10" t="s">
        <v>6896</v>
      </c>
      <c r="F88" s="2"/>
    </row>
    <row r="89" customFormat="false" ht="15" hidden="false" customHeight="false" outlineLevel="0" collapsed="false">
      <c r="A89" s="10" t="s">
        <v>7040</v>
      </c>
      <c r="B89" s="11" t="s">
        <v>7041</v>
      </c>
      <c r="C89" s="10" t="n">
        <f aca="false">INDEX(FND_CashEnd,1,6)</f>
        <v>193.934911567215</v>
      </c>
      <c r="E89" s="10" t="s">
        <v>6896</v>
      </c>
      <c r="F89" s="2"/>
    </row>
    <row r="90" customFormat="false" ht="15" hidden="false" customHeight="false" outlineLevel="0" collapsed="false">
      <c r="A90" s="10" t="s">
        <v>7042</v>
      </c>
      <c r="B90" s="11" t="s">
        <v>7043</v>
      </c>
      <c r="C90" s="10" t="n">
        <f aca="false">FND_NoExtFailYear</f>
        <v>2030</v>
      </c>
      <c r="E90" s="10" t="s">
        <v>6896</v>
      </c>
      <c r="F90" s="2"/>
    </row>
    <row r="91" customFormat="false" ht="15" hidden="false" customHeight="false" outlineLevel="0" collapsed="false">
      <c r="A91" s="10" t="s">
        <v>7044</v>
      </c>
      <c r="B91" s="11" t="s">
        <v>7045</v>
      </c>
      <c r="C91" s="10" t="n">
        <f aca="false">INDEX(RVS_ExtNeedCum,1,6)</f>
        <v>-0</v>
      </c>
      <c r="E91" s="10" t="s">
        <v>6896</v>
      </c>
      <c r="F91" s="2" t="s">
        <v>7046</v>
      </c>
    </row>
    <row r="92" customFormat="false" ht="15" hidden="false" customHeight="false" outlineLevel="0" collapsed="false">
      <c r="A92" s="10" t="s">
        <v>7047</v>
      </c>
      <c r="B92" s="11" t="s">
        <v>7048</v>
      </c>
      <c r="C92" s="10" t="n">
        <f aca="false">RVS_MktImpliedRev</f>
        <v>65.0512188887008</v>
      </c>
      <c r="E92" s="10" t="s">
        <v>6896</v>
      </c>
      <c r="F92" s="13" t="s">
        <v>7049</v>
      </c>
    </row>
    <row r="93" customFormat="false" ht="15" hidden="false" customHeight="false" outlineLevel="0" collapsed="false">
      <c r="A93" s="10" t="s">
        <v>7050</v>
      </c>
      <c r="B93" s="11" t="s">
        <v>7051</v>
      </c>
      <c r="C93" s="10" t="n">
        <f aca="false">RVS_MktImpliedYear</f>
        <v>2027</v>
      </c>
      <c r="E93" s="10" t="s">
        <v>6896</v>
      </c>
      <c r="F93" s="2"/>
    </row>
    <row r="94" customFormat="false" ht="15" hidden="false" customHeight="false" outlineLevel="0" collapsed="false">
      <c r="A94" s="10" t="s">
        <v>7052</v>
      </c>
      <c r="B94" s="11" t="s">
        <v>7053</v>
      </c>
      <c r="C94" s="10" t="n">
        <f aca="false">RVS_PeerMult</f>
        <v>39.763052673366</v>
      </c>
      <c r="E94" s="10" t="s">
        <v>6896</v>
      </c>
      <c r="F94" s="2"/>
    </row>
    <row r="95" customFormat="false" ht="15" hidden="false" customHeight="false" outlineLevel="0" collapsed="false">
      <c r="A95" s="10" t="s">
        <v>7054</v>
      </c>
      <c r="B95" s="11" t="s">
        <v>7055</v>
      </c>
      <c r="C95" s="10" t="n">
        <f aca="false">INDEX(FND_ExtNeedCum,1,6)/INP_023/INP_021-INDEX(OAI_FND_ExtNeedCum,1,6)</f>
        <v>-442.198581759631</v>
      </c>
      <c r="E95" s="10" t="s">
        <v>6896</v>
      </c>
      <c r="F95" s="13" t="s">
        <v>6995</v>
      </c>
    </row>
    <row r="96" customFormat="false" ht="15" hidden="false" customHeight="false" outlineLevel="0" collapsed="false">
      <c r="A96" s="10" t="s">
        <v>7056</v>
      </c>
      <c r="B96" s="10" t="s">
        <v>7057</v>
      </c>
      <c r="C96" s="10" t="n">
        <f aca="false">(Cost!L23&lt;-0.00000001)+(Cost!F23&lt;-0.00000001)+(Cost!G23&lt;-0.00000001)+(Cost!H23&lt;-0.00000001)+(Cost!I23&lt;-0.00000001)</f>
        <v>0</v>
      </c>
      <c r="D96" s="10" t="n">
        <v>0</v>
      </c>
      <c r="E96" s="10" t="str">
        <f aca="false">IF(C96=D96,"OK","ERR")</f>
        <v>OK</v>
      </c>
      <c r="F96" s="2" t="s">
        <v>7058</v>
      </c>
    </row>
    <row r="97" customFormat="false" ht="15" hidden="false" customHeight="false" outlineLevel="0" collapsed="false">
      <c r="A97" s="10" t="s">
        <v>7059</v>
      </c>
      <c r="B97" s="10" t="s">
        <v>7060</v>
      </c>
      <c r="C97" s="10" t="n">
        <f aca="false">Compute!D219+Compute!K219</f>
        <v>2</v>
      </c>
      <c r="D97" s="10" t="n">
        <f aca="false">INP_140</f>
        <v>0</v>
      </c>
      <c r="E97" s="10" t="str">
        <f aca="false">IF(ISNUMBER(C97),IF(ABS(C97)&gt;INP_140,"WARN","OK"),"WARN")</f>
        <v>WARN</v>
      </c>
      <c r="F97" s="2" t="s">
        <v>7061</v>
      </c>
    </row>
    <row r="98" customFormat="false" ht="15" hidden="false" customHeight="false" outlineLevel="0" collapsed="false">
      <c r="A98" s="10" t="s">
        <v>7062</v>
      </c>
      <c r="B98" s="11" t="s">
        <v>7063</v>
      </c>
      <c r="C98" s="10" t="n">
        <f aca="false">Compute!K127/(Compute!K84/(Compute!K102*INP_008/INP_007))</f>
        <v>0.422005249499853</v>
      </c>
      <c r="E98" s="10" t="s">
        <v>6896</v>
      </c>
      <c r="F98" s="13" t="s">
        <v>7064</v>
      </c>
    </row>
    <row r="100" customFormat="false" ht="15" hidden="false" customHeight="false" outlineLevel="0" collapsed="false">
      <c r="A100" s="6" t="s">
        <v>7065</v>
      </c>
      <c r="C100" s="10" t="n">
        <f aca="false">COUNTIF($E$5:$E$98,"ERR")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7.15" hidden="false" customHeight="false" outlineLevel="0" collapsed="false">
      <c r="A1" s="0" t="s">
        <v>7066</v>
      </c>
      <c r="B1" s="0" t="s">
        <v>7067</v>
      </c>
      <c r="C1" s="0" t="s">
        <v>7068</v>
      </c>
      <c r="D1" s="0" t="s">
        <v>7069</v>
      </c>
    </row>
    <row r="2" customFormat="false" ht="15" hidden="false" customHeight="false" outlineLevel="0" collapsed="false">
      <c r="A2" s="0" t="s">
        <v>8</v>
      </c>
      <c r="B2" s="0" t="s">
        <v>60</v>
      </c>
      <c r="C2" s="0" t="s">
        <v>7070</v>
      </c>
      <c r="D2" s="0" t="n">
        <v>0.5741</v>
      </c>
    </row>
    <row r="3" customFormat="false" ht="15" hidden="false" customHeight="false" outlineLevel="0" collapsed="false">
      <c r="A3" s="0" t="s">
        <v>8</v>
      </c>
      <c r="B3" s="0" t="s">
        <v>60</v>
      </c>
      <c r="C3" s="0" t="s">
        <v>7071</v>
      </c>
    </row>
    <row r="4" customFormat="false" ht="15" hidden="false" customHeight="false" outlineLevel="0" collapsed="false">
      <c r="A4" s="0" t="s">
        <v>8</v>
      </c>
      <c r="B4" s="0" t="s">
        <v>60</v>
      </c>
      <c r="C4" s="0" t="s">
        <v>7072</v>
      </c>
    </row>
    <row r="5" customFormat="false" ht="15" hidden="false" customHeight="false" outlineLevel="0" collapsed="false">
      <c r="A5" s="0" t="s">
        <v>8</v>
      </c>
      <c r="B5" s="0" t="s">
        <v>77</v>
      </c>
      <c r="C5" s="0" t="s">
        <v>7070</v>
      </c>
      <c r="D5" s="0" t="n">
        <v>1.2454</v>
      </c>
    </row>
    <row r="6" customFormat="false" ht="15" hidden="false" customHeight="false" outlineLevel="0" collapsed="false">
      <c r="A6" s="0" t="s">
        <v>8</v>
      </c>
      <c r="B6" s="0" t="s">
        <v>77</v>
      </c>
      <c r="C6" s="0" t="s">
        <v>7071</v>
      </c>
    </row>
    <row r="7" customFormat="false" ht="15" hidden="false" customHeight="false" outlineLevel="0" collapsed="false">
      <c r="A7" s="0" t="s">
        <v>8</v>
      </c>
      <c r="B7" s="0" t="s">
        <v>77</v>
      </c>
      <c r="C7" s="0" t="s">
        <v>7072</v>
      </c>
    </row>
    <row r="8" customFormat="false" ht="15" hidden="false" customHeight="false" outlineLevel="0" collapsed="false">
      <c r="A8" s="0" t="s">
        <v>8</v>
      </c>
      <c r="B8" s="0" t="s">
        <v>81</v>
      </c>
      <c r="C8" s="0" t="s">
        <v>7070</v>
      </c>
      <c r="D8" s="0" t="n">
        <v>3.1241</v>
      </c>
    </row>
    <row r="9" customFormat="false" ht="15" hidden="false" customHeight="false" outlineLevel="0" collapsed="false">
      <c r="A9" s="0" t="s">
        <v>8</v>
      </c>
      <c r="B9" s="0" t="s">
        <v>81</v>
      </c>
      <c r="C9" s="0" t="s">
        <v>7071</v>
      </c>
    </row>
    <row r="10" customFormat="false" ht="15" hidden="false" customHeight="false" outlineLevel="0" collapsed="false">
      <c r="A10" s="0" t="s">
        <v>8</v>
      </c>
      <c r="B10" s="0" t="s">
        <v>81</v>
      </c>
      <c r="C10" s="0" t="s">
        <v>7072</v>
      </c>
    </row>
    <row r="11" customFormat="false" ht="15" hidden="false" customHeight="false" outlineLevel="0" collapsed="false">
      <c r="A11" s="0" t="s">
        <v>8</v>
      </c>
      <c r="B11" s="0" t="s">
        <v>85</v>
      </c>
      <c r="C11" s="0" t="s">
        <v>7070</v>
      </c>
      <c r="D11" s="0" t="n">
        <v>0.4491</v>
      </c>
    </row>
    <row r="12" customFormat="false" ht="15" hidden="false" customHeight="false" outlineLevel="0" collapsed="false">
      <c r="A12" s="0" t="s">
        <v>8</v>
      </c>
      <c r="B12" s="0" t="s">
        <v>85</v>
      </c>
      <c r="C12" s="0" t="s">
        <v>7071</v>
      </c>
    </row>
    <row r="13" customFormat="false" ht="15" hidden="false" customHeight="false" outlineLevel="0" collapsed="false">
      <c r="A13" s="0" t="s">
        <v>8</v>
      </c>
      <c r="B13" s="0" t="s">
        <v>85</v>
      </c>
      <c r="C13" s="0" t="s">
        <v>7072</v>
      </c>
    </row>
    <row r="14" customFormat="false" ht="15" hidden="false" customHeight="false" outlineLevel="0" collapsed="false">
      <c r="A14" s="0" t="s">
        <v>8</v>
      </c>
      <c r="B14" s="0" t="s">
        <v>90</v>
      </c>
      <c r="C14" s="0" t="s">
        <v>7070</v>
      </c>
      <c r="D14" s="0" t="n">
        <v>1.9088</v>
      </c>
    </row>
    <row r="15" customFormat="false" ht="15" hidden="false" customHeight="false" outlineLevel="0" collapsed="false">
      <c r="A15" s="0" t="s">
        <v>8</v>
      </c>
      <c r="B15" s="0" t="s">
        <v>90</v>
      </c>
      <c r="C15" s="0" t="s">
        <v>7071</v>
      </c>
    </row>
    <row r="16" customFormat="false" ht="15" hidden="false" customHeight="false" outlineLevel="0" collapsed="false">
      <c r="A16" s="0" t="s">
        <v>8</v>
      </c>
      <c r="B16" s="0" t="s">
        <v>90</v>
      </c>
      <c r="C16" s="0" t="s">
        <v>7072</v>
      </c>
    </row>
    <row r="17" customFormat="false" ht="15" hidden="false" customHeight="false" outlineLevel="0" collapsed="false">
      <c r="A17" s="0" t="s">
        <v>8</v>
      </c>
      <c r="B17" s="0" t="s">
        <v>94</v>
      </c>
      <c r="C17" s="0" t="s">
        <v>7070</v>
      </c>
      <c r="D17" s="0" t="n">
        <v>0.5482</v>
      </c>
    </row>
    <row r="18" customFormat="false" ht="15" hidden="false" customHeight="false" outlineLevel="0" collapsed="false">
      <c r="A18" s="0" t="s">
        <v>8</v>
      </c>
      <c r="B18" s="0" t="s">
        <v>94</v>
      </c>
      <c r="C18" s="0" t="s">
        <v>7071</v>
      </c>
    </row>
    <row r="19" customFormat="false" ht="15" hidden="false" customHeight="false" outlineLevel="0" collapsed="false">
      <c r="A19" s="0" t="s">
        <v>8</v>
      </c>
      <c r="B19" s="0" t="s">
        <v>94</v>
      </c>
      <c r="C19" s="0" t="s">
        <v>7072</v>
      </c>
    </row>
    <row r="20" customFormat="false" ht="15" hidden="false" customHeight="false" outlineLevel="0" collapsed="false">
      <c r="A20" s="0" t="s">
        <v>8</v>
      </c>
      <c r="B20" s="0" t="s">
        <v>98</v>
      </c>
      <c r="C20" s="0" t="s">
        <v>7070</v>
      </c>
      <c r="D20" s="0" t="n">
        <v>1.1261</v>
      </c>
    </row>
    <row r="21" customFormat="false" ht="15" hidden="false" customHeight="false" outlineLevel="0" collapsed="false">
      <c r="A21" s="0" t="s">
        <v>8</v>
      </c>
      <c r="B21" s="0" t="s">
        <v>98</v>
      </c>
      <c r="C21" s="0" t="s">
        <v>7071</v>
      </c>
    </row>
    <row r="22" customFormat="false" ht="15" hidden="false" customHeight="false" outlineLevel="0" collapsed="false">
      <c r="A22" s="0" t="s">
        <v>8</v>
      </c>
      <c r="B22" s="0" t="s">
        <v>98</v>
      </c>
      <c r="C22" s="0" t="s">
        <v>7072</v>
      </c>
    </row>
    <row r="23" customFormat="false" ht="15" hidden="false" customHeight="false" outlineLevel="0" collapsed="false">
      <c r="A23" s="0" t="s">
        <v>8</v>
      </c>
      <c r="B23" s="0" t="s">
        <v>101</v>
      </c>
      <c r="C23" s="0" t="s">
        <v>7070</v>
      </c>
      <c r="D23" s="0" t="n">
        <v>2.6393</v>
      </c>
    </row>
    <row r="24" customFormat="false" ht="15" hidden="false" customHeight="false" outlineLevel="0" collapsed="false">
      <c r="A24" s="0" t="s">
        <v>8</v>
      </c>
      <c r="B24" s="0" t="s">
        <v>101</v>
      </c>
      <c r="C24" s="0" t="s">
        <v>7071</v>
      </c>
    </row>
    <row r="25" customFormat="false" ht="15" hidden="false" customHeight="false" outlineLevel="0" collapsed="false">
      <c r="A25" s="0" t="s">
        <v>8</v>
      </c>
      <c r="B25" s="0" t="s">
        <v>101</v>
      </c>
      <c r="C25" s="0" t="s">
        <v>7072</v>
      </c>
    </row>
    <row r="26" customFormat="false" ht="15" hidden="false" customHeight="false" outlineLevel="0" collapsed="false">
      <c r="A26" s="0" t="s">
        <v>8</v>
      </c>
      <c r="B26" s="0" t="s">
        <v>104</v>
      </c>
      <c r="C26" s="0" t="s">
        <v>7070</v>
      </c>
      <c r="D26" s="0" t="n">
        <v>0.2681</v>
      </c>
    </row>
    <row r="27" customFormat="false" ht="15" hidden="false" customHeight="false" outlineLevel="0" collapsed="false">
      <c r="A27" s="0" t="s">
        <v>8</v>
      </c>
      <c r="B27" s="0" t="s">
        <v>104</v>
      </c>
      <c r="C27" s="0" t="s">
        <v>7071</v>
      </c>
    </row>
    <row r="28" customFormat="false" ht="15" hidden="false" customHeight="false" outlineLevel="0" collapsed="false">
      <c r="A28" s="0" t="s">
        <v>8</v>
      </c>
      <c r="B28" s="0" t="s">
        <v>104</v>
      </c>
      <c r="C28" s="0" t="s">
        <v>7072</v>
      </c>
    </row>
    <row r="29" customFormat="false" ht="15" hidden="false" customHeight="false" outlineLevel="0" collapsed="false">
      <c r="A29" s="0" t="s">
        <v>8</v>
      </c>
      <c r="B29" s="0" t="s">
        <v>107</v>
      </c>
      <c r="C29" s="0" t="s">
        <v>7070</v>
      </c>
      <c r="D29" s="0" t="n">
        <v>1.6178</v>
      </c>
    </row>
    <row r="30" customFormat="false" ht="15" hidden="false" customHeight="false" outlineLevel="0" collapsed="false">
      <c r="A30" s="0" t="s">
        <v>8</v>
      </c>
      <c r="B30" s="0" t="s">
        <v>107</v>
      </c>
      <c r="C30" s="0" t="s">
        <v>7071</v>
      </c>
    </row>
    <row r="31" customFormat="false" ht="15" hidden="false" customHeight="false" outlineLevel="0" collapsed="false">
      <c r="A31" s="0" t="s">
        <v>8</v>
      </c>
      <c r="B31" s="0" t="s">
        <v>107</v>
      </c>
      <c r="C31" s="0" t="s">
        <v>7072</v>
      </c>
    </row>
    <row r="32" customFormat="false" ht="15" hidden="false" customHeight="false" outlineLevel="0" collapsed="false">
      <c r="A32" s="0" t="s">
        <v>8</v>
      </c>
      <c r="B32" s="0" t="s">
        <v>110</v>
      </c>
      <c r="C32" s="0" t="s">
        <v>7070</v>
      </c>
      <c r="D32" s="0" t="n">
        <v>0.0259</v>
      </c>
    </row>
    <row r="33" customFormat="false" ht="15" hidden="false" customHeight="false" outlineLevel="0" collapsed="false">
      <c r="A33" s="0" t="s">
        <v>8</v>
      </c>
      <c r="B33" s="0" t="s">
        <v>110</v>
      </c>
      <c r="C33" s="0" t="s">
        <v>7071</v>
      </c>
    </row>
    <row r="34" customFormat="false" ht="15" hidden="false" customHeight="false" outlineLevel="0" collapsed="false">
      <c r="A34" s="0" t="s">
        <v>8</v>
      </c>
      <c r="B34" s="0" t="s">
        <v>110</v>
      </c>
      <c r="C34" s="0" t="s">
        <v>7072</v>
      </c>
    </row>
    <row r="35" customFormat="false" ht="15" hidden="false" customHeight="false" outlineLevel="0" collapsed="false">
      <c r="A35" s="0" t="s">
        <v>8</v>
      </c>
      <c r="B35" s="0" t="s">
        <v>114</v>
      </c>
      <c r="C35" s="0" t="s">
        <v>7070</v>
      </c>
      <c r="D35" s="0" t="n">
        <v>0.1192</v>
      </c>
    </row>
    <row r="36" customFormat="false" ht="15" hidden="false" customHeight="false" outlineLevel="0" collapsed="false">
      <c r="A36" s="0" t="s">
        <v>8</v>
      </c>
      <c r="B36" s="0" t="s">
        <v>114</v>
      </c>
      <c r="C36" s="0" t="s">
        <v>7071</v>
      </c>
    </row>
    <row r="37" customFormat="false" ht="15" hidden="false" customHeight="false" outlineLevel="0" collapsed="false">
      <c r="A37" s="0" t="s">
        <v>8</v>
      </c>
      <c r="B37" s="0" t="s">
        <v>114</v>
      </c>
      <c r="C37" s="0" t="s">
        <v>7072</v>
      </c>
    </row>
    <row r="38" customFormat="false" ht="15" hidden="false" customHeight="false" outlineLevel="0" collapsed="false">
      <c r="A38" s="0" t="s">
        <v>8</v>
      </c>
      <c r="B38" s="0" t="s">
        <v>117</v>
      </c>
      <c r="C38" s="0" t="s">
        <v>7070</v>
      </c>
      <c r="D38" s="0" t="n">
        <v>0.4848</v>
      </c>
    </row>
    <row r="39" customFormat="false" ht="15" hidden="false" customHeight="false" outlineLevel="0" collapsed="false">
      <c r="A39" s="0" t="s">
        <v>8</v>
      </c>
      <c r="B39" s="0" t="s">
        <v>117</v>
      </c>
      <c r="C39" s="0" t="s">
        <v>7071</v>
      </c>
    </row>
    <row r="40" customFormat="false" ht="15" hidden="false" customHeight="false" outlineLevel="0" collapsed="false">
      <c r="A40" s="0" t="s">
        <v>8</v>
      </c>
      <c r="B40" s="0" t="s">
        <v>117</v>
      </c>
      <c r="C40" s="0" t="s">
        <v>7072</v>
      </c>
    </row>
    <row r="41" customFormat="false" ht="15" hidden="false" customHeight="false" outlineLevel="0" collapsed="false">
      <c r="A41" s="0" t="s">
        <v>8</v>
      </c>
      <c r="B41" s="0" t="s">
        <v>120</v>
      </c>
      <c r="C41" s="0" t="s">
        <v>7070</v>
      </c>
      <c r="D41" s="0" t="n">
        <v>0.181</v>
      </c>
    </row>
    <row r="42" customFormat="false" ht="15" hidden="false" customHeight="false" outlineLevel="0" collapsed="false">
      <c r="A42" s="0" t="s">
        <v>8</v>
      </c>
      <c r="B42" s="0" t="s">
        <v>120</v>
      </c>
      <c r="C42" s="0" t="s">
        <v>7071</v>
      </c>
    </row>
    <row r="43" customFormat="false" ht="15" hidden="false" customHeight="false" outlineLevel="0" collapsed="false">
      <c r="A43" s="0" t="s">
        <v>8</v>
      </c>
      <c r="B43" s="0" t="s">
        <v>120</v>
      </c>
      <c r="C43" s="0" t="s">
        <v>7072</v>
      </c>
    </row>
    <row r="44" customFormat="false" ht="15" hidden="false" customHeight="false" outlineLevel="0" collapsed="false">
      <c r="A44" s="0" t="s">
        <v>8</v>
      </c>
      <c r="B44" s="0" t="s">
        <v>123</v>
      </c>
      <c r="C44" s="0" t="s">
        <v>7070</v>
      </c>
      <c r="D44" s="0" t="n">
        <v>0.291</v>
      </c>
    </row>
    <row r="45" customFormat="false" ht="15" hidden="false" customHeight="false" outlineLevel="0" collapsed="false">
      <c r="A45" s="0" t="s">
        <v>8</v>
      </c>
      <c r="B45" s="0" t="s">
        <v>123</v>
      </c>
      <c r="C45" s="0" t="s">
        <v>7071</v>
      </c>
    </row>
    <row r="46" customFormat="false" ht="15" hidden="false" customHeight="false" outlineLevel="0" collapsed="false">
      <c r="A46" s="0" t="s">
        <v>8</v>
      </c>
      <c r="B46" s="0" t="s">
        <v>123</v>
      </c>
      <c r="C46" s="0" t="s">
        <v>7072</v>
      </c>
    </row>
    <row r="47" customFormat="false" ht="15" hidden="false" customHeight="false" outlineLevel="0" collapsed="false">
      <c r="A47" s="0" t="s">
        <v>8</v>
      </c>
      <c r="B47" s="0" t="s">
        <v>126</v>
      </c>
      <c r="C47" s="0" t="s">
        <v>7070</v>
      </c>
      <c r="D47" s="0" t="n">
        <v>0.2605</v>
      </c>
    </row>
    <row r="48" customFormat="false" ht="15" hidden="false" customHeight="false" outlineLevel="0" collapsed="false">
      <c r="A48" s="0" t="s">
        <v>8</v>
      </c>
      <c r="B48" s="0" t="s">
        <v>126</v>
      </c>
      <c r="C48" s="0" t="s">
        <v>7071</v>
      </c>
    </row>
    <row r="49" customFormat="false" ht="15" hidden="false" customHeight="false" outlineLevel="0" collapsed="false">
      <c r="A49" s="0" t="s">
        <v>8</v>
      </c>
      <c r="B49" s="0" t="s">
        <v>126</v>
      </c>
      <c r="C49" s="0" t="s">
        <v>7072</v>
      </c>
    </row>
    <row r="50" customFormat="false" ht="15" hidden="false" customHeight="false" outlineLevel="0" collapsed="false">
      <c r="A50" s="0" t="s">
        <v>8</v>
      </c>
      <c r="B50" s="0" t="s">
        <v>130</v>
      </c>
      <c r="C50" s="0" t="s">
        <v>7070</v>
      </c>
      <c r="D50" s="0" t="n">
        <v>0.4406</v>
      </c>
    </row>
    <row r="51" customFormat="false" ht="15" hidden="false" customHeight="false" outlineLevel="0" collapsed="false">
      <c r="A51" s="0" t="s">
        <v>8</v>
      </c>
      <c r="B51" s="0" t="s">
        <v>130</v>
      </c>
      <c r="C51" s="0" t="s">
        <v>7071</v>
      </c>
    </row>
    <row r="52" customFormat="false" ht="15" hidden="false" customHeight="false" outlineLevel="0" collapsed="false">
      <c r="A52" s="0" t="s">
        <v>8</v>
      </c>
      <c r="B52" s="0" t="s">
        <v>130</v>
      </c>
      <c r="C52" s="0" t="s">
        <v>7072</v>
      </c>
    </row>
    <row r="53" customFormat="false" ht="15" hidden="false" customHeight="false" outlineLevel="0" collapsed="false">
      <c r="A53" s="0" t="s">
        <v>8</v>
      </c>
      <c r="B53" s="0" t="s">
        <v>133</v>
      </c>
      <c r="C53" s="0" t="s">
        <v>7070</v>
      </c>
      <c r="D53" s="0" t="n">
        <v>1.3653</v>
      </c>
    </row>
    <row r="54" customFormat="false" ht="15" hidden="false" customHeight="false" outlineLevel="0" collapsed="false">
      <c r="A54" s="0" t="s">
        <v>8</v>
      </c>
      <c r="B54" s="0" t="s">
        <v>133</v>
      </c>
      <c r="C54" s="0" t="s">
        <v>7071</v>
      </c>
    </row>
    <row r="55" customFormat="false" ht="15" hidden="false" customHeight="false" outlineLevel="0" collapsed="false">
      <c r="A55" s="0" t="s">
        <v>8</v>
      </c>
      <c r="B55" s="0" t="s">
        <v>133</v>
      </c>
      <c r="C55" s="0" t="s">
        <v>7072</v>
      </c>
    </row>
    <row r="56" customFormat="false" ht="15" hidden="false" customHeight="false" outlineLevel="0" collapsed="false">
      <c r="A56" s="0" t="s">
        <v>8</v>
      </c>
      <c r="B56" s="0" t="s">
        <v>136</v>
      </c>
      <c r="C56" s="0" t="s">
        <v>7070</v>
      </c>
      <c r="D56" s="0" t="n">
        <v>0.2295</v>
      </c>
    </row>
    <row r="57" customFormat="false" ht="15" hidden="false" customHeight="false" outlineLevel="0" collapsed="false">
      <c r="A57" s="0" t="s">
        <v>8</v>
      </c>
      <c r="B57" s="0" t="s">
        <v>136</v>
      </c>
      <c r="C57" s="0" t="s">
        <v>7071</v>
      </c>
    </row>
    <row r="58" customFormat="false" ht="15" hidden="false" customHeight="false" outlineLevel="0" collapsed="false">
      <c r="A58" s="0" t="s">
        <v>8</v>
      </c>
      <c r="B58" s="0" t="s">
        <v>136</v>
      </c>
      <c r="C58" s="0" t="s">
        <v>7072</v>
      </c>
    </row>
    <row r="59" customFormat="false" ht="15" hidden="false" customHeight="false" outlineLevel="0" collapsed="false">
      <c r="A59" s="0" t="s">
        <v>8</v>
      </c>
      <c r="B59" s="0" t="s">
        <v>139</v>
      </c>
      <c r="C59" s="0" t="s">
        <v>7070</v>
      </c>
      <c r="D59" s="0" t="n">
        <v>0.9545</v>
      </c>
    </row>
    <row r="60" customFormat="false" ht="15" hidden="false" customHeight="false" outlineLevel="0" collapsed="false">
      <c r="A60" s="0" t="s">
        <v>8</v>
      </c>
      <c r="B60" s="0" t="s">
        <v>139</v>
      </c>
      <c r="C60" s="0" t="s">
        <v>7071</v>
      </c>
    </row>
    <row r="61" customFormat="false" ht="15" hidden="false" customHeight="false" outlineLevel="0" collapsed="false">
      <c r="A61" s="0" t="s">
        <v>8</v>
      </c>
      <c r="B61" s="0" t="s">
        <v>139</v>
      </c>
      <c r="C61" s="0" t="s">
        <v>7072</v>
      </c>
    </row>
    <row r="62" customFormat="false" ht="15" hidden="false" customHeight="false" outlineLevel="0" collapsed="false">
      <c r="A62" s="0" t="s">
        <v>8</v>
      </c>
      <c r="B62" s="0" t="s">
        <v>142</v>
      </c>
      <c r="C62" s="0" t="s">
        <v>7070</v>
      </c>
      <c r="D62" s="0" t="n">
        <v>0</v>
      </c>
    </row>
    <row r="63" customFormat="false" ht="15" hidden="false" customHeight="false" outlineLevel="0" collapsed="false">
      <c r="A63" s="0" t="s">
        <v>8</v>
      </c>
      <c r="B63" s="0" t="s">
        <v>142</v>
      </c>
      <c r="C63" s="0" t="s">
        <v>7071</v>
      </c>
    </row>
    <row r="64" customFormat="false" ht="15" hidden="false" customHeight="false" outlineLevel="0" collapsed="false">
      <c r="A64" s="0" t="s">
        <v>8</v>
      </c>
      <c r="B64" s="0" t="s">
        <v>142</v>
      </c>
      <c r="C64" s="0" t="s">
        <v>7072</v>
      </c>
    </row>
    <row r="65" customFormat="false" ht="15" hidden="false" customHeight="false" outlineLevel="0" collapsed="false">
      <c r="A65" s="0" t="s">
        <v>8</v>
      </c>
      <c r="B65" s="0" t="s">
        <v>146</v>
      </c>
      <c r="C65" s="0" t="s">
        <v>7070</v>
      </c>
      <c r="D65" s="0" t="n">
        <v>0.12</v>
      </c>
    </row>
    <row r="66" customFormat="false" ht="15" hidden="false" customHeight="false" outlineLevel="0" collapsed="false">
      <c r="A66" s="0" t="s">
        <v>8</v>
      </c>
      <c r="B66" s="0" t="s">
        <v>146</v>
      </c>
      <c r="C66" s="0" t="s">
        <v>7071</v>
      </c>
    </row>
    <row r="67" customFormat="false" ht="15" hidden="false" customHeight="false" outlineLevel="0" collapsed="false">
      <c r="A67" s="0" t="s">
        <v>8</v>
      </c>
      <c r="B67" s="0" t="s">
        <v>146</v>
      </c>
      <c r="C67" s="0" t="s">
        <v>7072</v>
      </c>
    </row>
    <row r="68" customFormat="false" ht="15" hidden="false" customHeight="false" outlineLevel="0" collapsed="false">
      <c r="A68" s="0" t="s">
        <v>8</v>
      </c>
      <c r="B68" s="0" t="s">
        <v>149</v>
      </c>
      <c r="C68" s="0" t="s">
        <v>7070</v>
      </c>
      <c r="D68" s="0" t="n">
        <v>0.3017</v>
      </c>
    </row>
    <row r="69" customFormat="false" ht="15" hidden="false" customHeight="false" outlineLevel="0" collapsed="false">
      <c r="A69" s="0" t="s">
        <v>8</v>
      </c>
      <c r="B69" s="0" t="s">
        <v>149</v>
      </c>
      <c r="C69" s="0" t="s">
        <v>7071</v>
      </c>
    </row>
    <row r="70" customFormat="false" ht="15" hidden="false" customHeight="false" outlineLevel="0" collapsed="false">
      <c r="A70" s="0" t="s">
        <v>8</v>
      </c>
      <c r="B70" s="0" t="s">
        <v>149</v>
      </c>
      <c r="C70" s="0" t="s">
        <v>7072</v>
      </c>
    </row>
    <row r="71" customFormat="false" ht="15" hidden="false" customHeight="false" outlineLevel="0" collapsed="false">
      <c r="A71" s="0" t="s">
        <v>8</v>
      </c>
      <c r="B71" s="0" t="s">
        <v>152</v>
      </c>
      <c r="C71" s="0" t="s">
        <v>7070</v>
      </c>
      <c r="D71" s="0" t="n">
        <v>0.0845</v>
      </c>
    </row>
    <row r="72" customFormat="false" ht="15" hidden="false" customHeight="false" outlineLevel="0" collapsed="false">
      <c r="A72" s="0" t="s">
        <v>8</v>
      </c>
      <c r="B72" s="0" t="s">
        <v>152</v>
      </c>
      <c r="C72" s="0" t="s">
        <v>7071</v>
      </c>
    </row>
    <row r="73" customFormat="false" ht="15" hidden="false" customHeight="false" outlineLevel="0" collapsed="false">
      <c r="A73" s="0" t="s">
        <v>8</v>
      </c>
      <c r="B73" s="0" t="s">
        <v>152</v>
      </c>
      <c r="C73" s="0" t="s">
        <v>7072</v>
      </c>
    </row>
    <row r="74" customFormat="false" ht="15" hidden="false" customHeight="false" outlineLevel="0" collapsed="false">
      <c r="A74" s="0" t="s">
        <v>8</v>
      </c>
      <c r="B74" s="0" t="s">
        <v>155</v>
      </c>
      <c r="C74" s="0" t="s">
        <v>7070</v>
      </c>
      <c r="D74" s="0" t="n">
        <v>0.3584</v>
      </c>
    </row>
    <row r="75" customFormat="false" ht="15" hidden="false" customHeight="false" outlineLevel="0" collapsed="false">
      <c r="A75" s="0" t="s">
        <v>8</v>
      </c>
      <c r="B75" s="0" t="s">
        <v>155</v>
      </c>
      <c r="C75" s="0" t="s">
        <v>7071</v>
      </c>
    </row>
    <row r="76" customFormat="false" ht="15" hidden="false" customHeight="false" outlineLevel="0" collapsed="false">
      <c r="A76" s="0" t="s">
        <v>8</v>
      </c>
      <c r="B76" s="0" t="s">
        <v>155</v>
      </c>
      <c r="C76" s="0" t="s">
        <v>7072</v>
      </c>
    </row>
    <row r="77" customFormat="false" ht="15" hidden="false" customHeight="false" outlineLevel="0" collapsed="false">
      <c r="A77" s="0" t="s">
        <v>8</v>
      </c>
      <c r="B77" s="0" t="s">
        <v>158</v>
      </c>
      <c r="C77" s="0" t="s">
        <v>7070</v>
      </c>
      <c r="D77" s="0" t="n">
        <v>0.1643</v>
      </c>
    </row>
    <row r="78" customFormat="false" ht="15" hidden="false" customHeight="false" outlineLevel="0" collapsed="false">
      <c r="A78" s="0" t="s">
        <v>8</v>
      </c>
      <c r="B78" s="0" t="s">
        <v>158</v>
      </c>
      <c r="C78" s="0" t="s">
        <v>7071</v>
      </c>
    </row>
    <row r="79" customFormat="false" ht="15" hidden="false" customHeight="false" outlineLevel="0" collapsed="false">
      <c r="A79" s="0" t="s">
        <v>8</v>
      </c>
      <c r="B79" s="0" t="s">
        <v>158</v>
      </c>
      <c r="C79" s="0" t="s">
        <v>7072</v>
      </c>
    </row>
    <row r="80" customFormat="false" ht="15" hidden="false" customHeight="false" outlineLevel="0" collapsed="false">
      <c r="A80" s="0" t="s">
        <v>8</v>
      </c>
      <c r="B80" s="0" t="s">
        <v>162</v>
      </c>
      <c r="C80" s="0" t="s">
        <v>7070</v>
      </c>
      <c r="D80" s="0" t="n">
        <v>0.1537</v>
      </c>
    </row>
    <row r="81" customFormat="false" ht="15" hidden="false" customHeight="false" outlineLevel="0" collapsed="false">
      <c r="A81" s="0" t="s">
        <v>8</v>
      </c>
      <c r="B81" s="0" t="s">
        <v>162</v>
      </c>
      <c r="C81" s="0" t="s">
        <v>7071</v>
      </c>
    </row>
    <row r="82" customFormat="false" ht="15" hidden="false" customHeight="false" outlineLevel="0" collapsed="false">
      <c r="A82" s="0" t="s">
        <v>8</v>
      </c>
      <c r="B82" s="0" t="s">
        <v>162</v>
      </c>
      <c r="C82" s="0" t="s">
        <v>7072</v>
      </c>
    </row>
    <row r="83" customFormat="false" ht="15" hidden="false" customHeight="false" outlineLevel="0" collapsed="false">
      <c r="A83" s="0" t="s">
        <v>8</v>
      </c>
      <c r="B83" s="0" t="s">
        <v>165</v>
      </c>
      <c r="C83" s="0" t="s">
        <v>7070</v>
      </c>
      <c r="D83" s="0" t="n">
        <v>0.7426</v>
      </c>
    </row>
    <row r="84" customFormat="false" ht="15" hidden="false" customHeight="false" outlineLevel="0" collapsed="false">
      <c r="A84" s="0" t="s">
        <v>8</v>
      </c>
      <c r="B84" s="0" t="s">
        <v>165</v>
      </c>
      <c r="C84" s="0" t="s">
        <v>7071</v>
      </c>
    </row>
    <row r="85" customFormat="false" ht="15" hidden="false" customHeight="false" outlineLevel="0" collapsed="false">
      <c r="A85" s="0" t="s">
        <v>8</v>
      </c>
      <c r="B85" s="0" t="s">
        <v>165</v>
      </c>
      <c r="C85" s="0" t="s">
        <v>7072</v>
      </c>
    </row>
    <row r="86" customFormat="false" ht="15" hidden="false" customHeight="false" outlineLevel="0" collapsed="false">
      <c r="A86" s="0" t="s">
        <v>8</v>
      </c>
      <c r="B86" s="0" t="s">
        <v>168</v>
      </c>
      <c r="C86" s="0" t="s">
        <v>7070</v>
      </c>
      <c r="D86" s="0" t="n">
        <v>0.1083</v>
      </c>
    </row>
    <row r="87" customFormat="false" ht="15" hidden="false" customHeight="false" outlineLevel="0" collapsed="false">
      <c r="A87" s="0" t="s">
        <v>8</v>
      </c>
      <c r="B87" s="0" t="s">
        <v>168</v>
      </c>
      <c r="C87" s="0" t="s">
        <v>7071</v>
      </c>
    </row>
    <row r="88" customFormat="false" ht="15" hidden="false" customHeight="false" outlineLevel="0" collapsed="false">
      <c r="A88" s="0" t="s">
        <v>8</v>
      </c>
      <c r="B88" s="0" t="s">
        <v>168</v>
      </c>
      <c r="C88" s="0" t="s">
        <v>7072</v>
      </c>
    </row>
    <row r="89" customFormat="false" ht="15" hidden="false" customHeight="false" outlineLevel="0" collapsed="false">
      <c r="A89" s="0" t="s">
        <v>8</v>
      </c>
      <c r="B89" s="0" t="s">
        <v>171</v>
      </c>
      <c r="C89" s="0" t="s">
        <v>7070</v>
      </c>
      <c r="D89" s="0" t="n">
        <v>0.3763</v>
      </c>
    </row>
    <row r="90" customFormat="false" ht="15" hidden="false" customHeight="false" outlineLevel="0" collapsed="false">
      <c r="A90" s="0" t="s">
        <v>8</v>
      </c>
      <c r="B90" s="0" t="s">
        <v>171</v>
      </c>
      <c r="C90" s="0" t="s">
        <v>7071</v>
      </c>
    </row>
    <row r="91" customFormat="false" ht="15" hidden="false" customHeight="false" outlineLevel="0" collapsed="false">
      <c r="A91" s="0" t="s">
        <v>8</v>
      </c>
      <c r="B91" s="0" t="s">
        <v>171</v>
      </c>
      <c r="C91" s="0" t="s">
        <v>7072</v>
      </c>
    </row>
    <row r="92" customFormat="false" ht="15" hidden="false" customHeight="false" outlineLevel="0" collapsed="false">
      <c r="A92" s="0" t="s">
        <v>8</v>
      </c>
      <c r="B92" s="0" t="s">
        <v>174</v>
      </c>
      <c r="C92" s="0" t="s">
        <v>7070</v>
      </c>
      <c r="D92" s="0" t="n">
        <v>0.3136</v>
      </c>
    </row>
    <row r="93" customFormat="false" ht="15" hidden="false" customHeight="false" outlineLevel="0" collapsed="false">
      <c r="A93" s="0" t="s">
        <v>8</v>
      </c>
      <c r="B93" s="0" t="s">
        <v>174</v>
      </c>
      <c r="C93" s="0" t="s">
        <v>7071</v>
      </c>
    </row>
    <row r="94" customFormat="false" ht="15" hidden="false" customHeight="false" outlineLevel="0" collapsed="false">
      <c r="A94" s="0" t="s">
        <v>8</v>
      </c>
      <c r="B94" s="0" t="s">
        <v>174</v>
      </c>
      <c r="C94" s="0" t="s">
        <v>7072</v>
      </c>
    </row>
    <row r="95" customFormat="false" ht="15" hidden="false" customHeight="false" outlineLevel="0" collapsed="false">
      <c r="A95" s="0" t="s">
        <v>8</v>
      </c>
      <c r="B95" s="0" t="s">
        <v>178</v>
      </c>
      <c r="C95" s="0" t="s">
        <v>7070</v>
      </c>
      <c r="D95" s="0" t="n">
        <v>0.8048</v>
      </c>
    </row>
    <row r="96" customFormat="false" ht="15" hidden="false" customHeight="false" outlineLevel="0" collapsed="false">
      <c r="A96" s="0" t="s">
        <v>8</v>
      </c>
      <c r="B96" s="0" t="s">
        <v>178</v>
      </c>
      <c r="C96" s="0" t="s">
        <v>7071</v>
      </c>
    </row>
    <row r="97" customFormat="false" ht="15" hidden="false" customHeight="false" outlineLevel="0" collapsed="false">
      <c r="A97" s="0" t="s">
        <v>8</v>
      </c>
      <c r="B97" s="0" t="s">
        <v>178</v>
      </c>
      <c r="C97" s="0" t="s">
        <v>7072</v>
      </c>
    </row>
    <row r="98" customFormat="false" ht="15" hidden="false" customHeight="false" outlineLevel="0" collapsed="false">
      <c r="A98" s="0" t="s">
        <v>8</v>
      </c>
      <c r="B98" s="0" t="s">
        <v>181</v>
      </c>
      <c r="C98" s="0" t="s">
        <v>7070</v>
      </c>
      <c r="D98" s="0" t="n">
        <v>1.7589</v>
      </c>
    </row>
    <row r="99" customFormat="false" ht="15" hidden="false" customHeight="false" outlineLevel="0" collapsed="false">
      <c r="A99" s="0" t="s">
        <v>8</v>
      </c>
      <c r="B99" s="0" t="s">
        <v>181</v>
      </c>
      <c r="C99" s="0" t="s">
        <v>7071</v>
      </c>
    </row>
    <row r="100" customFormat="false" ht="15" hidden="false" customHeight="false" outlineLevel="0" collapsed="false">
      <c r="A100" s="0" t="s">
        <v>8</v>
      </c>
      <c r="B100" s="0" t="s">
        <v>181</v>
      </c>
      <c r="C100" s="0" t="s">
        <v>7072</v>
      </c>
    </row>
    <row r="101" customFormat="false" ht="15" hidden="false" customHeight="false" outlineLevel="0" collapsed="false">
      <c r="A101" s="0" t="s">
        <v>8</v>
      </c>
      <c r="B101" s="0" t="s">
        <v>184</v>
      </c>
      <c r="C101" s="0" t="s">
        <v>7070</v>
      </c>
      <c r="D101" s="0" t="n">
        <v>0.2196</v>
      </c>
    </row>
    <row r="102" customFormat="false" ht="15" hidden="false" customHeight="false" outlineLevel="0" collapsed="false">
      <c r="A102" s="0" t="s">
        <v>8</v>
      </c>
      <c r="B102" s="0" t="s">
        <v>184</v>
      </c>
      <c r="C102" s="0" t="s">
        <v>7071</v>
      </c>
    </row>
    <row r="103" customFormat="false" ht="15" hidden="false" customHeight="false" outlineLevel="0" collapsed="false">
      <c r="A103" s="0" t="s">
        <v>8</v>
      </c>
      <c r="B103" s="0" t="s">
        <v>184</v>
      </c>
      <c r="C103" s="0" t="s">
        <v>7072</v>
      </c>
    </row>
    <row r="104" customFormat="false" ht="15" hidden="false" customHeight="false" outlineLevel="0" collapsed="false">
      <c r="A104" s="0" t="s">
        <v>8</v>
      </c>
      <c r="B104" s="0" t="s">
        <v>187</v>
      </c>
      <c r="C104" s="0" t="s">
        <v>7070</v>
      </c>
      <c r="D104" s="0" t="n">
        <v>0.9542</v>
      </c>
    </row>
    <row r="105" customFormat="false" ht="15" hidden="false" customHeight="false" outlineLevel="0" collapsed="false">
      <c r="A105" s="0" t="s">
        <v>8</v>
      </c>
      <c r="B105" s="0" t="s">
        <v>187</v>
      </c>
      <c r="C105" s="0" t="s">
        <v>7071</v>
      </c>
    </row>
    <row r="106" customFormat="false" ht="15" hidden="false" customHeight="false" outlineLevel="0" collapsed="false">
      <c r="A106" s="0" t="s">
        <v>8</v>
      </c>
      <c r="B106" s="0" t="s">
        <v>187</v>
      </c>
      <c r="C106" s="0" t="s">
        <v>7072</v>
      </c>
    </row>
    <row r="107" customFormat="false" ht="15" hidden="false" customHeight="false" outlineLevel="0" collapsed="false">
      <c r="A107" s="0" t="s">
        <v>8</v>
      </c>
      <c r="B107" s="0" t="s">
        <v>190</v>
      </c>
      <c r="C107" s="0" t="s">
        <v>7070</v>
      </c>
      <c r="D107" s="0" t="n">
        <v>0.2939</v>
      </c>
    </row>
    <row r="108" customFormat="false" ht="15" hidden="false" customHeight="false" outlineLevel="0" collapsed="false">
      <c r="A108" s="0" t="s">
        <v>8</v>
      </c>
      <c r="B108" s="0" t="s">
        <v>190</v>
      </c>
      <c r="C108" s="0" t="s">
        <v>7071</v>
      </c>
    </row>
    <row r="109" customFormat="false" ht="15" hidden="false" customHeight="false" outlineLevel="0" collapsed="false">
      <c r="A109" s="0" t="s">
        <v>8</v>
      </c>
      <c r="B109" s="0" t="s">
        <v>190</v>
      </c>
      <c r="C109" s="0" t="s">
        <v>7072</v>
      </c>
    </row>
    <row r="110" customFormat="false" ht="15" hidden="false" customHeight="false" outlineLevel="0" collapsed="false">
      <c r="A110" s="0" t="s">
        <v>8</v>
      </c>
      <c r="B110" s="0" t="s">
        <v>194</v>
      </c>
      <c r="C110" s="0" t="s">
        <v>7070</v>
      </c>
      <c r="D110" s="0" t="n">
        <v>0.7678</v>
      </c>
    </row>
    <row r="111" customFormat="false" ht="15" hidden="false" customHeight="false" outlineLevel="0" collapsed="false">
      <c r="A111" s="0" t="s">
        <v>8</v>
      </c>
      <c r="B111" s="0" t="s">
        <v>194</v>
      </c>
      <c r="C111" s="0" t="s">
        <v>7071</v>
      </c>
    </row>
    <row r="112" customFormat="false" ht="15" hidden="false" customHeight="false" outlineLevel="0" collapsed="false">
      <c r="A112" s="0" t="s">
        <v>8</v>
      </c>
      <c r="B112" s="0" t="s">
        <v>194</v>
      </c>
      <c r="C112" s="0" t="s">
        <v>7072</v>
      </c>
    </row>
    <row r="113" customFormat="false" ht="15" hidden="false" customHeight="false" outlineLevel="0" collapsed="false">
      <c r="A113" s="0" t="s">
        <v>8</v>
      </c>
      <c r="B113" s="0" t="s">
        <v>197</v>
      </c>
      <c r="C113" s="0" t="s">
        <v>7070</v>
      </c>
      <c r="D113" s="0" t="n">
        <v>1.7426</v>
      </c>
    </row>
    <row r="114" customFormat="false" ht="15" hidden="false" customHeight="false" outlineLevel="0" collapsed="false">
      <c r="A114" s="0" t="s">
        <v>8</v>
      </c>
      <c r="B114" s="0" t="s">
        <v>197</v>
      </c>
      <c r="C114" s="0" t="s">
        <v>7071</v>
      </c>
    </row>
    <row r="115" customFormat="false" ht="15" hidden="false" customHeight="false" outlineLevel="0" collapsed="false">
      <c r="A115" s="0" t="s">
        <v>8</v>
      </c>
      <c r="B115" s="0" t="s">
        <v>197</v>
      </c>
      <c r="C115" s="0" t="s">
        <v>7072</v>
      </c>
    </row>
    <row r="116" customFormat="false" ht="15" hidden="false" customHeight="false" outlineLevel="0" collapsed="false">
      <c r="A116" s="0" t="s">
        <v>8</v>
      </c>
      <c r="B116" s="0" t="s">
        <v>200</v>
      </c>
      <c r="C116" s="0" t="s">
        <v>7070</v>
      </c>
      <c r="D116" s="0" t="n">
        <v>0.1678</v>
      </c>
    </row>
    <row r="117" customFormat="false" ht="15" hidden="false" customHeight="false" outlineLevel="0" collapsed="false">
      <c r="A117" s="0" t="s">
        <v>8</v>
      </c>
      <c r="B117" s="0" t="s">
        <v>200</v>
      </c>
      <c r="C117" s="0" t="s">
        <v>7071</v>
      </c>
    </row>
    <row r="118" customFormat="false" ht="15" hidden="false" customHeight="false" outlineLevel="0" collapsed="false">
      <c r="A118" s="0" t="s">
        <v>8</v>
      </c>
      <c r="B118" s="0" t="s">
        <v>200</v>
      </c>
      <c r="C118" s="0" t="s">
        <v>7072</v>
      </c>
    </row>
    <row r="119" customFormat="false" ht="15" hidden="false" customHeight="false" outlineLevel="0" collapsed="false">
      <c r="A119" s="0" t="s">
        <v>8</v>
      </c>
      <c r="B119" s="0" t="s">
        <v>203</v>
      </c>
      <c r="C119" s="0" t="s">
        <v>7070</v>
      </c>
      <c r="D119" s="0" t="n">
        <v>0.9554</v>
      </c>
    </row>
    <row r="120" customFormat="false" ht="15" hidden="false" customHeight="false" outlineLevel="0" collapsed="false">
      <c r="A120" s="0" t="s">
        <v>8</v>
      </c>
      <c r="B120" s="0" t="s">
        <v>203</v>
      </c>
      <c r="C120" s="0" t="s">
        <v>7071</v>
      </c>
    </row>
    <row r="121" customFormat="false" ht="15" hidden="false" customHeight="false" outlineLevel="0" collapsed="false">
      <c r="A121" s="0" t="s">
        <v>8</v>
      </c>
      <c r="B121" s="0" t="s">
        <v>203</v>
      </c>
      <c r="C121" s="0" t="s">
        <v>7072</v>
      </c>
    </row>
    <row r="122" customFormat="false" ht="15" hidden="false" customHeight="false" outlineLevel="0" collapsed="false">
      <c r="A122" s="0" t="s">
        <v>8</v>
      </c>
      <c r="B122" s="0" t="s">
        <v>206</v>
      </c>
      <c r="C122" s="0" t="s">
        <v>7070</v>
      </c>
      <c r="D122" s="0" t="n">
        <v>0.0197</v>
      </c>
    </row>
    <row r="123" customFormat="false" ht="15" hidden="false" customHeight="false" outlineLevel="0" collapsed="false">
      <c r="A123" s="0" t="s">
        <v>8</v>
      </c>
      <c r="B123" s="0" t="s">
        <v>206</v>
      </c>
      <c r="C123" s="0" t="s">
        <v>7071</v>
      </c>
    </row>
    <row r="124" customFormat="false" ht="15" hidden="false" customHeight="false" outlineLevel="0" collapsed="false">
      <c r="A124" s="0" t="s">
        <v>8</v>
      </c>
      <c r="B124" s="0" t="s">
        <v>206</v>
      </c>
      <c r="C124" s="0" t="s">
        <v>7072</v>
      </c>
    </row>
    <row r="125" customFormat="false" ht="15" hidden="false" customHeight="false" outlineLevel="0" collapsed="false">
      <c r="A125" s="0" t="s">
        <v>8</v>
      </c>
      <c r="B125" s="0" t="s">
        <v>210</v>
      </c>
      <c r="C125" s="0" t="s">
        <v>7070</v>
      </c>
      <c r="D125" s="0" t="n">
        <v>0.037</v>
      </c>
    </row>
    <row r="126" customFormat="false" ht="15" hidden="false" customHeight="false" outlineLevel="0" collapsed="false">
      <c r="A126" s="0" t="s">
        <v>8</v>
      </c>
      <c r="B126" s="0" t="s">
        <v>210</v>
      </c>
      <c r="C126" s="0" t="s">
        <v>7071</v>
      </c>
    </row>
    <row r="127" customFormat="false" ht="15" hidden="false" customHeight="false" outlineLevel="0" collapsed="false">
      <c r="A127" s="0" t="s">
        <v>8</v>
      </c>
      <c r="B127" s="0" t="s">
        <v>210</v>
      </c>
      <c r="C127" s="0" t="s">
        <v>7072</v>
      </c>
    </row>
    <row r="128" customFormat="false" ht="15" hidden="false" customHeight="false" outlineLevel="0" collapsed="false">
      <c r="A128" s="0" t="s">
        <v>8</v>
      </c>
      <c r="B128" s="0" t="s">
        <v>213</v>
      </c>
      <c r="C128" s="0" t="s">
        <v>7070</v>
      </c>
      <c r="D128" s="0" t="n">
        <v>0.0163</v>
      </c>
    </row>
    <row r="129" customFormat="false" ht="15" hidden="false" customHeight="false" outlineLevel="0" collapsed="false">
      <c r="A129" s="0" t="s">
        <v>8</v>
      </c>
      <c r="B129" s="0" t="s">
        <v>213</v>
      </c>
      <c r="C129" s="0" t="s">
        <v>7071</v>
      </c>
    </row>
    <row r="130" customFormat="false" ht="15" hidden="false" customHeight="false" outlineLevel="0" collapsed="false">
      <c r="A130" s="0" t="s">
        <v>8</v>
      </c>
      <c r="B130" s="0" t="s">
        <v>213</v>
      </c>
      <c r="C130" s="0" t="s">
        <v>7072</v>
      </c>
    </row>
    <row r="131" customFormat="false" ht="15" hidden="false" customHeight="false" outlineLevel="0" collapsed="false">
      <c r="A131" s="0" t="s">
        <v>8</v>
      </c>
      <c r="B131" s="0" t="s">
        <v>216</v>
      </c>
      <c r="C131" s="0" t="s">
        <v>7070</v>
      </c>
      <c r="D131" s="0" t="n">
        <v>0.0518</v>
      </c>
    </row>
    <row r="132" customFormat="false" ht="15" hidden="false" customHeight="false" outlineLevel="0" collapsed="false">
      <c r="A132" s="0" t="s">
        <v>8</v>
      </c>
      <c r="B132" s="0" t="s">
        <v>216</v>
      </c>
      <c r="C132" s="0" t="s">
        <v>7071</v>
      </c>
    </row>
    <row r="133" customFormat="false" ht="15" hidden="false" customHeight="false" outlineLevel="0" collapsed="false">
      <c r="A133" s="0" t="s">
        <v>8</v>
      </c>
      <c r="B133" s="0" t="s">
        <v>216</v>
      </c>
      <c r="C133" s="0" t="s">
        <v>7072</v>
      </c>
    </row>
    <row r="134" customFormat="false" ht="15" hidden="false" customHeight="false" outlineLevel="0" collapsed="false">
      <c r="A134" s="0" t="s">
        <v>8</v>
      </c>
      <c r="B134" s="0" t="s">
        <v>219</v>
      </c>
      <c r="C134" s="0" t="s">
        <v>7070</v>
      </c>
      <c r="D134" s="0" t="n">
        <v>-0.0012</v>
      </c>
    </row>
    <row r="135" customFormat="false" ht="15" hidden="false" customHeight="false" outlineLevel="0" collapsed="false">
      <c r="A135" s="0" t="s">
        <v>8</v>
      </c>
      <c r="B135" s="0" t="s">
        <v>219</v>
      </c>
      <c r="C135" s="0" t="s">
        <v>7071</v>
      </c>
    </row>
    <row r="136" customFormat="false" ht="15" hidden="false" customHeight="false" outlineLevel="0" collapsed="false">
      <c r="A136" s="0" t="s">
        <v>8</v>
      </c>
      <c r="B136" s="0" t="s">
        <v>219</v>
      </c>
      <c r="C136" s="0" t="s">
        <v>7072</v>
      </c>
    </row>
    <row r="137" customFormat="false" ht="15" hidden="false" customHeight="false" outlineLevel="0" collapsed="false">
      <c r="A137" s="0" t="s">
        <v>8</v>
      </c>
      <c r="B137" s="0" t="s">
        <v>222</v>
      </c>
      <c r="C137" s="0" t="s">
        <v>7070</v>
      </c>
      <c r="D137" s="0" t="n">
        <v>0.8438</v>
      </c>
    </row>
    <row r="138" customFormat="false" ht="15" hidden="false" customHeight="false" outlineLevel="0" collapsed="false">
      <c r="A138" s="0" t="s">
        <v>8</v>
      </c>
      <c r="B138" s="0" t="s">
        <v>222</v>
      </c>
      <c r="C138" s="0" t="s">
        <v>7071</v>
      </c>
    </row>
    <row r="139" customFormat="false" ht="15" hidden="false" customHeight="false" outlineLevel="0" collapsed="false">
      <c r="A139" s="0" t="s">
        <v>8</v>
      </c>
      <c r="B139" s="0" t="s">
        <v>222</v>
      </c>
      <c r="C139" s="0" t="s">
        <v>7072</v>
      </c>
    </row>
    <row r="140" customFormat="false" ht="15" hidden="false" customHeight="false" outlineLevel="0" collapsed="false">
      <c r="A140" s="0" t="s">
        <v>8</v>
      </c>
      <c r="B140" s="0" t="s">
        <v>226</v>
      </c>
      <c r="C140" s="0" t="s">
        <v>7070</v>
      </c>
      <c r="D140" s="0" t="n">
        <v>5.2888</v>
      </c>
    </row>
    <row r="141" customFormat="false" ht="15" hidden="false" customHeight="false" outlineLevel="0" collapsed="false">
      <c r="A141" s="0" t="s">
        <v>8</v>
      </c>
      <c r="B141" s="0" t="s">
        <v>226</v>
      </c>
      <c r="C141" s="0" t="s">
        <v>7071</v>
      </c>
    </row>
    <row r="142" customFormat="false" ht="15" hidden="false" customHeight="false" outlineLevel="0" collapsed="false">
      <c r="A142" s="0" t="s">
        <v>8</v>
      </c>
      <c r="B142" s="0" t="s">
        <v>226</v>
      </c>
      <c r="C142" s="0" t="s">
        <v>7072</v>
      </c>
    </row>
    <row r="143" customFormat="false" ht="15" hidden="false" customHeight="false" outlineLevel="0" collapsed="false">
      <c r="A143" s="0" t="s">
        <v>8</v>
      </c>
      <c r="B143" s="0" t="s">
        <v>229</v>
      </c>
      <c r="C143" s="0" t="s">
        <v>7070</v>
      </c>
      <c r="D143" s="0" t="n">
        <v>21.9544</v>
      </c>
    </row>
    <row r="144" customFormat="false" ht="15" hidden="false" customHeight="false" outlineLevel="0" collapsed="false">
      <c r="A144" s="0" t="s">
        <v>8</v>
      </c>
      <c r="B144" s="0" t="s">
        <v>229</v>
      </c>
      <c r="C144" s="0" t="s">
        <v>7071</v>
      </c>
    </row>
    <row r="145" customFormat="false" ht="15" hidden="false" customHeight="false" outlineLevel="0" collapsed="false">
      <c r="A145" s="0" t="s">
        <v>8</v>
      </c>
      <c r="B145" s="0" t="s">
        <v>229</v>
      </c>
      <c r="C145" s="0" t="s">
        <v>7072</v>
      </c>
    </row>
    <row r="146" customFormat="false" ht="15" hidden="false" customHeight="false" outlineLevel="0" collapsed="false">
      <c r="A146" s="0" t="s">
        <v>8</v>
      </c>
      <c r="B146" s="0" t="s">
        <v>232</v>
      </c>
      <c r="C146" s="0" t="s">
        <v>7070</v>
      </c>
      <c r="D146" s="0" t="n">
        <v>8.5922</v>
      </c>
    </row>
    <row r="147" customFormat="false" ht="15" hidden="false" customHeight="false" outlineLevel="0" collapsed="false">
      <c r="A147" s="0" t="s">
        <v>8</v>
      </c>
      <c r="B147" s="0" t="s">
        <v>232</v>
      </c>
      <c r="C147" s="0" t="s">
        <v>7071</v>
      </c>
    </row>
    <row r="148" customFormat="false" ht="15" hidden="false" customHeight="false" outlineLevel="0" collapsed="false">
      <c r="A148" s="0" t="s">
        <v>8</v>
      </c>
      <c r="B148" s="0" t="s">
        <v>232</v>
      </c>
      <c r="C148" s="0" t="s">
        <v>7072</v>
      </c>
    </row>
    <row r="149" customFormat="false" ht="15" hidden="false" customHeight="false" outlineLevel="0" collapsed="false">
      <c r="A149" s="0" t="s">
        <v>8</v>
      </c>
      <c r="B149" s="0" t="s">
        <v>235</v>
      </c>
      <c r="C149" s="0" t="s">
        <v>7070</v>
      </c>
      <c r="D149" s="0" t="n">
        <v>15.9466</v>
      </c>
    </row>
    <row r="150" customFormat="false" ht="15" hidden="false" customHeight="false" outlineLevel="0" collapsed="false">
      <c r="A150" s="0" t="s">
        <v>8</v>
      </c>
      <c r="B150" s="0" t="s">
        <v>235</v>
      </c>
      <c r="C150" s="0" t="s">
        <v>7071</v>
      </c>
    </row>
    <row r="151" customFormat="false" ht="15" hidden="false" customHeight="false" outlineLevel="0" collapsed="false">
      <c r="A151" s="0" t="s">
        <v>8</v>
      </c>
      <c r="B151" s="0" t="s">
        <v>235</v>
      </c>
      <c r="C151" s="0" t="s">
        <v>7072</v>
      </c>
    </row>
    <row r="152" customFormat="false" ht="15" hidden="false" customHeight="false" outlineLevel="0" collapsed="false">
      <c r="A152" s="0" t="s">
        <v>8</v>
      </c>
      <c r="B152" s="0" t="s">
        <v>238</v>
      </c>
      <c r="C152" s="0" t="s">
        <v>7070</v>
      </c>
      <c r="D152" s="0" t="n">
        <v>0.1514</v>
      </c>
    </row>
    <row r="153" customFormat="false" ht="15" hidden="false" customHeight="false" outlineLevel="0" collapsed="false">
      <c r="A153" s="0" t="s">
        <v>8</v>
      </c>
      <c r="B153" s="0" t="s">
        <v>238</v>
      </c>
      <c r="C153" s="0" t="s">
        <v>7071</v>
      </c>
    </row>
    <row r="154" customFormat="false" ht="15" hidden="false" customHeight="false" outlineLevel="0" collapsed="false">
      <c r="A154" s="0" t="s">
        <v>8</v>
      </c>
      <c r="B154" s="0" t="s">
        <v>238</v>
      </c>
      <c r="C154" s="0" t="s">
        <v>7072</v>
      </c>
    </row>
    <row r="155" customFormat="false" ht="15" hidden="false" customHeight="false" outlineLevel="0" collapsed="false">
      <c r="A155" s="0" t="s">
        <v>8</v>
      </c>
      <c r="B155" s="0" t="s">
        <v>242</v>
      </c>
      <c r="C155" s="0" t="s">
        <v>7070</v>
      </c>
      <c r="D155" s="0" t="n">
        <v>1.012</v>
      </c>
    </row>
    <row r="156" customFormat="false" ht="15" hidden="false" customHeight="false" outlineLevel="0" collapsed="false">
      <c r="A156" s="0" t="s">
        <v>8</v>
      </c>
      <c r="B156" s="0" t="s">
        <v>242</v>
      </c>
      <c r="C156" s="0" t="s">
        <v>7071</v>
      </c>
    </row>
    <row r="157" customFormat="false" ht="15" hidden="false" customHeight="false" outlineLevel="0" collapsed="false">
      <c r="A157" s="0" t="s">
        <v>8</v>
      </c>
      <c r="B157" s="0" t="s">
        <v>242</v>
      </c>
      <c r="C157" s="0" t="s">
        <v>7072</v>
      </c>
    </row>
    <row r="158" customFormat="false" ht="15" hidden="false" customHeight="false" outlineLevel="0" collapsed="false">
      <c r="A158" s="0" t="s">
        <v>8</v>
      </c>
      <c r="B158" s="0" t="s">
        <v>245</v>
      </c>
      <c r="C158" s="0" t="s">
        <v>7070</v>
      </c>
      <c r="D158" s="0" t="n">
        <v>3.8748</v>
      </c>
    </row>
    <row r="159" customFormat="false" ht="15" hidden="false" customHeight="false" outlineLevel="0" collapsed="false">
      <c r="A159" s="0" t="s">
        <v>8</v>
      </c>
      <c r="B159" s="0" t="s">
        <v>245</v>
      </c>
      <c r="C159" s="0" t="s">
        <v>7071</v>
      </c>
    </row>
    <row r="160" customFormat="false" ht="15" hidden="false" customHeight="false" outlineLevel="0" collapsed="false">
      <c r="A160" s="0" t="s">
        <v>8</v>
      </c>
      <c r="B160" s="0" t="s">
        <v>245</v>
      </c>
      <c r="C160" s="0" t="s">
        <v>7072</v>
      </c>
    </row>
    <row r="161" customFormat="false" ht="15" hidden="false" customHeight="false" outlineLevel="0" collapsed="false">
      <c r="A161" s="0" t="s">
        <v>8</v>
      </c>
      <c r="B161" s="0" t="s">
        <v>248</v>
      </c>
      <c r="C161" s="0" t="s">
        <v>7070</v>
      </c>
      <c r="D161" s="0" t="n">
        <v>1.4419</v>
      </c>
    </row>
    <row r="162" customFormat="false" ht="15" hidden="false" customHeight="false" outlineLevel="0" collapsed="false">
      <c r="A162" s="0" t="s">
        <v>8</v>
      </c>
      <c r="B162" s="0" t="s">
        <v>248</v>
      </c>
      <c r="C162" s="0" t="s">
        <v>7071</v>
      </c>
    </row>
    <row r="163" customFormat="false" ht="15" hidden="false" customHeight="false" outlineLevel="0" collapsed="false">
      <c r="A163" s="0" t="s">
        <v>8</v>
      </c>
      <c r="B163" s="0" t="s">
        <v>248</v>
      </c>
      <c r="C163" s="0" t="s">
        <v>7072</v>
      </c>
    </row>
    <row r="164" customFormat="false" ht="15" hidden="false" customHeight="false" outlineLevel="0" collapsed="false">
      <c r="A164" s="0" t="s">
        <v>8</v>
      </c>
      <c r="B164" s="0" t="s">
        <v>251</v>
      </c>
      <c r="C164" s="0" t="s">
        <v>7070</v>
      </c>
      <c r="D164" s="0" t="n">
        <v>2.0857</v>
      </c>
    </row>
    <row r="165" customFormat="false" ht="15" hidden="false" customHeight="false" outlineLevel="0" collapsed="false">
      <c r="A165" s="0" t="s">
        <v>8</v>
      </c>
      <c r="B165" s="0" t="s">
        <v>251</v>
      </c>
      <c r="C165" s="0" t="s">
        <v>7071</v>
      </c>
    </row>
    <row r="166" customFormat="false" ht="15" hidden="false" customHeight="false" outlineLevel="0" collapsed="false">
      <c r="A166" s="0" t="s">
        <v>8</v>
      </c>
      <c r="B166" s="0" t="s">
        <v>251</v>
      </c>
      <c r="C166" s="0" t="s">
        <v>7072</v>
      </c>
    </row>
    <row r="167" customFormat="false" ht="15" hidden="false" customHeight="false" outlineLevel="0" collapsed="false">
      <c r="A167" s="0" t="s">
        <v>8</v>
      </c>
      <c r="B167" s="0" t="s">
        <v>254</v>
      </c>
      <c r="C167" s="0" t="s">
        <v>7070</v>
      </c>
      <c r="D167" s="0" t="n">
        <v>0.3232</v>
      </c>
    </row>
    <row r="168" customFormat="false" ht="15" hidden="false" customHeight="false" outlineLevel="0" collapsed="false">
      <c r="A168" s="0" t="s">
        <v>8</v>
      </c>
      <c r="B168" s="0" t="s">
        <v>254</v>
      </c>
      <c r="C168" s="0" t="s">
        <v>7071</v>
      </c>
    </row>
    <row r="169" customFormat="false" ht="15" hidden="false" customHeight="false" outlineLevel="0" collapsed="false">
      <c r="A169" s="0" t="s">
        <v>8</v>
      </c>
      <c r="B169" s="0" t="s">
        <v>254</v>
      </c>
      <c r="C169" s="0" t="s">
        <v>7072</v>
      </c>
    </row>
    <row r="170" customFormat="false" ht="15" hidden="false" customHeight="false" outlineLevel="0" collapsed="false">
      <c r="A170" s="0" t="s">
        <v>8</v>
      </c>
      <c r="B170" s="0" t="s">
        <v>258</v>
      </c>
      <c r="C170" s="0" t="s">
        <v>7070</v>
      </c>
      <c r="D170" s="0" t="n">
        <v>0.663</v>
      </c>
    </row>
    <row r="171" customFormat="false" ht="15" hidden="false" customHeight="false" outlineLevel="0" collapsed="false">
      <c r="A171" s="0" t="s">
        <v>8</v>
      </c>
      <c r="B171" s="0" t="s">
        <v>258</v>
      </c>
      <c r="C171" s="0" t="s">
        <v>7071</v>
      </c>
    </row>
    <row r="172" customFormat="false" ht="15" hidden="false" customHeight="false" outlineLevel="0" collapsed="false">
      <c r="A172" s="0" t="s">
        <v>8</v>
      </c>
      <c r="B172" s="0" t="s">
        <v>258</v>
      </c>
      <c r="C172" s="0" t="s">
        <v>7072</v>
      </c>
    </row>
    <row r="173" customFormat="false" ht="15" hidden="false" customHeight="false" outlineLevel="0" collapsed="false">
      <c r="A173" s="0" t="s">
        <v>8</v>
      </c>
      <c r="B173" s="0" t="s">
        <v>261</v>
      </c>
      <c r="C173" s="0" t="s">
        <v>7070</v>
      </c>
      <c r="D173" s="0" t="n">
        <v>1.336</v>
      </c>
    </row>
    <row r="174" customFormat="false" ht="15" hidden="false" customHeight="false" outlineLevel="0" collapsed="false">
      <c r="A174" s="0" t="s">
        <v>8</v>
      </c>
      <c r="B174" s="0" t="s">
        <v>261</v>
      </c>
      <c r="C174" s="0" t="s">
        <v>7071</v>
      </c>
    </row>
    <row r="175" customFormat="false" ht="15" hidden="false" customHeight="false" outlineLevel="0" collapsed="false">
      <c r="A175" s="0" t="s">
        <v>8</v>
      </c>
      <c r="B175" s="0" t="s">
        <v>261</v>
      </c>
      <c r="C175" s="0" t="s">
        <v>7072</v>
      </c>
    </row>
    <row r="176" customFormat="false" ht="15" hidden="false" customHeight="false" outlineLevel="0" collapsed="false">
      <c r="A176" s="0" t="s">
        <v>8</v>
      </c>
      <c r="B176" s="0" t="s">
        <v>264</v>
      </c>
      <c r="C176" s="0" t="s">
        <v>7070</v>
      </c>
      <c r="D176" s="0" t="n">
        <v>0.5145</v>
      </c>
    </row>
    <row r="177" customFormat="false" ht="15" hidden="false" customHeight="false" outlineLevel="0" collapsed="false">
      <c r="A177" s="0" t="s">
        <v>8</v>
      </c>
      <c r="B177" s="0" t="s">
        <v>264</v>
      </c>
      <c r="C177" s="0" t="s">
        <v>7071</v>
      </c>
    </row>
    <row r="178" customFormat="false" ht="15" hidden="false" customHeight="false" outlineLevel="0" collapsed="false">
      <c r="A178" s="0" t="s">
        <v>8</v>
      </c>
      <c r="B178" s="0" t="s">
        <v>264</v>
      </c>
      <c r="C178" s="0" t="s">
        <v>7072</v>
      </c>
    </row>
    <row r="179" customFormat="false" ht="15" hidden="false" customHeight="false" outlineLevel="0" collapsed="false">
      <c r="A179" s="0" t="s">
        <v>8</v>
      </c>
      <c r="B179" s="0" t="s">
        <v>267</v>
      </c>
      <c r="C179" s="0" t="s">
        <v>7070</v>
      </c>
      <c r="D179" s="0" t="n">
        <v>1.8517</v>
      </c>
    </row>
    <row r="180" customFormat="false" ht="15" hidden="false" customHeight="false" outlineLevel="0" collapsed="false">
      <c r="A180" s="0" t="s">
        <v>8</v>
      </c>
      <c r="B180" s="0" t="s">
        <v>267</v>
      </c>
      <c r="C180" s="0" t="s">
        <v>7071</v>
      </c>
    </row>
    <row r="181" customFormat="false" ht="15" hidden="false" customHeight="false" outlineLevel="0" collapsed="false">
      <c r="A181" s="0" t="s">
        <v>8</v>
      </c>
      <c r="B181" s="0" t="s">
        <v>267</v>
      </c>
      <c r="C181" s="0" t="s">
        <v>7072</v>
      </c>
    </row>
    <row r="182" customFormat="false" ht="15" hidden="false" customHeight="false" outlineLevel="0" collapsed="false">
      <c r="A182" s="0" t="s">
        <v>8</v>
      </c>
      <c r="B182" s="0" t="s">
        <v>270</v>
      </c>
      <c r="C182" s="0" t="s">
        <v>7070</v>
      </c>
      <c r="D182" s="0" t="n">
        <v>0.0178</v>
      </c>
    </row>
    <row r="183" customFormat="false" ht="15" hidden="false" customHeight="false" outlineLevel="0" collapsed="false">
      <c r="A183" s="0" t="s">
        <v>8</v>
      </c>
      <c r="B183" s="0" t="s">
        <v>270</v>
      </c>
      <c r="C183" s="0" t="s">
        <v>7071</v>
      </c>
    </row>
    <row r="184" customFormat="false" ht="15" hidden="false" customHeight="false" outlineLevel="0" collapsed="false">
      <c r="A184" s="0" t="s">
        <v>8</v>
      </c>
      <c r="B184" s="0" t="s">
        <v>270</v>
      </c>
      <c r="C184" s="0" t="s">
        <v>7072</v>
      </c>
    </row>
    <row r="185" customFormat="false" ht="15" hidden="false" customHeight="false" outlineLevel="0" collapsed="false">
      <c r="A185" s="0" t="s">
        <v>8</v>
      </c>
      <c r="B185" s="0" t="s">
        <v>274</v>
      </c>
      <c r="C185" s="0" t="s">
        <v>7070</v>
      </c>
      <c r="D185" s="0" t="n">
        <v>0.0997</v>
      </c>
    </row>
    <row r="186" customFormat="false" ht="15" hidden="false" customHeight="false" outlineLevel="0" collapsed="false">
      <c r="A186" s="0" t="s">
        <v>8</v>
      </c>
      <c r="B186" s="0" t="s">
        <v>274</v>
      </c>
      <c r="C186" s="0" t="s">
        <v>7071</v>
      </c>
    </row>
    <row r="187" customFormat="false" ht="15" hidden="false" customHeight="false" outlineLevel="0" collapsed="false">
      <c r="A187" s="0" t="s">
        <v>8</v>
      </c>
      <c r="B187" s="0" t="s">
        <v>274</v>
      </c>
      <c r="C187" s="0" t="s">
        <v>7072</v>
      </c>
    </row>
    <row r="188" customFormat="false" ht="15" hidden="false" customHeight="false" outlineLevel="0" collapsed="false">
      <c r="A188" s="0" t="s">
        <v>8</v>
      </c>
      <c r="B188" s="0" t="s">
        <v>277</v>
      </c>
      <c r="C188" s="0" t="s">
        <v>7070</v>
      </c>
      <c r="D188" s="0" t="n">
        <v>0.1928</v>
      </c>
    </row>
    <row r="189" customFormat="false" ht="15" hidden="false" customHeight="false" outlineLevel="0" collapsed="false">
      <c r="A189" s="0" t="s">
        <v>8</v>
      </c>
      <c r="B189" s="0" t="s">
        <v>277</v>
      </c>
      <c r="C189" s="0" t="s">
        <v>7071</v>
      </c>
    </row>
    <row r="190" customFormat="false" ht="15" hidden="false" customHeight="false" outlineLevel="0" collapsed="false">
      <c r="A190" s="0" t="s">
        <v>8</v>
      </c>
      <c r="B190" s="0" t="s">
        <v>277</v>
      </c>
      <c r="C190" s="0" t="s">
        <v>7072</v>
      </c>
    </row>
    <row r="191" customFormat="false" ht="15" hidden="false" customHeight="false" outlineLevel="0" collapsed="false">
      <c r="A191" s="0" t="s">
        <v>8</v>
      </c>
      <c r="B191" s="0" t="s">
        <v>280</v>
      </c>
      <c r="C191" s="0" t="s">
        <v>7070</v>
      </c>
      <c r="D191" s="0" t="n">
        <v>0.0417</v>
      </c>
    </row>
    <row r="192" customFormat="false" ht="15" hidden="false" customHeight="false" outlineLevel="0" collapsed="false">
      <c r="A192" s="0" t="s">
        <v>8</v>
      </c>
      <c r="B192" s="0" t="s">
        <v>280</v>
      </c>
      <c r="C192" s="0" t="s">
        <v>7071</v>
      </c>
    </row>
    <row r="193" customFormat="false" ht="15" hidden="false" customHeight="false" outlineLevel="0" collapsed="false">
      <c r="A193" s="0" t="s">
        <v>8</v>
      </c>
      <c r="B193" s="0" t="s">
        <v>280</v>
      </c>
      <c r="C193" s="0" t="s">
        <v>7072</v>
      </c>
    </row>
    <row r="194" customFormat="false" ht="15" hidden="false" customHeight="false" outlineLevel="0" collapsed="false">
      <c r="A194" s="0" t="s">
        <v>8</v>
      </c>
      <c r="B194" s="0" t="s">
        <v>283</v>
      </c>
      <c r="C194" s="0" t="s">
        <v>7070</v>
      </c>
      <c r="D194" s="0" t="n">
        <v>0.0461</v>
      </c>
    </row>
    <row r="195" customFormat="false" ht="15" hidden="false" customHeight="false" outlineLevel="0" collapsed="false">
      <c r="A195" s="0" t="s">
        <v>8</v>
      </c>
      <c r="B195" s="0" t="s">
        <v>283</v>
      </c>
      <c r="C195" s="0" t="s">
        <v>7071</v>
      </c>
    </row>
    <row r="196" customFormat="false" ht="15" hidden="false" customHeight="false" outlineLevel="0" collapsed="false">
      <c r="A196" s="0" t="s">
        <v>8</v>
      </c>
      <c r="B196" s="0" t="s">
        <v>283</v>
      </c>
      <c r="C196" s="0" t="s">
        <v>7072</v>
      </c>
    </row>
    <row r="197" customFormat="false" ht="15" hidden="false" customHeight="false" outlineLevel="0" collapsed="false">
      <c r="A197" s="0" t="s">
        <v>8</v>
      </c>
      <c r="B197" s="0" t="s">
        <v>286</v>
      </c>
      <c r="C197" s="0" t="s">
        <v>7070</v>
      </c>
      <c r="D197" s="0" t="n">
        <v>0.0569</v>
      </c>
    </row>
    <row r="198" customFormat="false" ht="15" hidden="false" customHeight="false" outlineLevel="0" collapsed="false">
      <c r="A198" s="0" t="s">
        <v>8</v>
      </c>
      <c r="B198" s="0" t="s">
        <v>286</v>
      </c>
      <c r="C198" s="0" t="s">
        <v>7071</v>
      </c>
    </row>
    <row r="199" customFormat="false" ht="15" hidden="false" customHeight="false" outlineLevel="0" collapsed="false">
      <c r="A199" s="0" t="s">
        <v>8</v>
      </c>
      <c r="B199" s="0" t="s">
        <v>286</v>
      </c>
      <c r="C199" s="0" t="s">
        <v>7072</v>
      </c>
    </row>
    <row r="200" customFormat="false" ht="15" hidden="false" customHeight="false" outlineLevel="0" collapsed="false">
      <c r="A200" s="0" t="s">
        <v>8</v>
      </c>
      <c r="B200" s="0" t="s">
        <v>290</v>
      </c>
      <c r="C200" s="0" t="s">
        <v>7070</v>
      </c>
      <c r="D200" s="0" t="n">
        <v>0.2633</v>
      </c>
    </row>
    <row r="201" customFormat="false" ht="15" hidden="false" customHeight="false" outlineLevel="0" collapsed="false">
      <c r="A201" s="0" t="s">
        <v>8</v>
      </c>
      <c r="B201" s="0" t="s">
        <v>290</v>
      </c>
      <c r="C201" s="0" t="s">
        <v>7071</v>
      </c>
    </row>
    <row r="202" customFormat="false" ht="15" hidden="false" customHeight="false" outlineLevel="0" collapsed="false">
      <c r="A202" s="0" t="s">
        <v>8</v>
      </c>
      <c r="B202" s="0" t="s">
        <v>290</v>
      </c>
      <c r="C202" s="0" t="s">
        <v>7072</v>
      </c>
    </row>
    <row r="203" customFormat="false" ht="15" hidden="false" customHeight="false" outlineLevel="0" collapsed="false">
      <c r="A203" s="0" t="s">
        <v>8</v>
      </c>
      <c r="B203" s="0" t="s">
        <v>293</v>
      </c>
      <c r="C203" s="0" t="s">
        <v>7070</v>
      </c>
      <c r="D203" s="0" t="n">
        <v>0.3832</v>
      </c>
    </row>
    <row r="204" customFormat="false" ht="15" hidden="false" customHeight="false" outlineLevel="0" collapsed="false">
      <c r="A204" s="0" t="s">
        <v>8</v>
      </c>
      <c r="B204" s="0" t="s">
        <v>293</v>
      </c>
      <c r="C204" s="0" t="s">
        <v>7071</v>
      </c>
    </row>
    <row r="205" customFormat="false" ht="15" hidden="false" customHeight="false" outlineLevel="0" collapsed="false">
      <c r="A205" s="0" t="s">
        <v>8</v>
      </c>
      <c r="B205" s="0" t="s">
        <v>293</v>
      </c>
      <c r="C205" s="0" t="s">
        <v>7072</v>
      </c>
    </row>
    <row r="206" customFormat="false" ht="15" hidden="false" customHeight="false" outlineLevel="0" collapsed="false">
      <c r="A206" s="0" t="s">
        <v>8</v>
      </c>
      <c r="B206" s="0" t="s">
        <v>296</v>
      </c>
      <c r="C206" s="0" t="s">
        <v>7070</v>
      </c>
      <c r="D206" s="0" t="n">
        <v>0.1221</v>
      </c>
    </row>
    <row r="207" customFormat="false" ht="15" hidden="false" customHeight="false" outlineLevel="0" collapsed="false">
      <c r="A207" s="0" t="s">
        <v>8</v>
      </c>
      <c r="B207" s="0" t="s">
        <v>296</v>
      </c>
      <c r="C207" s="0" t="s">
        <v>7071</v>
      </c>
    </row>
    <row r="208" customFormat="false" ht="15" hidden="false" customHeight="false" outlineLevel="0" collapsed="false">
      <c r="A208" s="0" t="s">
        <v>8</v>
      </c>
      <c r="B208" s="0" t="s">
        <v>296</v>
      </c>
      <c r="C208" s="0" t="s">
        <v>7072</v>
      </c>
    </row>
    <row r="209" customFormat="false" ht="15" hidden="false" customHeight="false" outlineLevel="0" collapsed="false">
      <c r="A209" s="0" t="s">
        <v>8</v>
      </c>
      <c r="B209" s="0" t="s">
        <v>299</v>
      </c>
      <c r="C209" s="0" t="s">
        <v>7070</v>
      </c>
      <c r="D209" s="0" t="n">
        <v>0.5327</v>
      </c>
    </row>
    <row r="210" customFormat="false" ht="15" hidden="false" customHeight="false" outlineLevel="0" collapsed="false">
      <c r="A210" s="0" t="s">
        <v>8</v>
      </c>
      <c r="B210" s="0" t="s">
        <v>299</v>
      </c>
      <c r="C210" s="0" t="s">
        <v>7071</v>
      </c>
    </row>
    <row r="211" customFormat="false" ht="15" hidden="false" customHeight="false" outlineLevel="0" collapsed="false">
      <c r="A211" s="0" t="s">
        <v>8</v>
      </c>
      <c r="B211" s="0" t="s">
        <v>299</v>
      </c>
      <c r="C211" s="0" t="s">
        <v>7072</v>
      </c>
    </row>
    <row r="212" customFormat="false" ht="15" hidden="false" customHeight="false" outlineLevel="0" collapsed="false">
      <c r="A212" s="0" t="s">
        <v>8</v>
      </c>
      <c r="B212" s="0" t="s">
        <v>302</v>
      </c>
      <c r="C212" s="0" t="s">
        <v>7070</v>
      </c>
      <c r="D212" s="0" t="n">
        <v>0.0102</v>
      </c>
    </row>
    <row r="213" customFormat="false" ht="15" hidden="false" customHeight="false" outlineLevel="0" collapsed="false">
      <c r="A213" s="0" t="s">
        <v>8</v>
      </c>
      <c r="B213" s="0" t="s">
        <v>302</v>
      </c>
      <c r="C213" s="0" t="s">
        <v>7071</v>
      </c>
    </row>
    <row r="214" customFormat="false" ht="15" hidden="false" customHeight="false" outlineLevel="0" collapsed="false">
      <c r="A214" s="0" t="s">
        <v>8</v>
      </c>
      <c r="B214" s="0" t="s">
        <v>302</v>
      </c>
      <c r="C214" s="0" t="s">
        <v>7072</v>
      </c>
    </row>
    <row r="215" customFormat="false" ht="15" hidden="false" customHeight="false" outlineLevel="0" collapsed="false">
      <c r="A215" s="0" t="s">
        <v>8</v>
      </c>
      <c r="B215" s="0" t="s">
        <v>306</v>
      </c>
      <c r="C215" s="0" t="s">
        <v>7070</v>
      </c>
      <c r="D215" s="0" t="n">
        <v>0.055</v>
      </c>
    </row>
    <row r="216" customFormat="false" ht="15" hidden="false" customHeight="false" outlineLevel="0" collapsed="false">
      <c r="A216" s="0" t="s">
        <v>8</v>
      </c>
      <c r="B216" s="0" t="s">
        <v>306</v>
      </c>
      <c r="C216" s="0" t="s">
        <v>7071</v>
      </c>
    </row>
    <row r="217" customFormat="false" ht="15" hidden="false" customHeight="false" outlineLevel="0" collapsed="false">
      <c r="A217" s="0" t="s">
        <v>8</v>
      </c>
      <c r="B217" s="0" t="s">
        <v>306</v>
      </c>
      <c r="C217" s="0" t="s">
        <v>7072</v>
      </c>
    </row>
    <row r="218" customFormat="false" ht="15" hidden="false" customHeight="false" outlineLevel="0" collapsed="false">
      <c r="A218" s="0" t="s">
        <v>8</v>
      </c>
      <c r="B218" s="0" t="s">
        <v>309</v>
      </c>
      <c r="C218" s="0" t="s">
        <v>7070</v>
      </c>
      <c r="D218" s="0" t="n">
        <v>0.2358</v>
      </c>
    </row>
    <row r="219" customFormat="false" ht="15" hidden="false" customHeight="false" outlineLevel="0" collapsed="false">
      <c r="A219" s="0" t="s">
        <v>8</v>
      </c>
      <c r="B219" s="0" t="s">
        <v>309</v>
      </c>
      <c r="C219" s="0" t="s">
        <v>7071</v>
      </c>
    </row>
    <row r="220" customFormat="false" ht="15" hidden="false" customHeight="false" outlineLevel="0" collapsed="false">
      <c r="A220" s="0" t="s">
        <v>8</v>
      </c>
      <c r="B220" s="0" t="s">
        <v>309</v>
      </c>
      <c r="C220" s="0" t="s">
        <v>7072</v>
      </c>
    </row>
    <row r="221" customFormat="false" ht="15" hidden="false" customHeight="false" outlineLevel="0" collapsed="false">
      <c r="A221" s="0" t="s">
        <v>8</v>
      </c>
      <c r="B221" s="0" t="s">
        <v>312</v>
      </c>
      <c r="C221" s="0" t="s">
        <v>7070</v>
      </c>
      <c r="D221" s="0" t="n">
        <v>0.0422</v>
      </c>
    </row>
    <row r="222" customFormat="false" ht="15" hidden="false" customHeight="false" outlineLevel="0" collapsed="false">
      <c r="A222" s="0" t="s">
        <v>8</v>
      </c>
      <c r="B222" s="0" t="s">
        <v>312</v>
      </c>
      <c r="C222" s="0" t="s">
        <v>7071</v>
      </c>
    </row>
    <row r="223" customFormat="false" ht="15" hidden="false" customHeight="false" outlineLevel="0" collapsed="false">
      <c r="A223" s="0" t="s">
        <v>8</v>
      </c>
      <c r="B223" s="0" t="s">
        <v>312</v>
      </c>
      <c r="C223" s="0" t="s">
        <v>7072</v>
      </c>
    </row>
    <row r="224" customFormat="false" ht="15" hidden="false" customHeight="false" outlineLevel="0" collapsed="false">
      <c r="A224" s="0" t="s">
        <v>8</v>
      </c>
      <c r="B224" s="0" t="s">
        <v>315</v>
      </c>
      <c r="C224" s="0" t="s">
        <v>7070</v>
      </c>
      <c r="D224" s="0" t="n">
        <v>1.5885</v>
      </c>
    </row>
    <row r="225" customFormat="false" ht="15" hidden="false" customHeight="false" outlineLevel="0" collapsed="false">
      <c r="A225" s="0" t="s">
        <v>8</v>
      </c>
      <c r="B225" s="0" t="s">
        <v>315</v>
      </c>
      <c r="C225" s="0" t="s">
        <v>7071</v>
      </c>
    </row>
    <row r="226" customFormat="false" ht="15" hidden="false" customHeight="false" outlineLevel="0" collapsed="false">
      <c r="A226" s="0" t="s">
        <v>8</v>
      </c>
      <c r="B226" s="0" t="s">
        <v>315</v>
      </c>
      <c r="C226" s="0" t="s">
        <v>7072</v>
      </c>
    </row>
    <row r="227" customFormat="false" ht="15" hidden="false" customHeight="false" outlineLevel="0" collapsed="false">
      <c r="A227" s="0" t="s">
        <v>8</v>
      </c>
      <c r="B227" s="0" t="s">
        <v>318</v>
      </c>
      <c r="C227" s="0" t="s">
        <v>7070</v>
      </c>
      <c r="D227" s="0" t="n">
        <v>1.4365</v>
      </c>
    </row>
    <row r="228" customFormat="false" ht="15" hidden="false" customHeight="false" outlineLevel="0" collapsed="false">
      <c r="A228" s="0" t="s">
        <v>8</v>
      </c>
      <c r="B228" s="0" t="s">
        <v>318</v>
      </c>
      <c r="C228" s="0" t="s">
        <v>7071</v>
      </c>
    </row>
    <row r="229" customFormat="false" ht="15" hidden="false" customHeight="false" outlineLevel="0" collapsed="false">
      <c r="A229" s="0" t="s">
        <v>8</v>
      </c>
      <c r="B229" s="0" t="s">
        <v>318</v>
      </c>
      <c r="C229" s="0" t="s">
        <v>7072</v>
      </c>
    </row>
    <row r="230" customFormat="false" ht="15" hidden="false" customHeight="false" outlineLevel="0" collapsed="false">
      <c r="A230" s="0" t="s">
        <v>8</v>
      </c>
      <c r="B230" s="0" t="s">
        <v>322</v>
      </c>
      <c r="C230" s="0" t="s">
        <v>7070</v>
      </c>
      <c r="D230" s="0" t="n">
        <v>7.8796</v>
      </c>
    </row>
    <row r="231" customFormat="false" ht="15" hidden="false" customHeight="false" outlineLevel="0" collapsed="false">
      <c r="A231" s="0" t="s">
        <v>8</v>
      </c>
      <c r="B231" s="0" t="s">
        <v>322</v>
      </c>
      <c r="C231" s="0" t="s">
        <v>7071</v>
      </c>
    </row>
    <row r="232" customFormat="false" ht="15" hidden="false" customHeight="false" outlineLevel="0" collapsed="false">
      <c r="A232" s="0" t="s">
        <v>8</v>
      </c>
      <c r="B232" s="0" t="s">
        <v>322</v>
      </c>
      <c r="C232" s="0" t="s">
        <v>7072</v>
      </c>
    </row>
    <row r="233" customFormat="false" ht="15" hidden="false" customHeight="false" outlineLevel="0" collapsed="false">
      <c r="A233" s="0" t="s">
        <v>8</v>
      </c>
      <c r="B233" s="0" t="s">
        <v>325</v>
      </c>
      <c r="C233" s="0" t="s">
        <v>7070</v>
      </c>
      <c r="D233" s="0" t="n">
        <v>29.5801</v>
      </c>
    </row>
    <row r="234" customFormat="false" ht="15" hidden="false" customHeight="false" outlineLevel="0" collapsed="false">
      <c r="A234" s="0" t="s">
        <v>8</v>
      </c>
      <c r="B234" s="0" t="s">
        <v>325</v>
      </c>
      <c r="C234" s="0" t="s">
        <v>7071</v>
      </c>
    </row>
    <row r="235" customFormat="false" ht="15" hidden="false" customHeight="false" outlineLevel="0" collapsed="false">
      <c r="A235" s="0" t="s">
        <v>8</v>
      </c>
      <c r="B235" s="0" t="s">
        <v>325</v>
      </c>
      <c r="C235" s="0" t="s">
        <v>7072</v>
      </c>
    </row>
    <row r="236" customFormat="false" ht="15" hidden="false" customHeight="false" outlineLevel="0" collapsed="false">
      <c r="A236" s="0" t="s">
        <v>8</v>
      </c>
      <c r="B236" s="0" t="s">
        <v>328</v>
      </c>
      <c r="C236" s="0" t="s">
        <v>7070</v>
      </c>
      <c r="D236" s="0" t="n">
        <v>12.3555</v>
      </c>
    </row>
    <row r="237" customFormat="false" ht="15" hidden="false" customHeight="false" outlineLevel="0" collapsed="false">
      <c r="A237" s="0" t="s">
        <v>8</v>
      </c>
      <c r="B237" s="0" t="s">
        <v>328</v>
      </c>
      <c r="C237" s="0" t="s">
        <v>7071</v>
      </c>
    </row>
    <row r="238" customFormat="false" ht="15" hidden="false" customHeight="false" outlineLevel="0" collapsed="false">
      <c r="A238" s="0" t="s">
        <v>8</v>
      </c>
      <c r="B238" s="0" t="s">
        <v>328</v>
      </c>
      <c r="C238" s="0" t="s">
        <v>7072</v>
      </c>
    </row>
    <row r="239" customFormat="false" ht="15" hidden="false" customHeight="false" outlineLevel="0" collapsed="false">
      <c r="A239" s="0" t="s">
        <v>8</v>
      </c>
      <c r="B239" s="0" t="s">
        <v>331</v>
      </c>
      <c r="C239" s="0" t="s">
        <v>7070</v>
      </c>
      <c r="D239" s="0" t="n">
        <v>23.5785</v>
      </c>
    </row>
    <row r="240" customFormat="false" ht="15" hidden="false" customHeight="false" outlineLevel="0" collapsed="false">
      <c r="A240" s="0" t="s">
        <v>8</v>
      </c>
      <c r="B240" s="0" t="s">
        <v>331</v>
      </c>
      <c r="C240" s="0" t="s">
        <v>7071</v>
      </c>
    </row>
    <row r="241" customFormat="false" ht="15" hidden="false" customHeight="false" outlineLevel="0" collapsed="false">
      <c r="A241" s="0" t="s">
        <v>8</v>
      </c>
      <c r="B241" s="0" t="s">
        <v>331</v>
      </c>
      <c r="C241" s="0" t="s">
        <v>7072</v>
      </c>
    </row>
    <row r="242" customFormat="false" ht="15" hidden="false" customHeight="false" outlineLevel="0" collapsed="false">
      <c r="A242" s="0" t="s">
        <v>8</v>
      </c>
      <c r="B242" s="0" t="s">
        <v>334</v>
      </c>
      <c r="C242" s="0" t="s">
        <v>7070</v>
      </c>
      <c r="D242" s="0" t="n">
        <v>0.9742</v>
      </c>
    </row>
    <row r="243" customFormat="false" ht="15" hidden="false" customHeight="false" outlineLevel="0" collapsed="false">
      <c r="A243" s="0" t="s">
        <v>8</v>
      </c>
      <c r="B243" s="0" t="s">
        <v>334</v>
      </c>
      <c r="C243" s="0" t="s">
        <v>7071</v>
      </c>
    </row>
    <row r="244" customFormat="false" ht="15" hidden="false" customHeight="false" outlineLevel="0" collapsed="false">
      <c r="A244" s="0" t="s">
        <v>8</v>
      </c>
      <c r="B244" s="0" t="s">
        <v>334</v>
      </c>
      <c r="C244" s="0" t="s">
        <v>7072</v>
      </c>
    </row>
    <row r="245" customFormat="false" ht="15" hidden="false" customHeight="false" outlineLevel="0" collapsed="false">
      <c r="A245" s="0" t="s">
        <v>8</v>
      </c>
      <c r="B245" s="0" t="s">
        <v>338</v>
      </c>
      <c r="C245" s="0" t="s">
        <v>7070</v>
      </c>
      <c r="D245" s="0" t="n">
        <v>6.2098</v>
      </c>
    </row>
    <row r="246" customFormat="false" ht="15" hidden="false" customHeight="false" outlineLevel="0" collapsed="false">
      <c r="A246" s="0" t="s">
        <v>8</v>
      </c>
      <c r="B246" s="0" t="s">
        <v>338</v>
      </c>
      <c r="C246" s="0" t="s">
        <v>7071</v>
      </c>
    </row>
    <row r="247" customFormat="false" ht="15" hidden="false" customHeight="false" outlineLevel="0" collapsed="false">
      <c r="A247" s="0" t="s">
        <v>8</v>
      </c>
      <c r="B247" s="0" t="s">
        <v>338</v>
      </c>
      <c r="C247" s="0" t="s">
        <v>7072</v>
      </c>
    </row>
    <row r="248" customFormat="false" ht="15" hidden="false" customHeight="false" outlineLevel="0" collapsed="false">
      <c r="A248" s="0" t="s">
        <v>8</v>
      </c>
      <c r="B248" s="0" t="s">
        <v>341</v>
      </c>
      <c r="C248" s="0" t="s">
        <v>7070</v>
      </c>
      <c r="D248" s="0" t="n">
        <v>24.6557</v>
      </c>
    </row>
    <row r="249" customFormat="false" ht="15" hidden="false" customHeight="false" outlineLevel="0" collapsed="false">
      <c r="A249" s="0" t="s">
        <v>8</v>
      </c>
      <c r="B249" s="0" t="s">
        <v>341</v>
      </c>
      <c r="C249" s="0" t="s">
        <v>7071</v>
      </c>
    </row>
    <row r="250" customFormat="false" ht="15" hidden="false" customHeight="false" outlineLevel="0" collapsed="false">
      <c r="A250" s="0" t="s">
        <v>8</v>
      </c>
      <c r="B250" s="0" t="s">
        <v>341</v>
      </c>
      <c r="C250" s="0" t="s">
        <v>7072</v>
      </c>
    </row>
    <row r="251" customFormat="false" ht="15" hidden="false" customHeight="false" outlineLevel="0" collapsed="false">
      <c r="A251" s="0" t="s">
        <v>8</v>
      </c>
      <c r="B251" s="0" t="s">
        <v>344</v>
      </c>
      <c r="C251" s="0" t="s">
        <v>7070</v>
      </c>
      <c r="D251" s="0" t="n">
        <v>10.3016</v>
      </c>
    </row>
    <row r="252" customFormat="false" ht="15" hidden="false" customHeight="false" outlineLevel="0" collapsed="false">
      <c r="A252" s="0" t="s">
        <v>8</v>
      </c>
      <c r="B252" s="0" t="s">
        <v>344</v>
      </c>
      <c r="C252" s="0" t="s">
        <v>7071</v>
      </c>
    </row>
    <row r="253" customFormat="false" ht="15" hidden="false" customHeight="false" outlineLevel="0" collapsed="false">
      <c r="A253" s="0" t="s">
        <v>8</v>
      </c>
      <c r="B253" s="0" t="s">
        <v>344</v>
      </c>
      <c r="C253" s="0" t="s">
        <v>7072</v>
      </c>
    </row>
    <row r="254" customFormat="false" ht="15" hidden="false" customHeight="false" outlineLevel="0" collapsed="false">
      <c r="A254" s="0" t="s">
        <v>8</v>
      </c>
      <c r="B254" s="0" t="s">
        <v>347</v>
      </c>
      <c r="C254" s="0" t="s">
        <v>7070</v>
      </c>
      <c r="D254" s="0" t="n">
        <v>17.5197</v>
      </c>
    </row>
    <row r="255" customFormat="false" ht="15" hidden="false" customHeight="false" outlineLevel="0" collapsed="false">
      <c r="A255" s="0" t="s">
        <v>8</v>
      </c>
      <c r="B255" s="0" t="s">
        <v>347</v>
      </c>
      <c r="C255" s="0" t="s">
        <v>7071</v>
      </c>
    </row>
    <row r="256" customFormat="false" ht="15" hidden="false" customHeight="false" outlineLevel="0" collapsed="false">
      <c r="A256" s="0" t="s">
        <v>8</v>
      </c>
      <c r="B256" s="0" t="s">
        <v>347</v>
      </c>
      <c r="C256" s="0" t="s">
        <v>7072</v>
      </c>
    </row>
    <row r="257" customFormat="false" ht="15" hidden="false" customHeight="false" outlineLevel="0" collapsed="false">
      <c r="A257" s="0" t="s">
        <v>8</v>
      </c>
      <c r="B257" s="0" t="s">
        <v>350</v>
      </c>
      <c r="C257" s="0" t="s">
        <v>7070</v>
      </c>
      <c r="D257" s="0" t="n">
        <v>-0.6825</v>
      </c>
    </row>
    <row r="258" customFormat="false" ht="15" hidden="false" customHeight="false" outlineLevel="0" collapsed="false">
      <c r="A258" s="0" t="s">
        <v>8</v>
      </c>
      <c r="B258" s="0" t="s">
        <v>350</v>
      </c>
      <c r="C258" s="0" t="s">
        <v>7071</v>
      </c>
    </row>
    <row r="259" customFormat="false" ht="15" hidden="false" customHeight="false" outlineLevel="0" collapsed="false">
      <c r="A259" s="0" t="s">
        <v>8</v>
      </c>
      <c r="B259" s="0" t="s">
        <v>350</v>
      </c>
      <c r="C259" s="0" t="s">
        <v>7072</v>
      </c>
    </row>
    <row r="260" customFormat="false" ht="15" hidden="false" customHeight="false" outlineLevel="0" collapsed="false">
      <c r="A260" s="0" t="s">
        <v>8</v>
      </c>
      <c r="B260" s="0" t="s">
        <v>354</v>
      </c>
      <c r="C260" s="0" t="s">
        <v>7070</v>
      </c>
      <c r="D260" s="0" t="n">
        <v>-6.4802</v>
      </c>
    </row>
    <row r="261" customFormat="false" ht="15" hidden="false" customHeight="false" outlineLevel="0" collapsed="false">
      <c r="A261" s="0" t="s">
        <v>8</v>
      </c>
      <c r="B261" s="0" t="s">
        <v>354</v>
      </c>
      <c r="C261" s="0" t="s">
        <v>7071</v>
      </c>
    </row>
    <row r="262" customFormat="false" ht="15" hidden="false" customHeight="false" outlineLevel="0" collapsed="false">
      <c r="A262" s="0" t="s">
        <v>8</v>
      </c>
      <c r="B262" s="0" t="s">
        <v>354</v>
      </c>
      <c r="C262" s="0" t="s">
        <v>7072</v>
      </c>
    </row>
    <row r="263" customFormat="false" ht="15" hidden="false" customHeight="false" outlineLevel="0" collapsed="false">
      <c r="A263" s="0" t="s">
        <v>8</v>
      </c>
      <c r="B263" s="0" t="s">
        <v>357</v>
      </c>
      <c r="C263" s="0" t="s">
        <v>7070</v>
      </c>
      <c r="D263" s="0" t="n">
        <v>-22.4492</v>
      </c>
    </row>
    <row r="264" customFormat="false" ht="15" hidden="false" customHeight="false" outlineLevel="0" collapsed="false">
      <c r="A264" s="0" t="s">
        <v>8</v>
      </c>
      <c r="B264" s="0" t="s">
        <v>357</v>
      </c>
      <c r="C264" s="0" t="s">
        <v>7071</v>
      </c>
    </row>
    <row r="265" customFormat="false" ht="15" hidden="false" customHeight="false" outlineLevel="0" collapsed="false">
      <c r="A265" s="0" t="s">
        <v>8</v>
      </c>
      <c r="B265" s="0" t="s">
        <v>357</v>
      </c>
      <c r="C265" s="0" t="s">
        <v>7072</v>
      </c>
    </row>
    <row r="266" customFormat="false" ht="15" hidden="false" customHeight="false" outlineLevel="0" collapsed="false">
      <c r="A266" s="0" t="s">
        <v>8</v>
      </c>
      <c r="B266" s="0" t="s">
        <v>360</v>
      </c>
      <c r="C266" s="0" t="s">
        <v>7070</v>
      </c>
      <c r="D266" s="0" t="n">
        <v>-9.9468</v>
      </c>
    </row>
    <row r="267" customFormat="false" ht="15" hidden="false" customHeight="false" outlineLevel="0" collapsed="false">
      <c r="A267" s="0" t="s">
        <v>8</v>
      </c>
      <c r="B267" s="0" t="s">
        <v>360</v>
      </c>
      <c r="C267" s="0" t="s">
        <v>7071</v>
      </c>
    </row>
    <row r="268" customFormat="false" ht="15" hidden="false" customHeight="false" outlineLevel="0" collapsed="false">
      <c r="A268" s="0" t="s">
        <v>8</v>
      </c>
      <c r="B268" s="0" t="s">
        <v>360</v>
      </c>
      <c r="C268" s="0" t="s">
        <v>7072</v>
      </c>
    </row>
    <row r="269" customFormat="false" ht="15" hidden="false" customHeight="false" outlineLevel="0" collapsed="false">
      <c r="A269" s="0" t="s">
        <v>8</v>
      </c>
      <c r="B269" s="0" t="s">
        <v>363</v>
      </c>
      <c r="C269" s="0" t="s">
        <v>7070</v>
      </c>
      <c r="D269" s="0" t="n">
        <v>-13.2715</v>
      </c>
    </row>
    <row r="270" customFormat="false" ht="15" hidden="false" customHeight="false" outlineLevel="0" collapsed="false">
      <c r="A270" s="0" t="s">
        <v>8</v>
      </c>
      <c r="B270" s="0" t="s">
        <v>363</v>
      </c>
      <c r="C270" s="0" t="s">
        <v>7071</v>
      </c>
    </row>
    <row r="271" customFormat="false" ht="15" hidden="false" customHeight="false" outlineLevel="0" collapsed="false">
      <c r="A271" s="0" t="s">
        <v>8</v>
      </c>
      <c r="B271" s="0" t="s">
        <v>363</v>
      </c>
      <c r="C271" s="0" t="s">
        <v>7072</v>
      </c>
    </row>
    <row r="272" customFormat="false" ht="15" hidden="false" customHeight="false" outlineLevel="0" collapsed="false">
      <c r="A272" s="0" t="s">
        <v>8</v>
      </c>
      <c r="B272" s="0" t="s">
        <v>366</v>
      </c>
      <c r="C272" s="0" t="s">
        <v>7070</v>
      </c>
      <c r="D272" s="0" t="n">
        <v>0.3292</v>
      </c>
    </row>
    <row r="273" customFormat="false" ht="15" hidden="false" customHeight="false" outlineLevel="0" collapsed="false">
      <c r="A273" s="0" t="s">
        <v>8</v>
      </c>
      <c r="B273" s="0" t="s">
        <v>366</v>
      </c>
      <c r="C273" s="0" t="s">
        <v>7071</v>
      </c>
    </row>
    <row r="274" customFormat="false" ht="15" hidden="false" customHeight="false" outlineLevel="0" collapsed="false">
      <c r="A274" s="0" t="s">
        <v>8</v>
      </c>
      <c r="B274" s="0" t="s">
        <v>366</v>
      </c>
      <c r="C274" s="0" t="s">
        <v>7072</v>
      </c>
    </row>
    <row r="275" customFormat="false" ht="15" hidden="false" customHeight="false" outlineLevel="0" collapsed="false">
      <c r="A275" s="0" t="s">
        <v>8</v>
      </c>
      <c r="B275" s="0" t="s">
        <v>370</v>
      </c>
      <c r="C275" s="0" t="s">
        <v>7070</v>
      </c>
      <c r="D275" s="0" t="n">
        <v>-7.8496</v>
      </c>
    </row>
    <row r="276" customFormat="false" ht="15" hidden="false" customHeight="false" outlineLevel="0" collapsed="false">
      <c r="A276" s="0" t="s">
        <v>8</v>
      </c>
      <c r="B276" s="0" t="s">
        <v>370</v>
      </c>
      <c r="C276" s="0" t="s">
        <v>7071</v>
      </c>
    </row>
    <row r="277" customFormat="false" ht="15" hidden="false" customHeight="false" outlineLevel="0" collapsed="false">
      <c r="A277" s="0" t="s">
        <v>8</v>
      </c>
      <c r="B277" s="0" t="s">
        <v>370</v>
      </c>
      <c r="C277" s="0" t="s">
        <v>7072</v>
      </c>
    </row>
    <row r="278" customFormat="false" ht="15" hidden="false" customHeight="false" outlineLevel="0" collapsed="false">
      <c r="A278" s="0" t="s">
        <v>8</v>
      </c>
      <c r="B278" s="0" t="s">
        <v>373</v>
      </c>
      <c r="C278" s="0" t="s">
        <v>7070</v>
      </c>
      <c r="D278" s="0" t="n">
        <v>-0.4856</v>
      </c>
    </row>
    <row r="279" customFormat="false" ht="15" hidden="false" customHeight="false" outlineLevel="0" collapsed="false">
      <c r="A279" s="0" t="s">
        <v>8</v>
      </c>
      <c r="B279" s="0" t="s">
        <v>373</v>
      </c>
      <c r="C279" s="0" t="s">
        <v>7071</v>
      </c>
    </row>
    <row r="280" customFormat="false" ht="15" hidden="false" customHeight="false" outlineLevel="0" collapsed="false">
      <c r="A280" s="0" t="s">
        <v>8</v>
      </c>
      <c r="B280" s="0" t="s">
        <v>373</v>
      </c>
      <c r="C280" s="0" t="s">
        <v>7072</v>
      </c>
    </row>
    <row r="281" customFormat="false" ht="15" hidden="false" customHeight="false" outlineLevel="0" collapsed="false">
      <c r="A281" s="0" t="s">
        <v>8</v>
      </c>
      <c r="B281" s="0" t="s">
        <v>376</v>
      </c>
      <c r="C281" s="0" t="s">
        <v>7070</v>
      </c>
      <c r="D281" s="0" t="n">
        <v>-1.3878</v>
      </c>
    </row>
    <row r="282" customFormat="false" ht="15" hidden="false" customHeight="false" outlineLevel="0" collapsed="false">
      <c r="A282" s="0" t="s">
        <v>8</v>
      </c>
      <c r="B282" s="0" t="s">
        <v>376</v>
      </c>
      <c r="C282" s="0" t="s">
        <v>7071</v>
      </c>
    </row>
    <row r="283" customFormat="false" ht="15" hidden="false" customHeight="false" outlineLevel="0" collapsed="false">
      <c r="A283" s="0" t="s">
        <v>8</v>
      </c>
      <c r="B283" s="0" t="s">
        <v>376</v>
      </c>
      <c r="C283" s="0" t="s">
        <v>7072</v>
      </c>
    </row>
    <row r="284" customFormat="false" ht="15" hidden="false" customHeight="false" outlineLevel="0" collapsed="false">
      <c r="A284" s="0" t="s">
        <v>8</v>
      </c>
      <c r="B284" s="0" t="s">
        <v>379</v>
      </c>
      <c r="C284" s="0" t="s">
        <v>7070</v>
      </c>
      <c r="D284" s="0" t="n">
        <v>-5.5637</v>
      </c>
    </row>
    <row r="285" customFormat="false" ht="15" hidden="false" customHeight="false" outlineLevel="0" collapsed="false">
      <c r="A285" s="0" t="s">
        <v>8</v>
      </c>
      <c r="B285" s="0" t="s">
        <v>379</v>
      </c>
      <c r="C285" s="0" t="s">
        <v>7071</v>
      </c>
    </row>
    <row r="286" customFormat="false" ht="15" hidden="false" customHeight="false" outlineLevel="0" collapsed="false">
      <c r="A286" s="0" t="s">
        <v>8</v>
      </c>
      <c r="B286" s="0" t="s">
        <v>379</v>
      </c>
      <c r="C286" s="0" t="s">
        <v>7072</v>
      </c>
    </row>
    <row r="287" customFormat="false" ht="15" hidden="false" customHeight="false" outlineLevel="0" collapsed="false">
      <c r="A287" s="0" t="s">
        <v>8</v>
      </c>
      <c r="B287" s="0" t="s">
        <v>382</v>
      </c>
      <c r="C287" s="0" t="s">
        <v>7070</v>
      </c>
      <c r="D287" s="0" t="n">
        <v>2.1893</v>
      </c>
    </row>
    <row r="288" customFormat="false" ht="15" hidden="false" customHeight="false" outlineLevel="0" collapsed="false">
      <c r="A288" s="0" t="s">
        <v>8</v>
      </c>
      <c r="B288" s="0" t="s">
        <v>382</v>
      </c>
      <c r="C288" s="0" t="s">
        <v>7071</v>
      </c>
    </row>
    <row r="289" customFormat="false" ht="15" hidden="false" customHeight="false" outlineLevel="0" collapsed="false">
      <c r="A289" s="0" t="s">
        <v>8</v>
      </c>
      <c r="B289" s="0" t="s">
        <v>382</v>
      </c>
      <c r="C289" s="0" t="s">
        <v>7072</v>
      </c>
    </row>
    <row r="290" customFormat="false" ht="15" hidden="false" customHeight="false" outlineLevel="0" collapsed="false">
      <c r="A290" s="0" t="s">
        <v>8</v>
      </c>
      <c r="B290" s="0" t="s">
        <v>386</v>
      </c>
      <c r="C290" s="0" t="s">
        <v>7070</v>
      </c>
      <c r="D290" s="0" t="n">
        <v>12.4917</v>
      </c>
    </row>
    <row r="291" customFormat="false" ht="15" hidden="false" customHeight="false" outlineLevel="0" collapsed="false">
      <c r="A291" s="0" t="s">
        <v>8</v>
      </c>
      <c r="B291" s="0" t="s">
        <v>386</v>
      </c>
      <c r="C291" s="0" t="s">
        <v>7071</v>
      </c>
    </row>
    <row r="292" customFormat="false" ht="15" hidden="false" customHeight="false" outlineLevel="0" collapsed="false">
      <c r="A292" s="0" t="s">
        <v>8</v>
      </c>
      <c r="B292" s="0" t="s">
        <v>386</v>
      </c>
      <c r="C292" s="0" t="s">
        <v>7072</v>
      </c>
    </row>
    <row r="293" customFormat="false" ht="15" hidden="false" customHeight="false" outlineLevel="0" collapsed="false">
      <c r="A293" s="0" t="s">
        <v>8</v>
      </c>
      <c r="B293" s="0" t="s">
        <v>389</v>
      </c>
      <c r="C293" s="0" t="s">
        <v>7070</v>
      </c>
      <c r="D293" s="0" t="n">
        <v>22.6816</v>
      </c>
    </row>
    <row r="294" customFormat="false" ht="15" hidden="false" customHeight="false" outlineLevel="0" collapsed="false">
      <c r="A294" s="0" t="s">
        <v>8</v>
      </c>
      <c r="B294" s="0" t="s">
        <v>389</v>
      </c>
      <c r="C294" s="0" t="s">
        <v>7071</v>
      </c>
    </row>
    <row r="295" customFormat="false" ht="15" hidden="false" customHeight="false" outlineLevel="0" collapsed="false">
      <c r="A295" s="0" t="s">
        <v>8</v>
      </c>
      <c r="B295" s="0" t="s">
        <v>389</v>
      </c>
      <c r="C295" s="0" t="s">
        <v>7072</v>
      </c>
    </row>
    <row r="296" customFormat="false" ht="15" hidden="false" customHeight="false" outlineLevel="0" collapsed="false">
      <c r="A296" s="0" t="s">
        <v>8</v>
      </c>
      <c r="B296" s="0" t="s">
        <v>392</v>
      </c>
      <c r="C296" s="0" t="s">
        <v>7070</v>
      </c>
      <c r="D296" s="0" t="n">
        <v>9.3207</v>
      </c>
    </row>
    <row r="297" customFormat="false" ht="15" hidden="false" customHeight="false" outlineLevel="0" collapsed="false">
      <c r="A297" s="0" t="s">
        <v>8</v>
      </c>
      <c r="B297" s="0" t="s">
        <v>392</v>
      </c>
      <c r="C297" s="0" t="s">
        <v>7071</v>
      </c>
    </row>
    <row r="298" customFormat="false" ht="15" hidden="false" customHeight="false" outlineLevel="0" collapsed="false">
      <c r="A298" s="0" t="s">
        <v>8</v>
      </c>
      <c r="B298" s="0" t="s">
        <v>392</v>
      </c>
      <c r="C298" s="0" t="s">
        <v>7072</v>
      </c>
    </row>
    <row r="299" customFormat="false" ht="15" hidden="false" customHeight="false" outlineLevel="0" collapsed="false">
      <c r="A299" s="0" t="s">
        <v>8</v>
      </c>
      <c r="B299" s="0" t="s">
        <v>395</v>
      </c>
      <c r="C299" s="0" t="s">
        <v>7070</v>
      </c>
      <c r="D299" s="0" t="n">
        <v>25.5197</v>
      </c>
    </row>
    <row r="300" customFormat="false" ht="15" hidden="false" customHeight="false" outlineLevel="0" collapsed="false">
      <c r="A300" s="0" t="s">
        <v>8</v>
      </c>
      <c r="B300" s="0" t="s">
        <v>395</v>
      </c>
      <c r="C300" s="0" t="s">
        <v>7071</v>
      </c>
    </row>
    <row r="301" customFormat="false" ht="15" hidden="false" customHeight="false" outlineLevel="0" collapsed="false">
      <c r="A301" s="0" t="s">
        <v>8</v>
      </c>
      <c r="B301" s="0" t="s">
        <v>395</v>
      </c>
      <c r="C301" s="0" t="s">
        <v>7072</v>
      </c>
    </row>
    <row r="302" customFormat="false" ht="15" hidden="false" customHeight="false" outlineLevel="0" collapsed="false">
      <c r="A302" s="0" t="s">
        <v>8</v>
      </c>
      <c r="B302" s="0" t="s">
        <v>398</v>
      </c>
      <c r="C302" s="0" t="s">
        <v>7070</v>
      </c>
      <c r="D302" s="0" t="n">
        <v>54.6</v>
      </c>
    </row>
    <row r="303" customFormat="false" ht="15" hidden="false" customHeight="false" outlineLevel="0" collapsed="false">
      <c r="A303" s="0" t="s">
        <v>8</v>
      </c>
      <c r="B303" s="0" t="s">
        <v>398</v>
      </c>
      <c r="C303" s="0" t="s">
        <v>7071</v>
      </c>
    </row>
    <row r="304" customFormat="false" ht="15" hidden="false" customHeight="false" outlineLevel="0" collapsed="false">
      <c r="A304" s="0" t="s">
        <v>8</v>
      </c>
      <c r="B304" s="0" t="s">
        <v>398</v>
      </c>
      <c r="C304" s="0" t="s">
        <v>7072</v>
      </c>
    </row>
    <row r="305" customFormat="false" ht="15" hidden="false" customHeight="false" outlineLevel="0" collapsed="false">
      <c r="A305" s="0" t="s">
        <v>8</v>
      </c>
      <c r="B305" s="0" t="s">
        <v>403</v>
      </c>
      <c r="C305" s="0" t="s">
        <v>7070</v>
      </c>
      <c r="D305" s="0" t="n">
        <v>64.6</v>
      </c>
    </row>
    <row r="306" customFormat="false" ht="15" hidden="false" customHeight="false" outlineLevel="0" collapsed="false">
      <c r="A306" s="0" t="s">
        <v>8</v>
      </c>
      <c r="B306" s="0" t="s">
        <v>403</v>
      </c>
      <c r="C306" s="0" t="s">
        <v>7071</v>
      </c>
    </row>
    <row r="307" customFormat="false" ht="15" hidden="false" customHeight="false" outlineLevel="0" collapsed="false">
      <c r="A307" s="0" t="s">
        <v>8</v>
      </c>
      <c r="B307" s="0" t="s">
        <v>403</v>
      </c>
      <c r="C307" s="0" t="s">
        <v>7072</v>
      </c>
    </row>
    <row r="308" customFormat="false" ht="15" hidden="false" customHeight="false" outlineLevel="0" collapsed="false">
      <c r="A308" s="0" t="s">
        <v>8</v>
      </c>
      <c r="B308" s="0" t="s">
        <v>405</v>
      </c>
      <c r="C308" s="0" t="s">
        <v>7070</v>
      </c>
      <c r="D308" s="0" t="n">
        <v>56.3</v>
      </c>
    </row>
    <row r="309" customFormat="false" ht="15" hidden="false" customHeight="false" outlineLevel="0" collapsed="false">
      <c r="A309" s="0" t="s">
        <v>8</v>
      </c>
      <c r="B309" s="0" t="s">
        <v>405</v>
      </c>
      <c r="C309" s="0" t="s">
        <v>7071</v>
      </c>
    </row>
    <row r="310" customFormat="false" ht="15" hidden="false" customHeight="false" outlineLevel="0" collapsed="false">
      <c r="A310" s="0" t="s">
        <v>8</v>
      </c>
      <c r="B310" s="0" t="s">
        <v>405</v>
      </c>
      <c r="C310" s="0" t="s">
        <v>7072</v>
      </c>
    </row>
    <row r="311" customFormat="false" ht="15" hidden="false" customHeight="false" outlineLevel="0" collapsed="false">
      <c r="A311" s="0" t="s">
        <v>8</v>
      </c>
      <c r="B311" s="0" t="s">
        <v>407</v>
      </c>
      <c r="C311" s="0" t="s">
        <v>7070</v>
      </c>
      <c r="D311" s="0" t="n">
        <v>48.9</v>
      </c>
    </row>
    <row r="312" customFormat="false" ht="15" hidden="false" customHeight="false" outlineLevel="0" collapsed="false">
      <c r="A312" s="0" t="s">
        <v>8</v>
      </c>
      <c r="B312" s="0" t="s">
        <v>407</v>
      </c>
      <c r="C312" s="0" t="s">
        <v>7071</v>
      </c>
    </row>
    <row r="313" customFormat="false" ht="15" hidden="false" customHeight="false" outlineLevel="0" collapsed="false">
      <c r="A313" s="0" t="s">
        <v>8</v>
      </c>
      <c r="B313" s="0" t="s">
        <v>407</v>
      </c>
      <c r="C313" s="0" t="s">
        <v>7072</v>
      </c>
    </row>
    <row r="314" customFormat="false" ht="15" hidden="false" customHeight="false" outlineLevel="0" collapsed="false">
      <c r="A314" s="0" t="s">
        <v>8</v>
      </c>
      <c r="B314" s="0" t="s">
        <v>409</v>
      </c>
      <c r="C314" s="0" t="s">
        <v>7070</v>
      </c>
      <c r="D314" s="0" t="n">
        <v>50</v>
      </c>
    </row>
    <row r="315" customFormat="false" ht="15" hidden="false" customHeight="false" outlineLevel="0" collapsed="false">
      <c r="A315" s="0" t="s">
        <v>8</v>
      </c>
      <c r="B315" s="0" t="s">
        <v>409</v>
      </c>
      <c r="C315" s="0" t="s">
        <v>7071</v>
      </c>
    </row>
    <row r="316" customFormat="false" ht="15" hidden="false" customHeight="false" outlineLevel="0" collapsed="false">
      <c r="A316" s="0" t="s">
        <v>8</v>
      </c>
      <c r="B316" s="0" t="s">
        <v>409</v>
      </c>
      <c r="C316" s="0" t="s">
        <v>7072</v>
      </c>
    </row>
    <row r="317" customFormat="false" ht="15" hidden="false" customHeight="false" outlineLevel="0" collapsed="false">
      <c r="A317" s="0" t="s">
        <v>8</v>
      </c>
      <c r="B317" s="0" t="s">
        <v>411</v>
      </c>
      <c r="C317" s="0" t="s">
        <v>7070</v>
      </c>
      <c r="D317" s="0" t="n">
        <v>0.03</v>
      </c>
    </row>
    <row r="318" customFormat="false" ht="15" hidden="false" customHeight="false" outlineLevel="0" collapsed="false">
      <c r="A318" s="0" t="s">
        <v>8</v>
      </c>
      <c r="B318" s="0" t="s">
        <v>411</v>
      </c>
      <c r="C318" s="0" t="s">
        <v>7071</v>
      </c>
    </row>
    <row r="319" customFormat="false" ht="15" hidden="false" customHeight="false" outlineLevel="0" collapsed="false">
      <c r="A319" s="0" t="s">
        <v>8</v>
      </c>
      <c r="B319" s="0" t="s">
        <v>411</v>
      </c>
      <c r="C319" s="0" t="s">
        <v>7072</v>
      </c>
    </row>
    <row r="320" customFormat="false" ht="15" hidden="false" customHeight="false" outlineLevel="0" collapsed="false">
      <c r="A320" s="0" t="s">
        <v>8</v>
      </c>
      <c r="B320" s="0" t="s">
        <v>420</v>
      </c>
      <c r="C320" s="0" t="s">
        <v>7070</v>
      </c>
      <c r="D320" s="0" t="n">
        <v>1.059</v>
      </c>
    </row>
    <row r="321" customFormat="false" ht="15" hidden="false" customHeight="false" outlineLevel="0" collapsed="false">
      <c r="A321" s="0" t="s">
        <v>8</v>
      </c>
      <c r="B321" s="0" t="s">
        <v>420</v>
      </c>
      <c r="C321" s="0" t="s">
        <v>7071</v>
      </c>
    </row>
    <row r="322" customFormat="false" ht="15" hidden="false" customHeight="false" outlineLevel="0" collapsed="false">
      <c r="A322" s="0" t="s">
        <v>8</v>
      </c>
      <c r="B322" s="0" t="s">
        <v>420</v>
      </c>
      <c r="C322" s="0" t="s">
        <v>7072</v>
      </c>
    </row>
    <row r="323" customFormat="false" ht="15" hidden="false" customHeight="false" outlineLevel="0" collapsed="false">
      <c r="A323" s="0" t="s">
        <v>8</v>
      </c>
      <c r="B323" s="0" t="s">
        <v>423</v>
      </c>
      <c r="C323" s="0" t="s">
        <v>7070</v>
      </c>
      <c r="D323" s="0" t="n">
        <v>1.945</v>
      </c>
    </row>
    <row r="324" customFormat="false" ht="15" hidden="false" customHeight="false" outlineLevel="0" collapsed="false">
      <c r="A324" s="0" t="s">
        <v>8</v>
      </c>
      <c r="B324" s="0" t="s">
        <v>423</v>
      </c>
      <c r="C324" s="0" t="s">
        <v>7071</v>
      </c>
    </row>
    <row r="325" customFormat="false" ht="15" hidden="false" customHeight="false" outlineLevel="0" collapsed="false">
      <c r="A325" s="0" t="s">
        <v>8</v>
      </c>
      <c r="B325" s="0" t="s">
        <v>423</v>
      </c>
      <c r="C325" s="0" t="s">
        <v>7072</v>
      </c>
    </row>
    <row r="326" customFormat="false" ht="15" hidden="false" customHeight="false" outlineLevel="0" collapsed="false">
      <c r="A326" s="0" t="s">
        <v>8</v>
      </c>
      <c r="B326" s="0" t="s">
        <v>426</v>
      </c>
      <c r="C326" s="0" t="s">
        <v>7070</v>
      </c>
      <c r="D326" s="0" t="n">
        <v>3.273</v>
      </c>
    </row>
    <row r="327" customFormat="false" ht="15" hidden="false" customHeight="false" outlineLevel="0" collapsed="false">
      <c r="A327" s="0" t="s">
        <v>8</v>
      </c>
      <c r="B327" s="0" t="s">
        <v>426</v>
      </c>
      <c r="C327" s="0" t="s">
        <v>7071</v>
      </c>
    </row>
    <row r="328" customFormat="false" ht="15" hidden="false" customHeight="false" outlineLevel="0" collapsed="false">
      <c r="A328" s="0" t="s">
        <v>8</v>
      </c>
      <c r="B328" s="0" t="s">
        <v>426</v>
      </c>
      <c r="C328" s="0" t="s">
        <v>7072</v>
      </c>
    </row>
    <row r="329" customFormat="false" ht="15" hidden="false" customHeight="false" outlineLevel="0" collapsed="false">
      <c r="A329" s="0" t="s">
        <v>8</v>
      </c>
      <c r="B329" s="0" t="s">
        <v>429</v>
      </c>
      <c r="C329" s="0" t="s">
        <v>7070</v>
      </c>
      <c r="D329" s="0" t="n">
        <v>89.431</v>
      </c>
    </row>
    <row r="330" customFormat="false" ht="15" hidden="false" customHeight="false" outlineLevel="0" collapsed="false">
      <c r="A330" s="0" t="s">
        <v>8</v>
      </c>
      <c r="B330" s="0" t="s">
        <v>429</v>
      </c>
      <c r="C330" s="0" t="s">
        <v>7071</v>
      </c>
    </row>
    <row r="331" customFormat="false" ht="15" hidden="false" customHeight="false" outlineLevel="0" collapsed="false">
      <c r="A331" s="0" t="s">
        <v>8</v>
      </c>
      <c r="B331" s="0" t="s">
        <v>429</v>
      </c>
      <c r="C331" s="0" t="s">
        <v>7072</v>
      </c>
    </row>
    <row r="332" customFormat="false" ht="15" hidden="false" customHeight="false" outlineLevel="0" collapsed="false">
      <c r="A332" s="0" t="s">
        <v>8</v>
      </c>
      <c r="B332" s="0" t="s">
        <v>436</v>
      </c>
      <c r="C332" s="0" t="s">
        <v>7070</v>
      </c>
      <c r="D332" s="0" t="n">
        <v>657</v>
      </c>
    </row>
    <row r="333" customFormat="false" ht="15" hidden="false" customHeight="false" outlineLevel="0" collapsed="false">
      <c r="A333" s="0" t="s">
        <v>8</v>
      </c>
      <c r="B333" s="0" t="s">
        <v>436</v>
      </c>
      <c r="C333" s="0" t="s">
        <v>7071</v>
      </c>
    </row>
    <row r="334" customFormat="false" ht="15" hidden="false" customHeight="false" outlineLevel="0" collapsed="false">
      <c r="A334" s="0" t="s">
        <v>8</v>
      </c>
      <c r="B334" s="0" t="s">
        <v>436</v>
      </c>
      <c r="C334" s="0" t="s">
        <v>7072</v>
      </c>
    </row>
    <row r="335" customFormat="false" ht="15" hidden="false" customHeight="false" outlineLevel="0" collapsed="false">
      <c r="A335" s="0" t="s">
        <v>8</v>
      </c>
      <c r="B335" s="0" t="s">
        <v>443</v>
      </c>
      <c r="C335" s="0" t="s">
        <v>7070</v>
      </c>
      <c r="D335" s="0" t="n">
        <v>1.9038</v>
      </c>
    </row>
    <row r="336" customFormat="false" ht="15" hidden="false" customHeight="false" outlineLevel="0" collapsed="false">
      <c r="A336" s="0" t="s">
        <v>8</v>
      </c>
      <c r="B336" s="0" t="s">
        <v>443</v>
      </c>
      <c r="C336" s="0" t="s">
        <v>7071</v>
      </c>
    </row>
    <row r="337" customFormat="false" ht="15" hidden="false" customHeight="false" outlineLevel="0" collapsed="false">
      <c r="A337" s="0" t="s">
        <v>8</v>
      </c>
      <c r="B337" s="0" t="s">
        <v>443</v>
      </c>
      <c r="C337" s="0" t="s">
        <v>7072</v>
      </c>
    </row>
    <row r="338" customFormat="false" ht="15" hidden="false" customHeight="false" outlineLevel="0" collapsed="false">
      <c r="A338" s="0" t="s">
        <v>8</v>
      </c>
      <c r="B338" s="0" t="s">
        <v>452</v>
      </c>
      <c r="C338" s="0" t="s">
        <v>7070</v>
      </c>
      <c r="D338" s="0" t="n">
        <v>0.4848</v>
      </c>
    </row>
    <row r="339" customFormat="false" ht="15" hidden="false" customHeight="false" outlineLevel="0" collapsed="false">
      <c r="A339" s="0" t="s">
        <v>8</v>
      </c>
      <c r="B339" s="0" t="s">
        <v>452</v>
      </c>
      <c r="C339" s="0" t="s">
        <v>7071</v>
      </c>
    </row>
    <row r="340" customFormat="false" ht="15" hidden="false" customHeight="false" outlineLevel="0" collapsed="false">
      <c r="A340" s="0" t="s">
        <v>8</v>
      </c>
      <c r="B340" s="0" t="s">
        <v>452</v>
      </c>
      <c r="C340" s="0" t="s">
        <v>7072</v>
      </c>
    </row>
    <row r="341" customFormat="false" ht="15" hidden="false" customHeight="false" outlineLevel="0" collapsed="false">
      <c r="A341" s="0" t="s">
        <v>8</v>
      </c>
      <c r="B341" s="0" t="s">
        <v>455</v>
      </c>
      <c r="C341" s="0" t="s">
        <v>7070</v>
      </c>
      <c r="D341" s="0" t="n">
        <v>1.6569</v>
      </c>
    </row>
    <row r="342" customFormat="false" ht="15" hidden="false" customHeight="false" outlineLevel="0" collapsed="false">
      <c r="A342" s="0" t="s">
        <v>8</v>
      </c>
      <c r="B342" s="0" t="s">
        <v>455</v>
      </c>
      <c r="C342" s="0" t="s">
        <v>7071</v>
      </c>
    </row>
    <row r="343" customFormat="false" ht="15" hidden="false" customHeight="false" outlineLevel="0" collapsed="false">
      <c r="A343" s="0" t="s">
        <v>8</v>
      </c>
      <c r="B343" s="0" t="s">
        <v>455</v>
      </c>
      <c r="C343" s="0" t="s">
        <v>7072</v>
      </c>
    </row>
    <row r="344" customFormat="false" ht="15" hidden="false" customHeight="false" outlineLevel="0" collapsed="false">
      <c r="A344" s="0" t="s">
        <v>8</v>
      </c>
      <c r="B344" s="0" t="s">
        <v>459</v>
      </c>
      <c r="C344" s="0" t="s">
        <v>7070</v>
      </c>
      <c r="D344" s="0" t="n">
        <v>0.4749</v>
      </c>
    </row>
    <row r="345" customFormat="false" ht="15" hidden="false" customHeight="false" outlineLevel="0" collapsed="false">
      <c r="A345" s="0" t="s">
        <v>8</v>
      </c>
      <c r="B345" s="0" t="s">
        <v>459</v>
      </c>
      <c r="C345" s="0" t="s">
        <v>7071</v>
      </c>
    </row>
    <row r="346" customFormat="false" ht="15" hidden="false" customHeight="false" outlineLevel="0" collapsed="false">
      <c r="A346" s="0" t="s">
        <v>8</v>
      </c>
      <c r="B346" s="0" t="s">
        <v>459</v>
      </c>
      <c r="C346" s="0" t="s">
        <v>7072</v>
      </c>
    </row>
    <row r="347" customFormat="false" ht="15" hidden="false" customHeight="false" outlineLevel="0" collapsed="false">
      <c r="A347" s="0" t="s">
        <v>8</v>
      </c>
      <c r="B347" s="0" t="s">
        <v>462</v>
      </c>
      <c r="C347" s="0" t="s">
        <v>7070</v>
      </c>
      <c r="D347" s="0" t="n">
        <v>3.6572</v>
      </c>
    </row>
    <row r="348" customFormat="false" ht="15" hidden="false" customHeight="false" outlineLevel="0" collapsed="false">
      <c r="A348" s="0" t="s">
        <v>8</v>
      </c>
      <c r="B348" s="0" t="s">
        <v>462</v>
      </c>
      <c r="C348" s="0" t="s">
        <v>7071</v>
      </c>
    </row>
    <row r="349" customFormat="false" ht="15" hidden="false" customHeight="false" outlineLevel="0" collapsed="false">
      <c r="A349" s="0" t="s">
        <v>8</v>
      </c>
      <c r="B349" s="0" t="s">
        <v>462</v>
      </c>
      <c r="C349" s="0" t="s">
        <v>7072</v>
      </c>
    </row>
    <row r="350" customFormat="false" ht="15" hidden="false" customHeight="false" outlineLevel="0" collapsed="false">
      <c r="A350" s="0" t="s">
        <v>8</v>
      </c>
      <c r="B350" s="0" t="s">
        <v>466</v>
      </c>
      <c r="C350" s="0" t="s">
        <v>7070</v>
      </c>
      <c r="D350" s="0" t="n">
        <v>2.145</v>
      </c>
    </row>
    <row r="351" customFormat="false" ht="15" hidden="false" customHeight="false" outlineLevel="0" collapsed="false">
      <c r="A351" s="0" t="s">
        <v>8</v>
      </c>
      <c r="B351" s="0" t="s">
        <v>466</v>
      </c>
      <c r="C351" s="0" t="s">
        <v>7071</v>
      </c>
    </row>
    <row r="352" customFormat="false" ht="15" hidden="false" customHeight="false" outlineLevel="0" collapsed="false">
      <c r="A352" s="0" t="s">
        <v>8</v>
      </c>
      <c r="B352" s="0" t="s">
        <v>466</v>
      </c>
      <c r="C352" s="0" t="s">
        <v>7072</v>
      </c>
    </row>
    <row r="353" customFormat="false" ht="15" hidden="false" customHeight="false" outlineLevel="0" collapsed="false">
      <c r="A353" s="0" t="s">
        <v>8</v>
      </c>
      <c r="B353" s="0" t="s">
        <v>469</v>
      </c>
      <c r="C353" s="0" t="s">
        <v>7070</v>
      </c>
      <c r="D353" s="0" t="n">
        <v>0.0254</v>
      </c>
    </row>
    <row r="354" customFormat="false" ht="15" hidden="false" customHeight="false" outlineLevel="0" collapsed="false">
      <c r="A354" s="0" t="s">
        <v>8</v>
      </c>
      <c r="B354" s="0" t="s">
        <v>469</v>
      </c>
      <c r="C354" s="0" t="s">
        <v>7071</v>
      </c>
    </row>
    <row r="355" customFormat="false" ht="15" hidden="false" customHeight="false" outlineLevel="0" collapsed="false">
      <c r="A355" s="0" t="s">
        <v>8</v>
      </c>
      <c r="B355" s="0" t="s">
        <v>469</v>
      </c>
      <c r="C355" s="0" t="s">
        <v>7072</v>
      </c>
    </row>
    <row r="356" customFormat="false" ht="15" hidden="false" customHeight="false" outlineLevel="0" collapsed="false">
      <c r="A356" s="0" t="s">
        <v>8</v>
      </c>
      <c r="B356" s="0" t="s">
        <v>473</v>
      </c>
      <c r="C356" s="0" t="s">
        <v>7070</v>
      </c>
      <c r="D356" s="0" t="n">
        <v>0.0194</v>
      </c>
    </row>
    <row r="357" customFormat="false" ht="15" hidden="false" customHeight="false" outlineLevel="0" collapsed="false">
      <c r="A357" s="0" t="s">
        <v>8</v>
      </c>
      <c r="B357" s="0" t="s">
        <v>473</v>
      </c>
      <c r="C357" s="0" t="s">
        <v>7071</v>
      </c>
    </row>
    <row r="358" customFormat="false" ht="15" hidden="false" customHeight="false" outlineLevel="0" collapsed="false">
      <c r="A358" s="0" t="s">
        <v>8</v>
      </c>
      <c r="B358" s="0" t="s">
        <v>473</v>
      </c>
      <c r="C358" s="0" t="s">
        <v>7072</v>
      </c>
    </row>
    <row r="359" customFormat="false" ht="15" hidden="false" customHeight="false" outlineLevel="0" collapsed="false">
      <c r="A359" s="0" t="s">
        <v>8</v>
      </c>
      <c r="B359" s="0" t="s">
        <v>476</v>
      </c>
      <c r="C359" s="0" t="s">
        <v>7070</v>
      </c>
      <c r="D359" s="0" t="n">
        <v>7.2433</v>
      </c>
    </row>
    <row r="360" customFormat="false" ht="15" hidden="false" customHeight="false" outlineLevel="0" collapsed="false">
      <c r="A360" s="0" t="s">
        <v>8</v>
      </c>
      <c r="B360" s="0" t="s">
        <v>476</v>
      </c>
      <c r="C360" s="0" t="s">
        <v>7071</v>
      </c>
    </row>
    <row r="361" customFormat="false" ht="15" hidden="false" customHeight="false" outlineLevel="0" collapsed="false">
      <c r="A361" s="0" t="s">
        <v>8</v>
      </c>
      <c r="B361" s="0" t="s">
        <v>476</v>
      </c>
      <c r="C361" s="0" t="s">
        <v>7072</v>
      </c>
    </row>
    <row r="362" customFormat="false" ht="15" hidden="false" customHeight="false" outlineLevel="0" collapsed="false">
      <c r="A362" s="0" t="s">
        <v>8</v>
      </c>
      <c r="B362" s="0" t="s">
        <v>479</v>
      </c>
      <c r="C362" s="0" t="s">
        <v>7070</v>
      </c>
      <c r="D362" s="0" t="n">
        <v>5.3396</v>
      </c>
    </row>
    <row r="363" customFormat="false" ht="15" hidden="false" customHeight="false" outlineLevel="0" collapsed="false">
      <c r="A363" s="0" t="s">
        <v>8</v>
      </c>
      <c r="B363" s="0" t="s">
        <v>479</v>
      </c>
      <c r="C363" s="0" t="s">
        <v>7071</v>
      </c>
    </row>
    <row r="364" customFormat="false" ht="15" hidden="false" customHeight="false" outlineLevel="0" collapsed="false">
      <c r="A364" s="0" t="s">
        <v>8</v>
      </c>
      <c r="B364" s="0" t="s">
        <v>479</v>
      </c>
      <c r="C364" s="0" t="s">
        <v>7072</v>
      </c>
    </row>
    <row r="365" customFormat="false" ht="15" hidden="false" customHeight="false" outlineLevel="0" collapsed="false">
      <c r="A365" s="0" t="s">
        <v>8</v>
      </c>
      <c r="B365" s="0" t="s">
        <v>483</v>
      </c>
      <c r="C365" s="0" t="s">
        <v>7070</v>
      </c>
      <c r="D365" s="0" t="n">
        <v>1.9038</v>
      </c>
    </row>
    <row r="366" customFormat="false" ht="15" hidden="false" customHeight="false" outlineLevel="0" collapsed="false">
      <c r="A366" s="0" t="s">
        <v>8</v>
      </c>
      <c r="B366" s="0" t="s">
        <v>483</v>
      </c>
      <c r="C366" s="0" t="s">
        <v>7071</v>
      </c>
    </row>
    <row r="367" customFormat="false" ht="15" hidden="false" customHeight="false" outlineLevel="0" collapsed="false">
      <c r="A367" s="0" t="s">
        <v>8</v>
      </c>
      <c r="B367" s="0" t="s">
        <v>483</v>
      </c>
      <c r="C367" s="0" t="s">
        <v>7072</v>
      </c>
    </row>
    <row r="368" customFormat="false" ht="15" hidden="false" customHeight="false" outlineLevel="0" collapsed="false">
      <c r="A368" s="0" t="s">
        <v>8</v>
      </c>
      <c r="B368" s="0" t="s">
        <v>487</v>
      </c>
      <c r="C368" s="0" t="s">
        <v>7070</v>
      </c>
      <c r="D368" s="0" t="n">
        <v>4.2768</v>
      </c>
    </row>
    <row r="369" customFormat="false" ht="15" hidden="false" customHeight="false" outlineLevel="0" collapsed="false">
      <c r="A369" s="0" t="s">
        <v>8</v>
      </c>
      <c r="B369" s="0" t="s">
        <v>487</v>
      </c>
      <c r="C369" s="0" t="s">
        <v>7071</v>
      </c>
    </row>
    <row r="370" customFormat="false" ht="15" hidden="false" customHeight="false" outlineLevel="0" collapsed="false">
      <c r="A370" s="0" t="s">
        <v>8</v>
      </c>
      <c r="B370" s="0" t="s">
        <v>487</v>
      </c>
      <c r="C370" s="0" t="s">
        <v>7072</v>
      </c>
    </row>
    <row r="371" customFormat="false" ht="15" hidden="false" customHeight="false" outlineLevel="0" collapsed="false">
      <c r="A371" s="0" t="s">
        <v>8</v>
      </c>
      <c r="B371" s="0" t="s">
        <v>491</v>
      </c>
      <c r="C371" s="0" t="s">
        <v>7070</v>
      </c>
      <c r="D371" s="0" t="n">
        <v>2.9666</v>
      </c>
    </row>
    <row r="372" customFormat="false" ht="15" hidden="false" customHeight="false" outlineLevel="0" collapsed="false">
      <c r="A372" s="0" t="s">
        <v>8</v>
      </c>
      <c r="B372" s="0" t="s">
        <v>491</v>
      </c>
      <c r="C372" s="0" t="s">
        <v>7071</v>
      </c>
    </row>
    <row r="373" customFormat="false" ht="15" hidden="false" customHeight="false" outlineLevel="0" collapsed="false">
      <c r="A373" s="0" t="s">
        <v>8</v>
      </c>
      <c r="B373" s="0" t="s">
        <v>491</v>
      </c>
      <c r="C373" s="0" t="s">
        <v>7072</v>
      </c>
    </row>
    <row r="374" customFormat="false" ht="15" hidden="false" customHeight="false" outlineLevel="0" collapsed="false">
      <c r="A374" s="0" t="s">
        <v>8</v>
      </c>
      <c r="B374" s="0" t="s">
        <v>494</v>
      </c>
      <c r="C374" s="0" t="s">
        <v>7070</v>
      </c>
      <c r="D374" s="0" t="n">
        <v>41</v>
      </c>
    </row>
    <row r="375" customFormat="false" ht="15" hidden="false" customHeight="false" outlineLevel="0" collapsed="false">
      <c r="A375" s="0" t="s">
        <v>8</v>
      </c>
      <c r="B375" s="0" t="s">
        <v>494</v>
      </c>
      <c r="C375" s="0" t="s">
        <v>7071</v>
      </c>
    </row>
    <row r="376" customFormat="false" ht="15" hidden="false" customHeight="false" outlineLevel="0" collapsed="false">
      <c r="A376" s="0" t="s">
        <v>8</v>
      </c>
      <c r="B376" s="0" t="s">
        <v>494</v>
      </c>
      <c r="C376" s="0" t="s">
        <v>7072</v>
      </c>
    </row>
    <row r="377" customFormat="false" ht="15" hidden="false" customHeight="false" outlineLevel="0" collapsed="false">
      <c r="A377" s="0" t="s">
        <v>8</v>
      </c>
      <c r="B377" s="0" t="s">
        <v>497</v>
      </c>
      <c r="C377" s="0" t="s">
        <v>7070</v>
      </c>
      <c r="D377" s="0" t="n">
        <v>2.6066</v>
      </c>
    </row>
    <row r="378" customFormat="false" ht="15" hidden="false" customHeight="false" outlineLevel="0" collapsed="false">
      <c r="A378" s="0" t="s">
        <v>8</v>
      </c>
      <c r="B378" s="0" t="s">
        <v>497</v>
      </c>
      <c r="C378" s="0" t="s">
        <v>7071</v>
      </c>
    </row>
    <row r="379" customFormat="false" ht="15" hidden="false" customHeight="false" outlineLevel="0" collapsed="false">
      <c r="A379" s="0" t="s">
        <v>8</v>
      </c>
      <c r="B379" s="0" t="s">
        <v>497</v>
      </c>
      <c r="C379" s="0" t="s">
        <v>7072</v>
      </c>
    </row>
    <row r="380" customFormat="false" ht="15" hidden="false" customHeight="false" outlineLevel="0" collapsed="false">
      <c r="A380" s="0" t="s">
        <v>8</v>
      </c>
      <c r="B380" s="0" t="s">
        <v>501</v>
      </c>
      <c r="C380" s="0" t="s">
        <v>7070</v>
      </c>
      <c r="D380" s="0" t="n">
        <v>1.7426</v>
      </c>
    </row>
    <row r="381" customFormat="false" ht="15" hidden="false" customHeight="false" outlineLevel="0" collapsed="false">
      <c r="A381" s="0" t="s">
        <v>8</v>
      </c>
      <c r="B381" s="0" t="s">
        <v>501</v>
      </c>
      <c r="C381" s="0" t="s">
        <v>7071</v>
      </c>
    </row>
    <row r="382" customFormat="false" ht="15" hidden="false" customHeight="false" outlineLevel="0" collapsed="false">
      <c r="A382" s="0" t="s">
        <v>8</v>
      </c>
      <c r="B382" s="0" t="s">
        <v>501</v>
      </c>
      <c r="C382" s="0" t="s">
        <v>7072</v>
      </c>
    </row>
    <row r="383" customFormat="false" ht="15" hidden="false" customHeight="false" outlineLevel="0" collapsed="false">
      <c r="A383" s="0" t="s">
        <v>8</v>
      </c>
      <c r="B383" s="0" t="s">
        <v>504</v>
      </c>
      <c r="C383" s="0" t="s">
        <v>7070</v>
      </c>
      <c r="D383" s="0" t="n">
        <v>0.36</v>
      </c>
    </row>
    <row r="384" customFormat="false" ht="15" hidden="false" customHeight="false" outlineLevel="0" collapsed="false">
      <c r="A384" s="0" t="s">
        <v>8</v>
      </c>
      <c r="B384" s="0" t="s">
        <v>504</v>
      </c>
      <c r="C384" s="0" t="s">
        <v>7071</v>
      </c>
    </row>
    <row r="385" customFormat="false" ht="15" hidden="false" customHeight="false" outlineLevel="0" collapsed="false">
      <c r="A385" s="0" t="s">
        <v>8</v>
      </c>
      <c r="B385" s="0" t="s">
        <v>504</v>
      </c>
      <c r="C385" s="0" t="s">
        <v>7072</v>
      </c>
    </row>
    <row r="386" customFormat="false" ht="15" hidden="false" customHeight="false" outlineLevel="0" collapsed="false">
      <c r="A386" s="0" t="s">
        <v>8</v>
      </c>
      <c r="B386" s="0" t="s">
        <v>508</v>
      </c>
      <c r="C386" s="0" t="s">
        <v>7070</v>
      </c>
      <c r="D386" s="0" t="n">
        <v>0.0163</v>
      </c>
    </row>
    <row r="387" customFormat="false" ht="15" hidden="false" customHeight="false" outlineLevel="0" collapsed="false">
      <c r="A387" s="0" t="s">
        <v>8</v>
      </c>
      <c r="B387" s="0" t="s">
        <v>508</v>
      </c>
      <c r="C387" s="0" t="s">
        <v>7071</v>
      </c>
    </row>
    <row r="388" customFormat="false" ht="15" hidden="false" customHeight="false" outlineLevel="0" collapsed="false">
      <c r="A388" s="0" t="s">
        <v>8</v>
      </c>
      <c r="B388" s="0" t="s">
        <v>508</v>
      </c>
      <c r="C388" s="0" t="s">
        <v>7072</v>
      </c>
    </row>
    <row r="389" customFormat="false" ht="15" hidden="false" customHeight="false" outlineLevel="0" collapsed="false">
      <c r="A389" s="0" t="s">
        <v>8</v>
      </c>
      <c r="B389" s="0" t="s">
        <v>511</v>
      </c>
      <c r="C389" s="0" t="s">
        <v>7070</v>
      </c>
      <c r="D389" s="0" t="n">
        <v>0.36</v>
      </c>
    </row>
    <row r="390" customFormat="false" ht="15" hidden="false" customHeight="false" outlineLevel="0" collapsed="false">
      <c r="A390" s="0" t="s">
        <v>8</v>
      </c>
      <c r="B390" s="0" t="s">
        <v>511</v>
      </c>
      <c r="C390" s="0" t="s">
        <v>7071</v>
      </c>
    </row>
    <row r="391" customFormat="false" ht="15" hidden="false" customHeight="false" outlineLevel="0" collapsed="false">
      <c r="A391" s="0" t="s">
        <v>8</v>
      </c>
      <c r="B391" s="0" t="s">
        <v>511</v>
      </c>
      <c r="C391" s="0" t="s">
        <v>7072</v>
      </c>
    </row>
    <row r="392" customFormat="false" ht="15" hidden="false" customHeight="false" outlineLevel="0" collapsed="false">
      <c r="A392" s="0" t="s">
        <v>8</v>
      </c>
      <c r="B392" s="0" t="s">
        <v>515</v>
      </c>
      <c r="C392" s="0" t="s">
        <v>7070</v>
      </c>
      <c r="D392" s="0" t="n">
        <v>0.016</v>
      </c>
    </row>
    <row r="393" customFormat="false" ht="15" hidden="false" customHeight="false" outlineLevel="0" collapsed="false">
      <c r="A393" s="0" t="s">
        <v>8</v>
      </c>
      <c r="B393" s="0" t="s">
        <v>515</v>
      </c>
      <c r="C393" s="0" t="s">
        <v>7071</v>
      </c>
    </row>
    <row r="394" customFormat="false" ht="15" hidden="false" customHeight="false" outlineLevel="0" collapsed="false">
      <c r="A394" s="0" t="s">
        <v>8</v>
      </c>
      <c r="B394" s="0" t="s">
        <v>515</v>
      </c>
      <c r="C394" s="0" t="s">
        <v>7072</v>
      </c>
    </row>
    <row r="395" customFormat="false" ht="15" hidden="false" customHeight="false" outlineLevel="0" collapsed="false">
      <c r="A395" s="0" t="s">
        <v>8</v>
      </c>
      <c r="B395" s="0" t="s">
        <v>518</v>
      </c>
      <c r="C395" s="0" t="s">
        <v>7070</v>
      </c>
      <c r="D395" s="0" t="n">
        <v>0.867</v>
      </c>
    </row>
    <row r="396" customFormat="false" ht="15" hidden="false" customHeight="false" outlineLevel="0" collapsed="false">
      <c r="A396" s="0" t="s">
        <v>8</v>
      </c>
      <c r="B396" s="0" t="s">
        <v>518</v>
      </c>
      <c r="C396" s="0" t="s">
        <v>7071</v>
      </c>
    </row>
    <row r="397" customFormat="false" ht="15" hidden="false" customHeight="false" outlineLevel="0" collapsed="false">
      <c r="A397" s="0" t="s">
        <v>8</v>
      </c>
      <c r="B397" s="0" t="s">
        <v>518</v>
      </c>
      <c r="C397" s="0" t="s">
        <v>7072</v>
      </c>
    </row>
    <row r="398" customFormat="false" ht="15" hidden="false" customHeight="false" outlineLevel="0" collapsed="false">
      <c r="A398" s="0" t="s">
        <v>8</v>
      </c>
      <c r="B398" s="0" t="s">
        <v>522</v>
      </c>
      <c r="C398" s="0" t="s">
        <v>7070</v>
      </c>
      <c r="D398" s="0" t="n">
        <v>0.234</v>
      </c>
    </row>
    <row r="399" customFormat="false" ht="15" hidden="false" customHeight="false" outlineLevel="0" collapsed="false">
      <c r="A399" s="0" t="s">
        <v>8</v>
      </c>
      <c r="B399" s="0" t="s">
        <v>522</v>
      </c>
      <c r="C399" s="0" t="s">
        <v>7071</v>
      </c>
    </row>
    <row r="400" customFormat="false" ht="15" hidden="false" customHeight="false" outlineLevel="0" collapsed="false">
      <c r="A400" s="0" t="s">
        <v>8</v>
      </c>
      <c r="B400" s="0" t="s">
        <v>522</v>
      </c>
      <c r="C400" s="0" t="s">
        <v>7072</v>
      </c>
    </row>
    <row r="401" customFormat="false" ht="15" hidden="false" customHeight="false" outlineLevel="0" collapsed="false">
      <c r="A401" s="0" t="s">
        <v>8</v>
      </c>
      <c r="B401" s="0" t="s">
        <v>525</v>
      </c>
      <c r="C401" s="0" t="s">
        <v>7070</v>
      </c>
      <c r="D401" s="0" t="n">
        <v>1.717</v>
      </c>
    </row>
    <row r="402" customFormat="false" ht="15" hidden="false" customHeight="false" outlineLevel="0" collapsed="false">
      <c r="A402" s="0" t="s">
        <v>8</v>
      </c>
      <c r="B402" s="0" t="s">
        <v>525</v>
      </c>
      <c r="C402" s="0" t="s">
        <v>7071</v>
      </c>
    </row>
    <row r="403" customFormat="false" ht="15" hidden="false" customHeight="false" outlineLevel="0" collapsed="false">
      <c r="A403" s="0" t="s">
        <v>8</v>
      </c>
      <c r="B403" s="0" t="s">
        <v>525</v>
      </c>
      <c r="C403" s="0" t="s">
        <v>7072</v>
      </c>
    </row>
    <row r="404" customFormat="false" ht="15" hidden="false" customHeight="false" outlineLevel="0" collapsed="false">
      <c r="A404" s="0" t="s">
        <v>8</v>
      </c>
      <c r="B404" s="0" t="s">
        <v>529</v>
      </c>
      <c r="C404" s="0" t="s">
        <v>7070</v>
      </c>
      <c r="D404" s="0" t="n">
        <v>1.492</v>
      </c>
    </row>
    <row r="405" customFormat="false" ht="15" hidden="false" customHeight="false" outlineLevel="0" collapsed="false">
      <c r="A405" s="0" t="s">
        <v>8</v>
      </c>
      <c r="B405" s="0" t="s">
        <v>529</v>
      </c>
      <c r="C405" s="0" t="s">
        <v>7071</v>
      </c>
    </row>
    <row r="406" customFormat="false" ht="15" hidden="false" customHeight="false" outlineLevel="0" collapsed="false">
      <c r="A406" s="0" t="s">
        <v>8</v>
      </c>
      <c r="B406" s="0" t="s">
        <v>529</v>
      </c>
      <c r="C406" s="0" t="s">
        <v>7072</v>
      </c>
    </row>
    <row r="407" customFormat="false" ht="15" hidden="false" customHeight="false" outlineLevel="0" collapsed="false">
      <c r="A407" s="0" t="s">
        <v>8</v>
      </c>
      <c r="B407" s="0" t="s">
        <v>532</v>
      </c>
      <c r="C407" s="0" t="s">
        <v>7070</v>
      </c>
      <c r="D407" s="0" t="n">
        <v>0.023</v>
      </c>
    </row>
    <row r="408" customFormat="false" ht="15" hidden="false" customHeight="false" outlineLevel="0" collapsed="false">
      <c r="A408" s="0" t="s">
        <v>8</v>
      </c>
      <c r="B408" s="0" t="s">
        <v>532</v>
      </c>
      <c r="C408" s="0" t="s">
        <v>7071</v>
      </c>
    </row>
    <row r="409" customFormat="false" ht="15" hidden="false" customHeight="false" outlineLevel="0" collapsed="false">
      <c r="A409" s="0" t="s">
        <v>8</v>
      </c>
      <c r="B409" s="0" t="s">
        <v>532</v>
      </c>
      <c r="C409" s="0" t="s">
        <v>7072</v>
      </c>
    </row>
    <row r="410" customFormat="false" ht="15" hidden="false" customHeight="false" outlineLevel="0" collapsed="false">
      <c r="A410" s="0" t="s">
        <v>8</v>
      </c>
      <c r="B410" s="0" t="s">
        <v>536</v>
      </c>
      <c r="C410" s="0" t="s">
        <v>7070</v>
      </c>
      <c r="D410" s="0" t="n">
        <v>0.017</v>
      </c>
    </row>
    <row r="411" customFormat="false" ht="15" hidden="false" customHeight="false" outlineLevel="0" collapsed="false">
      <c r="A411" s="0" t="s">
        <v>8</v>
      </c>
      <c r="B411" s="0" t="s">
        <v>536</v>
      </c>
      <c r="C411" s="0" t="s">
        <v>7071</v>
      </c>
    </row>
    <row r="412" customFormat="false" ht="15" hidden="false" customHeight="false" outlineLevel="0" collapsed="false">
      <c r="A412" s="0" t="s">
        <v>8</v>
      </c>
      <c r="B412" s="0" t="s">
        <v>536</v>
      </c>
      <c r="C412" s="0" t="s">
        <v>7072</v>
      </c>
    </row>
    <row r="413" customFormat="false" ht="15" hidden="false" customHeight="false" outlineLevel="0" collapsed="false">
      <c r="A413" s="0" t="s">
        <v>8</v>
      </c>
      <c r="B413" s="0" t="s">
        <v>539</v>
      </c>
      <c r="C413" s="0" t="s">
        <v>7070</v>
      </c>
      <c r="D413" s="0" t="n">
        <v>3.3</v>
      </c>
    </row>
    <row r="414" customFormat="false" ht="15" hidden="false" customHeight="false" outlineLevel="0" collapsed="false">
      <c r="A414" s="0" t="s">
        <v>8</v>
      </c>
      <c r="B414" s="0" t="s">
        <v>539</v>
      </c>
      <c r="C414" s="0" t="s">
        <v>7071</v>
      </c>
    </row>
    <row r="415" customFormat="false" ht="15" hidden="false" customHeight="false" outlineLevel="0" collapsed="false">
      <c r="A415" s="0" t="s">
        <v>8</v>
      </c>
      <c r="B415" s="0" t="s">
        <v>539</v>
      </c>
      <c r="C415" s="0" t="s">
        <v>7072</v>
      </c>
    </row>
    <row r="416" customFormat="false" ht="15" hidden="false" customHeight="false" outlineLevel="0" collapsed="false">
      <c r="A416" s="0" t="s">
        <v>8</v>
      </c>
      <c r="B416" s="0" t="s">
        <v>543</v>
      </c>
      <c r="C416" s="0" t="s">
        <v>7070</v>
      </c>
      <c r="D416" s="0" t="n">
        <v>31.8044</v>
      </c>
    </row>
    <row r="417" customFormat="false" ht="15" hidden="false" customHeight="false" outlineLevel="0" collapsed="false">
      <c r="A417" s="0" t="s">
        <v>8</v>
      </c>
      <c r="B417" s="0" t="s">
        <v>543</v>
      </c>
      <c r="C417" s="0" t="s">
        <v>7071</v>
      </c>
    </row>
    <row r="418" customFormat="false" ht="15" hidden="false" customHeight="false" outlineLevel="0" collapsed="false">
      <c r="A418" s="0" t="s">
        <v>8</v>
      </c>
      <c r="B418" s="0" t="s">
        <v>543</v>
      </c>
      <c r="C418" s="0" t="s">
        <v>7072</v>
      </c>
    </row>
    <row r="419" customFormat="false" ht="15" hidden="false" customHeight="false" outlineLevel="0" collapsed="false">
      <c r="A419" s="0" t="s">
        <v>8</v>
      </c>
      <c r="B419" s="0" t="s">
        <v>546</v>
      </c>
      <c r="C419" s="0" t="s">
        <v>7070</v>
      </c>
      <c r="D419" s="0" t="n">
        <v>3.9087</v>
      </c>
    </row>
    <row r="420" customFormat="false" ht="15" hidden="false" customHeight="false" outlineLevel="0" collapsed="false">
      <c r="A420" s="0" t="s">
        <v>8</v>
      </c>
      <c r="B420" s="0" t="s">
        <v>546</v>
      </c>
      <c r="C420" s="0" t="s">
        <v>7071</v>
      </c>
    </row>
    <row r="421" customFormat="false" ht="15" hidden="false" customHeight="false" outlineLevel="0" collapsed="false">
      <c r="A421" s="0" t="s">
        <v>8</v>
      </c>
      <c r="B421" s="0" t="s">
        <v>546</v>
      </c>
      <c r="C421" s="0" t="s">
        <v>7072</v>
      </c>
    </row>
    <row r="422" customFormat="false" ht="15" hidden="false" customHeight="false" outlineLevel="0" collapsed="false">
      <c r="A422" s="0" t="s">
        <v>8</v>
      </c>
      <c r="B422" s="0" t="s">
        <v>549</v>
      </c>
      <c r="C422" s="0" t="s">
        <v>7070</v>
      </c>
      <c r="D422" s="0" t="n">
        <v>5.0536</v>
      </c>
    </row>
    <row r="423" customFormat="false" ht="15" hidden="false" customHeight="false" outlineLevel="0" collapsed="false">
      <c r="A423" s="0" t="s">
        <v>8</v>
      </c>
      <c r="B423" s="0" t="s">
        <v>549</v>
      </c>
      <c r="C423" s="0" t="s">
        <v>7071</v>
      </c>
    </row>
    <row r="424" customFormat="false" ht="15" hidden="false" customHeight="false" outlineLevel="0" collapsed="false">
      <c r="A424" s="0" t="s">
        <v>8</v>
      </c>
      <c r="B424" s="0" t="s">
        <v>549</v>
      </c>
      <c r="C424" s="0" t="s">
        <v>7072</v>
      </c>
    </row>
    <row r="425" customFormat="false" ht="15" hidden="false" customHeight="false" outlineLevel="0" collapsed="false">
      <c r="A425" s="0" t="s">
        <v>8</v>
      </c>
      <c r="B425" s="0" t="s">
        <v>552</v>
      </c>
      <c r="C425" s="0" t="s">
        <v>7070</v>
      </c>
      <c r="D425" s="0" t="n">
        <v>5.5827</v>
      </c>
    </row>
    <row r="426" customFormat="false" ht="15" hidden="false" customHeight="false" outlineLevel="0" collapsed="false">
      <c r="A426" s="0" t="s">
        <v>8</v>
      </c>
      <c r="B426" s="0" t="s">
        <v>552</v>
      </c>
      <c r="C426" s="0" t="s">
        <v>7071</v>
      </c>
    </row>
    <row r="427" customFormat="false" ht="15" hidden="false" customHeight="false" outlineLevel="0" collapsed="false">
      <c r="A427" s="0" t="s">
        <v>8</v>
      </c>
      <c r="B427" s="0" t="s">
        <v>552</v>
      </c>
      <c r="C427" s="0" t="s">
        <v>7072</v>
      </c>
    </row>
    <row r="428" customFormat="false" ht="15" hidden="false" customHeight="false" outlineLevel="0" collapsed="false">
      <c r="A428" s="0" t="s">
        <v>8</v>
      </c>
      <c r="B428" s="0" t="s">
        <v>555</v>
      </c>
      <c r="C428" s="0" t="s">
        <v>7070</v>
      </c>
      <c r="D428" s="0" t="n">
        <v>0.1484</v>
      </c>
    </row>
    <row r="429" customFormat="false" ht="15" hidden="false" customHeight="false" outlineLevel="0" collapsed="false">
      <c r="A429" s="0" t="s">
        <v>8</v>
      </c>
      <c r="B429" s="0" t="s">
        <v>555</v>
      </c>
      <c r="C429" s="0" t="s">
        <v>7071</v>
      </c>
    </row>
    <row r="430" customFormat="false" ht="15" hidden="false" customHeight="false" outlineLevel="0" collapsed="false">
      <c r="A430" s="0" t="s">
        <v>8</v>
      </c>
      <c r="B430" s="0" t="s">
        <v>555</v>
      </c>
      <c r="C430" s="0" t="s">
        <v>7072</v>
      </c>
    </row>
    <row r="431" customFormat="false" ht="15" hidden="false" customHeight="false" outlineLevel="0" collapsed="false">
      <c r="A431" s="0" t="s">
        <v>8</v>
      </c>
      <c r="B431" s="0" t="s">
        <v>558</v>
      </c>
      <c r="C431" s="0" t="s">
        <v>7070</v>
      </c>
      <c r="D431" s="0" t="n">
        <v>0.7431</v>
      </c>
    </row>
    <row r="432" customFormat="false" ht="15" hidden="false" customHeight="false" outlineLevel="0" collapsed="false">
      <c r="A432" s="0" t="s">
        <v>8</v>
      </c>
      <c r="B432" s="0" t="s">
        <v>558</v>
      </c>
      <c r="C432" s="0" t="s">
        <v>7071</v>
      </c>
    </row>
    <row r="433" customFormat="false" ht="15" hidden="false" customHeight="false" outlineLevel="0" collapsed="false">
      <c r="A433" s="0" t="s">
        <v>8</v>
      </c>
      <c r="B433" s="0" t="s">
        <v>558</v>
      </c>
      <c r="C433" s="0" t="s">
        <v>7072</v>
      </c>
    </row>
    <row r="434" customFormat="false" ht="15" hidden="false" customHeight="false" outlineLevel="0" collapsed="false">
      <c r="A434" s="0" t="s">
        <v>8</v>
      </c>
      <c r="B434" s="0" t="s">
        <v>562</v>
      </c>
      <c r="C434" s="0" t="s">
        <v>7070</v>
      </c>
      <c r="D434" s="0" t="n">
        <v>47.1817</v>
      </c>
    </row>
    <row r="435" customFormat="false" ht="15" hidden="false" customHeight="false" outlineLevel="0" collapsed="false">
      <c r="A435" s="0" t="s">
        <v>8</v>
      </c>
      <c r="B435" s="0" t="s">
        <v>562</v>
      </c>
      <c r="C435" s="0" t="s">
        <v>7071</v>
      </c>
    </row>
    <row r="436" customFormat="false" ht="15" hidden="false" customHeight="false" outlineLevel="0" collapsed="false">
      <c r="A436" s="0" t="s">
        <v>8</v>
      </c>
      <c r="B436" s="0" t="s">
        <v>562</v>
      </c>
      <c r="C436" s="0" t="s">
        <v>7072</v>
      </c>
    </row>
    <row r="437" customFormat="false" ht="15" hidden="false" customHeight="false" outlineLevel="0" collapsed="false">
      <c r="A437" s="0" t="s">
        <v>8</v>
      </c>
      <c r="B437" s="0" t="s">
        <v>566</v>
      </c>
      <c r="C437" s="0" t="s">
        <v>7070</v>
      </c>
      <c r="D437" s="0" t="n">
        <v>31.8197</v>
      </c>
    </row>
    <row r="438" customFormat="false" ht="15" hidden="false" customHeight="false" outlineLevel="0" collapsed="false">
      <c r="A438" s="0" t="s">
        <v>8</v>
      </c>
      <c r="B438" s="0" t="s">
        <v>566</v>
      </c>
      <c r="C438" s="0" t="s">
        <v>7071</v>
      </c>
    </row>
    <row r="439" customFormat="false" ht="15" hidden="false" customHeight="false" outlineLevel="0" collapsed="false">
      <c r="A439" s="0" t="s">
        <v>8</v>
      </c>
      <c r="B439" s="0" t="s">
        <v>566</v>
      </c>
      <c r="C439" s="0" t="s">
        <v>7072</v>
      </c>
    </row>
    <row r="440" customFormat="false" ht="15" hidden="false" customHeight="false" outlineLevel="0" collapsed="false">
      <c r="A440" s="0" t="s">
        <v>8</v>
      </c>
      <c r="B440" s="0" t="s">
        <v>569</v>
      </c>
      <c r="C440" s="0" t="s">
        <v>7070</v>
      </c>
      <c r="D440" s="0" t="n">
        <v>9.3736</v>
      </c>
    </row>
    <row r="441" customFormat="false" ht="15" hidden="false" customHeight="false" outlineLevel="0" collapsed="false">
      <c r="A441" s="0" t="s">
        <v>8</v>
      </c>
      <c r="B441" s="0" t="s">
        <v>569</v>
      </c>
      <c r="C441" s="0" t="s">
        <v>7071</v>
      </c>
    </row>
    <row r="442" customFormat="false" ht="15" hidden="false" customHeight="false" outlineLevel="0" collapsed="false">
      <c r="A442" s="0" t="s">
        <v>8</v>
      </c>
      <c r="B442" s="0" t="s">
        <v>569</v>
      </c>
      <c r="C442" s="0" t="s">
        <v>7072</v>
      </c>
    </row>
    <row r="443" customFormat="false" ht="15" hidden="false" customHeight="false" outlineLevel="0" collapsed="false">
      <c r="A443" s="0" t="s">
        <v>8</v>
      </c>
      <c r="B443" s="0" t="s">
        <v>573</v>
      </c>
      <c r="C443" s="0" t="s">
        <v>7070</v>
      </c>
      <c r="D443" s="0" t="n">
        <v>4.6886</v>
      </c>
    </row>
    <row r="444" customFormat="false" ht="15" hidden="false" customHeight="false" outlineLevel="0" collapsed="false">
      <c r="A444" s="0" t="s">
        <v>8</v>
      </c>
      <c r="B444" s="0" t="s">
        <v>573</v>
      </c>
      <c r="C444" s="0" t="s">
        <v>7071</v>
      </c>
    </row>
    <row r="445" customFormat="false" ht="15" hidden="false" customHeight="false" outlineLevel="0" collapsed="false">
      <c r="A445" s="0" t="s">
        <v>8</v>
      </c>
      <c r="B445" s="0" t="s">
        <v>573</v>
      </c>
      <c r="C445" s="0" t="s">
        <v>7072</v>
      </c>
    </row>
    <row r="446" customFormat="false" ht="15" hidden="false" customHeight="false" outlineLevel="0" collapsed="false">
      <c r="A446" s="0" t="s">
        <v>8</v>
      </c>
      <c r="B446" s="0" t="s">
        <v>576</v>
      </c>
      <c r="C446" s="0" t="s">
        <v>7070</v>
      </c>
      <c r="D446" s="0" t="n">
        <v>0.747</v>
      </c>
    </row>
    <row r="447" customFormat="false" ht="15" hidden="false" customHeight="false" outlineLevel="0" collapsed="false">
      <c r="A447" s="0" t="s">
        <v>8</v>
      </c>
      <c r="B447" s="0" t="s">
        <v>576</v>
      </c>
      <c r="C447" s="0" t="s">
        <v>7071</v>
      </c>
    </row>
    <row r="448" customFormat="false" ht="15" hidden="false" customHeight="false" outlineLevel="0" collapsed="false">
      <c r="A448" s="0" t="s">
        <v>8</v>
      </c>
      <c r="B448" s="0" t="s">
        <v>576</v>
      </c>
      <c r="C448" s="0" t="s">
        <v>7072</v>
      </c>
    </row>
    <row r="449" customFormat="false" ht="15" hidden="false" customHeight="false" outlineLevel="0" collapsed="false">
      <c r="A449" s="0" t="s">
        <v>8</v>
      </c>
      <c r="B449" s="0" t="s">
        <v>580</v>
      </c>
      <c r="C449" s="0" t="s">
        <v>7070</v>
      </c>
      <c r="D449" s="0" t="n">
        <v>4.623</v>
      </c>
    </row>
    <row r="450" customFormat="false" ht="15" hidden="false" customHeight="false" outlineLevel="0" collapsed="false">
      <c r="A450" s="0" t="s">
        <v>8</v>
      </c>
      <c r="B450" s="0" t="s">
        <v>580</v>
      </c>
      <c r="C450" s="0" t="s">
        <v>7071</v>
      </c>
    </row>
    <row r="451" customFormat="false" ht="15" hidden="false" customHeight="false" outlineLevel="0" collapsed="false">
      <c r="A451" s="0" t="s">
        <v>8</v>
      </c>
      <c r="B451" s="0" t="s">
        <v>580</v>
      </c>
      <c r="C451" s="0" t="s">
        <v>7072</v>
      </c>
    </row>
    <row r="452" customFormat="false" ht="15" hidden="false" customHeight="false" outlineLevel="0" collapsed="false">
      <c r="A452" s="0" t="s">
        <v>8</v>
      </c>
      <c r="B452" s="0" t="s">
        <v>583</v>
      </c>
      <c r="C452" s="0" t="s">
        <v>7070</v>
      </c>
      <c r="D452" s="0" t="n">
        <v>22.5915</v>
      </c>
    </row>
    <row r="453" customFormat="false" ht="15" hidden="false" customHeight="false" outlineLevel="0" collapsed="false">
      <c r="A453" s="0" t="s">
        <v>8</v>
      </c>
      <c r="B453" s="0" t="s">
        <v>583</v>
      </c>
      <c r="C453" s="0" t="s">
        <v>7071</v>
      </c>
    </row>
    <row r="454" customFormat="false" ht="15" hidden="false" customHeight="false" outlineLevel="0" collapsed="false">
      <c r="A454" s="0" t="s">
        <v>8</v>
      </c>
      <c r="B454" s="0" t="s">
        <v>583</v>
      </c>
      <c r="C454" s="0" t="s">
        <v>7072</v>
      </c>
    </row>
    <row r="455" customFormat="false" ht="15" hidden="false" customHeight="false" outlineLevel="0" collapsed="false">
      <c r="A455" s="0" t="s">
        <v>8</v>
      </c>
      <c r="B455" s="0" t="s">
        <v>587</v>
      </c>
      <c r="C455" s="0" t="s">
        <v>7070</v>
      </c>
      <c r="D455" s="0" t="n">
        <v>22.6922</v>
      </c>
    </row>
    <row r="456" customFormat="false" ht="15" hidden="false" customHeight="false" outlineLevel="0" collapsed="false">
      <c r="A456" s="0" t="s">
        <v>8</v>
      </c>
      <c r="B456" s="0" t="s">
        <v>587</v>
      </c>
      <c r="C456" s="0" t="s">
        <v>7071</v>
      </c>
    </row>
    <row r="457" customFormat="false" ht="15" hidden="false" customHeight="false" outlineLevel="0" collapsed="false">
      <c r="A457" s="0" t="s">
        <v>8</v>
      </c>
      <c r="B457" s="0" t="s">
        <v>587</v>
      </c>
      <c r="C457" s="0" t="s">
        <v>7072</v>
      </c>
    </row>
    <row r="458" customFormat="false" ht="15" hidden="false" customHeight="false" outlineLevel="0" collapsed="false">
      <c r="A458" s="0" t="s">
        <v>8</v>
      </c>
      <c r="B458" s="0" t="s">
        <v>590</v>
      </c>
      <c r="C458" s="0" t="s">
        <v>7070</v>
      </c>
      <c r="D458" s="0" t="n">
        <v>1.0859</v>
      </c>
    </row>
    <row r="459" customFormat="false" ht="15" hidden="false" customHeight="false" outlineLevel="0" collapsed="false">
      <c r="A459" s="0" t="s">
        <v>8</v>
      </c>
      <c r="B459" s="0" t="s">
        <v>590</v>
      </c>
      <c r="C459" s="0" t="s">
        <v>7071</v>
      </c>
    </row>
    <row r="460" customFormat="false" ht="15" hidden="false" customHeight="false" outlineLevel="0" collapsed="false">
      <c r="A460" s="0" t="s">
        <v>8</v>
      </c>
      <c r="B460" s="0" t="s">
        <v>590</v>
      </c>
      <c r="C460" s="0" t="s">
        <v>7072</v>
      </c>
    </row>
    <row r="461" customFormat="false" ht="15" hidden="false" customHeight="false" outlineLevel="0" collapsed="false">
      <c r="A461" s="0" t="s">
        <v>8</v>
      </c>
      <c r="B461" s="0" t="s">
        <v>594</v>
      </c>
      <c r="C461" s="0" t="s">
        <v>7070</v>
      </c>
      <c r="D461" s="0" t="n">
        <v>1.0534</v>
      </c>
    </row>
    <row r="462" customFormat="false" ht="15" hidden="false" customHeight="false" outlineLevel="0" collapsed="false">
      <c r="A462" s="0" t="s">
        <v>8</v>
      </c>
      <c r="B462" s="0" t="s">
        <v>594</v>
      </c>
      <c r="C462" s="0" t="s">
        <v>7071</v>
      </c>
    </row>
    <row r="463" customFormat="false" ht="15" hidden="false" customHeight="false" outlineLevel="0" collapsed="false">
      <c r="A463" s="0" t="s">
        <v>8</v>
      </c>
      <c r="B463" s="0" t="s">
        <v>594</v>
      </c>
      <c r="C463" s="0" t="s">
        <v>7072</v>
      </c>
    </row>
    <row r="464" customFormat="false" ht="15" hidden="false" customHeight="false" outlineLevel="0" collapsed="false">
      <c r="A464" s="0" t="s">
        <v>8</v>
      </c>
      <c r="B464" s="0" t="s">
        <v>598</v>
      </c>
      <c r="C464" s="0" t="s">
        <v>7070</v>
      </c>
      <c r="D464" s="0" t="n">
        <v>6.8945</v>
      </c>
    </row>
    <row r="465" customFormat="false" ht="15" hidden="false" customHeight="false" outlineLevel="0" collapsed="false">
      <c r="A465" s="0" t="s">
        <v>8</v>
      </c>
      <c r="B465" s="0" t="s">
        <v>598</v>
      </c>
      <c r="C465" s="0" t="s">
        <v>7071</v>
      </c>
    </row>
    <row r="466" customFormat="false" ht="15" hidden="false" customHeight="false" outlineLevel="0" collapsed="false">
      <c r="A466" s="0" t="s">
        <v>8</v>
      </c>
      <c r="B466" s="0" t="s">
        <v>598</v>
      </c>
      <c r="C466" s="0" t="s">
        <v>7072</v>
      </c>
    </row>
    <row r="467" customFormat="false" ht="15" hidden="false" customHeight="false" outlineLevel="0" collapsed="false">
      <c r="A467" s="0" t="s">
        <v>8</v>
      </c>
      <c r="B467" s="0" t="s">
        <v>602</v>
      </c>
      <c r="C467" s="0" t="s">
        <v>7070</v>
      </c>
      <c r="D467" s="0" t="n">
        <v>1.3725</v>
      </c>
    </row>
    <row r="468" customFormat="false" ht="15" hidden="false" customHeight="false" outlineLevel="0" collapsed="false">
      <c r="A468" s="0" t="s">
        <v>8</v>
      </c>
      <c r="B468" s="0" t="s">
        <v>602</v>
      </c>
      <c r="C468" s="0" t="s">
        <v>7071</v>
      </c>
    </row>
    <row r="469" customFormat="false" ht="15" hidden="false" customHeight="false" outlineLevel="0" collapsed="false">
      <c r="A469" s="0" t="s">
        <v>8</v>
      </c>
      <c r="B469" s="0" t="s">
        <v>602</v>
      </c>
      <c r="C469" s="0" t="s">
        <v>7072</v>
      </c>
    </row>
    <row r="470" customFormat="false" ht="15" hidden="false" customHeight="false" outlineLevel="0" collapsed="false">
      <c r="A470" s="0" t="s">
        <v>8</v>
      </c>
      <c r="B470" s="0" t="s">
        <v>605</v>
      </c>
      <c r="C470" s="0" t="s">
        <v>7070</v>
      </c>
      <c r="D470" s="0" t="n">
        <v>5.4514</v>
      </c>
    </row>
    <row r="471" customFormat="false" ht="15" hidden="false" customHeight="false" outlineLevel="0" collapsed="false">
      <c r="A471" s="0" t="s">
        <v>8</v>
      </c>
      <c r="B471" s="0" t="s">
        <v>605</v>
      </c>
      <c r="C471" s="0" t="s">
        <v>7071</v>
      </c>
    </row>
    <row r="472" customFormat="false" ht="15" hidden="false" customHeight="false" outlineLevel="0" collapsed="false">
      <c r="A472" s="0" t="s">
        <v>8</v>
      </c>
      <c r="B472" s="0" t="s">
        <v>605</v>
      </c>
      <c r="C472" s="0" t="s">
        <v>7072</v>
      </c>
    </row>
    <row r="473" customFormat="false" ht="15" hidden="false" customHeight="false" outlineLevel="0" collapsed="false">
      <c r="A473" s="0" t="s">
        <v>8</v>
      </c>
      <c r="B473" s="0" t="s">
        <v>609</v>
      </c>
      <c r="C473" s="0" t="s">
        <v>7070</v>
      </c>
      <c r="D473" s="0" t="n">
        <v>6.7127</v>
      </c>
    </row>
    <row r="474" customFormat="false" ht="15" hidden="false" customHeight="false" outlineLevel="0" collapsed="false">
      <c r="A474" s="0" t="s">
        <v>8</v>
      </c>
      <c r="B474" s="0" t="s">
        <v>609</v>
      </c>
      <c r="C474" s="0" t="s">
        <v>7071</v>
      </c>
    </row>
    <row r="475" customFormat="false" ht="15" hidden="false" customHeight="false" outlineLevel="0" collapsed="false">
      <c r="A475" s="0" t="s">
        <v>8</v>
      </c>
      <c r="B475" s="0" t="s">
        <v>609</v>
      </c>
      <c r="C475" s="0" t="s">
        <v>7072</v>
      </c>
    </row>
    <row r="476" customFormat="false" ht="15" hidden="false" customHeight="false" outlineLevel="0" collapsed="false">
      <c r="A476" s="0" t="s">
        <v>8</v>
      </c>
      <c r="B476" s="0" t="s">
        <v>612</v>
      </c>
      <c r="C476" s="0" t="s">
        <v>7070</v>
      </c>
      <c r="D476" s="0" t="n">
        <v>1.3216</v>
      </c>
    </row>
    <row r="477" customFormat="false" ht="15" hidden="false" customHeight="false" outlineLevel="0" collapsed="false">
      <c r="A477" s="0" t="s">
        <v>8</v>
      </c>
      <c r="B477" s="0" t="s">
        <v>612</v>
      </c>
      <c r="C477" s="0" t="s">
        <v>7071</v>
      </c>
    </row>
    <row r="478" customFormat="false" ht="15" hidden="false" customHeight="false" outlineLevel="0" collapsed="false">
      <c r="A478" s="0" t="s">
        <v>8</v>
      </c>
      <c r="B478" s="0" t="s">
        <v>612</v>
      </c>
      <c r="C478" s="0" t="s">
        <v>7072</v>
      </c>
    </row>
    <row r="479" customFormat="false" ht="15" hidden="false" customHeight="false" outlineLevel="0" collapsed="false">
      <c r="A479" s="0" t="s">
        <v>8</v>
      </c>
      <c r="B479" s="0" t="s">
        <v>616</v>
      </c>
      <c r="C479" s="0" t="s">
        <v>7070</v>
      </c>
      <c r="D479" s="0" t="n">
        <v>7.2735</v>
      </c>
    </row>
    <row r="480" customFormat="false" ht="15" hidden="false" customHeight="false" outlineLevel="0" collapsed="false">
      <c r="A480" s="0" t="s">
        <v>8</v>
      </c>
      <c r="B480" s="0" t="s">
        <v>616</v>
      </c>
      <c r="C480" s="0" t="s">
        <v>7071</v>
      </c>
    </row>
    <row r="481" customFormat="false" ht="15" hidden="false" customHeight="false" outlineLevel="0" collapsed="false">
      <c r="A481" s="0" t="s">
        <v>8</v>
      </c>
      <c r="B481" s="0" t="s">
        <v>616</v>
      </c>
      <c r="C481" s="0" t="s">
        <v>7072</v>
      </c>
    </row>
    <row r="482" customFormat="false" ht="15" hidden="false" customHeight="false" outlineLevel="0" collapsed="false">
      <c r="A482" s="0" t="s">
        <v>8</v>
      </c>
      <c r="B482" s="0" t="s">
        <v>620</v>
      </c>
      <c r="C482" s="0" t="s">
        <v>7070</v>
      </c>
      <c r="D482" s="0" t="n">
        <v>2.6947</v>
      </c>
    </row>
    <row r="483" customFormat="false" ht="15" hidden="false" customHeight="false" outlineLevel="0" collapsed="false">
      <c r="A483" s="0" t="s">
        <v>8</v>
      </c>
      <c r="B483" s="0" t="s">
        <v>620</v>
      </c>
      <c r="C483" s="0" t="s">
        <v>7071</v>
      </c>
    </row>
    <row r="484" customFormat="false" ht="15" hidden="false" customHeight="false" outlineLevel="0" collapsed="false">
      <c r="A484" s="0" t="s">
        <v>8</v>
      </c>
      <c r="B484" s="0" t="s">
        <v>620</v>
      </c>
      <c r="C484" s="0" t="s">
        <v>7072</v>
      </c>
    </row>
    <row r="485" customFormat="false" ht="15" hidden="false" customHeight="false" outlineLevel="0" collapsed="false">
      <c r="A485" s="0" t="s">
        <v>8</v>
      </c>
      <c r="B485" s="0" t="s">
        <v>623</v>
      </c>
      <c r="C485" s="0" t="s">
        <v>7070</v>
      </c>
      <c r="D485" s="0" t="n">
        <v>1094</v>
      </c>
    </row>
    <row r="486" customFormat="false" ht="15" hidden="false" customHeight="false" outlineLevel="0" collapsed="false">
      <c r="A486" s="0" t="s">
        <v>8</v>
      </c>
      <c r="B486" s="0" t="s">
        <v>623</v>
      </c>
      <c r="C486" s="0" t="s">
        <v>7071</v>
      </c>
    </row>
    <row r="487" customFormat="false" ht="15" hidden="false" customHeight="false" outlineLevel="0" collapsed="false">
      <c r="A487" s="0" t="s">
        <v>8</v>
      </c>
      <c r="B487" s="0" t="s">
        <v>623</v>
      </c>
      <c r="C487" s="0" t="s">
        <v>7072</v>
      </c>
    </row>
    <row r="488" customFormat="false" ht="15" hidden="false" customHeight="false" outlineLevel="0" collapsed="false">
      <c r="A488" s="0" t="s">
        <v>8</v>
      </c>
      <c r="B488" s="0" t="s">
        <v>628</v>
      </c>
      <c r="C488" s="0" t="s">
        <v>7070</v>
      </c>
      <c r="D488" s="0" t="n">
        <v>13.634</v>
      </c>
    </row>
    <row r="489" customFormat="false" ht="15" hidden="false" customHeight="false" outlineLevel="0" collapsed="false">
      <c r="A489" s="0" t="s">
        <v>8</v>
      </c>
      <c r="B489" s="0" t="s">
        <v>628</v>
      </c>
      <c r="C489" s="0" t="s">
        <v>7071</v>
      </c>
    </row>
    <row r="490" customFormat="false" ht="15" hidden="false" customHeight="false" outlineLevel="0" collapsed="false">
      <c r="A490" s="0" t="s">
        <v>8</v>
      </c>
      <c r="B490" s="0" t="s">
        <v>628</v>
      </c>
      <c r="C490" s="0" t="s">
        <v>7072</v>
      </c>
    </row>
    <row r="491" customFormat="false" ht="15" hidden="false" customHeight="false" outlineLevel="0" collapsed="false">
      <c r="A491" s="0" t="s">
        <v>8</v>
      </c>
      <c r="B491" s="0" t="s">
        <v>632</v>
      </c>
      <c r="C491" s="0" t="s">
        <v>7070</v>
      </c>
      <c r="D491" s="0" t="n">
        <v>0.01246</v>
      </c>
    </row>
    <row r="492" customFormat="false" ht="15" hidden="false" customHeight="false" outlineLevel="0" collapsed="false">
      <c r="A492" s="0" t="s">
        <v>8</v>
      </c>
      <c r="B492" s="0" t="s">
        <v>632</v>
      </c>
      <c r="C492" s="0" t="s">
        <v>7071</v>
      </c>
    </row>
    <row r="493" customFormat="false" ht="15" hidden="false" customHeight="false" outlineLevel="0" collapsed="false">
      <c r="A493" s="0" t="s">
        <v>8</v>
      </c>
      <c r="B493" s="0" t="s">
        <v>632</v>
      </c>
      <c r="C493" s="0" t="s">
        <v>7072</v>
      </c>
    </row>
    <row r="494" customFormat="false" ht="15" hidden="false" customHeight="false" outlineLevel="0" collapsed="false">
      <c r="A494" s="0" t="s">
        <v>8</v>
      </c>
      <c r="B494" s="0" t="s">
        <v>641</v>
      </c>
      <c r="C494" s="0" t="s">
        <v>7070</v>
      </c>
    </row>
    <row r="495" customFormat="false" ht="15" hidden="false" customHeight="false" outlineLevel="0" collapsed="false">
      <c r="A495" s="0" t="s">
        <v>8</v>
      </c>
      <c r="B495" s="0" t="s">
        <v>641</v>
      </c>
      <c r="C495" s="0" t="s">
        <v>7071</v>
      </c>
    </row>
    <row r="496" customFormat="false" ht="15" hidden="false" customHeight="false" outlineLevel="0" collapsed="false">
      <c r="A496" s="0" t="s">
        <v>8</v>
      </c>
      <c r="B496" s="0" t="s">
        <v>641</v>
      </c>
      <c r="C496" s="0" t="s">
        <v>7072</v>
      </c>
    </row>
    <row r="497" customFormat="false" ht="15" hidden="false" customHeight="false" outlineLevel="0" collapsed="false">
      <c r="A497" s="0" t="s">
        <v>8</v>
      </c>
      <c r="B497" s="0" t="s">
        <v>645</v>
      </c>
      <c r="C497" s="0" t="s">
        <v>7070</v>
      </c>
      <c r="D497" s="0" t="n">
        <v>83</v>
      </c>
    </row>
    <row r="498" customFormat="false" ht="15" hidden="false" customHeight="false" outlineLevel="0" collapsed="false">
      <c r="A498" s="0" t="s">
        <v>8</v>
      </c>
      <c r="B498" s="0" t="s">
        <v>645</v>
      </c>
      <c r="C498" s="0" t="s">
        <v>7071</v>
      </c>
    </row>
    <row r="499" customFormat="false" ht="15" hidden="false" customHeight="false" outlineLevel="0" collapsed="false">
      <c r="A499" s="0" t="s">
        <v>8</v>
      </c>
      <c r="B499" s="0" t="s">
        <v>645</v>
      </c>
      <c r="C499" s="0" t="s">
        <v>7072</v>
      </c>
    </row>
    <row r="500" customFormat="false" ht="15" hidden="false" customHeight="false" outlineLevel="0" collapsed="false">
      <c r="A500" s="0" t="s">
        <v>8</v>
      </c>
      <c r="B500" s="0" t="s">
        <v>651</v>
      </c>
      <c r="C500" s="0" t="s">
        <v>7070</v>
      </c>
    </row>
    <row r="501" customFormat="false" ht="15" hidden="false" customHeight="false" outlineLevel="0" collapsed="false">
      <c r="A501" s="0" t="s">
        <v>8</v>
      </c>
      <c r="B501" s="0" t="s">
        <v>651</v>
      </c>
      <c r="C501" s="0" t="s">
        <v>7071</v>
      </c>
    </row>
    <row r="502" customFormat="false" ht="15" hidden="false" customHeight="false" outlineLevel="0" collapsed="false">
      <c r="A502" s="0" t="s">
        <v>8</v>
      </c>
      <c r="B502" s="0" t="s">
        <v>651</v>
      </c>
      <c r="C502" s="0" t="s">
        <v>7072</v>
      </c>
    </row>
    <row r="503" customFormat="false" ht="15" hidden="false" customHeight="false" outlineLevel="0" collapsed="false">
      <c r="A503" s="0" t="s">
        <v>8</v>
      </c>
      <c r="B503" s="0" t="s">
        <v>655</v>
      </c>
      <c r="C503" s="0" t="s">
        <v>7070</v>
      </c>
      <c r="D503" s="0" t="n">
        <v>242000</v>
      </c>
    </row>
    <row r="504" customFormat="false" ht="15" hidden="false" customHeight="false" outlineLevel="0" collapsed="false">
      <c r="A504" s="0" t="s">
        <v>8</v>
      </c>
      <c r="B504" s="0" t="s">
        <v>655</v>
      </c>
      <c r="C504" s="0" t="s">
        <v>7071</v>
      </c>
      <c r="D504" s="0" t="n">
        <v>242000</v>
      </c>
    </row>
    <row r="505" customFormat="false" ht="15" hidden="false" customHeight="false" outlineLevel="0" collapsed="false">
      <c r="A505" s="0" t="s">
        <v>8</v>
      </c>
      <c r="B505" s="0" t="s">
        <v>655</v>
      </c>
      <c r="C505" s="0" t="s">
        <v>7072</v>
      </c>
    </row>
    <row r="506" customFormat="false" ht="15" hidden="false" customHeight="false" outlineLevel="0" collapsed="false">
      <c r="A506" s="0" t="s">
        <v>8</v>
      </c>
      <c r="B506" s="0" t="s">
        <v>659</v>
      </c>
      <c r="C506" s="0" t="s">
        <v>7070</v>
      </c>
      <c r="D506" s="0" t="n">
        <v>8.2518</v>
      </c>
    </row>
    <row r="507" customFormat="false" ht="15" hidden="false" customHeight="false" outlineLevel="0" collapsed="false">
      <c r="A507" s="0" t="s">
        <v>8</v>
      </c>
      <c r="B507" s="0" t="s">
        <v>659</v>
      </c>
      <c r="C507" s="0" t="s">
        <v>7071</v>
      </c>
    </row>
    <row r="508" customFormat="false" ht="15" hidden="false" customHeight="false" outlineLevel="0" collapsed="false">
      <c r="A508" s="0" t="s">
        <v>8</v>
      </c>
      <c r="B508" s="0" t="s">
        <v>659</v>
      </c>
      <c r="C508" s="0" t="s">
        <v>7072</v>
      </c>
    </row>
    <row r="509" customFormat="false" ht="15" hidden="false" customHeight="false" outlineLevel="0" collapsed="false">
      <c r="A509" s="0" t="s">
        <v>8</v>
      </c>
      <c r="B509" s="0" t="s">
        <v>668</v>
      </c>
      <c r="C509" s="0" t="s">
        <v>7070</v>
      </c>
      <c r="D509" s="0" t="n">
        <v>0.291</v>
      </c>
    </row>
    <row r="510" customFormat="false" ht="15" hidden="false" customHeight="false" outlineLevel="0" collapsed="false">
      <c r="A510" s="0" t="s">
        <v>8</v>
      </c>
      <c r="B510" s="0" t="s">
        <v>668</v>
      </c>
      <c r="C510" s="0" t="s">
        <v>7071</v>
      </c>
    </row>
    <row r="511" customFormat="false" ht="15" hidden="false" customHeight="false" outlineLevel="0" collapsed="false">
      <c r="A511" s="0" t="s">
        <v>8</v>
      </c>
      <c r="B511" s="0" t="s">
        <v>668</v>
      </c>
      <c r="C511" s="0" t="s">
        <v>7072</v>
      </c>
    </row>
    <row r="512" customFormat="false" ht="15" hidden="false" customHeight="false" outlineLevel="0" collapsed="false">
      <c r="A512" s="0" t="s">
        <v>8</v>
      </c>
      <c r="B512" s="0" t="s">
        <v>671</v>
      </c>
      <c r="C512" s="0" t="s">
        <v>7070</v>
      </c>
      <c r="D512" s="0" t="n">
        <v>0.5556</v>
      </c>
    </row>
    <row r="513" customFormat="false" ht="15" hidden="false" customHeight="false" outlineLevel="0" collapsed="false">
      <c r="A513" s="0" t="s">
        <v>8</v>
      </c>
      <c r="B513" s="0" t="s">
        <v>671</v>
      </c>
      <c r="C513" s="0" t="s">
        <v>7071</v>
      </c>
    </row>
    <row r="514" customFormat="false" ht="15" hidden="false" customHeight="false" outlineLevel="0" collapsed="false">
      <c r="A514" s="0" t="s">
        <v>8</v>
      </c>
      <c r="B514" s="0" t="s">
        <v>671</v>
      </c>
      <c r="C514" s="0" t="s">
        <v>7072</v>
      </c>
    </row>
    <row r="515" customFormat="false" ht="15" hidden="false" customHeight="false" outlineLevel="0" collapsed="false">
      <c r="A515" s="0" t="s">
        <v>8</v>
      </c>
      <c r="B515" s="0" t="s">
        <v>675</v>
      </c>
      <c r="C515" s="0" t="s">
        <v>7070</v>
      </c>
      <c r="D515" s="0" t="n">
        <v>0.1374</v>
      </c>
    </row>
    <row r="516" customFormat="false" ht="15" hidden="false" customHeight="false" outlineLevel="0" collapsed="false">
      <c r="A516" s="0" t="s">
        <v>8</v>
      </c>
      <c r="B516" s="0" t="s">
        <v>675</v>
      </c>
      <c r="C516" s="0" t="s">
        <v>7071</v>
      </c>
    </row>
    <row r="517" customFormat="false" ht="15" hidden="false" customHeight="false" outlineLevel="0" collapsed="false">
      <c r="A517" s="0" t="s">
        <v>8</v>
      </c>
      <c r="B517" s="0" t="s">
        <v>675</v>
      </c>
      <c r="C517" s="0" t="s">
        <v>7072</v>
      </c>
    </row>
    <row r="518" customFormat="false" ht="15" hidden="false" customHeight="false" outlineLevel="0" collapsed="false">
      <c r="A518" s="0" t="s">
        <v>8</v>
      </c>
      <c r="B518" s="0" t="s">
        <v>678</v>
      </c>
      <c r="C518" s="0" t="s">
        <v>7070</v>
      </c>
      <c r="D518" s="0" t="n">
        <v>0.6704</v>
      </c>
    </row>
    <row r="519" customFormat="false" ht="15" hidden="false" customHeight="false" outlineLevel="0" collapsed="false">
      <c r="A519" s="0" t="s">
        <v>8</v>
      </c>
      <c r="B519" s="0" t="s">
        <v>678</v>
      </c>
      <c r="C519" s="0" t="s">
        <v>7071</v>
      </c>
    </row>
    <row r="520" customFormat="false" ht="15" hidden="false" customHeight="false" outlineLevel="0" collapsed="false">
      <c r="A520" s="0" t="s">
        <v>8</v>
      </c>
      <c r="B520" s="0" t="s">
        <v>678</v>
      </c>
      <c r="C520" s="0" t="s">
        <v>7072</v>
      </c>
    </row>
    <row r="521" customFormat="false" ht="15" hidden="false" customHeight="false" outlineLevel="0" collapsed="false">
      <c r="A521" s="0" t="s">
        <v>8</v>
      </c>
      <c r="B521" s="0" t="s">
        <v>682</v>
      </c>
      <c r="C521" s="0" t="s">
        <v>7070</v>
      </c>
      <c r="D521" s="0" t="n">
        <v>1.4755</v>
      </c>
    </row>
    <row r="522" customFormat="false" ht="15" hidden="false" customHeight="false" outlineLevel="0" collapsed="false">
      <c r="A522" s="0" t="s">
        <v>8</v>
      </c>
      <c r="B522" s="0" t="s">
        <v>682</v>
      </c>
      <c r="C522" s="0" t="s">
        <v>7071</v>
      </c>
    </row>
    <row r="523" customFormat="false" ht="15" hidden="false" customHeight="false" outlineLevel="0" collapsed="false">
      <c r="A523" s="0" t="s">
        <v>8</v>
      </c>
      <c r="B523" s="0" t="s">
        <v>682</v>
      </c>
      <c r="C523" s="0" t="s">
        <v>7072</v>
      </c>
    </row>
    <row r="524" customFormat="false" ht="15" hidden="false" customHeight="false" outlineLevel="0" collapsed="false">
      <c r="A524" s="0" t="s">
        <v>8</v>
      </c>
      <c r="B524" s="0" t="s">
        <v>685</v>
      </c>
      <c r="C524" s="0" t="s">
        <v>7070</v>
      </c>
      <c r="D524" s="0" t="n">
        <v>0.0612</v>
      </c>
    </row>
    <row r="525" customFormat="false" ht="15" hidden="false" customHeight="false" outlineLevel="0" collapsed="false">
      <c r="A525" s="0" t="s">
        <v>8</v>
      </c>
      <c r="B525" s="0" t="s">
        <v>685</v>
      </c>
      <c r="C525" s="0" t="s">
        <v>7071</v>
      </c>
    </row>
    <row r="526" customFormat="false" ht="15" hidden="false" customHeight="false" outlineLevel="0" collapsed="false">
      <c r="A526" s="0" t="s">
        <v>8</v>
      </c>
      <c r="B526" s="0" t="s">
        <v>685</v>
      </c>
      <c r="C526" s="0" t="s">
        <v>7072</v>
      </c>
    </row>
    <row r="527" customFormat="false" ht="15" hidden="false" customHeight="false" outlineLevel="0" collapsed="false">
      <c r="A527" s="0" t="s">
        <v>8</v>
      </c>
      <c r="B527" s="0" t="s">
        <v>689</v>
      </c>
      <c r="C527" s="0" t="s">
        <v>7070</v>
      </c>
      <c r="D527" s="0" t="n">
        <v>0.0048</v>
      </c>
    </row>
    <row r="528" customFormat="false" ht="15" hidden="false" customHeight="false" outlineLevel="0" collapsed="false">
      <c r="A528" s="0" t="s">
        <v>8</v>
      </c>
      <c r="B528" s="0" t="s">
        <v>689</v>
      </c>
      <c r="C528" s="0" t="s">
        <v>7071</v>
      </c>
    </row>
    <row r="529" customFormat="false" ht="15" hidden="false" customHeight="false" outlineLevel="0" collapsed="false">
      <c r="A529" s="0" t="s">
        <v>8</v>
      </c>
      <c r="B529" s="0" t="s">
        <v>689</v>
      </c>
      <c r="C529" s="0" t="s">
        <v>7072</v>
      </c>
    </row>
    <row r="530" customFormat="false" ht="15" hidden="false" customHeight="false" outlineLevel="0" collapsed="false">
      <c r="A530" s="0" t="s">
        <v>8</v>
      </c>
      <c r="B530" s="0" t="s">
        <v>692</v>
      </c>
      <c r="C530" s="0" t="s">
        <v>7070</v>
      </c>
      <c r="D530" s="0" t="n">
        <v>9.5389</v>
      </c>
    </row>
    <row r="531" customFormat="false" ht="15" hidden="false" customHeight="false" outlineLevel="0" collapsed="false">
      <c r="A531" s="0" t="s">
        <v>8</v>
      </c>
      <c r="B531" s="0" t="s">
        <v>692</v>
      </c>
      <c r="C531" s="0" t="s">
        <v>7071</v>
      </c>
    </row>
    <row r="532" customFormat="false" ht="15" hidden="false" customHeight="false" outlineLevel="0" collapsed="false">
      <c r="A532" s="0" t="s">
        <v>8</v>
      </c>
      <c r="B532" s="0" t="s">
        <v>692</v>
      </c>
      <c r="C532" s="0" t="s">
        <v>7072</v>
      </c>
    </row>
    <row r="533" customFormat="false" ht="15" hidden="false" customHeight="false" outlineLevel="0" collapsed="false">
      <c r="A533" s="0" t="s">
        <v>8</v>
      </c>
      <c r="B533" s="0" t="s">
        <v>695</v>
      </c>
      <c r="C533" s="0" t="s">
        <v>7070</v>
      </c>
      <c r="D533" s="0" t="n">
        <v>1.2872</v>
      </c>
    </row>
    <row r="534" customFormat="false" ht="15" hidden="false" customHeight="false" outlineLevel="0" collapsed="false">
      <c r="A534" s="0" t="s">
        <v>8</v>
      </c>
      <c r="B534" s="0" t="s">
        <v>695</v>
      </c>
      <c r="C534" s="0" t="s">
        <v>7071</v>
      </c>
    </row>
    <row r="535" customFormat="false" ht="15" hidden="false" customHeight="false" outlineLevel="0" collapsed="false">
      <c r="A535" s="0" t="s">
        <v>8</v>
      </c>
      <c r="B535" s="0" t="s">
        <v>695</v>
      </c>
      <c r="C535" s="0" t="s">
        <v>7072</v>
      </c>
    </row>
    <row r="536" customFormat="false" ht="15" hidden="false" customHeight="false" outlineLevel="0" collapsed="false">
      <c r="A536" s="0" t="s">
        <v>8</v>
      </c>
      <c r="B536" s="0" t="s">
        <v>699</v>
      </c>
      <c r="C536" s="0" t="s">
        <v>7070</v>
      </c>
      <c r="D536" s="0" t="n">
        <v>8.2518</v>
      </c>
    </row>
    <row r="537" customFormat="false" ht="15" hidden="false" customHeight="false" outlineLevel="0" collapsed="false">
      <c r="A537" s="0" t="s">
        <v>8</v>
      </c>
      <c r="B537" s="0" t="s">
        <v>699</v>
      </c>
      <c r="C537" s="0" t="s">
        <v>7071</v>
      </c>
    </row>
    <row r="538" customFormat="false" ht="15" hidden="false" customHeight="false" outlineLevel="0" collapsed="false">
      <c r="A538" s="0" t="s">
        <v>8</v>
      </c>
      <c r="B538" s="0" t="s">
        <v>699</v>
      </c>
      <c r="C538" s="0" t="s">
        <v>7072</v>
      </c>
    </row>
    <row r="539" customFormat="false" ht="15" hidden="false" customHeight="false" outlineLevel="0" collapsed="false">
      <c r="A539" s="0" t="s">
        <v>8</v>
      </c>
      <c r="B539" s="0" t="s">
        <v>702</v>
      </c>
      <c r="C539" s="0" t="s">
        <v>7070</v>
      </c>
      <c r="D539" s="0" t="n">
        <v>0.6704</v>
      </c>
    </row>
    <row r="540" customFormat="false" ht="15" hidden="false" customHeight="false" outlineLevel="0" collapsed="false">
      <c r="A540" s="0" t="s">
        <v>8</v>
      </c>
      <c r="B540" s="0" t="s">
        <v>702</v>
      </c>
      <c r="C540" s="0" t="s">
        <v>7071</v>
      </c>
    </row>
    <row r="541" customFormat="false" ht="15" hidden="false" customHeight="false" outlineLevel="0" collapsed="false">
      <c r="A541" s="0" t="s">
        <v>8</v>
      </c>
      <c r="B541" s="0" t="s">
        <v>702</v>
      </c>
      <c r="C541" s="0" t="s">
        <v>7072</v>
      </c>
    </row>
    <row r="542" customFormat="false" ht="15" hidden="false" customHeight="false" outlineLevel="0" collapsed="false">
      <c r="A542" s="0" t="s">
        <v>8</v>
      </c>
      <c r="B542" s="0" t="s">
        <v>712</v>
      </c>
      <c r="C542" s="0" t="s">
        <v>7070</v>
      </c>
      <c r="D542" s="0" t="n">
        <v>1.3</v>
      </c>
    </row>
    <row r="543" customFormat="false" ht="15" hidden="false" customHeight="false" outlineLevel="0" collapsed="false">
      <c r="A543" s="0" t="s">
        <v>8</v>
      </c>
      <c r="B543" s="0" t="s">
        <v>712</v>
      </c>
      <c r="C543" s="0" t="s">
        <v>7071</v>
      </c>
    </row>
    <row r="544" customFormat="false" ht="15" hidden="false" customHeight="false" outlineLevel="0" collapsed="false">
      <c r="A544" s="0" t="s">
        <v>8</v>
      </c>
      <c r="B544" s="0" t="s">
        <v>712</v>
      </c>
      <c r="C544" s="0" t="s">
        <v>7072</v>
      </c>
    </row>
    <row r="545" customFormat="false" ht="15" hidden="false" customHeight="false" outlineLevel="0" collapsed="false">
      <c r="A545" s="0" t="s">
        <v>8</v>
      </c>
      <c r="B545" s="0" t="s">
        <v>721</v>
      </c>
      <c r="C545" s="0" t="s">
        <v>7070</v>
      </c>
      <c r="D545" s="0" t="n">
        <v>7.0228</v>
      </c>
    </row>
    <row r="546" customFormat="false" ht="15" hidden="false" customHeight="false" outlineLevel="0" collapsed="false">
      <c r="A546" s="0" t="s">
        <v>8</v>
      </c>
      <c r="B546" s="0" t="s">
        <v>721</v>
      </c>
      <c r="C546" s="0" t="s">
        <v>7071</v>
      </c>
    </row>
    <row r="547" customFormat="false" ht="15" hidden="false" customHeight="false" outlineLevel="0" collapsed="false">
      <c r="A547" s="0" t="s">
        <v>8</v>
      </c>
      <c r="B547" s="0" t="s">
        <v>721</v>
      </c>
      <c r="C547" s="0" t="s">
        <v>7072</v>
      </c>
    </row>
    <row r="548" customFormat="false" ht="15" hidden="false" customHeight="false" outlineLevel="0" collapsed="false">
      <c r="A548" s="0" t="s">
        <v>8</v>
      </c>
      <c r="B548" s="0" t="s">
        <v>724</v>
      </c>
      <c r="C548" s="0" t="s">
        <v>7070</v>
      </c>
      <c r="D548" s="0" t="n">
        <v>0.9545</v>
      </c>
    </row>
    <row r="549" customFormat="false" ht="15" hidden="false" customHeight="false" outlineLevel="0" collapsed="false">
      <c r="A549" s="0" t="s">
        <v>8</v>
      </c>
      <c r="B549" s="0" t="s">
        <v>724</v>
      </c>
      <c r="C549" s="0" t="s">
        <v>7071</v>
      </c>
    </row>
    <row r="550" customFormat="false" ht="15" hidden="false" customHeight="false" outlineLevel="0" collapsed="false">
      <c r="A550" s="0" t="s">
        <v>8</v>
      </c>
      <c r="B550" s="0" t="s">
        <v>724</v>
      </c>
      <c r="C550" s="0" t="s">
        <v>7072</v>
      </c>
    </row>
    <row r="551" customFormat="false" ht="15" hidden="false" customHeight="false" outlineLevel="0" collapsed="false">
      <c r="A551" s="0" t="s">
        <v>8</v>
      </c>
      <c r="B551" s="0" t="s">
        <v>728</v>
      </c>
      <c r="C551" s="0" t="s">
        <v>7070</v>
      </c>
      <c r="D551" s="0" t="n">
        <v>2.5161</v>
      </c>
    </row>
    <row r="552" customFormat="false" ht="15" hidden="false" customHeight="false" outlineLevel="0" collapsed="false">
      <c r="A552" s="0" t="s">
        <v>8</v>
      </c>
      <c r="B552" s="0" t="s">
        <v>728</v>
      </c>
      <c r="C552" s="0" t="s">
        <v>7071</v>
      </c>
    </row>
    <row r="553" customFormat="false" ht="15" hidden="false" customHeight="false" outlineLevel="0" collapsed="false">
      <c r="A553" s="0" t="s">
        <v>8</v>
      </c>
      <c r="B553" s="0" t="s">
        <v>728</v>
      </c>
      <c r="C553" s="0" t="s">
        <v>7072</v>
      </c>
    </row>
    <row r="554" customFormat="false" ht="15" hidden="false" customHeight="false" outlineLevel="0" collapsed="false">
      <c r="A554" s="0" t="s">
        <v>8</v>
      </c>
      <c r="B554" s="0" t="s">
        <v>731</v>
      </c>
      <c r="C554" s="0" t="s">
        <v>7070</v>
      </c>
      <c r="D554" s="0" t="n">
        <v>26.4</v>
      </c>
    </row>
    <row r="555" customFormat="false" ht="15" hidden="false" customHeight="false" outlineLevel="0" collapsed="false">
      <c r="A555" s="0" t="s">
        <v>8</v>
      </c>
      <c r="B555" s="0" t="s">
        <v>731</v>
      </c>
      <c r="C555" s="0" t="s">
        <v>7071</v>
      </c>
    </row>
    <row r="556" customFormat="false" ht="15" hidden="false" customHeight="false" outlineLevel="0" collapsed="false">
      <c r="A556" s="0" t="s">
        <v>8</v>
      </c>
      <c r="B556" s="0" t="s">
        <v>731</v>
      </c>
      <c r="C556" s="0" t="s">
        <v>7072</v>
      </c>
    </row>
    <row r="557" customFormat="false" ht="15" hidden="false" customHeight="false" outlineLevel="0" collapsed="false">
      <c r="A557" s="0" t="s">
        <v>8</v>
      </c>
      <c r="B557" s="0" t="s">
        <v>734</v>
      </c>
      <c r="C557" s="0" t="s">
        <v>7070</v>
      </c>
      <c r="D557" s="0" t="n">
        <v>2.0287</v>
      </c>
    </row>
    <row r="558" customFormat="false" ht="15" hidden="false" customHeight="false" outlineLevel="0" collapsed="false">
      <c r="A558" s="0" t="s">
        <v>8</v>
      </c>
      <c r="B558" s="0" t="s">
        <v>734</v>
      </c>
      <c r="C558" s="0" t="s">
        <v>7071</v>
      </c>
    </row>
    <row r="559" customFormat="false" ht="15" hidden="false" customHeight="false" outlineLevel="0" collapsed="false">
      <c r="A559" s="0" t="s">
        <v>8</v>
      </c>
      <c r="B559" s="0" t="s">
        <v>734</v>
      </c>
      <c r="C559" s="0" t="s">
        <v>7072</v>
      </c>
    </row>
    <row r="560" customFormat="false" ht="15" hidden="false" customHeight="false" outlineLevel="0" collapsed="false">
      <c r="A560" s="0" t="s">
        <v>8</v>
      </c>
      <c r="B560" s="0" t="s">
        <v>737</v>
      </c>
      <c r="C560" s="0" t="s">
        <v>7070</v>
      </c>
      <c r="D560" s="0" t="n">
        <v>-0.0012</v>
      </c>
    </row>
    <row r="561" customFormat="false" ht="15" hidden="false" customHeight="false" outlineLevel="0" collapsed="false">
      <c r="A561" s="0" t="s">
        <v>8</v>
      </c>
      <c r="B561" s="0" t="s">
        <v>737</v>
      </c>
      <c r="C561" s="0" t="s">
        <v>7071</v>
      </c>
    </row>
    <row r="562" customFormat="false" ht="15" hidden="false" customHeight="false" outlineLevel="0" collapsed="false">
      <c r="A562" s="0" t="s">
        <v>8</v>
      </c>
      <c r="B562" s="0" t="s">
        <v>737</v>
      </c>
      <c r="C562" s="0" t="s">
        <v>7072</v>
      </c>
    </row>
    <row r="563" customFormat="false" ht="15" hidden="false" customHeight="false" outlineLevel="0" collapsed="false">
      <c r="A563" s="0" t="s">
        <v>8</v>
      </c>
      <c r="B563" s="0" t="s">
        <v>740</v>
      </c>
      <c r="C563" s="0" t="s">
        <v>7070</v>
      </c>
      <c r="D563" s="0" t="n">
        <v>0.198</v>
      </c>
    </row>
    <row r="564" customFormat="false" ht="15" hidden="false" customHeight="false" outlineLevel="0" collapsed="false">
      <c r="A564" s="0" t="s">
        <v>8</v>
      </c>
      <c r="B564" s="0" t="s">
        <v>740</v>
      </c>
      <c r="C564" s="0" t="s">
        <v>7071</v>
      </c>
    </row>
    <row r="565" customFormat="false" ht="15" hidden="false" customHeight="false" outlineLevel="0" collapsed="false">
      <c r="A565" s="0" t="s">
        <v>8</v>
      </c>
      <c r="B565" s="0" t="s">
        <v>740</v>
      </c>
      <c r="C565" s="0" t="s">
        <v>7072</v>
      </c>
    </row>
    <row r="566" customFormat="false" ht="15" hidden="false" customHeight="false" outlineLevel="0" collapsed="false">
      <c r="A566" s="0" t="s">
        <v>8</v>
      </c>
      <c r="B566" s="0" t="s">
        <v>743</v>
      </c>
      <c r="C566" s="0" t="s">
        <v>7070</v>
      </c>
      <c r="D566" s="0" t="n">
        <v>0.0888</v>
      </c>
    </row>
    <row r="567" customFormat="false" ht="15" hidden="false" customHeight="false" outlineLevel="0" collapsed="false">
      <c r="A567" s="0" t="s">
        <v>8</v>
      </c>
      <c r="B567" s="0" t="s">
        <v>743</v>
      </c>
      <c r="C567" s="0" t="s">
        <v>7071</v>
      </c>
    </row>
    <row r="568" customFormat="false" ht="15" hidden="false" customHeight="false" outlineLevel="0" collapsed="false">
      <c r="A568" s="0" t="s">
        <v>8</v>
      </c>
      <c r="B568" s="0" t="s">
        <v>743</v>
      </c>
      <c r="C568" s="0" t="s">
        <v>7072</v>
      </c>
    </row>
    <row r="569" customFormat="false" ht="15" hidden="false" customHeight="false" outlineLevel="0" collapsed="false">
      <c r="A569" s="0" t="s">
        <v>8</v>
      </c>
      <c r="B569" s="0" t="s">
        <v>746</v>
      </c>
      <c r="C569" s="0" t="s">
        <v>7070</v>
      </c>
      <c r="D569" s="0" t="n">
        <v>0.2837</v>
      </c>
    </row>
    <row r="570" customFormat="false" ht="15" hidden="false" customHeight="false" outlineLevel="0" collapsed="false">
      <c r="A570" s="0" t="s">
        <v>8</v>
      </c>
      <c r="B570" s="0" t="s">
        <v>746</v>
      </c>
      <c r="C570" s="0" t="s">
        <v>7071</v>
      </c>
    </row>
    <row r="571" customFormat="false" ht="15" hidden="false" customHeight="false" outlineLevel="0" collapsed="false">
      <c r="A571" s="0" t="s">
        <v>8</v>
      </c>
      <c r="B571" s="0" t="s">
        <v>746</v>
      </c>
      <c r="C571" s="0" t="s">
        <v>7072</v>
      </c>
    </row>
    <row r="572" customFormat="false" ht="15" hidden="false" customHeight="false" outlineLevel="0" collapsed="false">
      <c r="A572" s="0" t="s">
        <v>8</v>
      </c>
      <c r="B572" s="0" t="s">
        <v>749</v>
      </c>
      <c r="C572" s="0" t="s">
        <v>7070</v>
      </c>
      <c r="D572" s="0" t="n">
        <v>0.8634</v>
      </c>
    </row>
    <row r="573" customFormat="false" ht="15" hidden="false" customHeight="false" outlineLevel="0" collapsed="false">
      <c r="A573" s="0" t="s">
        <v>8</v>
      </c>
      <c r="B573" s="0" t="s">
        <v>749</v>
      </c>
      <c r="C573" s="0" t="s">
        <v>7071</v>
      </c>
    </row>
    <row r="574" customFormat="false" ht="15" hidden="false" customHeight="false" outlineLevel="0" collapsed="false">
      <c r="A574" s="0" t="s">
        <v>8</v>
      </c>
      <c r="B574" s="0" t="s">
        <v>749</v>
      </c>
      <c r="C574" s="0" t="s">
        <v>7072</v>
      </c>
    </row>
    <row r="575" customFormat="false" ht="15" hidden="false" customHeight="false" outlineLevel="0" collapsed="false">
      <c r="A575" s="0" t="s">
        <v>8</v>
      </c>
      <c r="B575" s="0" t="s">
        <v>752</v>
      </c>
      <c r="C575" s="0" t="s">
        <v>7070</v>
      </c>
      <c r="D575" s="0" t="n">
        <v>0.0058</v>
      </c>
    </row>
    <row r="576" customFormat="false" ht="15" hidden="false" customHeight="false" outlineLevel="0" collapsed="false">
      <c r="A576" s="0" t="s">
        <v>8</v>
      </c>
      <c r="B576" s="0" t="s">
        <v>752</v>
      </c>
      <c r="C576" s="0" t="s">
        <v>7071</v>
      </c>
    </row>
    <row r="577" customFormat="false" ht="15" hidden="false" customHeight="false" outlineLevel="0" collapsed="false">
      <c r="A577" s="0" t="s">
        <v>8</v>
      </c>
      <c r="B577" s="0" t="s">
        <v>752</v>
      </c>
      <c r="C577" s="0" t="s">
        <v>7072</v>
      </c>
    </row>
    <row r="578" customFormat="false" ht="15" hidden="false" customHeight="false" outlineLevel="0" collapsed="false">
      <c r="A578" s="0" t="s">
        <v>8</v>
      </c>
      <c r="B578" s="0" t="s">
        <v>755</v>
      </c>
      <c r="C578" s="0" t="s">
        <v>7070</v>
      </c>
      <c r="D578" s="0" t="n">
        <v>0.0032</v>
      </c>
    </row>
    <row r="579" customFormat="false" ht="15" hidden="false" customHeight="false" outlineLevel="0" collapsed="false">
      <c r="A579" s="0" t="s">
        <v>8</v>
      </c>
      <c r="B579" s="0" t="s">
        <v>755</v>
      </c>
      <c r="C579" s="0" t="s">
        <v>7071</v>
      </c>
    </row>
    <row r="580" customFormat="false" ht="15" hidden="false" customHeight="false" outlineLevel="0" collapsed="false">
      <c r="A580" s="0" t="s">
        <v>8</v>
      </c>
      <c r="B580" s="0" t="s">
        <v>755</v>
      </c>
      <c r="C580" s="0" t="s">
        <v>7072</v>
      </c>
    </row>
    <row r="581" customFormat="false" ht="15" hidden="false" customHeight="false" outlineLevel="0" collapsed="false">
      <c r="A581" s="0" t="s">
        <v>8</v>
      </c>
      <c r="B581" s="0" t="s">
        <v>758</v>
      </c>
      <c r="C581" s="0" t="s">
        <v>7070</v>
      </c>
      <c r="D581" s="0" t="n">
        <v>0.4874</v>
      </c>
    </row>
    <row r="582" customFormat="false" ht="15" hidden="false" customHeight="false" outlineLevel="0" collapsed="false">
      <c r="A582" s="0" t="s">
        <v>8</v>
      </c>
      <c r="B582" s="0" t="s">
        <v>758</v>
      </c>
      <c r="C582" s="0" t="s">
        <v>7071</v>
      </c>
    </row>
    <row r="583" customFormat="false" ht="15" hidden="false" customHeight="false" outlineLevel="0" collapsed="false">
      <c r="A583" s="0" t="s">
        <v>8</v>
      </c>
      <c r="B583" s="0" t="s">
        <v>758</v>
      </c>
      <c r="C583" s="0" t="s">
        <v>7072</v>
      </c>
    </row>
    <row r="584" customFormat="false" ht="15" hidden="false" customHeight="false" outlineLevel="0" collapsed="false">
      <c r="A584" s="0" t="s">
        <v>8</v>
      </c>
      <c r="B584" s="0" t="s">
        <v>761</v>
      </c>
      <c r="C584" s="0" t="s">
        <v>7070</v>
      </c>
      <c r="D584" s="0" t="n">
        <v>6.223</v>
      </c>
    </row>
    <row r="585" customFormat="false" ht="15" hidden="false" customHeight="false" outlineLevel="0" collapsed="false">
      <c r="A585" s="0" t="s">
        <v>8</v>
      </c>
      <c r="B585" s="0" t="s">
        <v>761</v>
      </c>
      <c r="C585" s="0" t="s">
        <v>7071</v>
      </c>
    </row>
    <row r="586" customFormat="false" ht="15" hidden="false" customHeight="false" outlineLevel="0" collapsed="false">
      <c r="A586" s="0" t="s">
        <v>8</v>
      </c>
      <c r="B586" s="0" t="s">
        <v>761</v>
      </c>
      <c r="C586" s="0" t="s">
        <v>7072</v>
      </c>
    </row>
    <row r="587" customFormat="false" ht="15" hidden="false" customHeight="false" outlineLevel="0" collapsed="false">
      <c r="A587" s="0" t="s">
        <v>8</v>
      </c>
      <c r="B587" s="0" t="s">
        <v>765</v>
      </c>
      <c r="C587" s="0" t="s">
        <v>7070</v>
      </c>
      <c r="D587" s="0" t="n">
        <v>0.7998</v>
      </c>
    </row>
    <row r="588" customFormat="false" ht="15" hidden="false" customHeight="false" outlineLevel="0" collapsed="false">
      <c r="A588" s="0" t="s">
        <v>8</v>
      </c>
      <c r="B588" s="0" t="s">
        <v>765</v>
      </c>
      <c r="C588" s="0" t="s">
        <v>7071</v>
      </c>
    </row>
    <row r="589" customFormat="false" ht="15" hidden="false" customHeight="false" outlineLevel="0" collapsed="false">
      <c r="A589" s="0" t="s">
        <v>8</v>
      </c>
      <c r="B589" s="0" t="s">
        <v>765</v>
      </c>
      <c r="C589" s="0" t="s">
        <v>7072</v>
      </c>
    </row>
    <row r="590" customFormat="false" ht="15" hidden="false" customHeight="false" outlineLevel="0" collapsed="false">
      <c r="A590" s="0" t="s">
        <v>8</v>
      </c>
      <c r="B590" s="0" t="s">
        <v>769</v>
      </c>
      <c r="C590" s="0" t="s">
        <v>7070</v>
      </c>
      <c r="D590" s="0" t="n">
        <v>1.5438</v>
      </c>
    </row>
    <row r="591" customFormat="false" ht="15" hidden="false" customHeight="false" outlineLevel="0" collapsed="false">
      <c r="A591" s="0" t="s">
        <v>8</v>
      </c>
      <c r="B591" s="0" t="s">
        <v>769</v>
      </c>
      <c r="C591" s="0" t="s">
        <v>7071</v>
      </c>
    </row>
    <row r="592" customFormat="false" ht="15" hidden="false" customHeight="false" outlineLevel="0" collapsed="false">
      <c r="A592" s="0" t="s">
        <v>8</v>
      </c>
      <c r="B592" s="0" t="s">
        <v>769</v>
      </c>
      <c r="C592" s="0" t="s">
        <v>7072</v>
      </c>
    </row>
    <row r="593" customFormat="false" ht="15" hidden="false" customHeight="false" outlineLevel="0" collapsed="false">
      <c r="A593" s="0" t="s">
        <v>8</v>
      </c>
      <c r="B593" s="0" t="s">
        <v>772</v>
      </c>
      <c r="C593" s="0" t="s">
        <v>7070</v>
      </c>
      <c r="D593" s="0" t="n">
        <v>2.733</v>
      </c>
    </row>
    <row r="594" customFormat="false" ht="15" hidden="false" customHeight="false" outlineLevel="0" collapsed="false">
      <c r="A594" s="0" t="s">
        <v>8</v>
      </c>
      <c r="B594" s="0" t="s">
        <v>772</v>
      </c>
      <c r="C594" s="0" t="s">
        <v>7071</v>
      </c>
    </row>
    <row r="595" customFormat="false" ht="15" hidden="false" customHeight="false" outlineLevel="0" collapsed="false">
      <c r="A595" s="0" t="s">
        <v>8</v>
      </c>
      <c r="B595" s="0" t="s">
        <v>772</v>
      </c>
      <c r="C595" s="0" t="s">
        <v>7072</v>
      </c>
    </row>
    <row r="596" customFormat="false" ht="15" hidden="false" customHeight="false" outlineLevel="0" collapsed="false">
      <c r="A596" s="0" t="s">
        <v>8</v>
      </c>
      <c r="B596" s="0" t="s">
        <v>775</v>
      </c>
      <c r="C596" s="0" t="s">
        <v>7070</v>
      </c>
      <c r="D596" s="0" t="n">
        <v>21.3117</v>
      </c>
    </row>
    <row r="597" customFormat="false" ht="15" hidden="false" customHeight="false" outlineLevel="0" collapsed="false">
      <c r="A597" s="0" t="s">
        <v>8</v>
      </c>
      <c r="B597" s="0" t="s">
        <v>775</v>
      </c>
      <c r="C597" s="0" t="s">
        <v>7071</v>
      </c>
    </row>
    <row r="598" customFormat="false" ht="15" hidden="false" customHeight="false" outlineLevel="0" collapsed="false">
      <c r="A598" s="0" t="s">
        <v>8</v>
      </c>
      <c r="B598" s="0" t="s">
        <v>775</v>
      </c>
      <c r="C598" s="0" t="s">
        <v>7072</v>
      </c>
    </row>
    <row r="599" customFormat="false" ht="15" hidden="false" customHeight="false" outlineLevel="0" collapsed="false">
      <c r="A599" s="0" t="s">
        <v>8</v>
      </c>
      <c r="B599" s="0" t="s">
        <v>778</v>
      </c>
      <c r="C599" s="0" t="s">
        <v>7070</v>
      </c>
      <c r="D599" s="0" t="n">
        <v>1.7767</v>
      </c>
    </row>
    <row r="600" customFormat="false" ht="15" hidden="false" customHeight="false" outlineLevel="0" collapsed="false">
      <c r="A600" s="0" t="s">
        <v>8</v>
      </c>
      <c r="B600" s="0" t="s">
        <v>778</v>
      </c>
      <c r="C600" s="0" t="s">
        <v>7071</v>
      </c>
    </row>
    <row r="601" customFormat="false" ht="15" hidden="false" customHeight="false" outlineLevel="0" collapsed="false">
      <c r="A601" s="0" t="s">
        <v>8</v>
      </c>
      <c r="B601" s="0" t="s">
        <v>778</v>
      </c>
      <c r="C601" s="0" t="s">
        <v>7072</v>
      </c>
    </row>
    <row r="602" customFormat="false" ht="15" hidden="false" customHeight="false" outlineLevel="0" collapsed="false">
      <c r="A602" s="0" t="s">
        <v>8</v>
      </c>
      <c r="B602" s="0" t="s">
        <v>781</v>
      </c>
      <c r="C602" s="0" t="s">
        <v>7070</v>
      </c>
      <c r="D602" s="0" t="n">
        <v>1.0335</v>
      </c>
    </row>
    <row r="603" customFormat="false" ht="15" hidden="false" customHeight="false" outlineLevel="0" collapsed="false">
      <c r="A603" s="0" t="s">
        <v>8</v>
      </c>
      <c r="B603" s="0" t="s">
        <v>781</v>
      </c>
      <c r="C603" s="0" t="s">
        <v>7071</v>
      </c>
    </row>
    <row r="604" customFormat="false" ht="15" hidden="false" customHeight="false" outlineLevel="0" collapsed="false">
      <c r="A604" s="0" t="s">
        <v>8</v>
      </c>
      <c r="B604" s="0" t="s">
        <v>781</v>
      </c>
      <c r="C604" s="0" t="s">
        <v>7072</v>
      </c>
    </row>
    <row r="605" customFormat="false" ht="15" hidden="false" customHeight="false" outlineLevel="0" collapsed="false">
      <c r="A605" s="0" t="s">
        <v>8</v>
      </c>
      <c r="B605" s="0" t="s">
        <v>784</v>
      </c>
      <c r="C605" s="0" t="s">
        <v>7070</v>
      </c>
      <c r="D605" s="0" t="n">
        <v>0.8576</v>
      </c>
    </row>
    <row r="606" customFormat="false" ht="15" hidden="false" customHeight="false" outlineLevel="0" collapsed="false">
      <c r="A606" s="0" t="s">
        <v>8</v>
      </c>
      <c r="B606" s="0" t="s">
        <v>784</v>
      </c>
      <c r="C606" s="0" t="s">
        <v>7071</v>
      </c>
    </row>
    <row r="607" customFormat="false" ht="15" hidden="false" customHeight="false" outlineLevel="0" collapsed="false">
      <c r="A607" s="0" t="s">
        <v>8</v>
      </c>
      <c r="B607" s="0" t="s">
        <v>784</v>
      </c>
      <c r="C607" s="0" t="s">
        <v>7072</v>
      </c>
    </row>
    <row r="608" customFormat="false" ht="15" hidden="false" customHeight="false" outlineLevel="0" collapsed="false">
      <c r="A608" s="0" t="s">
        <v>8</v>
      </c>
      <c r="B608" s="0" t="s">
        <v>788</v>
      </c>
      <c r="C608" s="0" t="s">
        <v>7070</v>
      </c>
      <c r="D608" s="0" t="n">
        <v>0.4144</v>
      </c>
    </row>
    <row r="609" customFormat="false" ht="15" hidden="false" customHeight="false" outlineLevel="0" collapsed="false">
      <c r="A609" s="0" t="s">
        <v>8</v>
      </c>
      <c r="B609" s="0" t="s">
        <v>788</v>
      </c>
      <c r="C609" s="0" t="s">
        <v>7071</v>
      </c>
    </row>
    <row r="610" customFormat="false" ht="15" hidden="false" customHeight="false" outlineLevel="0" collapsed="false">
      <c r="A610" s="0" t="s">
        <v>8</v>
      </c>
      <c r="B610" s="0" t="s">
        <v>788</v>
      </c>
      <c r="C610" s="0" t="s">
        <v>7072</v>
      </c>
    </row>
    <row r="611" customFormat="false" ht="15" hidden="false" customHeight="false" outlineLevel="0" collapsed="false">
      <c r="A611" s="0" t="s">
        <v>8</v>
      </c>
      <c r="B611" s="0" t="s">
        <v>791</v>
      </c>
      <c r="C611" s="0" t="s">
        <v>7070</v>
      </c>
      <c r="D611" s="0" t="n">
        <v>0.9593</v>
      </c>
    </row>
    <row r="612" customFormat="false" ht="15" hidden="false" customHeight="false" outlineLevel="0" collapsed="false">
      <c r="A612" s="0" t="s">
        <v>8</v>
      </c>
      <c r="B612" s="0" t="s">
        <v>791</v>
      </c>
      <c r="C612" s="0" t="s">
        <v>7071</v>
      </c>
    </row>
    <row r="613" customFormat="false" ht="15" hidden="false" customHeight="false" outlineLevel="0" collapsed="false">
      <c r="A613" s="0" t="s">
        <v>8</v>
      </c>
      <c r="B613" s="0" t="s">
        <v>791</v>
      </c>
      <c r="C613" s="0" t="s">
        <v>7072</v>
      </c>
    </row>
    <row r="614" customFormat="false" ht="15" hidden="false" customHeight="false" outlineLevel="0" collapsed="false">
      <c r="A614" s="0" t="s">
        <v>8</v>
      </c>
      <c r="B614" s="0" t="s">
        <v>794</v>
      </c>
      <c r="C614" s="0" t="s">
        <v>7070</v>
      </c>
      <c r="D614" s="0" t="n">
        <v>20.7199</v>
      </c>
    </row>
    <row r="615" customFormat="false" ht="15" hidden="false" customHeight="false" outlineLevel="0" collapsed="false">
      <c r="A615" s="0" t="s">
        <v>8</v>
      </c>
      <c r="B615" s="0" t="s">
        <v>794</v>
      </c>
      <c r="C615" s="0" t="s">
        <v>7071</v>
      </c>
    </row>
    <row r="616" customFormat="false" ht="15" hidden="false" customHeight="false" outlineLevel="0" collapsed="false">
      <c r="A616" s="0" t="s">
        <v>8</v>
      </c>
      <c r="B616" s="0" t="s">
        <v>794</v>
      </c>
      <c r="C616" s="0" t="s">
        <v>7072</v>
      </c>
    </row>
    <row r="617" customFormat="false" ht="15" hidden="false" customHeight="false" outlineLevel="0" collapsed="false">
      <c r="A617" s="0" t="s">
        <v>8</v>
      </c>
      <c r="B617" s="0" t="s">
        <v>798</v>
      </c>
      <c r="C617" s="0" t="s">
        <v>7070</v>
      </c>
      <c r="D617" s="0" t="n">
        <v>19.6414</v>
      </c>
    </row>
    <row r="618" customFormat="false" ht="15" hidden="false" customHeight="false" outlineLevel="0" collapsed="false">
      <c r="A618" s="0" t="s">
        <v>8</v>
      </c>
      <c r="B618" s="0" t="s">
        <v>798</v>
      </c>
      <c r="C618" s="0" t="s">
        <v>7071</v>
      </c>
    </row>
    <row r="619" customFormat="false" ht="15" hidden="false" customHeight="false" outlineLevel="0" collapsed="false">
      <c r="A619" s="0" t="s">
        <v>8</v>
      </c>
      <c r="B619" s="0" t="s">
        <v>798</v>
      </c>
      <c r="C619" s="0" t="s">
        <v>7072</v>
      </c>
    </row>
    <row r="620" customFormat="false" ht="15" hidden="false" customHeight="false" outlineLevel="0" collapsed="false">
      <c r="A620" s="0" t="s">
        <v>8</v>
      </c>
      <c r="B620" s="0" t="s">
        <v>801</v>
      </c>
      <c r="C620" s="0" t="s">
        <v>7070</v>
      </c>
      <c r="D620" s="0" t="n">
        <v>17.51</v>
      </c>
    </row>
    <row r="621" customFormat="false" ht="15" hidden="false" customHeight="false" outlineLevel="0" collapsed="false">
      <c r="A621" s="0" t="s">
        <v>8</v>
      </c>
      <c r="B621" s="0" t="s">
        <v>801</v>
      </c>
      <c r="C621" s="0" t="s">
        <v>7071</v>
      </c>
    </row>
    <row r="622" customFormat="false" ht="15" hidden="false" customHeight="false" outlineLevel="0" collapsed="false">
      <c r="A622" s="0" t="s">
        <v>8</v>
      </c>
      <c r="B622" s="0" t="s">
        <v>801</v>
      </c>
      <c r="C622" s="0" t="s">
        <v>7072</v>
      </c>
    </row>
    <row r="623" customFormat="false" ht="15" hidden="false" customHeight="false" outlineLevel="0" collapsed="false">
      <c r="A623" s="0" t="s">
        <v>8</v>
      </c>
      <c r="B623" s="0" t="s">
        <v>808</v>
      </c>
      <c r="C623" s="0" t="s">
        <v>7070</v>
      </c>
      <c r="D623" s="0" t="n">
        <v>-23.51</v>
      </c>
    </row>
    <row r="624" customFormat="false" ht="15" hidden="false" customHeight="false" outlineLevel="0" collapsed="false">
      <c r="A624" s="0" t="s">
        <v>8</v>
      </c>
      <c r="B624" s="0" t="s">
        <v>808</v>
      </c>
      <c r="C624" s="0" t="s">
        <v>7071</v>
      </c>
    </row>
    <row r="625" customFormat="false" ht="15" hidden="false" customHeight="false" outlineLevel="0" collapsed="false">
      <c r="A625" s="0" t="s">
        <v>8</v>
      </c>
      <c r="B625" s="0" t="s">
        <v>808</v>
      </c>
      <c r="C625" s="0" t="s">
        <v>7072</v>
      </c>
    </row>
    <row r="626" customFormat="false" ht="15" hidden="false" customHeight="false" outlineLevel="0" collapsed="false">
      <c r="A626" s="0" t="s">
        <v>8</v>
      </c>
      <c r="B626" s="0" t="s">
        <v>815</v>
      </c>
      <c r="C626" s="0" t="s">
        <v>7070</v>
      </c>
      <c r="D626" s="0" t="n">
        <v>3.906</v>
      </c>
    </row>
    <row r="627" customFormat="false" ht="15" hidden="false" customHeight="false" outlineLevel="0" collapsed="false">
      <c r="A627" s="0" t="s">
        <v>8</v>
      </c>
      <c r="B627" s="0" t="s">
        <v>815</v>
      </c>
      <c r="C627" s="0" t="s">
        <v>7071</v>
      </c>
    </row>
    <row r="628" customFormat="false" ht="15" hidden="false" customHeight="false" outlineLevel="0" collapsed="false">
      <c r="A628" s="0" t="s">
        <v>8</v>
      </c>
      <c r="B628" s="0" t="s">
        <v>815</v>
      </c>
      <c r="C628" s="0" t="s">
        <v>7072</v>
      </c>
    </row>
    <row r="629" customFormat="false" ht="15" hidden="false" customHeight="false" outlineLevel="0" collapsed="false">
      <c r="A629" s="0" t="s">
        <v>8</v>
      </c>
      <c r="B629" s="0" t="s">
        <v>818</v>
      </c>
      <c r="C629" s="0" t="s">
        <v>7070</v>
      </c>
      <c r="D629" s="0" t="n">
        <v>0.537</v>
      </c>
    </row>
    <row r="630" customFormat="false" ht="15" hidden="false" customHeight="false" outlineLevel="0" collapsed="false">
      <c r="A630" s="0" t="s">
        <v>8</v>
      </c>
      <c r="B630" s="0" t="s">
        <v>818</v>
      </c>
      <c r="C630" s="0" t="s">
        <v>7071</v>
      </c>
    </row>
    <row r="631" customFormat="false" ht="15" hidden="false" customHeight="false" outlineLevel="0" collapsed="false">
      <c r="A631" s="0" t="s">
        <v>8</v>
      </c>
      <c r="B631" s="0" t="s">
        <v>818</v>
      </c>
      <c r="C631" s="0" t="s">
        <v>7072</v>
      </c>
    </row>
    <row r="632" customFormat="false" ht="15" hidden="false" customHeight="false" outlineLevel="0" collapsed="false">
      <c r="A632" s="0" t="s">
        <v>8</v>
      </c>
      <c r="B632" s="0" t="s">
        <v>821</v>
      </c>
      <c r="C632" s="0" t="s">
        <v>7070</v>
      </c>
      <c r="D632" s="0" t="n">
        <v>39.9372</v>
      </c>
    </row>
    <row r="633" customFormat="false" ht="15" hidden="false" customHeight="false" outlineLevel="0" collapsed="false">
      <c r="A633" s="0" t="s">
        <v>8</v>
      </c>
      <c r="B633" s="0" t="s">
        <v>821</v>
      </c>
      <c r="C633" s="0" t="s">
        <v>7071</v>
      </c>
    </row>
    <row r="634" customFormat="false" ht="15" hidden="false" customHeight="false" outlineLevel="0" collapsed="false">
      <c r="A634" s="0" t="s">
        <v>8</v>
      </c>
      <c r="B634" s="0" t="s">
        <v>821</v>
      </c>
      <c r="C634" s="0" t="s">
        <v>7072</v>
      </c>
    </row>
    <row r="635" customFormat="false" ht="15" hidden="false" customHeight="false" outlineLevel="0" collapsed="false">
      <c r="A635" s="0" t="s">
        <v>8</v>
      </c>
      <c r="B635" s="0" t="s">
        <v>826</v>
      </c>
      <c r="C635" s="0" t="s">
        <v>7070</v>
      </c>
      <c r="D635" s="0" t="n">
        <v>0</v>
      </c>
    </row>
    <row r="636" customFormat="false" ht="15" hidden="false" customHeight="false" outlineLevel="0" collapsed="false">
      <c r="A636" s="0" t="s">
        <v>8</v>
      </c>
      <c r="B636" s="0" t="s">
        <v>826</v>
      </c>
      <c r="C636" s="0" t="s">
        <v>7071</v>
      </c>
    </row>
    <row r="637" customFormat="false" ht="15" hidden="false" customHeight="false" outlineLevel="0" collapsed="false">
      <c r="A637" s="0" t="s">
        <v>8</v>
      </c>
      <c r="B637" s="0" t="s">
        <v>826</v>
      </c>
      <c r="C637" s="0" t="s">
        <v>7072</v>
      </c>
    </row>
    <row r="638" customFormat="false" ht="15" hidden="false" customHeight="false" outlineLevel="0" collapsed="false">
      <c r="A638" s="0" t="s">
        <v>8</v>
      </c>
      <c r="B638" s="0" t="s">
        <v>830</v>
      </c>
      <c r="C638" s="0" t="s">
        <v>7070</v>
      </c>
      <c r="D638" s="0" t="n">
        <v>22.2479</v>
      </c>
    </row>
    <row r="639" customFormat="false" ht="15" hidden="false" customHeight="false" outlineLevel="0" collapsed="false">
      <c r="A639" s="0" t="s">
        <v>8</v>
      </c>
      <c r="B639" s="0" t="s">
        <v>830</v>
      </c>
      <c r="C639" s="0" t="s">
        <v>7071</v>
      </c>
    </row>
    <row r="640" customFormat="false" ht="15" hidden="false" customHeight="false" outlineLevel="0" collapsed="false">
      <c r="A640" s="0" t="s">
        <v>8</v>
      </c>
      <c r="B640" s="0" t="s">
        <v>830</v>
      </c>
      <c r="C640" s="0" t="s">
        <v>7072</v>
      </c>
    </row>
    <row r="641" customFormat="false" ht="15" hidden="false" customHeight="false" outlineLevel="0" collapsed="false">
      <c r="A641" s="0" t="s">
        <v>8</v>
      </c>
      <c r="B641" s="0" t="s">
        <v>833</v>
      </c>
      <c r="C641" s="0" t="s">
        <v>7070</v>
      </c>
      <c r="D641" s="0" t="n">
        <v>7.8983</v>
      </c>
    </row>
    <row r="642" customFormat="false" ht="15" hidden="false" customHeight="false" outlineLevel="0" collapsed="false">
      <c r="A642" s="0" t="s">
        <v>8</v>
      </c>
      <c r="B642" s="0" t="s">
        <v>833</v>
      </c>
      <c r="C642" s="0" t="s">
        <v>7071</v>
      </c>
    </row>
    <row r="643" customFormat="false" ht="15" hidden="false" customHeight="false" outlineLevel="0" collapsed="false">
      <c r="A643" s="0" t="s">
        <v>8</v>
      </c>
      <c r="B643" s="0" t="s">
        <v>833</v>
      </c>
      <c r="C643" s="0" t="s">
        <v>7072</v>
      </c>
    </row>
    <row r="644" customFormat="false" ht="15" hidden="false" customHeight="false" outlineLevel="0" collapsed="false">
      <c r="A644" s="0" t="s">
        <v>8</v>
      </c>
      <c r="B644" s="0" t="s">
        <v>837</v>
      </c>
      <c r="C644" s="0" t="s">
        <v>7070</v>
      </c>
      <c r="D644" s="0" t="n">
        <v>14.3496</v>
      </c>
    </row>
    <row r="645" customFormat="false" ht="15" hidden="false" customHeight="false" outlineLevel="0" collapsed="false">
      <c r="A645" s="0" t="s">
        <v>8</v>
      </c>
      <c r="B645" s="0" t="s">
        <v>837</v>
      </c>
      <c r="C645" s="0" t="s">
        <v>7071</v>
      </c>
    </row>
    <row r="646" customFormat="false" ht="15" hidden="false" customHeight="false" outlineLevel="0" collapsed="false">
      <c r="A646" s="0" t="s">
        <v>8</v>
      </c>
      <c r="B646" s="0" t="s">
        <v>837</v>
      </c>
      <c r="C646" s="0" t="s">
        <v>7072</v>
      </c>
    </row>
    <row r="647" customFormat="false" ht="15" hidden="false" customHeight="false" outlineLevel="0" collapsed="false">
      <c r="A647" s="0" t="s">
        <v>8</v>
      </c>
      <c r="B647" s="0" t="s">
        <v>841</v>
      </c>
      <c r="C647" s="0" t="s">
        <v>7070</v>
      </c>
      <c r="D647" s="0" t="n">
        <v>6.0484</v>
      </c>
    </row>
    <row r="648" customFormat="false" ht="15" hidden="false" customHeight="false" outlineLevel="0" collapsed="false">
      <c r="A648" s="0" t="s">
        <v>8</v>
      </c>
      <c r="B648" s="0" t="s">
        <v>841</v>
      </c>
      <c r="C648" s="0" t="s">
        <v>7071</v>
      </c>
    </row>
    <row r="649" customFormat="false" ht="15" hidden="false" customHeight="false" outlineLevel="0" collapsed="false">
      <c r="A649" s="0" t="s">
        <v>8</v>
      </c>
      <c r="B649" s="0" t="s">
        <v>841</v>
      </c>
      <c r="C649" s="0" t="s">
        <v>7072</v>
      </c>
    </row>
    <row r="650" customFormat="false" ht="15" hidden="false" customHeight="false" outlineLevel="0" collapsed="false">
      <c r="A650" s="0" t="s">
        <v>8</v>
      </c>
      <c r="B650" s="0" t="s">
        <v>845</v>
      </c>
      <c r="C650" s="0" t="s">
        <v>7070</v>
      </c>
      <c r="D650" s="0" t="n">
        <v>0.8462</v>
      </c>
    </row>
    <row r="651" customFormat="false" ht="15" hidden="false" customHeight="false" outlineLevel="0" collapsed="false">
      <c r="A651" s="0" t="s">
        <v>8</v>
      </c>
      <c r="B651" s="0" t="s">
        <v>845</v>
      </c>
      <c r="C651" s="0" t="s">
        <v>7071</v>
      </c>
    </row>
    <row r="652" customFormat="false" ht="15" hidden="false" customHeight="false" outlineLevel="0" collapsed="false">
      <c r="A652" s="0" t="s">
        <v>8</v>
      </c>
      <c r="B652" s="0" t="s">
        <v>845</v>
      </c>
      <c r="C652" s="0" t="s">
        <v>7072</v>
      </c>
    </row>
    <row r="653" customFormat="false" ht="15" hidden="false" customHeight="false" outlineLevel="0" collapsed="false">
      <c r="A653" s="0" t="s">
        <v>8</v>
      </c>
      <c r="B653" s="0" t="s">
        <v>848</v>
      </c>
      <c r="C653" s="0" t="s">
        <v>7070</v>
      </c>
      <c r="D653" s="0" t="n">
        <v>14.2742</v>
      </c>
    </row>
    <row r="654" customFormat="false" ht="15" hidden="false" customHeight="false" outlineLevel="0" collapsed="false">
      <c r="A654" s="0" t="s">
        <v>8</v>
      </c>
      <c r="B654" s="0" t="s">
        <v>848</v>
      </c>
      <c r="C654" s="0" t="s">
        <v>7071</v>
      </c>
    </row>
    <row r="655" customFormat="false" ht="15" hidden="false" customHeight="false" outlineLevel="0" collapsed="false">
      <c r="A655" s="0" t="s">
        <v>8</v>
      </c>
      <c r="B655" s="0" t="s">
        <v>848</v>
      </c>
      <c r="C655" s="0" t="s">
        <v>7072</v>
      </c>
    </row>
    <row r="656" customFormat="false" ht="15" hidden="false" customHeight="false" outlineLevel="0" collapsed="false">
      <c r="A656" s="0" t="s">
        <v>8</v>
      </c>
      <c r="B656" s="0" t="s">
        <v>852</v>
      </c>
      <c r="C656" s="0" t="s">
        <v>7070</v>
      </c>
      <c r="D656" s="0" t="n">
        <v>12.4374</v>
      </c>
    </row>
    <row r="657" customFormat="false" ht="15" hidden="false" customHeight="false" outlineLevel="0" collapsed="false">
      <c r="A657" s="0" t="s">
        <v>8</v>
      </c>
      <c r="B657" s="0" t="s">
        <v>852</v>
      </c>
      <c r="C657" s="0" t="s">
        <v>7071</v>
      </c>
    </row>
    <row r="658" customFormat="false" ht="15" hidden="false" customHeight="false" outlineLevel="0" collapsed="false">
      <c r="A658" s="0" t="s">
        <v>8</v>
      </c>
      <c r="B658" s="0" t="s">
        <v>852</v>
      </c>
      <c r="C658" s="0" t="s">
        <v>7072</v>
      </c>
    </row>
    <row r="659" customFormat="false" ht="15" hidden="false" customHeight="false" outlineLevel="0" collapsed="false">
      <c r="A659" s="0" t="s">
        <v>8</v>
      </c>
      <c r="B659" s="0" t="s">
        <v>856</v>
      </c>
      <c r="C659" s="0" t="s">
        <v>7070</v>
      </c>
      <c r="D659" s="0" t="n">
        <v>1.1629</v>
      </c>
    </row>
    <row r="660" customFormat="false" ht="15" hidden="false" customHeight="false" outlineLevel="0" collapsed="false">
      <c r="A660" s="0" t="s">
        <v>8</v>
      </c>
      <c r="B660" s="0" t="s">
        <v>856</v>
      </c>
      <c r="C660" s="0" t="s">
        <v>7071</v>
      </c>
    </row>
    <row r="661" customFormat="false" ht="15" hidden="false" customHeight="false" outlineLevel="0" collapsed="false">
      <c r="A661" s="0" t="s">
        <v>8</v>
      </c>
      <c r="B661" s="0" t="s">
        <v>856</v>
      </c>
      <c r="C661" s="0" t="s">
        <v>7072</v>
      </c>
    </row>
    <row r="662" customFormat="false" ht="15" hidden="false" customHeight="false" outlineLevel="0" collapsed="false">
      <c r="A662" s="0" t="s">
        <v>8</v>
      </c>
      <c r="B662" s="0" t="s">
        <v>859</v>
      </c>
      <c r="C662" s="0" t="s">
        <v>7070</v>
      </c>
      <c r="D662" s="0" t="n">
        <v>1.7299</v>
      </c>
    </row>
    <row r="663" customFormat="false" ht="15" hidden="false" customHeight="false" outlineLevel="0" collapsed="false">
      <c r="A663" s="0" t="s">
        <v>8</v>
      </c>
      <c r="B663" s="0" t="s">
        <v>859</v>
      </c>
      <c r="C663" s="0" t="s">
        <v>7071</v>
      </c>
    </row>
    <row r="664" customFormat="false" ht="15" hidden="false" customHeight="false" outlineLevel="0" collapsed="false">
      <c r="A664" s="0" t="s">
        <v>8</v>
      </c>
      <c r="B664" s="0" t="s">
        <v>859</v>
      </c>
      <c r="C664" s="0" t="s">
        <v>7072</v>
      </c>
    </row>
    <row r="665" customFormat="false" ht="15" hidden="false" customHeight="false" outlineLevel="0" collapsed="false">
      <c r="A665" s="0" t="s">
        <v>8</v>
      </c>
      <c r="B665" s="0" t="s">
        <v>863</v>
      </c>
      <c r="C665" s="0" t="s">
        <v>7070</v>
      </c>
      <c r="D665" s="0" t="n">
        <v>981</v>
      </c>
    </row>
    <row r="666" customFormat="false" ht="15" hidden="false" customHeight="false" outlineLevel="0" collapsed="false">
      <c r="A666" s="0" t="s">
        <v>8</v>
      </c>
      <c r="B666" s="0" t="s">
        <v>863</v>
      </c>
      <c r="C666" s="0" t="s">
        <v>7071</v>
      </c>
    </row>
    <row r="667" customFormat="false" ht="15" hidden="false" customHeight="false" outlineLevel="0" collapsed="false">
      <c r="A667" s="0" t="s">
        <v>8</v>
      </c>
      <c r="B667" s="0" t="s">
        <v>863</v>
      </c>
      <c r="C667" s="0" t="s">
        <v>7072</v>
      </c>
    </row>
    <row r="668" customFormat="false" ht="15" hidden="false" customHeight="false" outlineLevel="0" collapsed="false">
      <c r="A668" s="0" t="s">
        <v>8</v>
      </c>
      <c r="B668" s="0" t="s">
        <v>866</v>
      </c>
      <c r="C668" s="0" t="s">
        <v>7070</v>
      </c>
      <c r="D668" s="0" t="n">
        <v>883</v>
      </c>
    </row>
    <row r="669" customFormat="false" ht="15" hidden="false" customHeight="false" outlineLevel="0" collapsed="false">
      <c r="A669" s="0" t="s">
        <v>8</v>
      </c>
      <c r="B669" s="0" t="s">
        <v>866</v>
      </c>
      <c r="C669" s="0" t="s">
        <v>7071</v>
      </c>
    </row>
    <row r="670" customFormat="false" ht="15" hidden="false" customHeight="false" outlineLevel="0" collapsed="false">
      <c r="A670" s="0" t="s">
        <v>8</v>
      </c>
      <c r="B670" s="0" t="s">
        <v>866</v>
      </c>
      <c r="C670" s="0" t="s">
        <v>7072</v>
      </c>
    </row>
    <row r="671" customFormat="false" ht="15" hidden="false" customHeight="false" outlineLevel="0" collapsed="false">
      <c r="A671" s="0" t="s">
        <v>8</v>
      </c>
      <c r="B671" s="0" t="s">
        <v>869</v>
      </c>
      <c r="C671" s="0" t="s">
        <v>7070</v>
      </c>
      <c r="D671" s="0" t="n">
        <v>4.821</v>
      </c>
    </row>
    <row r="672" customFormat="false" ht="15" hidden="false" customHeight="false" outlineLevel="0" collapsed="false">
      <c r="A672" s="0" t="s">
        <v>8</v>
      </c>
      <c r="B672" s="0" t="s">
        <v>869</v>
      </c>
      <c r="C672" s="0" t="s">
        <v>7071</v>
      </c>
    </row>
    <row r="673" customFormat="false" ht="15" hidden="false" customHeight="false" outlineLevel="0" collapsed="false">
      <c r="A673" s="0" t="s">
        <v>8</v>
      </c>
      <c r="B673" s="0" t="s">
        <v>869</v>
      </c>
      <c r="C673" s="0" t="s">
        <v>7072</v>
      </c>
    </row>
    <row r="674" customFormat="false" ht="15" hidden="false" customHeight="false" outlineLevel="0" collapsed="false">
      <c r="A674" s="0" t="s">
        <v>8</v>
      </c>
      <c r="B674" s="0" t="s">
        <v>872</v>
      </c>
      <c r="C674" s="0" t="s">
        <v>7070</v>
      </c>
      <c r="D674" s="0" t="n">
        <v>4.996</v>
      </c>
    </row>
    <row r="675" customFormat="false" ht="15" hidden="false" customHeight="false" outlineLevel="0" collapsed="false">
      <c r="A675" s="0" t="s">
        <v>8</v>
      </c>
      <c r="B675" s="0" t="s">
        <v>872</v>
      </c>
      <c r="C675" s="0" t="s">
        <v>7071</v>
      </c>
    </row>
    <row r="676" customFormat="false" ht="15" hidden="false" customHeight="false" outlineLevel="0" collapsed="false">
      <c r="A676" s="0" t="s">
        <v>8</v>
      </c>
      <c r="B676" s="0" t="s">
        <v>872</v>
      </c>
      <c r="C676" s="0" t="s">
        <v>7072</v>
      </c>
    </row>
    <row r="677" customFormat="false" ht="15" hidden="false" customHeight="false" outlineLevel="0" collapsed="false">
      <c r="A677" s="0" t="s">
        <v>8</v>
      </c>
      <c r="B677" s="0" t="s">
        <v>875</v>
      </c>
      <c r="C677" s="0" t="s">
        <v>7070</v>
      </c>
      <c r="D677" s="0" t="n">
        <v>0.00491</v>
      </c>
    </row>
    <row r="678" customFormat="false" ht="15" hidden="false" customHeight="false" outlineLevel="0" collapsed="false">
      <c r="A678" s="0" t="s">
        <v>8</v>
      </c>
      <c r="B678" s="0" t="s">
        <v>875</v>
      </c>
      <c r="C678" s="0" t="s">
        <v>7071</v>
      </c>
    </row>
    <row r="679" customFormat="false" ht="15" hidden="false" customHeight="false" outlineLevel="0" collapsed="false">
      <c r="A679" s="0" t="s">
        <v>8</v>
      </c>
      <c r="B679" s="0" t="s">
        <v>875</v>
      </c>
      <c r="C679" s="0" t="s">
        <v>7072</v>
      </c>
    </row>
    <row r="680" customFormat="false" ht="15" hidden="false" customHeight="false" outlineLevel="0" collapsed="false">
      <c r="A680" s="0" t="s">
        <v>8</v>
      </c>
      <c r="B680" s="0" t="s">
        <v>880</v>
      </c>
      <c r="C680" s="0" t="s">
        <v>7070</v>
      </c>
      <c r="D680" s="0" t="n">
        <v>101</v>
      </c>
    </row>
    <row r="681" customFormat="false" ht="15" hidden="false" customHeight="false" outlineLevel="0" collapsed="false">
      <c r="A681" s="0" t="s">
        <v>8</v>
      </c>
      <c r="B681" s="0" t="s">
        <v>880</v>
      </c>
      <c r="C681" s="0" t="s">
        <v>7071</v>
      </c>
    </row>
    <row r="682" customFormat="false" ht="15" hidden="false" customHeight="false" outlineLevel="0" collapsed="false">
      <c r="A682" s="0" t="s">
        <v>8</v>
      </c>
      <c r="B682" s="0" t="s">
        <v>880</v>
      </c>
      <c r="C682" s="0" t="s">
        <v>7072</v>
      </c>
    </row>
    <row r="683" customFormat="false" ht="15" hidden="false" customHeight="false" outlineLevel="0" collapsed="false">
      <c r="A683" s="0" t="s">
        <v>8</v>
      </c>
      <c r="B683" s="0" t="s">
        <v>884</v>
      </c>
      <c r="C683" s="0" t="s">
        <v>7070</v>
      </c>
    </row>
    <row r="684" customFormat="false" ht="15" hidden="false" customHeight="false" outlineLevel="0" collapsed="false">
      <c r="A684" s="0" t="s">
        <v>8</v>
      </c>
      <c r="B684" s="0" t="s">
        <v>884</v>
      </c>
      <c r="C684" s="0" t="s">
        <v>7071</v>
      </c>
    </row>
    <row r="685" customFormat="false" ht="15" hidden="false" customHeight="false" outlineLevel="0" collapsed="false">
      <c r="A685" s="0" t="s">
        <v>8</v>
      </c>
      <c r="B685" s="0" t="s">
        <v>884</v>
      </c>
      <c r="C685" s="0" t="s">
        <v>7072</v>
      </c>
    </row>
    <row r="686" customFormat="false" ht="15" hidden="false" customHeight="false" outlineLevel="0" collapsed="false">
      <c r="A686" s="0" t="s">
        <v>8</v>
      </c>
      <c r="B686" s="0" t="s">
        <v>887</v>
      </c>
      <c r="C686" s="0" t="s">
        <v>7070</v>
      </c>
      <c r="D686" s="0" t="n">
        <v>100000</v>
      </c>
    </row>
    <row r="687" customFormat="false" ht="15" hidden="false" customHeight="false" outlineLevel="0" collapsed="false">
      <c r="A687" s="0" t="s">
        <v>8</v>
      </c>
      <c r="B687" s="0" t="s">
        <v>887</v>
      </c>
      <c r="C687" s="0" t="s">
        <v>7071</v>
      </c>
      <c r="D687" s="0" t="n">
        <v>100000</v>
      </c>
    </row>
    <row r="688" customFormat="false" ht="15" hidden="false" customHeight="false" outlineLevel="0" collapsed="false">
      <c r="A688" s="0" t="s">
        <v>8</v>
      </c>
      <c r="B688" s="0" t="s">
        <v>887</v>
      </c>
      <c r="C688" s="0" t="s">
        <v>7072</v>
      </c>
    </row>
    <row r="689" customFormat="false" ht="15" hidden="false" customHeight="false" outlineLevel="0" collapsed="false">
      <c r="A689" s="0" t="s">
        <v>8</v>
      </c>
      <c r="B689" s="0" t="s">
        <v>892</v>
      </c>
      <c r="C689" s="0" t="s">
        <v>7070</v>
      </c>
      <c r="D689" s="0" t="n">
        <v>0.15</v>
      </c>
    </row>
    <row r="690" customFormat="false" ht="15" hidden="false" customHeight="false" outlineLevel="0" collapsed="false">
      <c r="A690" s="0" t="s">
        <v>8</v>
      </c>
      <c r="B690" s="0" t="s">
        <v>892</v>
      </c>
      <c r="C690" s="0" t="s">
        <v>7071</v>
      </c>
    </row>
    <row r="691" customFormat="false" ht="15" hidden="false" customHeight="false" outlineLevel="0" collapsed="false">
      <c r="A691" s="0" t="s">
        <v>8</v>
      </c>
      <c r="B691" s="0" t="s">
        <v>892</v>
      </c>
      <c r="C691" s="0" t="s">
        <v>7072</v>
      </c>
    </row>
    <row r="692" customFormat="false" ht="15" hidden="false" customHeight="false" outlineLevel="0" collapsed="false">
      <c r="A692" s="0" t="s">
        <v>8</v>
      </c>
      <c r="B692" s="0" t="s">
        <v>898</v>
      </c>
      <c r="C692" s="0" t="s">
        <v>7070</v>
      </c>
      <c r="D692" s="0" t="n">
        <v>11.45</v>
      </c>
    </row>
    <row r="693" customFormat="false" ht="15" hidden="false" customHeight="false" outlineLevel="0" collapsed="false">
      <c r="A693" s="0" t="s">
        <v>8</v>
      </c>
      <c r="B693" s="0" t="s">
        <v>898</v>
      </c>
      <c r="C693" s="0" t="s">
        <v>7071</v>
      </c>
    </row>
    <row r="694" customFormat="false" ht="15" hidden="false" customHeight="false" outlineLevel="0" collapsed="false">
      <c r="A694" s="0" t="s">
        <v>8</v>
      </c>
      <c r="B694" s="0" t="s">
        <v>898</v>
      </c>
      <c r="C694" s="0" t="s">
        <v>7072</v>
      </c>
    </row>
    <row r="695" customFormat="false" ht="15" hidden="false" customHeight="false" outlineLevel="0" collapsed="false">
      <c r="A695" s="0" t="s">
        <v>8</v>
      </c>
      <c r="B695" s="0" t="s">
        <v>901</v>
      </c>
      <c r="C695" s="0" t="s">
        <v>7070</v>
      </c>
      <c r="D695" s="0" t="n">
        <v>15.52</v>
      </c>
    </row>
    <row r="696" customFormat="false" ht="15" hidden="false" customHeight="false" outlineLevel="0" collapsed="false">
      <c r="A696" s="0" t="s">
        <v>8</v>
      </c>
      <c r="B696" s="0" t="s">
        <v>901</v>
      </c>
      <c r="C696" s="0" t="s">
        <v>7071</v>
      </c>
    </row>
    <row r="697" customFormat="false" ht="15" hidden="false" customHeight="false" outlineLevel="0" collapsed="false">
      <c r="A697" s="0" t="s">
        <v>8</v>
      </c>
      <c r="B697" s="0" t="s">
        <v>901</v>
      </c>
      <c r="C697" s="0" t="s">
        <v>7072</v>
      </c>
    </row>
    <row r="698" customFormat="false" ht="15" hidden="false" customHeight="false" outlineLevel="0" collapsed="false">
      <c r="A698" s="0" t="s">
        <v>8</v>
      </c>
      <c r="B698" s="0" t="s">
        <v>908</v>
      </c>
      <c r="C698" s="0" t="s">
        <v>7070</v>
      </c>
      <c r="D698" s="0" t="n">
        <v>15.53</v>
      </c>
    </row>
    <row r="699" customFormat="false" ht="15" hidden="false" customHeight="false" outlineLevel="0" collapsed="false">
      <c r="A699" s="0" t="s">
        <v>8</v>
      </c>
      <c r="B699" s="0" t="s">
        <v>908</v>
      </c>
      <c r="C699" s="0" t="s">
        <v>7071</v>
      </c>
    </row>
    <row r="700" customFormat="false" ht="15" hidden="false" customHeight="false" outlineLevel="0" collapsed="false">
      <c r="A700" s="0" t="s">
        <v>8</v>
      </c>
      <c r="B700" s="0" t="s">
        <v>908</v>
      </c>
      <c r="C700" s="0" t="s">
        <v>7072</v>
      </c>
    </row>
    <row r="701" customFormat="false" ht="15" hidden="false" customHeight="false" outlineLevel="0" collapsed="false">
      <c r="A701" s="0" t="s">
        <v>8</v>
      </c>
      <c r="B701" s="0" t="s">
        <v>914</v>
      </c>
      <c r="C701" s="0" t="s">
        <v>7070</v>
      </c>
      <c r="D701" s="0" t="n">
        <v>70</v>
      </c>
    </row>
    <row r="702" customFormat="false" ht="15" hidden="false" customHeight="false" outlineLevel="0" collapsed="false">
      <c r="A702" s="0" t="s">
        <v>8</v>
      </c>
      <c r="B702" s="0" t="s">
        <v>914</v>
      </c>
      <c r="C702" s="0" t="s">
        <v>7071</v>
      </c>
      <c r="D702" s="0" t="n">
        <v>70</v>
      </c>
    </row>
    <row r="703" customFormat="false" ht="15" hidden="false" customHeight="false" outlineLevel="0" collapsed="false">
      <c r="A703" s="0" t="s">
        <v>8</v>
      </c>
      <c r="B703" s="0" t="s">
        <v>914</v>
      </c>
      <c r="C703" s="0" t="s">
        <v>7072</v>
      </c>
    </row>
    <row r="704" customFormat="false" ht="15" hidden="false" customHeight="false" outlineLevel="0" collapsed="false">
      <c r="A704" s="0" t="s">
        <v>8</v>
      </c>
      <c r="B704" s="0" t="s">
        <v>919</v>
      </c>
      <c r="C704" s="0" t="s">
        <v>7070</v>
      </c>
      <c r="D704" s="0" t="n">
        <v>0.42</v>
      </c>
    </row>
    <row r="705" customFormat="false" ht="15" hidden="false" customHeight="false" outlineLevel="0" collapsed="false">
      <c r="A705" s="0" t="s">
        <v>8</v>
      </c>
      <c r="B705" s="0" t="s">
        <v>919</v>
      </c>
      <c r="C705" s="0" t="s">
        <v>7071</v>
      </c>
    </row>
    <row r="706" customFormat="false" ht="15" hidden="false" customHeight="false" outlineLevel="0" collapsed="false">
      <c r="A706" s="0" t="s">
        <v>8</v>
      </c>
      <c r="B706" s="0" t="s">
        <v>919</v>
      </c>
      <c r="C706" s="0" t="s">
        <v>7072</v>
      </c>
    </row>
    <row r="707" customFormat="false" ht="15" hidden="false" customHeight="false" outlineLevel="0" collapsed="false">
      <c r="A707" s="0" t="s">
        <v>8</v>
      </c>
      <c r="B707" s="0" t="s">
        <v>923</v>
      </c>
      <c r="C707" s="0" t="s">
        <v>7070</v>
      </c>
      <c r="D707" s="0" t="n">
        <v>1.37</v>
      </c>
    </row>
    <row r="708" customFormat="false" ht="15" hidden="false" customHeight="false" outlineLevel="0" collapsed="false">
      <c r="A708" s="0" t="s">
        <v>8</v>
      </c>
      <c r="B708" s="0" t="s">
        <v>923</v>
      </c>
      <c r="C708" s="0" t="s">
        <v>7071</v>
      </c>
    </row>
    <row r="709" customFormat="false" ht="15" hidden="false" customHeight="false" outlineLevel="0" collapsed="false">
      <c r="A709" s="0" t="s">
        <v>8</v>
      </c>
      <c r="B709" s="0" t="s">
        <v>923</v>
      </c>
      <c r="C709" s="0" t="s">
        <v>7072</v>
      </c>
    </row>
    <row r="710" customFormat="false" ht="15" hidden="false" customHeight="false" outlineLevel="0" collapsed="false">
      <c r="A710" s="0" t="s">
        <v>8</v>
      </c>
      <c r="B710" s="0" t="s">
        <v>925</v>
      </c>
      <c r="C710" s="0" t="s">
        <v>7070</v>
      </c>
      <c r="D710" s="0" t="n">
        <v>3.24</v>
      </c>
    </row>
    <row r="711" customFormat="false" ht="15" hidden="false" customHeight="false" outlineLevel="0" collapsed="false">
      <c r="A711" s="0" t="s">
        <v>8</v>
      </c>
      <c r="B711" s="0" t="s">
        <v>925</v>
      </c>
      <c r="C711" s="0" t="s">
        <v>7071</v>
      </c>
    </row>
    <row r="712" customFormat="false" ht="15" hidden="false" customHeight="false" outlineLevel="0" collapsed="false">
      <c r="A712" s="0" t="s">
        <v>8</v>
      </c>
      <c r="B712" s="0" t="s">
        <v>925</v>
      </c>
      <c r="C712" s="0" t="s">
        <v>7072</v>
      </c>
    </row>
    <row r="713" customFormat="false" ht="15" hidden="false" customHeight="false" outlineLevel="0" collapsed="false">
      <c r="A713" s="0" t="s">
        <v>8</v>
      </c>
      <c r="B713" s="0" t="s">
        <v>927</v>
      </c>
      <c r="C713" s="0" t="s">
        <v>7070</v>
      </c>
      <c r="D713" s="0" t="n">
        <v>2.66</v>
      </c>
    </row>
    <row r="714" customFormat="false" ht="15" hidden="false" customHeight="false" outlineLevel="0" collapsed="false">
      <c r="A714" s="0" t="s">
        <v>8</v>
      </c>
      <c r="B714" s="0" t="s">
        <v>927</v>
      </c>
      <c r="C714" s="0" t="s">
        <v>7071</v>
      </c>
    </row>
    <row r="715" customFormat="false" ht="15" hidden="false" customHeight="false" outlineLevel="0" collapsed="false">
      <c r="A715" s="0" t="s">
        <v>8</v>
      </c>
      <c r="B715" s="0" t="s">
        <v>927</v>
      </c>
      <c r="C715" s="0" t="s">
        <v>7072</v>
      </c>
    </row>
    <row r="716" customFormat="false" ht="15" hidden="false" customHeight="false" outlineLevel="0" collapsed="false">
      <c r="A716" s="0" t="s">
        <v>8</v>
      </c>
      <c r="B716" s="0" t="s">
        <v>929</v>
      </c>
      <c r="C716" s="0" t="s">
        <v>7070</v>
      </c>
      <c r="D716" s="0" t="n">
        <v>14.8</v>
      </c>
    </row>
    <row r="717" customFormat="false" ht="15" hidden="false" customHeight="false" outlineLevel="0" collapsed="false">
      <c r="A717" s="0" t="s">
        <v>8</v>
      </c>
      <c r="B717" s="0" t="s">
        <v>929</v>
      </c>
      <c r="C717" s="0" t="s">
        <v>7071</v>
      </c>
    </row>
    <row r="718" customFormat="false" ht="15" hidden="false" customHeight="false" outlineLevel="0" collapsed="false">
      <c r="A718" s="0" t="s">
        <v>8</v>
      </c>
      <c r="B718" s="0" t="s">
        <v>929</v>
      </c>
      <c r="C718" s="0" t="s">
        <v>7072</v>
      </c>
    </row>
    <row r="719" customFormat="false" ht="15" hidden="false" customHeight="false" outlineLevel="0" collapsed="false">
      <c r="A719" s="0" t="s">
        <v>8</v>
      </c>
      <c r="B719" s="0" t="s">
        <v>935</v>
      </c>
      <c r="C719" s="0" t="s">
        <v>7070</v>
      </c>
      <c r="D719" s="0" t="n">
        <v>74.4</v>
      </c>
    </row>
    <row r="720" customFormat="false" ht="15" hidden="false" customHeight="false" outlineLevel="0" collapsed="false">
      <c r="A720" s="0" t="s">
        <v>8</v>
      </c>
      <c r="B720" s="0" t="s">
        <v>935</v>
      </c>
      <c r="C720" s="0" t="s">
        <v>7071</v>
      </c>
    </row>
    <row r="721" customFormat="false" ht="15" hidden="false" customHeight="false" outlineLevel="0" collapsed="false">
      <c r="A721" s="0" t="s">
        <v>8</v>
      </c>
      <c r="B721" s="0" t="s">
        <v>935</v>
      </c>
      <c r="C721" s="0" t="s">
        <v>7072</v>
      </c>
    </row>
    <row r="722" customFormat="false" ht="15" hidden="false" customHeight="false" outlineLevel="0" collapsed="false">
      <c r="A722" s="0" t="s">
        <v>8</v>
      </c>
      <c r="B722" s="0" t="s">
        <v>939</v>
      </c>
      <c r="C722" s="0" t="s">
        <v>7070</v>
      </c>
      <c r="D722" s="0" t="n">
        <v>1.4</v>
      </c>
    </row>
    <row r="723" customFormat="false" ht="15" hidden="false" customHeight="false" outlineLevel="0" collapsed="false">
      <c r="A723" s="0" t="s">
        <v>8</v>
      </c>
      <c r="B723" s="0" t="s">
        <v>939</v>
      </c>
      <c r="C723" s="0" t="s">
        <v>7071</v>
      </c>
    </row>
    <row r="724" customFormat="false" ht="15" hidden="false" customHeight="false" outlineLevel="0" collapsed="false">
      <c r="A724" s="0" t="s">
        <v>8</v>
      </c>
      <c r="B724" s="0" t="s">
        <v>939</v>
      </c>
      <c r="C724" s="0" t="s">
        <v>7072</v>
      </c>
    </row>
    <row r="725" customFormat="false" ht="15" hidden="false" customHeight="false" outlineLevel="0" collapsed="false">
      <c r="A725" s="0" t="s">
        <v>8</v>
      </c>
      <c r="B725" s="0" t="s">
        <v>948</v>
      </c>
      <c r="C725" s="0" t="s">
        <v>7070</v>
      </c>
      <c r="D725" s="0" t="n">
        <v>0.26</v>
      </c>
    </row>
    <row r="726" customFormat="false" ht="15" hidden="false" customHeight="false" outlineLevel="0" collapsed="false">
      <c r="A726" s="0" t="s">
        <v>8</v>
      </c>
      <c r="B726" s="0" t="s">
        <v>948</v>
      </c>
      <c r="C726" s="0" t="s">
        <v>7071</v>
      </c>
    </row>
    <row r="727" customFormat="false" ht="15" hidden="false" customHeight="false" outlineLevel="0" collapsed="false">
      <c r="A727" s="0" t="s">
        <v>8</v>
      </c>
      <c r="B727" s="0" t="s">
        <v>948</v>
      </c>
      <c r="C727" s="0" t="s">
        <v>7072</v>
      </c>
    </row>
    <row r="728" customFormat="false" ht="15" hidden="false" customHeight="false" outlineLevel="0" collapsed="false">
      <c r="A728" s="0" t="s">
        <v>8</v>
      </c>
      <c r="B728" s="0" t="s">
        <v>951</v>
      </c>
      <c r="C728" s="0" t="s">
        <v>7070</v>
      </c>
      <c r="D728" s="0" t="n">
        <v>4.4</v>
      </c>
    </row>
    <row r="729" customFormat="false" ht="15" hidden="false" customHeight="false" outlineLevel="0" collapsed="false">
      <c r="A729" s="0" t="s">
        <v>8</v>
      </c>
      <c r="B729" s="0" t="s">
        <v>951</v>
      </c>
      <c r="C729" s="0" t="s">
        <v>7071</v>
      </c>
    </row>
    <row r="730" customFormat="false" ht="15" hidden="false" customHeight="false" outlineLevel="0" collapsed="false">
      <c r="A730" s="0" t="s">
        <v>8</v>
      </c>
      <c r="B730" s="0" t="s">
        <v>951</v>
      </c>
      <c r="C730" s="0" t="s">
        <v>7072</v>
      </c>
    </row>
    <row r="731" customFormat="false" ht="15" hidden="false" customHeight="false" outlineLevel="0" collapsed="false">
      <c r="A731" s="0" t="s">
        <v>8</v>
      </c>
      <c r="B731" s="0" t="s">
        <v>954</v>
      </c>
      <c r="C731" s="0" t="s">
        <v>7070</v>
      </c>
      <c r="D731" s="0" t="n">
        <v>1.4</v>
      </c>
    </row>
    <row r="732" customFormat="false" ht="15" hidden="false" customHeight="false" outlineLevel="0" collapsed="false">
      <c r="A732" s="0" t="s">
        <v>8</v>
      </c>
      <c r="B732" s="0" t="s">
        <v>954</v>
      </c>
      <c r="C732" s="0" t="s">
        <v>7071</v>
      </c>
    </row>
    <row r="733" customFormat="false" ht="15" hidden="false" customHeight="false" outlineLevel="0" collapsed="false">
      <c r="A733" s="0" t="s">
        <v>8</v>
      </c>
      <c r="B733" s="0" t="s">
        <v>954</v>
      </c>
      <c r="C733" s="0" t="s">
        <v>7072</v>
      </c>
    </row>
    <row r="734" customFormat="false" ht="15" hidden="false" customHeight="false" outlineLevel="0" collapsed="false">
      <c r="A734" s="0" t="s">
        <v>8</v>
      </c>
      <c r="B734" s="0" t="s">
        <v>958</v>
      </c>
      <c r="C734" s="0" t="s">
        <v>7070</v>
      </c>
      <c r="D734" s="0" t="n">
        <v>0.26</v>
      </c>
    </row>
    <row r="735" customFormat="false" ht="15" hidden="false" customHeight="false" outlineLevel="0" collapsed="false">
      <c r="A735" s="0" t="s">
        <v>8</v>
      </c>
      <c r="B735" s="0" t="s">
        <v>958</v>
      </c>
      <c r="C735" s="0" t="s">
        <v>7071</v>
      </c>
    </row>
    <row r="736" customFormat="false" ht="15" hidden="false" customHeight="false" outlineLevel="0" collapsed="false">
      <c r="A736" s="0" t="s">
        <v>8</v>
      </c>
      <c r="B736" s="0" t="s">
        <v>958</v>
      </c>
      <c r="C736" s="0" t="s">
        <v>7072</v>
      </c>
    </row>
    <row r="737" customFormat="false" ht="15" hidden="false" customHeight="false" outlineLevel="0" collapsed="false">
      <c r="A737" s="0" t="s">
        <v>8</v>
      </c>
      <c r="B737" s="0" t="s">
        <v>961</v>
      </c>
      <c r="C737" s="0" t="s">
        <v>7070</v>
      </c>
      <c r="D737" s="0" t="n">
        <v>4.4</v>
      </c>
    </row>
    <row r="738" customFormat="false" ht="15" hidden="false" customHeight="false" outlineLevel="0" collapsed="false">
      <c r="A738" s="0" t="s">
        <v>8</v>
      </c>
      <c r="B738" s="0" t="s">
        <v>961</v>
      </c>
      <c r="C738" s="0" t="s">
        <v>7071</v>
      </c>
    </row>
    <row r="739" customFormat="false" ht="15" hidden="false" customHeight="false" outlineLevel="0" collapsed="false">
      <c r="A739" s="0" t="s">
        <v>8</v>
      </c>
      <c r="B739" s="0" t="s">
        <v>961</v>
      </c>
      <c r="C739" s="0" t="s">
        <v>7072</v>
      </c>
    </row>
    <row r="740" customFormat="false" ht="15" hidden="false" customHeight="false" outlineLevel="0" collapsed="false">
      <c r="A740" s="0" t="s">
        <v>8</v>
      </c>
      <c r="B740" s="0" t="s">
        <v>964</v>
      </c>
      <c r="C740" s="0" t="s">
        <v>7070</v>
      </c>
      <c r="D740" s="0" t="n">
        <v>1.4</v>
      </c>
    </row>
    <row r="741" customFormat="false" ht="15" hidden="false" customHeight="false" outlineLevel="0" collapsed="false">
      <c r="A741" s="0" t="s">
        <v>8</v>
      </c>
      <c r="B741" s="0" t="s">
        <v>964</v>
      </c>
      <c r="C741" s="0" t="s">
        <v>7071</v>
      </c>
    </row>
    <row r="742" customFormat="false" ht="15" hidden="false" customHeight="false" outlineLevel="0" collapsed="false">
      <c r="A742" s="0" t="s">
        <v>8</v>
      </c>
      <c r="B742" s="0" t="s">
        <v>964</v>
      </c>
      <c r="C742" s="0" t="s">
        <v>7072</v>
      </c>
    </row>
    <row r="743" customFormat="false" ht="15" hidden="false" customHeight="false" outlineLevel="0" collapsed="false">
      <c r="A743" s="0" t="s">
        <v>8</v>
      </c>
      <c r="B743" s="0" t="s">
        <v>968</v>
      </c>
      <c r="C743" s="0" t="s">
        <v>7070</v>
      </c>
      <c r="D743" s="0" t="n">
        <v>0.26</v>
      </c>
    </row>
    <row r="744" customFormat="false" ht="15" hidden="false" customHeight="false" outlineLevel="0" collapsed="false">
      <c r="A744" s="0" t="s">
        <v>8</v>
      </c>
      <c r="B744" s="0" t="s">
        <v>968</v>
      </c>
      <c r="C744" s="0" t="s">
        <v>7071</v>
      </c>
    </row>
    <row r="745" customFormat="false" ht="15" hidden="false" customHeight="false" outlineLevel="0" collapsed="false">
      <c r="A745" s="0" t="s">
        <v>8</v>
      </c>
      <c r="B745" s="0" t="s">
        <v>968</v>
      </c>
      <c r="C745" s="0" t="s">
        <v>7072</v>
      </c>
    </row>
    <row r="746" customFormat="false" ht="15" hidden="false" customHeight="false" outlineLevel="0" collapsed="false">
      <c r="A746" s="0" t="s">
        <v>8</v>
      </c>
      <c r="B746" s="0" t="s">
        <v>971</v>
      </c>
      <c r="C746" s="0" t="s">
        <v>7070</v>
      </c>
      <c r="D746" s="0" t="n">
        <v>4.4</v>
      </c>
    </row>
    <row r="747" customFormat="false" ht="15" hidden="false" customHeight="false" outlineLevel="0" collapsed="false">
      <c r="A747" s="0" t="s">
        <v>8</v>
      </c>
      <c r="B747" s="0" t="s">
        <v>971</v>
      </c>
      <c r="C747" s="0" t="s">
        <v>7071</v>
      </c>
    </row>
    <row r="748" customFormat="false" ht="15" hidden="false" customHeight="false" outlineLevel="0" collapsed="false">
      <c r="A748" s="0" t="s">
        <v>8</v>
      </c>
      <c r="B748" s="0" t="s">
        <v>971</v>
      </c>
      <c r="C748" s="0" t="s">
        <v>7072</v>
      </c>
    </row>
    <row r="749" customFormat="false" ht="15" hidden="false" customHeight="false" outlineLevel="0" collapsed="false">
      <c r="A749" s="0" t="s">
        <v>8</v>
      </c>
      <c r="B749" s="0" t="s">
        <v>974</v>
      </c>
      <c r="C749" s="0" t="s">
        <v>7070</v>
      </c>
      <c r="D749" s="0" t="n">
        <v>1</v>
      </c>
    </row>
    <row r="750" customFormat="false" ht="15" hidden="false" customHeight="false" outlineLevel="0" collapsed="false">
      <c r="A750" s="0" t="s">
        <v>8</v>
      </c>
      <c r="B750" s="0" t="s">
        <v>974</v>
      </c>
      <c r="C750" s="0" t="s">
        <v>7071</v>
      </c>
    </row>
    <row r="751" customFormat="false" ht="15" hidden="false" customHeight="false" outlineLevel="0" collapsed="false">
      <c r="A751" s="0" t="s">
        <v>8</v>
      </c>
      <c r="B751" s="0" t="s">
        <v>974</v>
      </c>
      <c r="C751" s="0" t="s">
        <v>7072</v>
      </c>
    </row>
    <row r="752" customFormat="false" ht="15" hidden="false" customHeight="false" outlineLevel="0" collapsed="false">
      <c r="A752" s="0" t="s">
        <v>8</v>
      </c>
      <c r="B752" s="0" t="s">
        <v>978</v>
      </c>
      <c r="C752" s="0" t="s">
        <v>7070</v>
      </c>
      <c r="D752" s="0" t="n">
        <v>0.2</v>
      </c>
    </row>
    <row r="753" customFormat="false" ht="15" hidden="false" customHeight="false" outlineLevel="0" collapsed="false">
      <c r="A753" s="0" t="s">
        <v>8</v>
      </c>
      <c r="B753" s="0" t="s">
        <v>978</v>
      </c>
      <c r="C753" s="0" t="s">
        <v>7071</v>
      </c>
    </row>
    <row r="754" customFormat="false" ht="15" hidden="false" customHeight="false" outlineLevel="0" collapsed="false">
      <c r="A754" s="0" t="s">
        <v>8</v>
      </c>
      <c r="B754" s="0" t="s">
        <v>978</v>
      </c>
      <c r="C754" s="0" t="s">
        <v>7072</v>
      </c>
    </row>
    <row r="755" customFormat="false" ht="15" hidden="false" customHeight="false" outlineLevel="0" collapsed="false">
      <c r="A755" s="0" t="s">
        <v>8</v>
      </c>
      <c r="B755" s="0" t="s">
        <v>981</v>
      </c>
      <c r="C755" s="0" t="s">
        <v>7070</v>
      </c>
      <c r="D755" s="0" t="n">
        <v>3.2</v>
      </c>
    </row>
    <row r="756" customFormat="false" ht="15" hidden="false" customHeight="false" outlineLevel="0" collapsed="false">
      <c r="A756" s="0" t="s">
        <v>8</v>
      </c>
      <c r="B756" s="0" t="s">
        <v>981</v>
      </c>
      <c r="C756" s="0" t="s">
        <v>7071</v>
      </c>
    </row>
    <row r="757" customFormat="false" ht="15" hidden="false" customHeight="false" outlineLevel="0" collapsed="false">
      <c r="A757" s="0" t="s">
        <v>8</v>
      </c>
      <c r="B757" s="0" t="s">
        <v>981</v>
      </c>
      <c r="C757" s="0" t="s">
        <v>7072</v>
      </c>
    </row>
    <row r="758" customFormat="false" ht="15" hidden="false" customHeight="false" outlineLevel="0" collapsed="false">
      <c r="A758" s="0" t="s">
        <v>8</v>
      </c>
      <c r="B758" s="0" t="s">
        <v>984</v>
      </c>
      <c r="C758" s="0" t="s">
        <v>7070</v>
      </c>
      <c r="D758" s="0" t="n">
        <v>0.6</v>
      </c>
    </row>
    <row r="759" customFormat="false" ht="15" hidden="false" customHeight="false" outlineLevel="0" collapsed="false">
      <c r="A759" s="0" t="s">
        <v>8</v>
      </c>
      <c r="B759" s="0" t="s">
        <v>984</v>
      </c>
      <c r="C759" s="0" t="s">
        <v>7071</v>
      </c>
    </row>
    <row r="760" customFormat="false" ht="15" hidden="false" customHeight="false" outlineLevel="0" collapsed="false">
      <c r="A760" s="0" t="s">
        <v>8</v>
      </c>
      <c r="B760" s="0" t="s">
        <v>984</v>
      </c>
      <c r="C760" s="0" t="s">
        <v>7072</v>
      </c>
    </row>
    <row r="761" customFormat="false" ht="15" hidden="false" customHeight="false" outlineLevel="0" collapsed="false">
      <c r="A761" s="0" t="s">
        <v>8</v>
      </c>
      <c r="B761" s="0" t="s">
        <v>988</v>
      </c>
      <c r="C761" s="0" t="s">
        <v>7070</v>
      </c>
      <c r="D761" s="0" t="n">
        <v>0.11</v>
      </c>
    </row>
    <row r="762" customFormat="false" ht="15" hidden="false" customHeight="false" outlineLevel="0" collapsed="false">
      <c r="A762" s="0" t="s">
        <v>8</v>
      </c>
      <c r="B762" s="0" t="s">
        <v>988</v>
      </c>
      <c r="C762" s="0" t="s">
        <v>7071</v>
      </c>
    </row>
    <row r="763" customFormat="false" ht="15" hidden="false" customHeight="false" outlineLevel="0" collapsed="false">
      <c r="A763" s="0" t="s">
        <v>8</v>
      </c>
      <c r="B763" s="0" t="s">
        <v>988</v>
      </c>
      <c r="C763" s="0" t="s">
        <v>7072</v>
      </c>
    </row>
    <row r="764" customFormat="false" ht="15" hidden="false" customHeight="false" outlineLevel="0" collapsed="false">
      <c r="A764" s="0" t="s">
        <v>8</v>
      </c>
      <c r="B764" s="0" t="s">
        <v>991</v>
      </c>
      <c r="C764" s="0" t="s">
        <v>7070</v>
      </c>
      <c r="D764" s="0" t="n">
        <v>2.2</v>
      </c>
    </row>
    <row r="765" customFormat="false" ht="15" hidden="false" customHeight="false" outlineLevel="0" collapsed="false">
      <c r="A765" s="0" t="s">
        <v>8</v>
      </c>
      <c r="B765" s="0" t="s">
        <v>991</v>
      </c>
      <c r="C765" s="0" t="s">
        <v>7071</v>
      </c>
    </row>
    <row r="766" customFormat="false" ht="15" hidden="false" customHeight="false" outlineLevel="0" collapsed="false">
      <c r="A766" s="0" t="s">
        <v>8</v>
      </c>
      <c r="B766" s="0" t="s">
        <v>991</v>
      </c>
      <c r="C766" s="0" t="s">
        <v>7072</v>
      </c>
    </row>
    <row r="767" customFormat="false" ht="15" hidden="false" customHeight="false" outlineLevel="0" collapsed="false">
      <c r="A767" s="0" t="s">
        <v>8</v>
      </c>
      <c r="B767" s="0" t="s">
        <v>994</v>
      </c>
      <c r="C767" s="0" t="s">
        <v>7070</v>
      </c>
      <c r="D767" s="0" t="n">
        <v>0.6</v>
      </c>
    </row>
    <row r="768" customFormat="false" ht="15" hidden="false" customHeight="false" outlineLevel="0" collapsed="false">
      <c r="A768" s="0" t="s">
        <v>8</v>
      </c>
      <c r="B768" s="0" t="s">
        <v>994</v>
      </c>
      <c r="C768" s="0" t="s">
        <v>7071</v>
      </c>
    </row>
    <row r="769" customFormat="false" ht="15" hidden="false" customHeight="false" outlineLevel="0" collapsed="false">
      <c r="A769" s="0" t="s">
        <v>8</v>
      </c>
      <c r="B769" s="0" t="s">
        <v>994</v>
      </c>
      <c r="C769" s="0" t="s">
        <v>7072</v>
      </c>
    </row>
    <row r="770" customFormat="false" ht="15" hidden="false" customHeight="false" outlineLevel="0" collapsed="false">
      <c r="A770" s="0" t="s">
        <v>8</v>
      </c>
      <c r="B770" s="0" t="s">
        <v>998</v>
      </c>
      <c r="C770" s="0" t="s">
        <v>7070</v>
      </c>
      <c r="D770" s="0" t="n">
        <v>0.11</v>
      </c>
    </row>
    <row r="771" customFormat="false" ht="15" hidden="false" customHeight="false" outlineLevel="0" collapsed="false">
      <c r="A771" s="0" t="s">
        <v>8</v>
      </c>
      <c r="B771" s="0" t="s">
        <v>998</v>
      </c>
      <c r="C771" s="0" t="s">
        <v>7071</v>
      </c>
    </row>
    <row r="772" customFormat="false" ht="15" hidden="false" customHeight="false" outlineLevel="0" collapsed="false">
      <c r="A772" s="0" t="s">
        <v>8</v>
      </c>
      <c r="B772" s="0" t="s">
        <v>998</v>
      </c>
      <c r="C772" s="0" t="s">
        <v>7072</v>
      </c>
    </row>
    <row r="773" customFormat="false" ht="15" hidden="false" customHeight="false" outlineLevel="0" collapsed="false">
      <c r="A773" s="0" t="s">
        <v>8</v>
      </c>
      <c r="B773" s="0" t="s">
        <v>1001</v>
      </c>
      <c r="C773" s="0" t="s">
        <v>7070</v>
      </c>
      <c r="D773" s="0" t="n">
        <v>2.2</v>
      </c>
    </row>
    <row r="774" customFormat="false" ht="15" hidden="false" customHeight="false" outlineLevel="0" collapsed="false">
      <c r="A774" s="0" t="s">
        <v>8</v>
      </c>
      <c r="B774" s="0" t="s">
        <v>1001</v>
      </c>
      <c r="C774" s="0" t="s">
        <v>7071</v>
      </c>
    </row>
    <row r="775" customFormat="false" ht="15" hidden="false" customHeight="false" outlineLevel="0" collapsed="false">
      <c r="A775" s="0" t="s">
        <v>8</v>
      </c>
      <c r="B775" s="0" t="s">
        <v>1001</v>
      </c>
      <c r="C775" s="0" t="s">
        <v>7072</v>
      </c>
    </row>
    <row r="776" customFormat="false" ht="15" hidden="false" customHeight="false" outlineLevel="0" collapsed="false">
      <c r="A776" s="0" t="s">
        <v>8</v>
      </c>
      <c r="B776" s="0" t="s">
        <v>1004</v>
      </c>
      <c r="C776" s="0" t="s">
        <v>7070</v>
      </c>
      <c r="D776" s="0" t="n">
        <v>0.6</v>
      </c>
    </row>
    <row r="777" customFormat="false" ht="15" hidden="false" customHeight="false" outlineLevel="0" collapsed="false">
      <c r="A777" s="0" t="s">
        <v>8</v>
      </c>
      <c r="B777" s="0" t="s">
        <v>1004</v>
      </c>
      <c r="C777" s="0" t="s">
        <v>7071</v>
      </c>
    </row>
    <row r="778" customFormat="false" ht="15" hidden="false" customHeight="false" outlineLevel="0" collapsed="false">
      <c r="A778" s="0" t="s">
        <v>8</v>
      </c>
      <c r="B778" s="0" t="s">
        <v>1004</v>
      </c>
      <c r="C778" s="0" t="s">
        <v>7072</v>
      </c>
    </row>
    <row r="779" customFormat="false" ht="15" hidden="false" customHeight="false" outlineLevel="0" collapsed="false">
      <c r="A779" s="0" t="s">
        <v>8</v>
      </c>
      <c r="B779" s="0" t="s">
        <v>1008</v>
      </c>
      <c r="C779" s="0" t="s">
        <v>7070</v>
      </c>
      <c r="D779" s="0" t="n">
        <v>0.11</v>
      </c>
    </row>
    <row r="780" customFormat="false" ht="15" hidden="false" customHeight="false" outlineLevel="0" collapsed="false">
      <c r="A780" s="0" t="s">
        <v>8</v>
      </c>
      <c r="B780" s="0" t="s">
        <v>1008</v>
      </c>
      <c r="C780" s="0" t="s">
        <v>7071</v>
      </c>
    </row>
    <row r="781" customFormat="false" ht="15" hidden="false" customHeight="false" outlineLevel="0" collapsed="false">
      <c r="A781" s="0" t="s">
        <v>8</v>
      </c>
      <c r="B781" s="0" t="s">
        <v>1008</v>
      </c>
      <c r="C781" s="0" t="s">
        <v>7072</v>
      </c>
    </row>
    <row r="782" customFormat="false" ht="15" hidden="false" customHeight="false" outlineLevel="0" collapsed="false">
      <c r="A782" s="0" t="s">
        <v>8</v>
      </c>
      <c r="B782" s="0" t="s">
        <v>1011</v>
      </c>
      <c r="C782" s="0" t="s">
        <v>7070</v>
      </c>
      <c r="D782" s="0" t="n">
        <v>2.2</v>
      </c>
    </row>
    <row r="783" customFormat="false" ht="15" hidden="false" customHeight="false" outlineLevel="0" collapsed="false">
      <c r="A783" s="0" t="s">
        <v>8</v>
      </c>
      <c r="B783" s="0" t="s">
        <v>1011</v>
      </c>
      <c r="C783" s="0" t="s">
        <v>7071</v>
      </c>
    </row>
    <row r="784" customFormat="false" ht="15" hidden="false" customHeight="false" outlineLevel="0" collapsed="false">
      <c r="A784" s="0" t="s">
        <v>8</v>
      </c>
      <c r="B784" s="0" t="s">
        <v>1011</v>
      </c>
      <c r="C784" s="0" t="s">
        <v>7072</v>
      </c>
    </row>
    <row r="785" customFormat="false" ht="15" hidden="false" customHeight="false" outlineLevel="0" collapsed="false">
      <c r="A785" s="0" t="s">
        <v>8</v>
      </c>
      <c r="B785" s="0" t="s">
        <v>1014</v>
      </c>
      <c r="C785" s="0" t="s">
        <v>7070</v>
      </c>
      <c r="D785" s="0" t="n">
        <v>2.2</v>
      </c>
    </row>
    <row r="786" customFormat="false" ht="15" hidden="false" customHeight="false" outlineLevel="0" collapsed="false">
      <c r="A786" s="0" t="s">
        <v>8</v>
      </c>
      <c r="B786" s="0" t="s">
        <v>1014</v>
      </c>
      <c r="C786" s="0" t="s">
        <v>7071</v>
      </c>
    </row>
    <row r="787" customFormat="false" ht="15" hidden="false" customHeight="false" outlineLevel="0" collapsed="false">
      <c r="A787" s="0" t="s">
        <v>8</v>
      </c>
      <c r="B787" s="0" t="s">
        <v>1014</v>
      </c>
      <c r="C787" s="0" t="s">
        <v>7072</v>
      </c>
    </row>
    <row r="788" customFormat="false" ht="15" hidden="false" customHeight="false" outlineLevel="0" collapsed="false">
      <c r="A788" s="0" t="s">
        <v>8</v>
      </c>
      <c r="B788" s="0" t="s">
        <v>1018</v>
      </c>
      <c r="C788" s="0" t="s">
        <v>7070</v>
      </c>
      <c r="D788" s="0" t="n">
        <v>0.45</v>
      </c>
    </row>
    <row r="789" customFormat="false" ht="15" hidden="false" customHeight="false" outlineLevel="0" collapsed="false">
      <c r="A789" s="0" t="s">
        <v>8</v>
      </c>
      <c r="B789" s="0" t="s">
        <v>1018</v>
      </c>
      <c r="C789" s="0" t="s">
        <v>7071</v>
      </c>
    </row>
    <row r="790" customFormat="false" ht="15" hidden="false" customHeight="false" outlineLevel="0" collapsed="false">
      <c r="A790" s="0" t="s">
        <v>8</v>
      </c>
      <c r="B790" s="0" t="s">
        <v>1018</v>
      </c>
      <c r="C790" s="0" t="s">
        <v>7072</v>
      </c>
    </row>
    <row r="791" customFormat="false" ht="15" hidden="false" customHeight="false" outlineLevel="0" collapsed="false">
      <c r="A791" s="0" t="s">
        <v>8</v>
      </c>
      <c r="B791" s="0" t="s">
        <v>1021</v>
      </c>
      <c r="C791" s="0" t="s">
        <v>7070</v>
      </c>
      <c r="D791" s="0" t="n">
        <v>8.9</v>
      </c>
    </row>
    <row r="792" customFormat="false" ht="15" hidden="false" customHeight="false" outlineLevel="0" collapsed="false">
      <c r="A792" s="0" t="s">
        <v>8</v>
      </c>
      <c r="B792" s="0" t="s">
        <v>1021</v>
      </c>
      <c r="C792" s="0" t="s">
        <v>7071</v>
      </c>
    </row>
    <row r="793" customFormat="false" ht="15" hidden="false" customHeight="false" outlineLevel="0" collapsed="false">
      <c r="A793" s="0" t="s">
        <v>8</v>
      </c>
      <c r="B793" s="0" t="s">
        <v>1021</v>
      </c>
      <c r="C793" s="0" t="s">
        <v>7072</v>
      </c>
    </row>
    <row r="794" customFormat="false" ht="15" hidden="false" customHeight="false" outlineLevel="0" collapsed="false">
      <c r="A794" s="0" t="s">
        <v>8</v>
      </c>
      <c r="B794" s="0" t="s">
        <v>1024</v>
      </c>
      <c r="C794" s="0" t="s">
        <v>7070</v>
      </c>
      <c r="D794" s="0" t="n">
        <v>0.2</v>
      </c>
    </row>
    <row r="795" customFormat="false" ht="15" hidden="false" customHeight="false" outlineLevel="0" collapsed="false">
      <c r="A795" s="0" t="s">
        <v>8</v>
      </c>
      <c r="B795" s="0" t="s">
        <v>1024</v>
      </c>
      <c r="C795" s="0" t="s">
        <v>7071</v>
      </c>
    </row>
    <row r="796" customFormat="false" ht="15" hidden="false" customHeight="false" outlineLevel="0" collapsed="false">
      <c r="A796" s="0" t="s">
        <v>8</v>
      </c>
      <c r="B796" s="0" t="s">
        <v>1024</v>
      </c>
      <c r="C796" s="0" t="s">
        <v>7072</v>
      </c>
    </row>
    <row r="797" customFormat="false" ht="15" hidden="false" customHeight="false" outlineLevel="0" collapsed="false">
      <c r="A797" s="0" t="s">
        <v>8</v>
      </c>
      <c r="B797" s="0" t="s">
        <v>1028</v>
      </c>
      <c r="C797" s="0" t="s">
        <v>7070</v>
      </c>
      <c r="D797" s="0" t="n">
        <v>0.03</v>
      </c>
    </row>
    <row r="798" customFormat="false" ht="15" hidden="false" customHeight="false" outlineLevel="0" collapsed="false">
      <c r="A798" s="0" t="s">
        <v>8</v>
      </c>
      <c r="B798" s="0" t="s">
        <v>1028</v>
      </c>
      <c r="C798" s="0" t="s">
        <v>7071</v>
      </c>
    </row>
    <row r="799" customFormat="false" ht="15" hidden="false" customHeight="false" outlineLevel="0" collapsed="false">
      <c r="A799" s="0" t="s">
        <v>8</v>
      </c>
      <c r="B799" s="0" t="s">
        <v>1028</v>
      </c>
      <c r="C799" s="0" t="s">
        <v>7072</v>
      </c>
    </row>
    <row r="800" customFormat="false" ht="15" hidden="false" customHeight="false" outlineLevel="0" collapsed="false">
      <c r="A800" s="0" t="s">
        <v>8</v>
      </c>
      <c r="B800" s="0" t="s">
        <v>1031</v>
      </c>
      <c r="C800" s="0" t="s">
        <v>7070</v>
      </c>
      <c r="D800" s="0" t="n">
        <v>1.1</v>
      </c>
    </row>
    <row r="801" customFormat="false" ht="15" hidden="false" customHeight="false" outlineLevel="0" collapsed="false">
      <c r="A801" s="0" t="s">
        <v>8</v>
      </c>
      <c r="B801" s="0" t="s">
        <v>1031</v>
      </c>
      <c r="C801" s="0" t="s">
        <v>7071</v>
      </c>
    </row>
    <row r="802" customFormat="false" ht="15" hidden="false" customHeight="false" outlineLevel="0" collapsed="false">
      <c r="A802" s="0" t="s">
        <v>8</v>
      </c>
      <c r="B802" s="0" t="s">
        <v>1031</v>
      </c>
      <c r="C802" s="0" t="s">
        <v>7072</v>
      </c>
    </row>
    <row r="803" customFormat="false" ht="15" hidden="false" customHeight="false" outlineLevel="0" collapsed="false">
      <c r="A803" s="0" t="s">
        <v>8</v>
      </c>
      <c r="B803" s="0" t="s">
        <v>1034</v>
      </c>
      <c r="C803" s="0" t="s">
        <v>7070</v>
      </c>
      <c r="D803" s="0" t="n">
        <v>1.1</v>
      </c>
    </row>
    <row r="804" customFormat="false" ht="15" hidden="false" customHeight="false" outlineLevel="0" collapsed="false">
      <c r="A804" s="0" t="s">
        <v>8</v>
      </c>
      <c r="B804" s="0" t="s">
        <v>1034</v>
      </c>
      <c r="C804" s="0" t="s">
        <v>7071</v>
      </c>
    </row>
    <row r="805" customFormat="false" ht="15" hidden="false" customHeight="false" outlineLevel="0" collapsed="false">
      <c r="A805" s="0" t="s">
        <v>8</v>
      </c>
      <c r="B805" s="0" t="s">
        <v>1034</v>
      </c>
      <c r="C805" s="0" t="s">
        <v>7072</v>
      </c>
    </row>
    <row r="806" customFormat="false" ht="15" hidden="false" customHeight="false" outlineLevel="0" collapsed="false">
      <c r="A806" s="0" t="s">
        <v>8</v>
      </c>
      <c r="B806" s="0" t="s">
        <v>1038</v>
      </c>
      <c r="C806" s="0" t="s">
        <v>7070</v>
      </c>
      <c r="D806" s="0" t="n">
        <v>0.22</v>
      </c>
    </row>
    <row r="807" customFormat="false" ht="15" hidden="false" customHeight="false" outlineLevel="0" collapsed="false">
      <c r="A807" s="0" t="s">
        <v>8</v>
      </c>
      <c r="B807" s="0" t="s">
        <v>1038</v>
      </c>
      <c r="C807" s="0" t="s">
        <v>7071</v>
      </c>
    </row>
    <row r="808" customFormat="false" ht="15" hidden="false" customHeight="false" outlineLevel="0" collapsed="false">
      <c r="A808" s="0" t="s">
        <v>8</v>
      </c>
      <c r="B808" s="0" t="s">
        <v>1038</v>
      </c>
      <c r="C808" s="0" t="s">
        <v>7072</v>
      </c>
    </row>
    <row r="809" customFormat="false" ht="15" hidden="false" customHeight="false" outlineLevel="0" collapsed="false">
      <c r="A809" s="0" t="s">
        <v>8</v>
      </c>
      <c r="B809" s="0" t="s">
        <v>1041</v>
      </c>
      <c r="C809" s="0" t="s">
        <v>7070</v>
      </c>
      <c r="D809" s="0" t="n">
        <v>4.5</v>
      </c>
    </row>
    <row r="810" customFormat="false" ht="15" hidden="false" customHeight="false" outlineLevel="0" collapsed="false">
      <c r="A810" s="0" t="s">
        <v>8</v>
      </c>
      <c r="B810" s="0" t="s">
        <v>1041</v>
      </c>
      <c r="C810" s="0" t="s">
        <v>7071</v>
      </c>
    </row>
    <row r="811" customFormat="false" ht="15" hidden="false" customHeight="false" outlineLevel="0" collapsed="false">
      <c r="A811" s="0" t="s">
        <v>8</v>
      </c>
      <c r="B811" s="0" t="s">
        <v>1041</v>
      </c>
      <c r="C811" s="0" t="s">
        <v>7072</v>
      </c>
    </row>
    <row r="812" customFormat="false" ht="15" hidden="false" customHeight="false" outlineLevel="0" collapsed="false">
      <c r="A812" s="0" t="s">
        <v>8</v>
      </c>
      <c r="B812" s="0" t="s">
        <v>1044</v>
      </c>
      <c r="C812" s="0" t="s">
        <v>7070</v>
      </c>
      <c r="D812" s="0" t="n">
        <v>0.15</v>
      </c>
    </row>
    <row r="813" customFormat="false" ht="15" hidden="false" customHeight="false" outlineLevel="0" collapsed="false">
      <c r="A813" s="0" t="s">
        <v>8</v>
      </c>
      <c r="B813" s="0" t="s">
        <v>1044</v>
      </c>
      <c r="C813" s="0" t="s">
        <v>7071</v>
      </c>
    </row>
    <row r="814" customFormat="false" ht="15" hidden="false" customHeight="false" outlineLevel="0" collapsed="false">
      <c r="A814" s="0" t="s">
        <v>8</v>
      </c>
      <c r="B814" s="0" t="s">
        <v>1044</v>
      </c>
      <c r="C814" s="0" t="s">
        <v>7072</v>
      </c>
    </row>
    <row r="815" customFormat="false" ht="15" hidden="false" customHeight="false" outlineLevel="0" collapsed="false">
      <c r="A815" s="0" t="s">
        <v>8</v>
      </c>
      <c r="B815" s="0" t="s">
        <v>1048</v>
      </c>
      <c r="C815" s="0" t="s">
        <v>7070</v>
      </c>
      <c r="D815" s="0" t="n">
        <v>0.03</v>
      </c>
    </row>
    <row r="816" customFormat="false" ht="15" hidden="false" customHeight="false" outlineLevel="0" collapsed="false">
      <c r="A816" s="0" t="s">
        <v>8</v>
      </c>
      <c r="B816" s="0" t="s">
        <v>1048</v>
      </c>
      <c r="C816" s="0" t="s">
        <v>7071</v>
      </c>
    </row>
    <row r="817" customFormat="false" ht="15" hidden="false" customHeight="false" outlineLevel="0" collapsed="false">
      <c r="A817" s="0" t="s">
        <v>8</v>
      </c>
      <c r="B817" s="0" t="s">
        <v>1048</v>
      </c>
      <c r="C817" s="0" t="s">
        <v>7072</v>
      </c>
    </row>
    <row r="818" customFormat="false" ht="15" hidden="false" customHeight="false" outlineLevel="0" collapsed="false">
      <c r="A818" s="0" t="s">
        <v>8</v>
      </c>
      <c r="B818" s="0" t="s">
        <v>1051</v>
      </c>
      <c r="C818" s="0" t="s">
        <v>7070</v>
      </c>
      <c r="D818" s="0" t="n">
        <v>0.5</v>
      </c>
    </row>
    <row r="819" customFormat="false" ht="15" hidden="false" customHeight="false" outlineLevel="0" collapsed="false">
      <c r="A819" s="0" t="s">
        <v>8</v>
      </c>
      <c r="B819" s="0" t="s">
        <v>1051</v>
      </c>
      <c r="C819" s="0" t="s">
        <v>7071</v>
      </c>
    </row>
    <row r="820" customFormat="false" ht="15" hidden="false" customHeight="false" outlineLevel="0" collapsed="false">
      <c r="A820" s="0" t="s">
        <v>8</v>
      </c>
      <c r="B820" s="0" t="s">
        <v>1051</v>
      </c>
      <c r="C820" s="0" t="s">
        <v>7072</v>
      </c>
    </row>
    <row r="821" customFormat="false" ht="15" hidden="false" customHeight="false" outlineLevel="0" collapsed="false">
      <c r="A821" s="0" t="s">
        <v>8</v>
      </c>
      <c r="B821" s="0" t="s">
        <v>1054</v>
      </c>
      <c r="C821" s="0" t="s">
        <v>7070</v>
      </c>
      <c r="D821" s="0" t="n">
        <v>0.37</v>
      </c>
    </row>
    <row r="822" customFormat="false" ht="15" hidden="false" customHeight="false" outlineLevel="0" collapsed="false">
      <c r="A822" s="0" t="s">
        <v>8</v>
      </c>
      <c r="B822" s="0" t="s">
        <v>1054</v>
      </c>
      <c r="C822" s="0" t="s">
        <v>7071</v>
      </c>
    </row>
    <row r="823" customFormat="false" ht="15" hidden="false" customHeight="false" outlineLevel="0" collapsed="false">
      <c r="A823" s="0" t="s">
        <v>8</v>
      </c>
      <c r="B823" s="0" t="s">
        <v>1054</v>
      </c>
      <c r="C823" s="0" t="s">
        <v>7072</v>
      </c>
    </row>
    <row r="824" customFormat="false" ht="15" hidden="false" customHeight="false" outlineLevel="0" collapsed="false">
      <c r="A824" s="0" t="s">
        <v>8</v>
      </c>
      <c r="B824" s="0" t="s">
        <v>1058</v>
      </c>
      <c r="C824" s="0" t="s">
        <v>7070</v>
      </c>
      <c r="D824" s="0" t="n">
        <v>0.075</v>
      </c>
    </row>
    <row r="825" customFormat="false" ht="15" hidden="false" customHeight="false" outlineLevel="0" collapsed="false">
      <c r="A825" s="0" t="s">
        <v>8</v>
      </c>
      <c r="B825" s="0" t="s">
        <v>1058</v>
      </c>
      <c r="C825" s="0" t="s">
        <v>7071</v>
      </c>
    </row>
    <row r="826" customFormat="false" ht="15" hidden="false" customHeight="false" outlineLevel="0" collapsed="false">
      <c r="A826" s="0" t="s">
        <v>8</v>
      </c>
      <c r="B826" s="0" t="s">
        <v>1058</v>
      </c>
      <c r="C826" s="0" t="s">
        <v>7072</v>
      </c>
    </row>
    <row r="827" customFormat="false" ht="15" hidden="false" customHeight="false" outlineLevel="0" collapsed="false">
      <c r="A827" s="0" t="s">
        <v>8</v>
      </c>
      <c r="B827" s="0" t="s">
        <v>1061</v>
      </c>
      <c r="C827" s="0" t="s">
        <v>7070</v>
      </c>
      <c r="D827" s="0" t="n">
        <v>1.25</v>
      </c>
    </row>
    <row r="828" customFormat="false" ht="15" hidden="false" customHeight="false" outlineLevel="0" collapsed="false">
      <c r="A828" s="0" t="s">
        <v>8</v>
      </c>
      <c r="B828" s="0" t="s">
        <v>1061</v>
      </c>
      <c r="C828" s="0" t="s">
        <v>7071</v>
      </c>
    </row>
    <row r="829" customFormat="false" ht="15" hidden="false" customHeight="false" outlineLevel="0" collapsed="false">
      <c r="A829" s="0" t="s">
        <v>8</v>
      </c>
      <c r="B829" s="0" t="s">
        <v>1061</v>
      </c>
      <c r="C829" s="0" t="s">
        <v>7072</v>
      </c>
    </row>
    <row r="830" customFormat="false" ht="15" hidden="false" customHeight="false" outlineLevel="0" collapsed="false">
      <c r="A830" s="0" t="s">
        <v>8</v>
      </c>
      <c r="B830" s="0" t="s">
        <v>1064</v>
      </c>
      <c r="C830" s="0" t="s">
        <v>7070</v>
      </c>
      <c r="D830" s="0" t="n">
        <v>0.07</v>
      </c>
    </row>
    <row r="831" customFormat="false" ht="15" hidden="false" customHeight="false" outlineLevel="0" collapsed="false">
      <c r="A831" s="0" t="s">
        <v>8</v>
      </c>
      <c r="B831" s="0" t="s">
        <v>1064</v>
      </c>
      <c r="C831" s="0" t="s">
        <v>7071</v>
      </c>
    </row>
    <row r="832" customFormat="false" ht="15" hidden="false" customHeight="false" outlineLevel="0" collapsed="false">
      <c r="A832" s="0" t="s">
        <v>8</v>
      </c>
      <c r="B832" s="0" t="s">
        <v>1064</v>
      </c>
      <c r="C832" s="0" t="s">
        <v>7072</v>
      </c>
    </row>
    <row r="833" customFormat="false" ht="15" hidden="false" customHeight="false" outlineLevel="0" collapsed="false">
      <c r="A833" s="0" t="s">
        <v>8</v>
      </c>
      <c r="B833" s="0" t="s">
        <v>1068</v>
      </c>
      <c r="C833" s="0" t="s">
        <v>7070</v>
      </c>
      <c r="D833" s="0" t="n">
        <v>0.01</v>
      </c>
    </row>
    <row r="834" customFormat="false" ht="15" hidden="false" customHeight="false" outlineLevel="0" collapsed="false">
      <c r="A834" s="0" t="s">
        <v>8</v>
      </c>
      <c r="B834" s="0" t="s">
        <v>1068</v>
      </c>
      <c r="C834" s="0" t="s">
        <v>7071</v>
      </c>
    </row>
    <row r="835" customFormat="false" ht="15" hidden="false" customHeight="false" outlineLevel="0" collapsed="false">
      <c r="A835" s="0" t="s">
        <v>8</v>
      </c>
      <c r="B835" s="0" t="s">
        <v>1068</v>
      </c>
      <c r="C835" s="0" t="s">
        <v>7072</v>
      </c>
    </row>
    <row r="836" customFormat="false" ht="15" hidden="false" customHeight="false" outlineLevel="0" collapsed="false">
      <c r="A836" s="0" t="s">
        <v>8</v>
      </c>
      <c r="B836" s="0" t="s">
        <v>1071</v>
      </c>
      <c r="C836" s="0" t="s">
        <v>7070</v>
      </c>
      <c r="D836" s="0" t="n">
        <v>0.4</v>
      </c>
    </row>
    <row r="837" customFormat="false" ht="15" hidden="false" customHeight="false" outlineLevel="0" collapsed="false">
      <c r="A837" s="0" t="s">
        <v>8</v>
      </c>
      <c r="B837" s="0" t="s">
        <v>1071</v>
      </c>
      <c r="C837" s="0" t="s">
        <v>7071</v>
      </c>
    </row>
    <row r="838" customFormat="false" ht="15" hidden="false" customHeight="false" outlineLevel="0" collapsed="false">
      <c r="A838" s="0" t="s">
        <v>8</v>
      </c>
      <c r="B838" s="0" t="s">
        <v>1071</v>
      </c>
      <c r="C838" s="0" t="s">
        <v>7072</v>
      </c>
    </row>
    <row r="839" customFormat="false" ht="15" hidden="false" customHeight="false" outlineLevel="0" collapsed="false">
      <c r="A839" s="0" t="s">
        <v>8</v>
      </c>
      <c r="B839" s="0" t="s">
        <v>1074</v>
      </c>
      <c r="C839" s="0" t="s">
        <v>7070</v>
      </c>
      <c r="D839" s="0" t="n">
        <v>0</v>
      </c>
    </row>
    <row r="840" customFormat="false" ht="15" hidden="false" customHeight="false" outlineLevel="0" collapsed="false">
      <c r="A840" s="0" t="s">
        <v>8</v>
      </c>
      <c r="B840" s="0" t="s">
        <v>1074</v>
      </c>
      <c r="C840" s="0" t="s">
        <v>7071</v>
      </c>
    </row>
    <row r="841" customFormat="false" ht="15" hidden="false" customHeight="false" outlineLevel="0" collapsed="false">
      <c r="A841" s="0" t="s">
        <v>8</v>
      </c>
      <c r="B841" s="0" t="s">
        <v>1074</v>
      </c>
      <c r="C841" s="0" t="s">
        <v>7072</v>
      </c>
    </row>
    <row r="842" customFormat="false" ht="15" hidden="false" customHeight="false" outlineLevel="0" collapsed="false">
      <c r="A842" s="0" t="s">
        <v>8</v>
      </c>
      <c r="B842" s="0" t="s">
        <v>1078</v>
      </c>
      <c r="C842" s="0" t="s">
        <v>7070</v>
      </c>
      <c r="D842" s="0" t="n">
        <v>0.01</v>
      </c>
    </row>
    <row r="843" customFormat="false" ht="15" hidden="false" customHeight="false" outlineLevel="0" collapsed="false">
      <c r="A843" s="0" t="s">
        <v>8</v>
      </c>
      <c r="B843" s="0" t="s">
        <v>1078</v>
      </c>
      <c r="C843" s="0" t="s">
        <v>7071</v>
      </c>
    </row>
    <row r="844" customFormat="false" ht="15" hidden="false" customHeight="false" outlineLevel="0" collapsed="false">
      <c r="A844" s="0" t="s">
        <v>8</v>
      </c>
      <c r="B844" s="0" t="s">
        <v>1078</v>
      </c>
      <c r="C844" s="0" t="s">
        <v>7072</v>
      </c>
    </row>
    <row r="845" customFormat="false" ht="15" hidden="false" customHeight="false" outlineLevel="0" collapsed="false">
      <c r="A845" s="0" t="s">
        <v>8</v>
      </c>
      <c r="B845" s="0" t="s">
        <v>1083</v>
      </c>
      <c r="C845" s="0" t="s">
        <v>7070</v>
      </c>
      <c r="D845" s="0" t="n">
        <v>1.2</v>
      </c>
    </row>
    <row r="846" customFormat="false" ht="15" hidden="false" customHeight="false" outlineLevel="0" collapsed="false">
      <c r="A846" s="0" t="s">
        <v>8</v>
      </c>
      <c r="B846" s="0" t="s">
        <v>1083</v>
      </c>
      <c r="C846" s="0" t="s">
        <v>7071</v>
      </c>
    </row>
    <row r="847" customFormat="false" ht="15" hidden="false" customHeight="false" outlineLevel="0" collapsed="false">
      <c r="A847" s="0" t="s">
        <v>8</v>
      </c>
      <c r="B847" s="0" t="s">
        <v>1083</v>
      </c>
      <c r="C847" s="0" t="s">
        <v>7072</v>
      </c>
    </row>
    <row r="848" customFormat="false" ht="15" hidden="false" customHeight="false" outlineLevel="0" collapsed="false">
      <c r="A848" s="0" t="s">
        <v>8</v>
      </c>
      <c r="B848" s="0" t="s">
        <v>1092</v>
      </c>
      <c r="C848" s="0" t="s">
        <v>7070</v>
      </c>
      <c r="D848" s="0" t="n">
        <v>4</v>
      </c>
    </row>
    <row r="849" customFormat="false" ht="15" hidden="false" customHeight="false" outlineLevel="0" collapsed="false">
      <c r="A849" s="0" t="s">
        <v>8</v>
      </c>
      <c r="B849" s="0" t="s">
        <v>1092</v>
      </c>
      <c r="C849" s="0" t="s">
        <v>7071</v>
      </c>
    </row>
    <row r="850" customFormat="false" ht="15" hidden="false" customHeight="false" outlineLevel="0" collapsed="false">
      <c r="A850" s="0" t="s">
        <v>8</v>
      </c>
      <c r="B850" s="0" t="s">
        <v>1092</v>
      </c>
      <c r="C850" s="0" t="s">
        <v>7072</v>
      </c>
    </row>
    <row r="851" customFormat="false" ht="15" hidden="false" customHeight="false" outlineLevel="0" collapsed="false">
      <c r="A851" s="0" t="s">
        <v>8</v>
      </c>
      <c r="B851" s="0" t="s">
        <v>1096</v>
      </c>
      <c r="C851" s="0" t="s">
        <v>7070</v>
      </c>
      <c r="D851" s="0" t="n">
        <v>8</v>
      </c>
    </row>
    <row r="852" customFormat="false" ht="15" hidden="false" customHeight="false" outlineLevel="0" collapsed="false">
      <c r="A852" s="0" t="s">
        <v>8</v>
      </c>
      <c r="B852" s="0" t="s">
        <v>1096</v>
      </c>
      <c r="C852" s="0" t="s">
        <v>7071</v>
      </c>
    </row>
    <row r="853" customFormat="false" ht="15" hidden="false" customHeight="false" outlineLevel="0" collapsed="false">
      <c r="A853" s="0" t="s">
        <v>8</v>
      </c>
      <c r="B853" s="0" t="s">
        <v>1096</v>
      </c>
      <c r="C853" s="0" t="s">
        <v>7072</v>
      </c>
    </row>
    <row r="854" customFormat="false" ht="15" hidden="false" customHeight="false" outlineLevel="0" collapsed="false">
      <c r="A854" s="0" t="s">
        <v>8</v>
      </c>
      <c r="B854" s="0" t="s">
        <v>1106</v>
      </c>
      <c r="C854" s="0" t="s">
        <v>7070</v>
      </c>
      <c r="D854" s="0" t="n">
        <v>2</v>
      </c>
    </row>
    <row r="855" customFormat="false" ht="15" hidden="false" customHeight="false" outlineLevel="0" collapsed="false">
      <c r="A855" s="0" t="s">
        <v>8</v>
      </c>
      <c r="B855" s="0" t="s">
        <v>1106</v>
      </c>
      <c r="C855" s="0" t="s">
        <v>7071</v>
      </c>
    </row>
    <row r="856" customFormat="false" ht="15" hidden="false" customHeight="false" outlineLevel="0" collapsed="false">
      <c r="A856" s="0" t="s">
        <v>8</v>
      </c>
      <c r="B856" s="0" t="s">
        <v>1106</v>
      </c>
      <c r="C856" s="0" t="s">
        <v>7072</v>
      </c>
    </row>
    <row r="857" customFormat="false" ht="15" hidden="false" customHeight="false" outlineLevel="0" collapsed="false">
      <c r="A857" s="0" t="s">
        <v>8</v>
      </c>
      <c r="B857" s="0" t="s">
        <v>1109</v>
      </c>
      <c r="C857" s="0" t="s">
        <v>7070</v>
      </c>
      <c r="D857" s="0" t="n">
        <v>28</v>
      </c>
    </row>
    <row r="858" customFormat="false" ht="15" hidden="false" customHeight="false" outlineLevel="0" collapsed="false">
      <c r="A858" s="0" t="s">
        <v>8</v>
      </c>
      <c r="B858" s="0" t="s">
        <v>1109</v>
      </c>
      <c r="C858" s="0" t="s">
        <v>7071</v>
      </c>
    </row>
    <row r="859" customFormat="false" ht="15" hidden="false" customHeight="false" outlineLevel="0" collapsed="false">
      <c r="A859" s="0" t="s">
        <v>8</v>
      </c>
      <c r="B859" s="0" t="s">
        <v>1109</v>
      </c>
      <c r="C859" s="0" t="s">
        <v>7072</v>
      </c>
    </row>
    <row r="860" customFormat="false" ht="15" hidden="false" customHeight="false" outlineLevel="0" collapsed="false">
      <c r="A860" s="0" t="s">
        <v>8</v>
      </c>
      <c r="B860" s="0" t="s">
        <v>1112</v>
      </c>
      <c r="C860" s="0" t="s">
        <v>7070</v>
      </c>
      <c r="D860" s="0" t="n">
        <v>8</v>
      </c>
    </row>
    <row r="861" customFormat="false" ht="15" hidden="false" customHeight="false" outlineLevel="0" collapsed="false">
      <c r="A861" s="0" t="s">
        <v>8</v>
      </c>
      <c r="B861" s="0" t="s">
        <v>1112</v>
      </c>
      <c r="C861" s="0" t="s">
        <v>7071</v>
      </c>
    </row>
    <row r="862" customFormat="false" ht="15" hidden="false" customHeight="false" outlineLevel="0" collapsed="false">
      <c r="A862" s="0" t="s">
        <v>8</v>
      </c>
      <c r="B862" s="0" t="s">
        <v>1112</v>
      </c>
      <c r="C862" s="0" t="s">
        <v>7072</v>
      </c>
    </row>
    <row r="863" customFormat="false" ht="15" hidden="false" customHeight="false" outlineLevel="0" collapsed="false">
      <c r="A863" s="0" t="s">
        <v>8</v>
      </c>
      <c r="B863" s="0" t="s">
        <v>1116</v>
      </c>
      <c r="C863" s="0" t="s">
        <v>7070</v>
      </c>
      <c r="D863" s="0" t="n">
        <v>2</v>
      </c>
    </row>
    <row r="864" customFormat="false" ht="15" hidden="false" customHeight="false" outlineLevel="0" collapsed="false">
      <c r="A864" s="0" t="s">
        <v>8</v>
      </c>
      <c r="B864" s="0" t="s">
        <v>1116</v>
      </c>
      <c r="C864" s="0" t="s">
        <v>7071</v>
      </c>
    </row>
    <row r="865" customFormat="false" ht="15" hidden="false" customHeight="false" outlineLevel="0" collapsed="false">
      <c r="A865" s="0" t="s">
        <v>8</v>
      </c>
      <c r="B865" s="0" t="s">
        <v>1116</v>
      </c>
      <c r="C865" s="0" t="s">
        <v>7072</v>
      </c>
    </row>
    <row r="866" customFormat="false" ht="15" hidden="false" customHeight="false" outlineLevel="0" collapsed="false">
      <c r="A866" s="0" t="s">
        <v>8</v>
      </c>
      <c r="B866" s="0" t="s">
        <v>1119</v>
      </c>
      <c r="C866" s="0" t="s">
        <v>7070</v>
      </c>
      <c r="D866" s="0" t="n">
        <v>28</v>
      </c>
    </row>
    <row r="867" customFormat="false" ht="15" hidden="false" customHeight="false" outlineLevel="0" collapsed="false">
      <c r="A867" s="0" t="s">
        <v>8</v>
      </c>
      <c r="B867" s="0" t="s">
        <v>1119</v>
      </c>
      <c r="C867" s="0" t="s">
        <v>7071</v>
      </c>
    </row>
    <row r="868" customFormat="false" ht="15" hidden="false" customHeight="false" outlineLevel="0" collapsed="false">
      <c r="A868" s="0" t="s">
        <v>8</v>
      </c>
      <c r="B868" s="0" t="s">
        <v>1119</v>
      </c>
      <c r="C868" s="0" t="s">
        <v>7072</v>
      </c>
    </row>
    <row r="869" customFormat="false" ht="15" hidden="false" customHeight="false" outlineLevel="0" collapsed="false">
      <c r="A869" s="0" t="s">
        <v>8</v>
      </c>
      <c r="B869" s="0" t="s">
        <v>1122</v>
      </c>
      <c r="C869" s="0" t="s">
        <v>7070</v>
      </c>
      <c r="D869" s="0" t="n">
        <v>6</v>
      </c>
    </row>
    <row r="870" customFormat="false" ht="15" hidden="false" customHeight="false" outlineLevel="0" collapsed="false">
      <c r="A870" s="0" t="s">
        <v>8</v>
      </c>
      <c r="B870" s="0" t="s">
        <v>1122</v>
      </c>
      <c r="C870" s="0" t="s">
        <v>7071</v>
      </c>
    </row>
    <row r="871" customFormat="false" ht="15" hidden="false" customHeight="false" outlineLevel="0" collapsed="false">
      <c r="A871" s="0" t="s">
        <v>8</v>
      </c>
      <c r="B871" s="0" t="s">
        <v>1122</v>
      </c>
      <c r="C871" s="0" t="s">
        <v>7072</v>
      </c>
    </row>
    <row r="872" customFormat="false" ht="15" hidden="false" customHeight="false" outlineLevel="0" collapsed="false">
      <c r="A872" s="0" t="s">
        <v>8</v>
      </c>
      <c r="B872" s="0" t="s">
        <v>1126</v>
      </c>
      <c r="C872" s="0" t="s">
        <v>7070</v>
      </c>
      <c r="D872" s="0" t="n">
        <v>1.3</v>
      </c>
    </row>
    <row r="873" customFormat="false" ht="15" hidden="false" customHeight="false" outlineLevel="0" collapsed="false">
      <c r="A873" s="0" t="s">
        <v>8</v>
      </c>
      <c r="B873" s="0" t="s">
        <v>1126</v>
      </c>
      <c r="C873" s="0" t="s">
        <v>7071</v>
      </c>
    </row>
    <row r="874" customFormat="false" ht="15" hidden="false" customHeight="false" outlineLevel="0" collapsed="false">
      <c r="A874" s="0" t="s">
        <v>8</v>
      </c>
      <c r="B874" s="0" t="s">
        <v>1126</v>
      </c>
      <c r="C874" s="0" t="s">
        <v>7072</v>
      </c>
    </row>
    <row r="875" customFormat="false" ht="15" hidden="false" customHeight="false" outlineLevel="0" collapsed="false">
      <c r="A875" s="0" t="s">
        <v>8</v>
      </c>
      <c r="B875" s="0" t="s">
        <v>1129</v>
      </c>
      <c r="C875" s="0" t="s">
        <v>7070</v>
      </c>
      <c r="D875" s="0" t="n">
        <v>24</v>
      </c>
    </row>
    <row r="876" customFormat="false" ht="15" hidden="false" customHeight="false" outlineLevel="0" collapsed="false">
      <c r="A876" s="0" t="s">
        <v>8</v>
      </c>
      <c r="B876" s="0" t="s">
        <v>1129</v>
      </c>
      <c r="C876" s="0" t="s">
        <v>7071</v>
      </c>
    </row>
    <row r="877" customFormat="false" ht="15" hidden="false" customHeight="false" outlineLevel="0" collapsed="false">
      <c r="A877" s="0" t="s">
        <v>8</v>
      </c>
      <c r="B877" s="0" t="s">
        <v>1129</v>
      </c>
      <c r="C877" s="0" t="s">
        <v>7072</v>
      </c>
    </row>
    <row r="878" customFormat="false" ht="15" hidden="false" customHeight="false" outlineLevel="0" collapsed="false">
      <c r="A878" s="0" t="s">
        <v>8</v>
      </c>
      <c r="B878" s="0" t="s">
        <v>1132</v>
      </c>
      <c r="C878" s="0" t="s">
        <v>7070</v>
      </c>
      <c r="D878" s="0" t="n">
        <v>8</v>
      </c>
    </row>
    <row r="879" customFormat="false" ht="15" hidden="false" customHeight="false" outlineLevel="0" collapsed="false">
      <c r="A879" s="0" t="s">
        <v>8</v>
      </c>
      <c r="B879" s="0" t="s">
        <v>1132</v>
      </c>
      <c r="C879" s="0" t="s">
        <v>7071</v>
      </c>
    </row>
    <row r="880" customFormat="false" ht="15" hidden="false" customHeight="false" outlineLevel="0" collapsed="false">
      <c r="A880" s="0" t="s">
        <v>8</v>
      </c>
      <c r="B880" s="0" t="s">
        <v>1132</v>
      </c>
      <c r="C880" s="0" t="s">
        <v>7072</v>
      </c>
    </row>
    <row r="881" customFormat="false" ht="15" hidden="false" customHeight="false" outlineLevel="0" collapsed="false">
      <c r="A881" s="0" t="s">
        <v>8</v>
      </c>
      <c r="B881" s="0" t="s">
        <v>1136</v>
      </c>
      <c r="C881" s="0" t="s">
        <v>7070</v>
      </c>
      <c r="D881" s="0" t="n">
        <v>2</v>
      </c>
    </row>
    <row r="882" customFormat="false" ht="15" hidden="false" customHeight="false" outlineLevel="0" collapsed="false">
      <c r="A882" s="0" t="s">
        <v>8</v>
      </c>
      <c r="B882" s="0" t="s">
        <v>1136</v>
      </c>
      <c r="C882" s="0" t="s">
        <v>7071</v>
      </c>
    </row>
    <row r="883" customFormat="false" ht="15" hidden="false" customHeight="false" outlineLevel="0" collapsed="false">
      <c r="A883" s="0" t="s">
        <v>8</v>
      </c>
      <c r="B883" s="0" t="s">
        <v>1136</v>
      </c>
      <c r="C883" s="0" t="s">
        <v>7072</v>
      </c>
    </row>
    <row r="884" customFormat="false" ht="15" hidden="false" customHeight="false" outlineLevel="0" collapsed="false">
      <c r="A884" s="0" t="s">
        <v>8</v>
      </c>
      <c r="B884" s="0" t="s">
        <v>1139</v>
      </c>
      <c r="C884" s="0" t="s">
        <v>7070</v>
      </c>
      <c r="D884" s="0" t="n">
        <v>28</v>
      </c>
    </row>
    <row r="885" customFormat="false" ht="15" hidden="false" customHeight="false" outlineLevel="0" collapsed="false">
      <c r="A885" s="0" t="s">
        <v>8</v>
      </c>
      <c r="B885" s="0" t="s">
        <v>1139</v>
      </c>
      <c r="C885" s="0" t="s">
        <v>7071</v>
      </c>
    </row>
    <row r="886" customFormat="false" ht="15" hidden="false" customHeight="false" outlineLevel="0" collapsed="false">
      <c r="A886" s="0" t="s">
        <v>8</v>
      </c>
      <c r="B886" s="0" t="s">
        <v>1139</v>
      </c>
      <c r="C886" s="0" t="s">
        <v>7072</v>
      </c>
    </row>
    <row r="887" customFormat="false" ht="15" hidden="false" customHeight="false" outlineLevel="0" collapsed="false">
      <c r="A887" s="0" t="s">
        <v>8</v>
      </c>
      <c r="B887" s="0" t="s">
        <v>1142</v>
      </c>
      <c r="C887" s="0" t="s">
        <v>7070</v>
      </c>
      <c r="D887" s="0" t="n">
        <v>5</v>
      </c>
    </row>
    <row r="888" customFormat="false" ht="15" hidden="false" customHeight="false" outlineLevel="0" collapsed="false">
      <c r="A888" s="0" t="s">
        <v>8</v>
      </c>
      <c r="B888" s="0" t="s">
        <v>1142</v>
      </c>
      <c r="C888" s="0" t="s">
        <v>7071</v>
      </c>
    </row>
    <row r="889" customFormat="false" ht="15" hidden="false" customHeight="false" outlineLevel="0" collapsed="false">
      <c r="A889" s="0" t="s">
        <v>8</v>
      </c>
      <c r="B889" s="0" t="s">
        <v>1142</v>
      </c>
      <c r="C889" s="0" t="s">
        <v>7072</v>
      </c>
    </row>
    <row r="890" customFormat="false" ht="15" hidden="false" customHeight="false" outlineLevel="0" collapsed="false">
      <c r="A890" s="0" t="s">
        <v>8</v>
      </c>
      <c r="B890" s="0" t="s">
        <v>1146</v>
      </c>
      <c r="C890" s="0" t="s">
        <v>7070</v>
      </c>
      <c r="D890" s="0" t="n">
        <v>1.2</v>
      </c>
    </row>
    <row r="891" customFormat="false" ht="15" hidden="false" customHeight="false" outlineLevel="0" collapsed="false">
      <c r="A891" s="0" t="s">
        <v>8</v>
      </c>
      <c r="B891" s="0" t="s">
        <v>1146</v>
      </c>
      <c r="C891" s="0" t="s">
        <v>7071</v>
      </c>
    </row>
    <row r="892" customFormat="false" ht="15" hidden="false" customHeight="false" outlineLevel="0" collapsed="false">
      <c r="A892" s="0" t="s">
        <v>8</v>
      </c>
      <c r="B892" s="0" t="s">
        <v>1146</v>
      </c>
      <c r="C892" s="0" t="s">
        <v>7072</v>
      </c>
    </row>
    <row r="893" customFormat="false" ht="15" hidden="false" customHeight="false" outlineLevel="0" collapsed="false">
      <c r="A893" s="0" t="s">
        <v>8</v>
      </c>
      <c r="B893" s="0" t="s">
        <v>1149</v>
      </c>
      <c r="C893" s="0" t="s">
        <v>7070</v>
      </c>
      <c r="D893" s="0" t="n">
        <v>22</v>
      </c>
    </row>
    <row r="894" customFormat="false" ht="15" hidden="false" customHeight="false" outlineLevel="0" collapsed="false">
      <c r="A894" s="0" t="s">
        <v>8</v>
      </c>
      <c r="B894" s="0" t="s">
        <v>1149</v>
      </c>
      <c r="C894" s="0" t="s">
        <v>7071</v>
      </c>
    </row>
    <row r="895" customFormat="false" ht="15" hidden="false" customHeight="false" outlineLevel="0" collapsed="false">
      <c r="A895" s="0" t="s">
        <v>8</v>
      </c>
      <c r="B895" s="0" t="s">
        <v>1149</v>
      </c>
      <c r="C895" s="0" t="s">
        <v>7072</v>
      </c>
    </row>
    <row r="896" customFormat="false" ht="15" hidden="false" customHeight="false" outlineLevel="0" collapsed="false">
      <c r="A896" s="0" t="s">
        <v>8</v>
      </c>
      <c r="B896" s="0" t="s">
        <v>1152</v>
      </c>
      <c r="C896" s="0" t="s">
        <v>7070</v>
      </c>
      <c r="D896" s="0" t="n">
        <v>7</v>
      </c>
    </row>
    <row r="897" customFormat="false" ht="15" hidden="false" customHeight="false" outlineLevel="0" collapsed="false">
      <c r="A897" s="0" t="s">
        <v>8</v>
      </c>
      <c r="B897" s="0" t="s">
        <v>1152</v>
      </c>
      <c r="C897" s="0" t="s">
        <v>7071</v>
      </c>
    </row>
    <row r="898" customFormat="false" ht="15" hidden="false" customHeight="false" outlineLevel="0" collapsed="false">
      <c r="A898" s="0" t="s">
        <v>8</v>
      </c>
      <c r="B898" s="0" t="s">
        <v>1152</v>
      </c>
      <c r="C898" s="0" t="s">
        <v>7072</v>
      </c>
    </row>
    <row r="899" customFormat="false" ht="15" hidden="false" customHeight="false" outlineLevel="0" collapsed="false">
      <c r="A899" s="0" t="s">
        <v>8</v>
      </c>
      <c r="B899" s="0" t="s">
        <v>1156</v>
      </c>
      <c r="C899" s="0" t="s">
        <v>7070</v>
      </c>
      <c r="D899" s="0" t="n">
        <v>1.8</v>
      </c>
    </row>
    <row r="900" customFormat="false" ht="15" hidden="false" customHeight="false" outlineLevel="0" collapsed="false">
      <c r="A900" s="0" t="s">
        <v>8</v>
      </c>
      <c r="B900" s="0" t="s">
        <v>1156</v>
      </c>
      <c r="C900" s="0" t="s">
        <v>7071</v>
      </c>
    </row>
    <row r="901" customFormat="false" ht="15" hidden="false" customHeight="false" outlineLevel="0" collapsed="false">
      <c r="A901" s="0" t="s">
        <v>8</v>
      </c>
      <c r="B901" s="0" t="s">
        <v>1156</v>
      </c>
      <c r="C901" s="0" t="s">
        <v>7072</v>
      </c>
    </row>
    <row r="902" customFormat="false" ht="15" hidden="false" customHeight="false" outlineLevel="0" collapsed="false">
      <c r="A902" s="0" t="s">
        <v>8</v>
      </c>
      <c r="B902" s="0" t="s">
        <v>1159</v>
      </c>
      <c r="C902" s="0" t="s">
        <v>7070</v>
      </c>
      <c r="D902" s="0" t="n">
        <v>26</v>
      </c>
    </row>
    <row r="903" customFormat="false" ht="15" hidden="false" customHeight="false" outlineLevel="0" collapsed="false">
      <c r="A903" s="0" t="s">
        <v>8</v>
      </c>
      <c r="B903" s="0" t="s">
        <v>1159</v>
      </c>
      <c r="C903" s="0" t="s">
        <v>7071</v>
      </c>
    </row>
    <row r="904" customFormat="false" ht="15" hidden="false" customHeight="false" outlineLevel="0" collapsed="false">
      <c r="A904" s="0" t="s">
        <v>8</v>
      </c>
      <c r="B904" s="0" t="s">
        <v>1159</v>
      </c>
      <c r="C904" s="0" t="s">
        <v>7072</v>
      </c>
    </row>
    <row r="905" customFormat="false" ht="15" hidden="false" customHeight="false" outlineLevel="0" collapsed="false">
      <c r="A905" s="0" t="s">
        <v>8</v>
      </c>
      <c r="B905" s="0" t="s">
        <v>1162</v>
      </c>
      <c r="C905" s="0" t="s">
        <v>7070</v>
      </c>
      <c r="D905" s="0" t="n">
        <v>4</v>
      </c>
    </row>
    <row r="906" customFormat="false" ht="15" hidden="false" customHeight="false" outlineLevel="0" collapsed="false">
      <c r="A906" s="0" t="s">
        <v>8</v>
      </c>
      <c r="B906" s="0" t="s">
        <v>1162</v>
      </c>
      <c r="C906" s="0" t="s">
        <v>7071</v>
      </c>
    </row>
    <row r="907" customFormat="false" ht="15" hidden="false" customHeight="false" outlineLevel="0" collapsed="false">
      <c r="A907" s="0" t="s">
        <v>8</v>
      </c>
      <c r="B907" s="0" t="s">
        <v>1162</v>
      </c>
      <c r="C907" s="0" t="s">
        <v>7072</v>
      </c>
    </row>
    <row r="908" customFormat="false" ht="15" hidden="false" customHeight="false" outlineLevel="0" collapsed="false">
      <c r="A908" s="0" t="s">
        <v>8</v>
      </c>
      <c r="B908" s="0" t="s">
        <v>1166</v>
      </c>
      <c r="C908" s="0" t="s">
        <v>7070</v>
      </c>
      <c r="D908" s="0" t="n">
        <v>1</v>
      </c>
    </row>
    <row r="909" customFormat="false" ht="15" hidden="false" customHeight="false" outlineLevel="0" collapsed="false">
      <c r="A909" s="0" t="s">
        <v>8</v>
      </c>
      <c r="B909" s="0" t="s">
        <v>1166</v>
      </c>
      <c r="C909" s="0" t="s">
        <v>7071</v>
      </c>
    </row>
    <row r="910" customFormat="false" ht="15" hidden="false" customHeight="false" outlineLevel="0" collapsed="false">
      <c r="A910" s="0" t="s">
        <v>8</v>
      </c>
      <c r="B910" s="0" t="s">
        <v>1166</v>
      </c>
      <c r="C910" s="0" t="s">
        <v>7072</v>
      </c>
    </row>
    <row r="911" customFormat="false" ht="15" hidden="false" customHeight="false" outlineLevel="0" collapsed="false">
      <c r="A911" s="0" t="s">
        <v>8</v>
      </c>
      <c r="B911" s="0" t="s">
        <v>1169</v>
      </c>
      <c r="C911" s="0" t="s">
        <v>7070</v>
      </c>
      <c r="D911" s="0" t="n">
        <v>18</v>
      </c>
    </row>
    <row r="912" customFormat="false" ht="15" hidden="false" customHeight="false" outlineLevel="0" collapsed="false">
      <c r="A912" s="0" t="s">
        <v>8</v>
      </c>
      <c r="B912" s="0" t="s">
        <v>1169</v>
      </c>
      <c r="C912" s="0" t="s">
        <v>7071</v>
      </c>
    </row>
    <row r="913" customFormat="false" ht="15" hidden="false" customHeight="false" outlineLevel="0" collapsed="false">
      <c r="A913" s="0" t="s">
        <v>8</v>
      </c>
      <c r="B913" s="0" t="s">
        <v>1169</v>
      </c>
      <c r="C913" s="0" t="s">
        <v>7072</v>
      </c>
    </row>
    <row r="914" customFormat="false" ht="15" hidden="false" customHeight="false" outlineLevel="0" collapsed="false">
      <c r="A914" s="0" t="s">
        <v>8</v>
      </c>
      <c r="B914" s="0" t="s">
        <v>1172</v>
      </c>
      <c r="C914" s="0" t="s">
        <v>7070</v>
      </c>
      <c r="D914" s="0" t="n">
        <v>6</v>
      </c>
    </row>
    <row r="915" customFormat="false" ht="15" hidden="false" customHeight="false" outlineLevel="0" collapsed="false">
      <c r="A915" s="0" t="s">
        <v>8</v>
      </c>
      <c r="B915" s="0" t="s">
        <v>1172</v>
      </c>
      <c r="C915" s="0" t="s">
        <v>7071</v>
      </c>
    </row>
    <row r="916" customFormat="false" ht="15" hidden="false" customHeight="false" outlineLevel="0" collapsed="false">
      <c r="A916" s="0" t="s">
        <v>8</v>
      </c>
      <c r="B916" s="0" t="s">
        <v>1172</v>
      </c>
      <c r="C916" s="0" t="s">
        <v>7072</v>
      </c>
    </row>
    <row r="917" customFormat="false" ht="15" hidden="false" customHeight="false" outlineLevel="0" collapsed="false">
      <c r="A917" s="0" t="s">
        <v>8</v>
      </c>
      <c r="B917" s="0" t="s">
        <v>1176</v>
      </c>
      <c r="C917" s="0" t="s">
        <v>7070</v>
      </c>
      <c r="D917" s="0" t="n">
        <v>1.5</v>
      </c>
    </row>
    <row r="918" customFormat="false" ht="15" hidden="false" customHeight="false" outlineLevel="0" collapsed="false">
      <c r="A918" s="0" t="s">
        <v>8</v>
      </c>
      <c r="B918" s="0" t="s">
        <v>1176</v>
      </c>
      <c r="C918" s="0" t="s">
        <v>7071</v>
      </c>
    </row>
    <row r="919" customFormat="false" ht="15" hidden="false" customHeight="false" outlineLevel="0" collapsed="false">
      <c r="A919" s="0" t="s">
        <v>8</v>
      </c>
      <c r="B919" s="0" t="s">
        <v>1176</v>
      </c>
      <c r="C919" s="0" t="s">
        <v>7072</v>
      </c>
    </row>
    <row r="920" customFormat="false" ht="15" hidden="false" customHeight="false" outlineLevel="0" collapsed="false">
      <c r="A920" s="0" t="s">
        <v>8</v>
      </c>
      <c r="B920" s="0" t="s">
        <v>1179</v>
      </c>
      <c r="C920" s="0" t="s">
        <v>7070</v>
      </c>
      <c r="D920" s="0" t="n">
        <v>22</v>
      </c>
    </row>
    <row r="921" customFormat="false" ht="15" hidden="false" customHeight="false" outlineLevel="0" collapsed="false">
      <c r="A921" s="0" t="s">
        <v>8</v>
      </c>
      <c r="B921" s="0" t="s">
        <v>1179</v>
      </c>
      <c r="C921" s="0" t="s">
        <v>7071</v>
      </c>
    </row>
    <row r="922" customFormat="false" ht="15" hidden="false" customHeight="false" outlineLevel="0" collapsed="false">
      <c r="A922" s="0" t="s">
        <v>8</v>
      </c>
      <c r="B922" s="0" t="s">
        <v>1179</v>
      </c>
      <c r="C922" s="0" t="s">
        <v>7072</v>
      </c>
    </row>
    <row r="923" customFormat="false" ht="15" hidden="false" customHeight="false" outlineLevel="0" collapsed="false">
      <c r="A923" s="0" t="s">
        <v>8</v>
      </c>
      <c r="B923" s="0" t="s">
        <v>1182</v>
      </c>
      <c r="C923" s="0" t="s">
        <v>7070</v>
      </c>
      <c r="D923" s="0" t="n">
        <v>2</v>
      </c>
    </row>
    <row r="924" customFormat="false" ht="15" hidden="false" customHeight="false" outlineLevel="0" collapsed="false">
      <c r="A924" s="0" t="s">
        <v>8</v>
      </c>
      <c r="B924" s="0" t="s">
        <v>1182</v>
      </c>
      <c r="C924" s="0" t="s">
        <v>7071</v>
      </c>
    </row>
    <row r="925" customFormat="false" ht="15" hidden="false" customHeight="false" outlineLevel="0" collapsed="false">
      <c r="A925" s="0" t="s">
        <v>8</v>
      </c>
      <c r="B925" s="0" t="s">
        <v>1182</v>
      </c>
      <c r="C925" s="0" t="s">
        <v>7072</v>
      </c>
    </row>
    <row r="926" customFormat="false" ht="15" hidden="false" customHeight="false" outlineLevel="0" collapsed="false">
      <c r="A926" s="0" t="s">
        <v>8</v>
      </c>
      <c r="B926" s="0" t="s">
        <v>1186</v>
      </c>
      <c r="C926" s="0" t="s">
        <v>7070</v>
      </c>
      <c r="D926" s="0" t="n">
        <v>0.4</v>
      </c>
    </row>
    <row r="927" customFormat="false" ht="15" hidden="false" customHeight="false" outlineLevel="0" collapsed="false">
      <c r="A927" s="0" t="s">
        <v>8</v>
      </c>
      <c r="B927" s="0" t="s">
        <v>1186</v>
      </c>
      <c r="C927" s="0" t="s">
        <v>7071</v>
      </c>
    </row>
    <row r="928" customFormat="false" ht="15" hidden="false" customHeight="false" outlineLevel="0" collapsed="false">
      <c r="A928" s="0" t="s">
        <v>8</v>
      </c>
      <c r="B928" s="0" t="s">
        <v>1186</v>
      </c>
      <c r="C928" s="0" t="s">
        <v>7072</v>
      </c>
    </row>
    <row r="929" customFormat="false" ht="15" hidden="false" customHeight="false" outlineLevel="0" collapsed="false">
      <c r="A929" s="0" t="s">
        <v>8</v>
      </c>
      <c r="B929" s="0" t="s">
        <v>1189</v>
      </c>
      <c r="C929" s="0" t="s">
        <v>7070</v>
      </c>
      <c r="D929" s="0" t="n">
        <v>8</v>
      </c>
    </row>
    <row r="930" customFormat="false" ht="15" hidden="false" customHeight="false" outlineLevel="0" collapsed="false">
      <c r="A930" s="0" t="s">
        <v>8</v>
      </c>
      <c r="B930" s="0" t="s">
        <v>1189</v>
      </c>
      <c r="C930" s="0" t="s">
        <v>7071</v>
      </c>
    </row>
    <row r="931" customFormat="false" ht="15" hidden="false" customHeight="false" outlineLevel="0" collapsed="false">
      <c r="A931" s="0" t="s">
        <v>8</v>
      </c>
      <c r="B931" s="0" t="s">
        <v>1189</v>
      </c>
      <c r="C931" s="0" t="s">
        <v>7072</v>
      </c>
    </row>
    <row r="932" customFormat="false" ht="15" hidden="false" customHeight="false" outlineLevel="0" collapsed="false">
      <c r="A932" s="0" t="s">
        <v>8</v>
      </c>
      <c r="B932" s="0" t="s">
        <v>1192</v>
      </c>
      <c r="C932" s="0" t="s">
        <v>7070</v>
      </c>
      <c r="D932" s="0" t="n">
        <v>3</v>
      </c>
    </row>
    <row r="933" customFormat="false" ht="15" hidden="false" customHeight="false" outlineLevel="0" collapsed="false">
      <c r="A933" s="0" t="s">
        <v>8</v>
      </c>
      <c r="B933" s="0" t="s">
        <v>1192</v>
      </c>
      <c r="C933" s="0" t="s">
        <v>7071</v>
      </c>
    </row>
    <row r="934" customFormat="false" ht="15" hidden="false" customHeight="false" outlineLevel="0" collapsed="false">
      <c r="A934" s="0" t="s">
        <v>8</v>
      </c>
      <c r="B934" s="0" t="s">
        <v>1192</v>
      </c>
      <c r="C934" s="0" t="s">
        <v>7072</v>
      </c>
    </row>
    <row r="935" customFormat="false" ht="15" hidden="false" customHeight="false" outlineLevel="0" collapsed="false">
      <c r="A935" s="0" t="s">
        <v>8</v>
      </c>
      <c r="B935" s="0" t="s">
        <v>1196</v>
      </c>
      <c r="C935" s="0" t="s">
        <v>7070</v>
      </c>
      <c r="D935" s="0" t="n">
        <v>0.6</v>
      </c>
    </row>
    <row r="936" customFormat="false" ht="15" hidden="false" customHeight="false" outlineLevel="0" collapsed="false">
      <c r="A936" s="0" t="s">
        <v>8</v>
      </c>
      <c r="B936" s="0" t="s">
        <v>1196</v>
      </c>
      <c r="C936" s="0" t="s">
        <v>7071</v>
      </c>
    </row>
    <row r="937" customFormat="false" ht="15" hidden="false" customHeight="false" outlineLevel="0" collapsed="false">
      <c r="A937" s="0" t="s">
        <v>8</v>
      </c>
      <c r="B937" s="0" t="s">
        <v>1196</v>
      </c>
      <c r="C937" s="0" t="s">
        <v>7072</v>
      </c>
    </row>
    <row r="938" customFormat="false" ht="15" hidden="false" customHeight="false" outlineLevel="0" collapsed="false">
      <c r="A938" s="0" t="s">
        <v>8</v>
      </c>
      <c r="B938" s="0" t="s">
        <v>1199</v>
      </c>
      <c r="C938" s="0" t="s">
        <v>7070</v>
      </c>
      <c r="D938" s="0" t="n">
        <v>14</v>
      </c>
    </row>
    <row r="939" customFormat="false" ht="15" hidden="false" customHeight="false" outlineLevel="0" collapsed="false">
      <c r="A939" s="0" t="s">
        <v>8</v>
      </c>
      <c r="B939" s="0" t="s">
        <v>1199</v>
      </c>
      <c r="C939" s="0" t="s">
        <v>7071</v>
      </c>
    </row>
    <row r="940" customFormat="false" ht="15" hidden="false" customHeight="false" outlineLevel="0" collapsed="false">
      <c r="A940" s="0" t="s">
        <v>8</v>
      </c>
      <c r="B940" s="0" t="s">
        <v>1199</v>
      </c>
      <c r="C940" s="0" t="s">
        <v>7072</v>
      </c>
    </row>
    <row r="941" customFormat="false" ht="15" hidden="false" customHeight="false" outlineLevel="0" collapsed="false">
      <c r="A941" s="0" t="s">
        <v>8</v>
      </c>
      <c r="B941" s="0" t="s">
        <v>1202</v>
      </c>
      <c r="C941" s="0" t="s">
        <v>7070</v>
      </c>
      <c r="D941" s="0" t="n">
        <v>4</v>
      </c>
    </row>
    <row r="942" customFormat="false" ht="15" hidden="false" customHeight="false" outlineLevel="0" collapsed="false">
      <c r="A942" s="0" t="s">
        <v>8</v>
      </c>
      <c r="B942" s="0" t="s">
        <v>1202</v>
      </c>
      <c r="C942" s="0" t="s">
        <v>7071</v>
      </c>
    </row>
    <row r="943" customFormat="false" ht="15" hidden="false" customHeight="false" outlineLevel="0" collapsed="false">
      <c r="A943" s="0" t="s">
        <v>8</v>
      </c>
      <c r="B943" s="0" t="s">
        <v>1202</v>
      </c>
      <c r="C943" s="0" t="s">
        <v>7072</v>
      </c>
    </row>
    <row r="944" customFormat="false" ht="15" hidden="false" customHeight="false" outlineLevel="0" collapsed="false">
      <c r="A944" s="0" t="s">
        <v>8</v>
      </c>
      <c r="B944" s="0" t="s">
        <v>1206</v>
      </c>
      <c r="C944" s="0" t="s">
        <v>7070</v>
      </c>
      <c r="D944" s="0" t="n">
        <v>0.8</v>
      </c>
    </row>
    <row r="945" customFormat="false" ht="15" hidden="false" customHeight="false" outlineLevel="0" collapsed="false">
      <c r="A945" s="0" t="s">
        <v>8</v>
      </c>
      <c r="B945" s="0" t="s">
        <v>1206</v>
      </c>
      <c r="C945" s="0" t="s">
        <v>7071</v>
      </c>
    </row>
    <row r="946" customFormat="false" ht="15" hidden="false" customHeight="false" outlineLevel="0" collapsed="false">
      <c r="A946" s="0" t="s">
        <v>8</v>
      </c>
      <c r="B946" s="0" t="s">
        <v>1206</v>
      </c>
      <c r="C946" s="0" t="s">
        <v>7072</v>
      </c>
    </row>
    <row r="947" customFormat="false" ht="15" hidden="false" customHeight="false" outlineLevel="0" collapsed="false">
      <c r="A947" s="0" t="s">
        <v>8</v>
      </c>
      <c r="B947" s="0" t="s">
        <v>1209</v>
      </c>
      <c r="C947" s="0" t="s">
        <v>7070</v>
      </c>
      <c r="D947" s="0" t="n">
        <v>16</v>
      </c>
    </row>
    <row r="948" customFormat="false" ht="15" hidden="false" customHeight="false" outlineLevel="0" collapsed="false">
      <c r="A948" s="0" t="s">
        <v>8</v>
      </c>
      <c r="B948" s="0" t="s">
        <v>1209</v>
      </c>
      <c r="C948" s="0" t="s">
        <v>7071</v>
      </c>
    </row>
    <row r="949" customFormat="false" ht="15" hidden="false" customHeight="false" outlineLevel="0" collapsed="false">
      <c r="A949" s="0" t="s">
        <v>8</v>
      </c>
      <c r="B949" s="0" t="s">
        <v>1209</v>
      </c>
      <c r="C949" s="0" t="s">
        <v>7072</v>
      </c>
    </row>
    <row r="950" customFormat="false" ht="15" hidden="false" customHeight="false" outlineLevel="0" collapsed="false">
      <c r="A950" s="0" t="s">
        <v>8</v>
      </c>
      <c r="B950" s="0" t="s">
        <v>1212</v>
      </c>
      <c r="C950" s="0" t="s">
        <v>7070</v>
      </c>
      <c r="D950" s="0" t="n">
        <v>0.8</v>
      </c>
    </row>
    <row r="951" customFormat="false" ht="15" hidden="false" customHeight="false" outlineLevel="0" collapsed="false">
      <c r="A951" s="0" t="s">
        <v>8</v>
      </c>
      <c r="B951" s="0" t="s">
        <v>1212</v>
      </c>
      <c r="C951" s="0" t="s">
        <v>7071</v>
      </c>
    </row>
    <row r="952" customFormat="false" ht="15" hidden="false" customHeight="false" outlineLevel="0" collapsed="false">
      <c r="A952" s="0" t="s">
        <v>8</v>
      </c>
      <c r="B952" s="0" t="s">
        <v>1212</v>
      </c>
      <c r="C952" s="0" t="s">
        <v>7072</v>
      </c>
    </row>
    <row r="953" customFormat="false" ht="15" hidden="false" customHeight="false" outlineLevel="0" collapsed="false">
      <c r="A953" s="0" t="s">
        <v>8</v>
      </c>
      <c r="B953" s="0" t="s">
        <v>1216</v>
      </c>
      <c r="C953" s="0" t="s">
        <v>7070</v>
      </c>
      <c r="D953" s="0" t="n">
        <v>0.16</v>
      </c>
    </row>
    <row r="954" customFormat="false" ht="15" hidden="false" customHeight="false" outlineLevel="0" collapsed="false">
      <c r="A954" s="0" t="s">
        <v>8</v>
      </c>
      <c r="B954" s="0" t="s">
        <v>1216</v>
      </c>
      <c r="C954" s="0" t="s">
        <v>7071</v>
      </c>
    </row>
    <row r="955" customFormat="false" ht="15" hidden="false" customHeight="false" outlineLevel="0" collapsed="false">
      <c r="A955" s="0" t="s">
        <v>8</v>
      </c>
      <c r="B955" s="0" t="s">
        <v>1216</v>
      </c>
      <c r="C955" s="0" t="s">
        <v>7072</v>
      </c>
    </row>
    <row r="956" customFormat="false" ht="15" hidden="false" customHeight="false" outlineLevel="0" collapsed="false">
      <c r="A956" s="0" t="s">
        <v>8</v>
      </c>
      <c r="B956" s="0" t="s">
        <v>1219</v>
      </c>
      <c r="C956" s="0" t="s">
        <v>7070</v>
      </c>
      <c r="D956" s="0" t="n">
        <v>2</v>
      </c>
    </row>
    <row r="957" customFormat="false" ht="15" hidden="false" customHeight="false" outlineLevel="0" collapsed="false">
      <c r="A957" s="0" t="s">
        <v>8</v>
      </c>
      <c r="B957" s="0" t="s">
        <v>1219</v>
      </c>
      <c r="C957" s="0" t="s">
        <v>7071</v>
      </c>
    </row>
    <row r="958" customFormat="false" ht="15" hidden="false" customHeight="false" outlineLevel="0" collapsed="false">
      <c r="A958" s="0" t="s">
        <v>8</v>
      </c>
      <c r="B958" s="0" t="s">
        <v>1219</v>
      </c>
      <c r="C958" s="0" t="s">
        <v>7072</v>
      </c>
    </row>
    <row r="959" customFormat="false" ht="15" hidden="false" customHeight="false" outlineLevel="0" collapsed="false">
      <c r="A959" s="0" t="s">
        <v>8</v>
      </c>
      <c r="B959" s="0" t="s">
        <v>1222</v>
      </c>
      <c r="C959" s="0" t="s">
        <v>7070</v>
      </c>
      <c r="D959" s="0" t="n">
        <v>0.8</v>
      </c>
    </row>
    <row r="960" customFormat="false" ht="15" hidden="false" customHeight="false" outlineLevel="0" collapsed="false">
      <c r="A960" s="0" t="s">
        <v>8</v>
      </c>
      <c r="B960" s="0" t="s">
        <v>1222</v>
      </c>
      <c r="C960" s="0" t="s">
        <v>7071</v>
      </c>
    </row>
    <row r="961" customFormat="false" ht="15" hidden="false" customHeight="false" outlineLevel="0" collapsed="false">
      <c r="A961" s="0" t="s">
        <v>8</v>
      </c>
      <c r="B961" s="0" t="s">
        <v>1222</v>
      </c>
      <c r="C961" s="0" t="s">
        <v>7072</v>
      </c>
    </row>
    <row r="962" customFormat="false" ht="15" hidden="false" customHeight="false" outlineLevel="0" collapsed="false">
      <c r="A962" s="0" t="s">
        <v>8</v>
      </c>
      <c r="B962" s="0" t="s">
        <v>1226</v>
      </c>
      <c r="C962" s="0" t="s">
        <v>7070</v>
      </c>
      <c r="D962" s="0" t="n">
        <v>0.16</v>
      </c>
    </row>
    <row r="963" customFormat="false" ht="15" hidden="false" customHeight="false" outlineLevel="0" collapsed="false">
      <c r="A963" s="0" t="s">
        <v>8</v>
      </c>
      <c r="B963" s="0" t="s">
        <v>1226</v>
      </c>
      <c r="C963" s="0" t="s">
        <v>7071</v>
      </c>
    </row>
    <row r="964" customFormat="false" ht="15" hidden="false" customHeight="false" outlineLevel="0" collapsed="false">
      <c r="A964" s="0" t="s">
        <v>8</v>
      </c>
      <c r="B964" s="0" t="s">
        <v>1226</v>
      </c>
      <c r="C964" s="0" t="s">
        <v>7072</v>
      </c>
    </row>
    <row r="965" customFormat="false" ht="15" hidden="false" customHeight="false" outlineLevel="0" collapsed="false">
      <c r="A965" s="0" t="s">
        <v>8</v>
      </c>
      <c r="B965" s="0" t="s">
        <v>1229</v>
      </c>
      <c r="C965" s="0" t="s">
        <v>7070</v>
      </c>
      <c r="D965" s="0" t="n">
        <v>6</v>
      </c>
    </row>
    <row r="966" customFormat="false" ht="15" hidden="false" customHeight="false" outlineLevel="0" collapsed="false">
      <c r="A966" s="0" t="s">
        <v>8</v>
      </c>
      <c r="B966" s="0" t="s">
        <v>1229</v>
      </c>
      <c r="C966" s="0" t="s">
        <v>7071</v>
      </c>
    </row>
    <row r="967" customFormat="false" ht="15" hidden="false" customHeight="false" outlineLevel="0" collapsed="false">
      <c r="A967" s="0" t="s">
        <v>8</v>
      </c>
      <c r="B967" s="0" t="s">
        <v>1229</v>
      </c>
      <c r="C967" s="0" t="s">
        <v>7072</v>
      </c>
    </row>
    <row r="968" customFormat="false" ht="15" hidden="false" customHeight="false" outlineLevel="0" collapsed="false">
      <c r="A968" s="0" t="s">
        <v>8</v>
      </c>
      <c r="B968" s="0" t="s">
        <v>1232</v>
      </c>
      <c r="C968" s="0" t="s">
        <v>7070</v>
      </c>
      <c r="D968" s="0" t="n">
        <v>1.2</v>
      </c>
    </row>
    <row r="969" customFormat="false" ht="15" hidden="false" customHeight="false" outlineLevel="0" collapsed="false">
      <c r="A969" s="0" t="s">
        <v>8</v>
      </c>
      <c r="B969" s="0" t="s">
        <v>1232</v>
      </c>
      <c r="C969" s="0" t="s">
        <v>7071</v>
      </c>
    </row>
    <row r="970" customFormat="false" ht="15" hidden="false" customHeight="false" outlineLevel="0" collapsed="false">
      <c r="A970" s="0" t="s">
        <v>8</v>
      </c>
      <c r="B970" s="0" t="s">
        <v>1232</v>
      </c>
      <c r="C970" s="0" t="s">
        <v>7072</v>
      </c>
    </row>
    <row r="971" customFormat="false" ht="15" hidden="false" customHeight="false" outlineLevel="0" collapsed="false">
      <c r="A971" s="0" t="s">
        <v>8</v>
      </c>
      <c r="B971" s="0" t="s">
        <v>1236</v>
      </c>
      <c r="C971" s="0" t="s">
        <v>7070</v>
      </c>
      <c r="D971" s="0" t="n">
        <v>0.24</v>
      </c>
    </row>
    <row r="972" customFormat="false" ht="15" hidden="false" customHeight="false" outlineLevel="0" collapsed="false">
      <c r="A972" s="0" t="s">
        <v>8</v>
      </c>
      <c r="B972" s="0" t="s">
        <v>1236</v>
      </c>
      <c r="C972" s="0" t="s">
        <v>7071</v>
      </c>
    </row>
    <row r="973" customFormat="false" ht="15" hidden="false" customHeight="false" outlineLevel="0" collapsed="false">
      <c r="A973" s="0" t="s">
        <v>8</v>
      </c>
      <c r="B973" s="0" t="s">
        <v>1236</v>
      </c>
      <c r="C973" s="0" t="s">
        <v>7072</v>
      </c>
    </row>
    <row r="974" customFormat="false" ht="15" hidden="false" customHeight="false" outlineLevel="0" collapsed="false">
      <c r="A974" s="0" t="s">
        <v>8</v>
      </c>
      <c r="B974" s="0" t="s">
        <v>1239</v>
      </c>
      <c r="C974" s="0" t="s">
        <v>7070</v>
      </c>
      <c r="D974" s="0" t="n">
        <v>8</v>
      </c>
    </row>
    <row r="975" customFormat="false" ht="15" hidden="false" customHeight="false" outlineLevel="0" collapsed="false">
      <c r="A975" s="0" t="s">
        <v>8</v>
      </c>
      <c r="B975" s="0" t="s">
        <v>1239</v>
      </c>
      <c r="C975" s="0" t="s">
        <v>7071</v>
      </c>
    </row>
    <row r="976" customFormat="false" ht="15" hidden="false" customHeight="false" outlineLevel="0" collapsed="false">
      <c r="A976" s="0" t="s">
        <v>8</v>
      </c>
      <c r="B976" s="0" t="s">
        <v>1239</v>
      </c>
      <c r="C976" s="0" t="s">
        <v>7072</v>
      </c>
    </row>
    <row r="977" customFormat="false" ht="15" hidden="false" customHeight="false" outlineLevel="0" collapsed="false">
      <c r="A977" s="0" t="s">
        <v>8</v>
      </c>
      <c r="B977" s="0" t="s">
        <v>1242</v>
      </c>
      <c r="C977" s="0" t="s">
        <v>7070</v>
      </c>
      <c r="D977" s="0" t="n">
        <v>0.5</v>
      </c>
    </row>
    <row r="978" customFormat="false" ht="15" hidden="false" customHeight="false" outlineLevel="0" collapsed="false">
      <c r="A978" s="0" t="s">
        <v>8</v>
      </c>
      <c r="B978" s="0" t="s">
        <v>1242</v>
      </c>
      <c r="C978" s="0" t="s">
        <v>7071</v>
      </c>
    </row>
    <row r="979" customFormat="false" ht="15" hidden="false" customHeight="false" outlineLevel="0" collapsed="false">
      <c r="A979" s="0" t="s">
        <v>8</v>
      </c>
      <c r="B979" s="0" t="s">
        <v>1242</v>
      </c>
      <c r="C979" s="0" t="s">
        <v>7072</v>
      </c>
    </row>
    <row r="980" customFormat="false" ht="15" hidden="false" customHeight="false" outlineLevel="0" collapsed="false">
      <c r="A980" s="0" t="s">
        <v>8</v>
      </c>
      <c r="B980" s="0" t="s">
        <v>1246</v>
      </c>
      <c r="C980" s="0" t="s">
        <v>7070</v>
      </c>
      <c r="D980" s="0" t="n">
        <v>0.1</v>
      </c>
    </row>
    <row r="981" customFormat="false" ht="15" hidden="false" customHeight="false" outlineLevel="0" collapsed="false">
      <c r="A981" s="0" t="s">
        <v>8</v>
      </c>
      <c r="B981" s="0" t="s">
        <v>1246</v>
      </c>
      <c r="C981" s="0" t="s">
        <v>7071</v>
      </c>
    </row>
    <row r="982" customFormat="false" ht="15" hidden="false" customHeight="false" outlineLevel="0" collapsed="false">
      <c r="A982" s="0" t="s">
        <v>8</v>
      </c>
      <c r="B982" s="0" t="s">
        <v>1246</v>
      </c>
      <c r="C982" s="0" t="s">
        <v>7072</v>
      </c>
    </row>
    <row r="983" customFormat="false" ht="15" hidden="false" customHeight="false" outlineLevel="0" collapsed="false">
      <c r="A983" s="0" t="s">
        <v>8</v>
      </c>
      <c r="B983" s="0" t="s">
        <v>1249</v>
      </c>
      <c r="C983" s="0" t="s">
        <v>7070</v>
      </c>
      <c r="D983" s="0" t="n">
        <v>3</v>
      </c>
    </row>
    <row r="984" customFormat="false" ht="15" hidden="false" customHeight="false" outlineLevel="0" collapsed="false">
      <c r="A984" s="0" t="s">
        <v>8</v>
      </c>
      <c r="B984" s="0" t="s">
        <v>1249</v>
      </c>
      <c r="C984" s="0" t="s">
        <v>7071</v>
      </c>
    </row>
    <row r="985" customFormat="false" ht="15" hidden="false" customHeight="false" outlineLevel="0" collapsed="false">
      <c r="A985" s="0" t="s">
        <v>8</v>
      </c>
      <c r="B985" s="0" t="s">
        <v>1249</v>
      </c>
      <c r="C985" s="0" t="s">
        <v>7072</v>
      </c>
    </row>
    <row r="986" customFormat="false" ht="15" hidden="false" customHeight="false" outlineLevel="0" collapsed="false">
      <c r="A986" s="0" t="s">
        <v>8</v>
      </c>
      <c r="B986" s="0" t="s">
        <v>1252</v>
      </c>
      <c r="C986" s="0" t="s">
        <v>7070</v>
      </c>
      <c r="D986" s="0" t="n">
        <v>0.8</v>
      </c>
    </row>
    <row r="987" customFormat="false" ht="15" hidden="false" customHeight="false" outlineLevel="0" collapsed="false">
      <c r="A987" s="0" t="s">
        <v>8</v>
      </c>
      <c r="B987" s="0" t="s">
        <v>1252</v>
      </c>
      <c r="C987" s="0" t="s">
        <v>7071</v>
      </c>
    </row>
    <row r="988" customFormat="false" ht="15" hidden="false" customHeight="false" outlineLevel="0" collapsed="false">
      <c r="A988" s="0" t="s">
        <v>8</v>
      </c>
      <c r="B988" s="0" t="s">
        <v>1252</v>
      </c>
      <c r="C988" s="0" t="s">
        <v>7072</v>
      </c>
    </row>
    <row r="989" customFormat="false" ht="15" hidden="false" customHeight="false" outlineLevel="0" collapsed="false">
      <c r="A989" s="0" t="s">
        <v>8</v>
      </c>
      <c r="B989" s="0" t="s">
        <v>1256</v>
      </c>
      <c r="C989" s="0" t="s">
        <v>7070</v>
      </c>
      <c r="D989" s="0" t="n">
        <v>0.23</v>
      </c>
    </row>
    <row r="990" customFormat="false" ht="15" hidden="false" customHeight="false" outlineLevel="0" collapsed="false">
      <c r="A990" s="0" t="s">
        <v>8</v>
      </c>
      <c r="B990" s="0" t="s">
        <v>1256</v>
      </c>
      <c r="C990" s="0" t="s">
        <v>7071</v>
      </c>
    </row>
    <row r="991" customFormat="false" ht="15" hidden="false" customHeight="false" outlineLevel="0" collapsed="false">
      <c r="A991" s="0" t="s">
        <v>8</v>
      </c>
      <c r="B991" s="0" t="s">
        <v>1256</v>
      </c>
      <c r="C991" s="0" t="s">
        <v>7072</v>
      </c>
    </row>
    <row r="992" customFormat="false" ht="15" hidden="false" customHeight="false" outlineLevel="0" collapsed="false">
      <c r="A992" s="0" t="s">
        <v>8</v>
      </c>
      <c r="B992" s="0" t="s">
        <v>1259</v>
      </c>
      <c r="C992" s="0" t="s">
        <v>7070</v>
      </c>
      <c r="D992" s="0" t="n">
        <v>2.8</v>
      </c>
    </row>
    <row r="993" customFormat="false" ht="15" hidden="false" customHeight="false" outlineLevel="0" collapsed="false">
      <c r="A993" s="0" t="s">
        <v>8</v>
      </c>
      <c r="B993" s="0" t="s">
        <v>1259</v>
      </c>
      <c r="C993" s="0" t="s">
        <v>7071</v>
      </c>
    </row>
    <row r="994" customFormat="false" ht="15" hidden="false" customHeight="false" outlineLevel="0" collapsed="false">
      <c r="A994" s="0" t="s">
        <v>8</v>
      </c>
      <c r="B994" s="0" t="s">
        <v>1259</v>
      </c>
      <c r="C994" s="0" t="s">
        <v>7072</v>
      </c>
    </row>
    <row r="995" customFormat="false" ht="15" hidden="false" customHeight="false" outlineLevel="0" collapsed="false">
      <c r="A995" s="0" t="s">
        <v>8</v>
      </c>
      <c r="B995" s="0" t="s">
        <v>1262</v>
      </c>
      <c r="C995" s="0" t="s">
        <v>7070</v>
      </c>
      <c r="D995" s="0" t="n">
        <v>0.5</v>
      </c>
    </row>
    <row r="996" customFormat="false" ht="15" hidden="false" customHeight="false" outlineLevel="0" collapsed="false">
      <c r="A996" s="0" t="s">
        <v>8</v>
      </c>
      <c r="B996" s="0" t="s">
        <v>1262</v>
      </c>
      <c r="C996" s="0" t="s">
        <v>7071</v>
      </c>
    </row>
    <row r="997" customFormat="false" ht="15" hidden="false" customHeight="false" outlineLevel="0" collapsed="false">
      <c r="A997" s="0" t="s">
        <v>8</v>
      </c>
      <c r="B997" s="0" t="s">
        <v>1262</v>
      </c>
      <c r="C997" s="0" t="s">
        <v>7072</v>
      </c>
    </row>
    <row r="998" customFormat="false" ht="15" hidden="false" customHeight="false" outlineLevel="0" collapsed="false">
      <c r="A998" s="0" t="s">
        <v>8</v>
      </c>
      <c r="B998" s="0" t="s">
        <v>1268</v>
      </c>
      <c r="C998" s="0" t="s">
        <v>7070</v>
      </c>
      <c r="D998" s="0" t="n">
        <v>0</v>
      </c>
    </row>
    <row r="999" customFormat="false" ht="15" hidden="false" customHeight="false" outlineLevel="0" collapsed="false">
      <c r="A999" s="0" t="s">
        <v>8</v>
      </c>
      <c r="B999" s="0" t="s">
        <v>1268</v>
      </c>
      <c r="C999" s="0" t="s">
        <v>7071</v>
      </c>
    </row>
    <row r="1000" customFormat="false" ht="15" hidden="false" customHeight="false" outlineLevel="0" collapsed="false">
      <c r="A1000" s="0" t="s">
        <v>8</v>
      </c>
      <c r="B1000" s="0" t="s">
        <v>1268</v>
      </c>
      <c r="C1000" s="0" t="s">
        <v>7072</v>
      </c>
    </row>
    <row r="1001" customFormat="false" ht="15" hidden="false" customHeight="false" outlineLevel="0" collapsed="false">
      <c r="A1001" s="0" t="s">
        <v>8</v>
      </c>
      <c r="B1001" s="0" t="s">
        <v>1272</v>
      </c>
      <c r="C1001" s="0" t="s">
        <v>7070</v>
      </c>
    </row>
    <row r="1002" customFormat="false" ht="15" hidden="false" customHeight="false" outlineLevel="0" collapsed="false">
      <c r="A1002" s="0" t="s">
        <v>8</v>
      </c>
      <c r="B1002" s="0" t="s">
        <v>1272</v>
      </c>
      <c r="C1002" s="0" t="s">
        <v>7071</v>
      </c>
      <c r="D1002" s="0" t="n">
        <v>5.6</v>
      </c>
    </row>
    <row r="1003" customFormat="false" ht="15" hidden="false" customHeight="false" outlineLevel="0" collapsed="false">
      <c r="A1003" s="0" t="s">
        <v>8</v>
      </c>
      <c r="B1003" s="0" t="s">
        <v>1272</v>
      </c>
      <c r="C1003" s="0" t="s">
        <v>7072</v>
      </c>
      <c r="D1003" s="0" t="n">
        <v>8</v>
      </c>
    </row>
    <row r="1004" customFormat="false" ht="15" hidden="false" customHeight="false" outlineLevel="0" collapsed="false">
      <c r="A1004" s="0" t="s">
        <v>8</v>
      </c>
      <c r="B1004" s="0" t="s">
        <v>1280</v>
      </c>
      <c r="C1004" s="0" t="s">
        <v>7070</v>
      </c>
    </row>
    <row r="1005" customFormat="false" ht="15" hidden="false" customHeight="false" outlineLevel="0" collapsed="false">
      <c r="A1005" s="0" t="s">
        <v>8</v>
      </c>
      <c r="B1005" s="0" t="s">
        <v>1280</v>
      </c>
      <c r="C1005" s="0" t="s">
        <v>7071</v>
      </c>
      <c r="D1005" s="0" t="n">
        <v>19.6</v>
      </c>
    </row>
    <row r="1006" customFormat="false" ht="15" hidden="false" customHeight="false" outlineLevel="0" collapsed="false">
      <c r="A1006" s="0" t="s">
        <v>8</v>
      </c>
      <c r="B1006" s="0" t="s">
        <v>1280</v>
      </c>
      <c r="C1006" s="0" t="s">
        <v>7072</v>
      </c>
      <c r="D1006" s="0" t="n">
        <v>28</v>
      </c>
    </row>
    <row r="1007" customFormat="false" ht="15" hidden="false" customHeight="false" outlineLevel="0" collapsed="false">
      <c r="A1007" s="0" t="s">
        <v>8</v>
      </c>
      <c r="B1007" s="0" t="s">
        <v>1284</v>
      </c>
      <c r="C1007" s="0" t="s">
        <v>7070</v>
      </c>
      <c r="D1007" s="0" t="n">
        <v>0.8</v>
      </c>
    </row>
    <row r="1008" customFormat="false" ht="15" hidden="false" customHeight="false" outlineLevel="0" collapsed="false">
      <c r="A1008" s="0" t="s">
        <v>8</v>
      </c>
      <c r="B1008" s="0" t="s">
        <v>1284</v>
      </c>
      <c r="C1008" s="0" t="s">
        <v>7071</v>
      </c>
    </row>
    <row r="1009" customFormat="false" ht="15" hidden="false" customHeight="false" outlineLevel="0" collapsed="false">
      <c r="A1009" s="0" t="s">
        <v>8</v>
      </c>
      <c r="B1009" s="0" t="s">
        <v>1284</v>
      </c>
      <c r="C1009" s="0" t="s">
        <v>7072</v>
      </c>
    </row>
    <row r="1010" customFormat="false" ht="15" hidden="false" customHeight="false" outlineLevel="0" collapsed="false">
      <c r="A1010" s="0" t="s">
        <v>8</v>
      </c>
      <c r="B1010" s="0" t="s">
        <v>1292</v>
      </c>
      <c r="C1010" s="0" t="s">
        <v>7070</v>
      </c>
      <c r="D1010" s="0" t="n">
        <v>2</v>
      </c>
    </row>
    <row r="1011" customFormat="false" ht="15" hidden="false" customHeight="false" outlineLevel="0" collapsed="false">
      <c r="A1011" s="0" t="s">
        <v>8</v>
      </c>
      <c r="B1011" s="0" t="s">
        <v>1292</v>
      </c>
      <c r="C1011" s="0" t="s">
        <v>7071</v>
      </c>
    </row>
    <row r="1012" customFormat="false" ht="15" hidden="false" customHeight="false" outlineLevel="0" collapsed="false">
      <c r="A1012" s="0" t="s">
        <v>8</v>
      </c>
      <c r="B1012" s="0" t="s">
        <v>1292</v>
      </c>
      <c r="C1012" s="0" t="s">
        <v>7072</v>
      </c>
    </row>
    <row r="1013" customFormat="false" ht="15" hidden="false" customHeight="false" outlineLevel="0" collapsed="false">
      <c r="A1013" s="0" t="s">
        <v>8</v>
      </c>
      <c r="B1013" s="0" t="s">
        <v>1295</v>
      </c>
      <c r="C1013" s="0" t="s">
        <v>7070</v>
      </c>
      <c r="D1013" s="0" t="n">
        <v>5</v>
      </c>
    </row>
    <row r="1014" customFormat="false" ht="15" hidden="false" customHeight="false" outlineLevel="0" collapsed="false">
      <c r="A1014" s="0" t="s">
        <v>8</v>
      </c>
      <c r="B1014" s="0" t="s">
        <v>1295</v>
      </c>
      <c r="C1014" s="0" t="s">
        <v>7071</v>
      </c>
    </row>
    <row r="1015" customFormat="false" ht="15" hidden="false" customHeight="false" outlineLevel="0" collapsed="false">
      <c r="A1015" s="0" t="s">
        <v>8</v>
      </c>
      <c r="B1015" s="0" t="s">
        <v>1295</v>
      </c>
      <c r="C1015" s="0" t="s">
        <v>7072</v>
      </c>
    </row>
    <row r="1016" customFormat="false" ht="15" hidden="false" customHeight="false" outlineLevel="0" collapsed="false">
      <c r="A1016" s="0" t="s">
        <v>8</v>
      </c>
      <c r="B1016" s="0" t="s">
        <v>1302</v>
      </c>
      <c r="C1016" s="0" t="s">
        <v>7070</v>
      </c>
      <c r="D1016" s="0" t="n">
        <v>0.6</v>
      </c>
    </row>
    <row r="1017" customFormat="false" ht="15" hidden="false" customHeight="false" outlineLevel="0" collapsed="false">
      <c r="A1017" s="0" t="s">
        <v>8</v>
      </c>
      <c r="B1017" s="0" t="s">
        <v>1302</v>
      </c>
      <c r="C1017" s="0" t="s">
        <v>7071</v>
      </c>
      <c r="D1017" s="0" t="n">
        <v>0.6</v>
      </c>
    </row>
    <row r="1018" customFormat="false" ht="15" hidden="false" customHeight="false" outlineLevel="0" collapsed="false">
      <c r="A1018" s="0" t="s">
        <v>8</v>
      </c>
      <c r="B1018" s="0" t="s">
        <v>1302</v>
      </c>
      <c r="C1018" s="0" t="s">
        <v>7072</v>
      </c>
      <c r="D1018" s="0" t="n">
        <v>0.6</v>
      </c>
    </row>
    <row r="1019" customFormat="false" ht="15" hidden="false" customHeight="false" outlineLevel="0" collapsed="false">
      <c r="A1019" s="0" t="s">
        <v>8</v>
      </c>
      <c r="B1019" s="0" t="s">
        <v>1312</v>
      </c>
      <c r="C1019" s="0" t="s">
        <v>7070</v>
      </c>
      <c r="D1019" s="0" t="n">
        <v>1</v>
      </c>
    </row>
    <row r="1020" customFormat="false" ht="15" hidden="false" customHeight="false" outlineLevel="0" collapsed="false">
      <c r="A1020" s="0" t="s">
        <v>8</v>
      </c>
      <c r="B1020" s="0" t="s">
        <v>1312</v>
      </c>
      <c r="C1020" s="0" t="s">
        <v>7071</v>
      </c>
      <c r="D1020" s="0" t="n">
        <v>1</v>
      </c>
    </row>
    <row r="1021" customFormat="false" ht="15" hidden="false" customHeight="false" outlineLevel="0" collapsed="false">
      <c r="A1021" s="0" t="s">
        <v>8</v>
      </c>
      <c r="B1021" s="0" t="s">
        <v>1312</v>
      </c>
      <c r="C1021" s="0" t="s">
        <v>7072</v>
      </c>
      <c r="D1021" s="0" t="n">
        <v>1</v>
      </c>
    </row>
    <row r="1022" customFormat="false" ht="15" hidden="false" customHeight="false" outlineLevel="0" collapsed="false">
      <c r="A1022" s="0" t="s">
        <v>8</v>
      </c>
      <c r="B1022" s="0" t="s">
        <v>1319</v>
      </c>
      <c r="C1022" s="0" t="s">
        <v>7070</v>
      </c>
      <c r="D1022" s="0" t="n">
        <v>0.15</v>
      </c>
    </row>
    <row r="1023" customFormat="false" ht="15" hidden="false" customHeight="false" outlineLevel="0" collapsed="false">
      <c r="A1023" s="0" t="s">
        <v>8</v>
      </c>
      <c r="B1023" s="0" t="s">
        <v>1319</v>
      </c>
      <c r="C1023" s="0" t="s">
        <v>7071</v>
      </c>
    </row>
    <row r="1024" customFormat="false" ht="15" hidden="false" customHeight="false" outlineLevel="0" collapsed="false">
      <c r="A1024" s="0" t="s">
        <v>8</v>
      </c>
      <c r="B1024" s="0" t="s">
        <v>1319</v>
      </c>
      <c r="C1024" s="0" t="s">
        <v>7072</v>
      </c>
    </row>
    <row r="1025" customFormat="false" ht="15" hidden="false" customHeight="false" outlineLevel="0" collapsed="false">
      <c r="A1025" s="0" t="s">
        <v>8</v>
      </c>
      <c r="B1025" s="0" t="s">
        <v>1326</v>
      </c>
      <c r="C1025" s="0" t="s">
        <v>7070</v>
      </c>
    </row>
    <row r="1026" customFormat="false" ht="15" hidden="false" customHeight="false" outlineLevel="0" collapsed="false">
      <c r="A1026" s="0" t="s">
        <v>8</v>
      </c>
      <c r="B1026" s="0" t="s">
        <v>1326</v>
      </c>
      <c r="C1026" s="0" t="s">
        <v>7071</v>
      </c>
      <c r="D1026" s="0" t="n">
        <v>67</v>
      </c>
    </row>
    <row r="1027" customFormat="false" ht="15" hidden="false" customHeight="false" outlineLevel="0" collapsed="false">
      <c r="A1027" s="0" t="s">
        <v>8</v>
      </c>
      <c r="B1027" s="0" t="s">
        <v>1326</v>
      </c>
      <c r="C1027" s="0" t="s">
        <v>7072</v>
      </c>
      <c r="D1027" s="0" t="n">
        <v>100</v>
      </c>
    </row>
    <row r="1028" customFormat="false" ht="15" hidden="false" customHeight="false" outlineLevel="0" collapsed="false">
      <c r="A1028" s="0" t="s">
        <v>8</v>
      </c>
      <c r="B1028" s="0" t="s">
        <v>1335</v>
      </c>
      <c r="C1028" s="0" t="s">
        <v>7070</v>
      </c>
      <c r="D1028" s="0" t="n">
        <v>10</v>
      </c>
    </row>
    <row r="1029" customFormat="false" ht="15" hidden="false" customHeight="false" outlineLevel="0" collapsed="false">
      <c r="A1029" s="0" t="s">
        <v>8</v>
      </c>
      <c r="B1029" s="0" t="s">
        <v>1335</v>
      </c>
      <c r="C1029" s="0" t="s">
        <v>7071</v>
      </c>
    </row>
    <row r="1030" customFormat="false" ht="15" hidden="false" customHeight="false" outlineLevel="0" collapsed="false">
      <c r="A1030" s="0" t="s">
        <v>8</v>
      </c>
      <c r="B1030" s="0" t="s">
        <v>1335</v>
      </c>
      <c r="C1030" s="0" t="s">
        <v>7072</v>
      </c>
    </row>
    <row r="1031" customFormat="false" ht="15" hidden="false" customHeight="false" outlineLevel="0" collapsed="false">
      <c r="A1031" s="0" t="s">
        <v>8</v>
      </c>
      <c r="B1031" s="0" t="s">
        <v>1344</v>
      </c>
      <c r="C1031" s="0" t="s">
        <v>7070</v>
      </c>
    </row>
    <row r="1032" customFormat="false" ht="15" hidden="false" customHeight="false" outlineLevel="0" collapsed="false">
      <c r="A1032" s="0" t="s">
        <v>8</v>
      </c>
      <c r="B1032" s="0" t="s">
        <v>1344</v>
      </c>
      <c r="C1032" s="0" t="s">
        <v>7071</v>
      </c>
      <c r="D1032" s="0" t="n">
        <v>8</v>
      </c>
    </row>
    <row r="1033" customFormat="false" ht="15" hidden="false" customHeight="false" outlineLevel="0" collapsed="false">
      <c r="A1033" s="0" t="s">
        <v>8</v>
      </c>
      <c r="B1033" s="0" t="s">
        <v>1344</v>
      </c>
      <c r="C1033" s="0" t="s">
        <v>7072</v>
      </c>
      <c r="D1033" s="0" t="n">
        <v>17</v>
      </c>
    </row>
    <row r="1034" customFormat="false" ht="15" hidden="false" customHeight="false" outlineLevel="0" collapsed="false">
      <c r="A1034" s="0" t="s">
        <v>8</v>
      </c>
      <c r="B1034" s="0" t="s">
        <v>1349</v>
      </c>
      <c r="C1034" s="0" t="s">
        <v>7070</v>
      </c>
      <c r="D1034" s="0" t="n">
        <v>83</v>
      </c>
    </row>
    <row r="1035" customFormat="false" ht="15" hidden="false" customHeight="false" outlineLevel="0" collapsed="false">
      <c r="A1035" s="0" t="s">
        <v>8</v>
      </c>
      <c r="B1035" s="0" t="s">
        <v>1349</v>
      </c>
      <c r="C1035" s="0" t="s">
        <v>7071</v>
      </c>
    </row>
    <row r="1036" customFormat="false" ht="15" hidden="false" customHeight="false" outlineLevel="0" collapsed="false">
      <c r="A1036" s="0" t="s">
        <v>8</v>
      </c>
      <c r="B1036" s="0" t="s">
        <v>1349</v>
      </c>
      <c r="C1036" s="0" t="s">
        <v>7072</v>
      </c>
    </row>
    <row r="1037" customFormat="false" ht="15" hidden="false" customHeight="false" outlineLevel="0" collapsed="false">
      <c r="A1037" s="0" t="s">
        <v>8</v>
      </c>
      <c r="B1037" s="0" t="s">
        <v>1358</v>
      </c>
      <c r="C1037" s="0" t="s">
        <v>7070</v>
      </c>
      <c r="D1037" s="0" t="n">
        <v>83</v>
      </c>
    </row>
    <row r="1038" customFormat="false" ht="15" hidden="false" customHeight="false" outlineLevel="0" collapsed="false">
      <c r="A1038" s="0" t="s">
        <v>8</v>
      </c>
      <c r="B1038" s="0" t="s">
        <v>1358</v>
      </c>
      <c r="C1038" s="0" t="s">
        <v>7071</v>
      </c>
    </row>
    <row r="1039" customFormat="false" ht="15" hidden="false" customHeight="false" outlineLevel="0" collapsed="false">
      <c r="A1039" s="0" t="s">
        <v>8</v>
      </c>
      <c r="B1039" s="0" t="s">
        <v>1358</v>
      </c>
      <c r="C1039" s="0" t="s">
        <v>7072</v>
      </c>
    </row>
    <row r="1040" customFormat="false" ht="15" hidden="false" customHeight="false" outlineLevel="0" collapsed="false">
      <c r="A1040" s="0" t="s">
        <v>8</v>
      </c>
      <c r="B1040" s="0" t="s">
        <v>1365</v>
      </c>
      <c r="C1040" s="0" t="s">
        <v>7070</v>
      </c>
      <c r="D1040" s="0" t="n">
        <v>101</v>
      </c>
    </row>
    <row r="1041" customFormat="false" ht="15" hidden="false" customHeight="false" outlineLevel="0" collapsed="false">
      <c r="A1041" s="0" t="s">
        <v>8</v>
      </c>
      <c r="B1041" s="0" t="s">
        <v>1365</v>
      </c>
      <c r="C1041" s="0" t="s">
        <v>7071</v>
      </c>
    </row>
    <row r="1042" customFormat="false" ht="15" hidden="false" customHeight="false" outlineLevel="0" collapsed="false">
      <c r="A1042" s="0" t="s">
        <v>8</v>
      </c>
      <c r="B1042" s="0" t="s">
        <v>1365</v>
      </c>
      <c r="C1042" s="0" t="s">
        <v>7072</v>
      </c>
    </row>
    <row r="1043" customFormat="false" ht="15" hidden="false" customHeight="false" outlineLevel="0" collapsed="false">
      <c r="A1043" s="0" t="s">
        <v>8</v>
      </c>
      <c r="B1043" s="0" t="s">
        <v>1371</v>
      </c>
      <c r="C1043" s="0" t="s">
        <v>7070</v>
      </c>
      <c r="D1043" s="0" t="n">
        <v>101</v>
      </c>
    </row>
    <row r="1044" customFormat="false" ht="15" hidden="false" customHeight="false" outlineLevel="0" collapsed="false">
      <c r="A1044" s="0" t="s">
        <v>8</v>
      </c>
      <c r="B1044" s="0" t="s">
        <v>1371</v>
      </c>
      <c r="C1044" s="0" t="s">
        <v>7071</v>
      </c>
    </row>
    <row r="1045" customFormat="false" ht="15" hidden="false" customHeight="false" outlineLevel="0" collapsed="false">
      <c r="A1045" s="0" t="s">
        <v>8</v>
      </c>
      <c r="B1045" s="0" t="s">
        <v>1371</v>
      </c>
      <c r="C1045" s="0" t="s">
        <v>7072</v>
      </c>
    </row>
    <row r="1046" customFormat="false" ht="15" hidden="false" customHeight="false" outlineLevel="0" collapsed="false">
      <c r="A1046" s="0" t="s">
        <v>8</v>
      </c>
      <c r="B1046" s="0" t="s">
        <v>1377</v>
      </c>
      <c r="C1046" s="0" t="s">
        <v>7070</v>
      </c>
      <c r="D1046" s="0" t="n">
        <v>30</v>
      </c>
    </row>
    <row r="1047" customFormat="false" ht="15" hidden="false" customHeight="false" outlineLevel="0" collapsed="false">
      <c r="A1047" s="0" t="s">
        <v>8</v>
      </c>
      <c r="B1047" s="0" t="s">
        <v>1377</v>
      </c>
      <c r="C1047" s="0" t="s">
        <v>7071</v>
      </c>
      <c r="D1047" s="0" t="n">
        <v>30</v>
      </c>
    </row>
    <row r="1048" customFormat="false" ht="15" hidden="false" customHeight="false" outlineLevel="0" collapsed="false">
      <c r="A1048" s="0" t="s">
        <v>8</v>
      </c>
      <c r="B1048" s="0" t="s">
        <v>1377</v>
      </c>
      <c r="C1048" s="0" t="s">
        <v>7072</v>
      </c>
    </row>
    <row r="1049" customFormat="false" ht="15" hidden="false" customHeight="false" outlineLevel="0" collapsed="false">
      <c r="A1049" s="0" t="s">
        <v>8</v>
      </c>
      <c r="B1049" s="0" t="s">
        <v>1383</v>
      </c>
      <c r="C1049" s="0" t="s">
        <v>7070</v>
      </c>
      <c r="D1049" s="0" t="n">
        <v>30</v>
      </c>
    </row>
    <row r="1050" customFormat="false" ht="15" hidden="false" customHeight="false" outlineLevel="0" collapsed="false">
      <c r="A1050" s="0" t="s">
        <v>8</v>
      </c>
      <c r="B1050" s="0" t="s">
        <v>1383</v>
      </c>
      <c r="C1050" s="0" t="s">
        <v>7071</v>
      </c>
    </row>
    <row r="1051" customFormat="false" ht="15" hidden="false" customHeight="false" outlineLevel="0" collapsed="false">
      <c r="A1051" s="0" t="s">
        <v>8</v>
      </c>
      <c r="B1051" s="0" t="s">
        <v>1383</v>
      </c>
      <c r="C1051" s="0" t="s">
        <v>7072</v>
      </c>
    </row>
    <row r="1052" customFormat="false" ht="15" hidden="false" customHeight="false" outlineLevel="0" collapsed="false">
      <c r="A1052" s="0" t="s">
        <v>8</v>
      </c>
      <c r="B1052" s="0" t="s">
        <v>1388</v>
      </c>
      <c r="C1052" s="0" t="s">
        <v>7070</v>
      </c>
    </row>
    <row r="1053" customFormat="false" ht="15" hidden="false" customHeight="false" outlineLevel="0" collapsed="false">
      <c r="A1053" s="0" t="s">
        <v>8</v>
      </c>
      <c r="B1053" s="0" t="s">
        <v>1388</v>
      </c>
      <c r="C1053" s="0" t="s">
        <v>7071</v>
      </c>
      <c r="D1053" s="0" t="n">
        <v>30</v>
      </c>
    </row>
    <row r="1054" customFormat="false" ht="15" hidden="false" customHeight="false" outlineLevel="0" collapsed="false">
      <c r="A1054" s="0" t="s">
        <v>8</v>
      </c>
      <c r="B1054" s="0" t="s">
        <v>1388</v>
      </c>
      <c r="C1054" s="0" t="s">
        <v>7072</v>
      </c>
      <c r="D1054" s="0" t="n">
        <v>60</v>
      </c>
    </row>
    <row r="1055" customFormat="false" ht="15" hidden="false" customHeight="false" outlineLevel="0" collapsed="false">
      <c r="A1055" s="0" t="s">
        <v>8</v>
      </c>
      <c r="B1055" s="0" t="s">
        <v>1393</v>
      </c>
      <c r="C1055" s="0" t="s">
        <v>7070</v>
      </c>
    </row>
    <row r="1056" customFormat="false" ht="15" hidden="false" customHeight="false" outlineLevel="0" collapsed="false">
      <c r="A1056" s="0" t="s">
        <v>8</v>
      </c>
      <c r="B1056" s="0" t="s">
        <v>1393</v>
      </c>
      <c r="C1056" s="0" t="s">
        <v>7071</v>
      </c>
      <c r="D1056" s="0" t="n">
        <v>80</v>
      </c>
    </row>
    <row r="1057" customFormat="false" ht="15" hidden="false" customHeight="false" outlineLevel="0" collapsed="false">
      <c r="A1057" s="0" t="s">
        <v>8</v>
      </c>
      <c r="B1057" s="0" t="s">
        <v>1393</v>
      </c>
      <c r="C1057" s="0" t="s">
        <v>7072</v>
      </c>
      <c r="D1057" s="0" t="n">
        <v>150</v>
      </c>
    </row>
    <row r="1058" customFormat="false" ht="15" hidden="false" customHeight="false" outlineLevel="0" collapsed="false">
      <c r="A1058" s="0" t="s">
        <v>8</v>
      </c>
      <c r="B1058" s="0" t="s">
        <v>1398</v>
      </c>
      <c r="C1058" s="0" t="s">
        <v>7070</v>
      </c>
    </row>
    <row r="1059" customFormat="false" ht="15" hidden="false" customHeight="false" outlineLevel="0" collapsed="false">
      <c r="A1059" s="0" t="s">
        <v>8</v>
      </c>
      <c r="B1059" s="0" t="s">
        <v>1398</v>
      </c>
      <c r="C1059" s="0" t="s">
        <v>7071</v>
      </c>
    </row>
    <row r="1060" customFormat="false" ht="15" hidden="false" customHeight="false" outlineLevel="0" collapsed="false">
      <c r="A1060" s="0" t="s">
        <v>8</v>
      </c>
      <c r="B1060" s="0" t="s">
        <v>1398</v>
      </c>
      <c r="C1060" s="0" t="s">
        <v>7072</v>
      </c>
    </row>
    <row r="1061" customFormat="false" ht="15" hidden="false" customHeight="false" outlineLevel="0" collapsed="false">
      <c r="A1061" s="0" t="s">
        <v>8</v>
      </c>
      <c r="B1061" s="0" t="s">
        <v>1407</v>
      </c>
      <c r="C1061" s="0" t="s">
        <v>7070</v>
      </c>
    </row>
    <row r="1062" customFormat="false" ht="15" hidden="false" customHeight="false" outlineLevel="0" collapsed="false">
      <c r="A1062" s="0" t="s">
        <v>8</v>
      </c>
      <c r="B1062" s="0" t="s">
        <v>1407</v>
      </c>
      <c r="C1062" s="0" t="s">
        <v>7071</v>
      </c>
      <c r="D1062" s="0" t="n">
        <v>20</v>
      </c>
    </row>
    <row r="1063" customFormat="false" ht="15" hidden="false" customHeight="false" outlineLevel="0" collapsed="false">
      <c r="A1063" s="0" t="s">
        <v>8</v>
      </c>
      <c r="B1063" s="0" t="s">
        <v>1407</v>
      </c>
      <c r="C1063" s="0" t="s">
        <v>7072</v>
      </c>
      <c r="D1063" s="0" t="n">
        <v>100</v>
      </c>
    </row>
    <row r="1064" customFormat="false" ht="15" hidden="false" customHeight="false" outlineLevel="0" collapsed="false">
      <c r="A1064" s="0" t="s">
        <v>8</v>
      </c>
      <c r="B1064" s="0" t="s">
        <v>1416</v>
      </c>
      <c r="C1064" s="0" t="s">
        <v>7070</v>
      </c>
      <c r="D1064" s="0" t="n">
        <v>3</v>
      </c>
    </row>
    <row r="1065" customFormat="false" ht="15" hidden="false" customHeight="false" outlineLevel="0" collapsed="false">
      <c r="A1065" s="0" t="s">
        <v>8</v>
      </c>
      <c r="B1065" s="0" t="s">
        <v>1416</v>
      </c>
      <c r="C1065" s="0" t="s">
        <v>7071</v>
      </c>
      <c r="D1065" s="0" t="n">
        <v>3</v>
      </c>
    </row>
    <row r="1066" customFormat="false" ht="15" hidden="false" customHeight="false" outlineLevel="0" collapsed="false">
      <c r="A1066" s="0" t="s">
        <v>8</v>
      </c>
      <c r="B1066" s="0" t="s">
        <v>1416</v>
      </c>
      <c r="C1066" s="0" t="s">
        <v>7072</v>
      </c>
      <c r="D1066" s="0" t="n">
        <v>3</v>
      </c>
    </row>
    <row r="1067" customFormat="false" ht="15" hidden="false" customHeight="false" outlineLevel="0" collapsed="false">
      <c r="A1067" s="0" t="s">
        <v>8</v>
      </c>
      <c r="B1067" s="0" t="s">
        <v>1425</v>
      </c>
      <c r="C1067" s="0" t="s">
        <v>7070</v>
      </c>
      <c r="D1067" s="0" t="n">
        <v>49</v>
      </c>
    </row>
    <row r="1068" customFormat="false" ht="15" hidden="false" customHeight="false" outlineLevel="0" collapsed="false">
      <c r="A1068" s="0" t="s">
        <v>8</v>
      </c>
      <c r="B1068" s="0" t="s">
        <v>1425</v>
      </c>
      <c r="C1068" s="0" t="s">
        <v>7071</v>
      </c>
    </row>
    <row r="1069" customFormat="false" ht="15" hidden="false" customHeight="false" outlineLevel="0" collapsed="false">
      <c r="A1069" s="0" t="s">
        <v>8</v>
      </c>
      <c r="B1069" s="0" t="s">
        <v>1425</v>
      </c>
      <c r="C1069" s="0" t="s">
        <v>7072</v>
      </c>
    </row>
    <row r="1070" customFormat="false" ht="15" hidden="false" customHeight="false" outlineLevel="0" collapsed="false">
      <c r="A1070" s="0" t="s">
        <v>8</v>
      </c>
      <c r="B1070" s="0" t="s">
        <v>1433</v>
      </c>
      <c r="C1070" s="0" t="s">
        <v>7070</v>
      </c>
      <c r="D1070" s="0" t="n">
        <v>44</v>
      </c>
    </row>
    <row r="1071" customFormat="false" ht="15" hidden="false" customHeight="false" outlineLevel="0" collapsed="false">
      <c r="A1071" s="0" t="s">
        <v>8</v>
      </c>
      <c r="B1071" s="0" t="s">
        <v>1433</v>
      </c>
      <c r="C1071" s="0" t="s">
        <v>7071</v>
      </c>
    </row>
    <row r="1072" customFormat="false" ht="15" hidden="false" customHeight="false" outlineLevel="0" collapsed="false">
      <c r="A1072" s="0" t="s">
        <v>8</v>
      </c>
      <c r="B1072" s="0" t="s">
        <v>1433</v>
      </c>
      <c r="C1072" s="0" t="s">
        <v>7072</v>
      </c>
    </row>
    <row r="1073" customFormat="false" ht="15" hidden="false" customHeight="false" outlineLevel="0" collapsed="false">
      <c r="A1073" s="0" t="s">
        <v>8</v>
      </c>
      <c r="B1073" s="0" t="s">
        <v>1438</v>
      </c>
      <c r="C1073" s="0" t="s">
        <v>7070</v>
      </c>
      <c r="D1073" s="0" t="n">
        <v>34</v>
      </c>
    </row>
    <row r="1074" customFormat="false" ht="15" hidden="false" customHeight="false" outlineLevel="0" collapsed="false">
      <c r="A1074" s="0" t="s">
        <v>8</v>
      </c>
      <c r="B1074" s="0" t="s">
        <v>1438</v>
      </c>
      <c r="C1074" s="0" t="s">
        <v>7071</v>
      </c>
    </row>
    <row r="1075" customFormat="false" ht="15" hidden="false" customHeight="false" outlineLevel="0" collapsed="false">
      <c r="A1075" s="0" t="s">
        <v>8</v>
      </c>
      <c r="B1075" s="0" t="s">
        <v>1438</v>
      </c>
      <c r="C1075" s="0" t="s">
        <v>7072</v>
      </c>
    </row>
    <row r="1076" customFormat="false" ht="15" hidden="false" customHeight="false" outlineLevel="0" collapsed="false">
      <c r="A1076" s="0" t="s">
        <v>8</v>
      </c>
      <c r="B1076" s="0" t="s">
        <v>1442</v>
      </c>
      <c r="C1076" s="0" t="s">
        <v>7070</v>
      </c>
      <c r="D1076" s="0" t="n">
        <v>149</v>
      </c>
    </row>
    <row r="1077" customFormat="false" ht="15" hidden="false" customHeight="false" outlineLevel="0" collapsed="false">
      <c r="A1077" s="0" t="s">
        <v>8</v>
      </c>
      <c r="B1077" s="0" t="s">
        <v>1442</v>
      </c>
      <c r="C1077" s="0" t="s">
        <v>7071</v>
      </c>
    </row>
    <row r="1078" customFormat="false" ht="15" hidden="false" customHeight="false" outlineLevel="0" collapsed="false">
      <c r="A1078" s="0" t="s">
        <v>8</v>
      </c>
      <c r="B1078" s="0" t="s">
        <v>1442</v>
      </c>
      <c r="C1078" s="0" t="s">
        <v>7072</v>
      </c>
    </row>
    <row r="1079" customFormat="false" ht="15" hidden="false" customHeight="false" outlineLevel="0" collapsed="false">
      <c r="A1079" s="0" t="s">
        <v>8</v>
      </c>
      <c r="B1079" s="0" t="s">
        <v>1446</v>
      </c>
      <c r="C1079" s="0" t="s">
        <v>7070</v>
      </c>
      <c r="D1079" s="0" t="n">
        <v>134</v>
      </c>
    </row>
    <row r="1080" customFormat="false" ht="15" hidden="false" customHeight="false" outlineLevel="0" collapsed="false">
      <c r="A1080" s="0" t="s">
        <v>8</v>
      </c>
      <c r="B1080" s="0" t="s">
        <v>1446</v>
      </c>
      <c r="C1080" s="0" t="s">
        <v>7071</v>
      </c>
    </row>
    <row r="1081" customFormat="false" ht="15" hidden="false" customHeight="false" outlineLevel="0" collapsed="false">
      <c r="A1081" s="0" t="s">
        <v>8</v>
      </c>
      <c r="B1081" s="0" t="s">
        <v>1446</v>
      </c>
      <c r="C1081" s="0" t="s">
        <v>7072</v>
      </c>
    </row>
    <row r="1082" customFormat="false" ht="15" hidden="false" customHeight="false" outlineLevel="0" collapsed="false">
      <c r="A1082" s="0" t="s">
        <v>8</v>
      </c>
      <c r="B1082" s="0" t="s">
        <v>1449</v>
      </c>
      <c r="C1082" s="0" t="s">
        <v>7070</v>
      </c>
      <c r="D1082" s="0" t="n">
        <v>104</v>
      </c>
    </row>
    <row r="1083" customFormat="false" ht="15" hidden="false" customHeight="false" outlineLevel="0" collapsed="false">
      <c r="A1083" s="0" t="s">
        <v>8</v>
      </c>
      <c r="B1083" s="0" t="s">
        <v>1449</v>
      </c>
      <c r="C1083" s="0" t="s">
        <v>7071</v>
      </c>
    </row>
    <row r="1084" customFormat="false" ht="15" hidden="false" customHeight="false" outlineLevel="0" collapsed="false">
      <c r="A1084" s="0" t="s">
        <v>8</v>
      </c>
      <c r="B1084" s="0" t="s">
        <v>1449</v>
      </c>
      <c r="C1084" s="0" t="s">
        <v>7072</v>
      </c>
    </row>
    <row r="1085" customFormat="false" ht="15" hidden="false" customHeight="false" outlineLevel="0" collapsed="false">
      <c r="A1085" s="0" t="s">
        <v>8</v>
      </c>
      <c r="B1085" s="0" t="s">
        <v>1452</v>
      </c>
      <c r="C1085" s="0" t="s">
        <v>7070</v>
      </c>
      <c r="D1085" s="0" t="n">
        <v>469</v>
      </c>
    </row>
    <row r="1086" customFormat="false" ht="15" hidden="false" customHeight="false" outlineLevel="0" collapsed="false">
      <c r="A1086" s="0" t="s">
        <v>8</v>
      </c>
      <c r="B1086" s="0" t="s">
        <v>1452</v>
      </c>
      <c r="C1086" s="0" t="s">
        <v>7071</v>
      </c>
    </row>
    <row r="1087" customFormat="false" ht="15" hidden="false" customHeight="false" outlineLevel="0" collapsed="false">
      <c r="A1087" s="0" t="s">
        <v>8</v>
      </c>
      <c r="B1087" s="0" t="s">
        <v>1452</v>
      </c>
      <c r="C1087" s="0" t="s">
        <v>7072</v>
      </c>
    </row>
    <row r="1088" customFormat="false" ht="15" hidden="false" customHeight="false" outlineLevel="0" collapsed="false">
      <c r="A1088" s="0" t="s">
        <v>8</v>
      </c>
      <c r="B1088" s="0" t="s">
        <v>1456</v>
      </c>
      <c r="C1088" s="0" t="s">
        <v>7070</v>
      </c>
      <c r="D1088" s="0" t="n">
        <v>422</v>
      </c>
    </row>
    <row r="1089" customFormat="false" ht="15" hidden="false" customHeight="false" outlineLevel="0" collapsed="false">
      <c r="A1089" s="0" t="s">
        <v>8</v>
      </c>
      <c r="B1089" s="0" t="s">
        <v>1456</v>
      </c>
      <c r="C1089" s="0" t="s">
        <v>7071</v>
      </c>
    </row>
    <row r="1090" customFormat="false" ht="15" hidden="false" customHeight="false" outlineLevel="0" collapsed="false">
      <c r="A1090" s="0" t="s">
        <v>8</v>
      </c>
      <c r="B1090" s="0" t="s">
        <v>1456</v>
      </c>
      <c r="C1090" s="0" t="s">
        <v>7072</v>
      </c>
    </row>
    <row r="1091" customFormat="false" ht="15" hidden="false" customHeight="false" outlineLevel="0" collapsed="false">
      <c r="A1091" s="0" t="s">
        <v>8</v>
      </c>
      <c r="B1091" s="0" t="s">
        <v>1459</v>
      </c>
      <c r="C1091" s="0" t="s">
        <v>7070</v>
      </c>
      <c r="D1091" s="0" t="n">
        <v>328</v>
      </c>
    </row>
    <row r="1092" customFormat="false" ht="15" hidden="false" customHeight="false" outlineLevel="0" collapsed="false">
      <c r="A1092" s="0" t="s">
        <v>8</v>
      </c>
      <c r="B1092" s="0" t="s">
        <v>1459</v>
      </c>
      <c r="C1092" s="0" t="s">
        <v>7071</v>
      </c>
    </row>
    <row r="1093" customFormat="false" ht="15" hidden="false" customHeight="false" outlineLevel="0" collapsed="false">
      <c r="A1093" s="0" t="s">
        <v>8</v>
      </c>
      <c r="B1093" s="0" t="s">
        <v>1459</v>
      </c>
      <c r="C1093" s="0" t="s">
        <v>7072</v>
      </c>
    </row>
    <row r="1094" customFormat="false" ht="15" hidden="false" customHeight="false" outlineLevel="0" collapsed="false">
      <c r="A1094" s="0" t="s">
        <v>8</v>
      </c>
      <c r="B1094" s="0" t="s">
        <v>1462</v>
      </c>
      <c r="C1094" s="0" t="s">
        <v>7070</v>
      </c>
      <c r="D1094" s="0" t="n">
        <v>402</v>
      </c>
    </row>
    <row r="1095" customFormat="false" ht="15" hidden="false" customHeight="false" outlineLevel="0" collapsed="false">
      <c r="A1095" s="0" t="s">
        <v>8</v>
      </c>
      <c r="B1095" s="0" t="s">
        <v>1462</v>
      </c>
      <c r="C1095" s="0" t="s">
        <v>7071</v>
      </c>
    </row>
    <row r="1096" customFormat="false" ht="15" hidden="false" customHeight="false" outlineLevel="0" collapsed="false">
      <c r="A1096" s="0" t="s">
        <v>8</v>
      </c>
      <c r="B1096" s="0" t="s">
        <v>1462</v>
      </c>
      <c r="C1096" s="0" t="s">
        <v>7072</v>
      </c>
    </row>
    <row r="1097" customFormat="false" ht="15" hidden="false" customHeight="false" outlineLevel="0" collapsed="false">
      <c r="A1097" s="0" t="s">
        <v>8</v>
      </c>
      <c r="B1097" s="0" t="s">
        <v>1469</v>
      </c>
      <c r="C1097" s="0" t="s">
        <v>7070</v>
      </c>
      <c r="D1097" s="0" t="n">
        <v>1251</v>
      </c>
    </row>
    <row r="1098" customFormat="false" ht="15" hidden="false" customHeight="false" outlineLevel="0" collapsed="false">
      <c r="A1098" s="0" t="s">
        <v>8</v>
      </c>
      <c r="B1098" s="0" t="s">
        <v>1469</v>
      </c>
      <c r="C1098" s="0" t="s">
        <v>7071</v>
      </c>
    </row>
    <row r="1099" customFormat="false" ht="15" hidden="false" customHeight="false" outlineLevel="0" collapsed="false">
      <c r="A1099" s="0" t="s">
        <v>8</v>
      </c>
      <c r="B1099" s="0" t="s">
        <v>1469</v>
      </c>
      <c r="C1099" s="0" t="s">
        <v>7072</v>
      </c>
    </row>
    <row r="1100" customFormat="false" ht="15" hidden="false" customHeight="false" outlineLevel="0" collapsed="false">
      <c r="A1100" s="0" t="s">
        <v>8</v>
      </c>
      <c r="B1100" s="0" t="s">
        <v>1474</v>
      </c>
      <c r="C1100" s="0" t="s">
        <v>7070</v>
      </c>
      <c r="D1100" s="0" t="n">
        <v>18</v>
      </c>
    </row>
    <row r="1101" customFormat="false" ht="15" hidden="false" customHeight="false" outlineLevel="0" collapsed="false">
      <c r="A1101" s="0" t="s">
        <v>8</v>
      </c>
      <c r="B1101" s="0" t="s">
        <v>1474</v>
      </c>
      <c r="C1101" s="0" t="s">
        <v>7071</v>
      </c>
    </row>
    <row r="1102" customFormat="false" ht="15" hidden="false" customHeight="false" outlineLevel="0" collapsed="false">
      <c r="A1102" s="0" t="s">
        <v>8</v>
      </c>
      <c r="B1102" s="0" t="s">
        <v>1474</v>
      </c>
      <c r="C1102" s="0" t="s">
        <v>7072</v>
      </c>
    </row>
    <row r="1103" customFormat="false" ht="15" hidden="false" customHeight="false" outlineLevel="0" collapsed="false">
      <c r="A1103" s="0" t="s">
        <v>8</v>
      </c>
      <c r="B1103" s="0" t="s">
        <v>1482</v>
      </c>
      <c r="C1103" s="0" t="s">
        <v>7070</v>
      </c>
      <c r="D1103" s="0" t="n">
        <v>12.6</v>
      </c>
    </row>
    <row r="1104" customFormat="false" ht="15" hidden="false" customHeight="false" outlineLevel="0" collapsed="false">
      <c r="A1104" s="0" t="s">
        <v>8</v>
      </c>
      <c r="B1104" s="0" t="s">
        <v>1482</v>
      </c>
      <c r="C1104" s="0" t="s">
        <v>7071</v>
      </c>
    </row>
    <row r="1105" customFormat="false" ht="15" hidden="false" customHeight="false" outlineLevel="0" collapsed="false">
      <c r="A1105" s="0" t="s">
        <v>8</v>
      </c>
      <c r="B1105" s="0" t="s">
        <v>1482</v>
      </c>
      <c r="C1105" s="0" t="s">
        <v>7072</v>
      </c>
    </row>
    <row r="1106" customFormat="false" ht="15" hidden="false" customHeight="false" outlineLevel="0" collapsed="false">
      <c r="A1106" s="0" t="s">
        <v>8</v>
      </c>
      <c r="B1106" s="0" t="s">
        <v>1488</v>
      </c>
      <c r="C1106" s="0" t="s">
        <v>7070</v>
      </c>
      <c r="D1106" s="0" t="n">
        <v>72</v>
      </c>
    </row>
    <row r="1107" customFormat="false" ht="15" hidden="false" customHeight="false" outlineLevel="0" collapsed="false">
      <c r="A1107" s="0" t="s">
        <v>8</v>
      </c>
      <c r="B1107" s="0" t="s">
        <v>1488</v>
      </c>
      <c r="C1107" s="0" t="s">
        <v>7071</v>
      </c>
    </row>
    <row r="1108" customFormat="false" ht="15" hidden="false" customHeight="false" outlineLevel="0" collapsed="false">
      <c r="A1108" s="0" t="s">
        <v>8</v>
      </c>
      <c r="B1108" s="0" t="s">
        <v>1488</v>
      </c>
      <c r="C1108" s="0" t="s">
        <v>7072</v>
      </c>
    </row>
    <row r="1109" customFormat="false" ht="15" hidden="false" customHeight="false" outlineLevel="0" collapsed="false">
      <c r="A1109" s="0" t="s">
        <v>8</v>
      </c>
      <c r="B1109" s="0" t="s">
        <v>1492</v>
      </c>
      <c r="C1109" s="0" t="s">
        <v>7070</v>
      </c>
      <c r="D1109" s="0" t="n">
        <v>50.4</v>
      </c>
    </row>
    <row r="1110" customFormat="false" ht="15" hidden="false" customHeight="false" outlineLevel="0" collapsed="false">
      <c r="A1110" s="0" t="s">
        <v>8</v>
      </c>
      <c r="B1110" s="0" t="s">
        <v>1492</v>
      </c>
      <c r="C1110" s="0" t="s">
        <v>7071</v>
      </c>
    </row>
    <row r="1111" customFormat="false" ht="15" hidden="false" customHeight="false" outlineLevel="0" collapsed="false">
      <c r="A1111" s="0" t="s">
        <v>8</v>
      </c>
      <c r="B1111" s="0" t="s">
        <v>1492</v>
      </c>
      <c r="C1111" s="0" t="s">
        <v>7072</v>
      </c>
    </row>
    <row r="1112" customFormat="false" ht="15" hidden="false" customHeight="false" outlineLevel="0" collapsed="false">
      <c r="A1112" s="0" t="s">
        <v>8</v>
      </c>
      <c r="B1112" s="0" t="s">
        <v>1495</v>
      </c>
      <c r="C1112" s="0" t="s">
        <v>7070</v>
      </c>
      <c r="D1112" s="0" t="n">
        <v>160</v>
      </c>
    </row>
    <row r="1113" customFormat="false" ht="15" hidden="false" customHeight="false" outlineLevel="0" collapsed="false">
      <c r="A1113" s="0" t="s">
        <v>8</v>
      </c>
      <c r="B1113" s="0" t="s">
        <v>1495</v>
      </c>
      <c r="C1113" s="0" t="s">
        <v>7071</v>
      </c>
    </row>
    <row r="1114" customFormat="false" ht="15" hidden="false" customHeight="false" outlineLevel="0" collapsed="false">
      <c r="A1114" s="0" t="s">
        <v>8</v>
      </c>
      <c r="B1114" s="0" t="s">
        <v>1495</v>
      </c>
      <c r="C1114" s="0" t="s">
        <v>7072</v>
      </c>
    </row>
    <row r="1115" customFormat="false" ht="15" hidden="false" customHeight="false" outlineLevel="0" collapsed="false">
      <c r="A1115" s="0" t="s">
        <v>8</v>
      </c>
      <c r="B1115" s="0" t="s">
        <v>1499</v>
      </c>
      <c r="C1115" s="0" t="s">
        <v>7070</v>
      </c>
      <c r="D1115" s="0" t="n">
        <v>112</v>
      </c>
    </row>
    <row r="1116" customFormat="false" ht="15" hidden="false" customHeight="false" outlineLevel="0" collapsed="false">
      <c r="A1116" s="0" t="s">
        <v>8</v>
      </c>
      <c r="B1116" s="0" t="s">
        <v>1499</v>
      </c>
      <c r="C1116" s="0" t="s">
        <v>7071</v>
      </c>
    </row>
    <row r="1117" customFormat="false" ht="15" hidden="false" customHeight="false" outlineLevel="0" collapsed="false">
      <c r="A1117" s="0" t="s">
        <v>8</v>
      </c>
      <c r="B1117" s="0" t="s">
        <v>1499</v>
      </c>
      <c r="C1117" s="0" t="s">
        <v>7072</v>
      </c>
    </row>
    <row r="1118" customFormat="false" ht="15" hidden="false" customHeight="false" outlineLevel="0" collapsed="false">
      <c r="A1118" s="0" t="s">
        <v>8</v>
      </c>
      <c r="B1118" s="0" t="s">
        <v>1502</v>
      </c>
      <c r="C1118" s="0" t="s">
        <v>7070</v>
      </c>
      <c r="D1118" s="0" t="n">
        <v>30</v>
      </c>
    </row>
    <row r="1119" customFormat="false" ht="15" hidden="false" customHeight="false" outlineLevel="0" collapsed="false">
      <c r="A1119" s="0" t="s">
        <v>8</v>
      </c>
      <c r="B1119" s="0" t="s">
        <v>1502</v>
      </c>
      <c r="C1119" s="0" t="s">
        <v>7071</v>
      </c>
    </row>
    <row r="1120" customFormat="false" ht="15" hidden="false" customHeight="false" outlineLevel="0" collapsed="false">
      <c r="A1120" s="0" t="s">
        <v>8</v>
      </c>
      <c r="B1120" s="0" t="s">
        <v>1502</v>
      </c>
      <c r="C1120" s="0" t="s">
        <v>7072</v>
      </c>
    </row>
    <row r="1121" customFormat="false" ht="15" hidden="false" customHeight="false" outlineLevel="0" collapsed="false">
      <c r="A1121" s="0" t="s">
        <v>8</v>
      </c>
      <c r="B1121" s="0" t="s">
        <v>1509</v>
      </c>
      <c r="C1121" s="0" t="s">
        <v>7070</v>
      </c>
      <c r="D1121" s="0" t="n">
        <v>90</v>
      </c>
    </row>
    <row r="1122" customFormat="false" ht="15" hidden="false" customHeight="false" outlineLevel="0" collapsed="false">
      <c r="A1122" s="0" t="s">
        <v>8</v>
      </c>
      <c r="B1122" s="0" t="s">
        <v>1509</v>
      </c>
      <c r="C1122" s="0" t="s">
        <v>7071</v>
      </c>
    </row>
    <row r="1123" customFormat="false" ht="15" hidden="false" customHeight="false" outlineLevel="0" collapsed="false">
      <c r="A1123" s="0" t="s">
        <v>8</v>
      </c>
      <c r="B1123" s="0" t="s">
        <v>1509</v>
      </c>
      <c r="C1123" s="0" t="s">
        <v>7072</v>
      </c>
    </row>
    <row r="1124" customFormat="false" ht="15" hidden="false" customHeight="false" outlineLevel="0" collapsed="false">
      <c r="A1124" s="0" t="s">
        <v>8</v>
      </c>
      <c r="B1124" s="0" t="s">
        <v>1513</v>
      </c>
      <c r="C1124" s="0" t="s">
        <v>7070</v>
      </c>
      <c r="D1124" s="0" t="n">
        <v>240</v>
      </c>
    </row>
    <row r="1125" customFormat="false" ht="15" hidden="false" customHeight="false" outlineLevel="0" collapsed="false">
      <c r="A1125" s="0" t="s">
        <v>8</v>
      </c>
      <c r="B1125" s="0" t="s">
        <v>1513</v>
      </c>
      <c r="C1125" s="0" t="s">
        <v>7071</v>
      </c>
    </row>
    <row r="1126" customFormat="false" ht="15" hidden="false" customHeight="false" outlineLevel="0" collapsed="false">
      <c r="A1126" s="0" t="s">
        <v>8</v>
      </c>
      <c r="B1126" s="0" t="s">
        <v>1513</v>
      </c>
      <c r="C1126" s="0" t="s">
        <v>7072</v>
      </c>
    </row>
    <row r="1127" customFormat="false" ht="15" hidden="false" customHeight="false" outlineLevel="0" collapsed="false">
      <c r="A1127" s="0" t="s">
        <v>8</v>
      </c>
      <c r="B1127" s="0" t="s">
        <v>1517</v>
      </c>
      <c r="C1127" s="0" t="s">
        <v>7070</v>
      </c>
      <c r="D1127" s="0" t="n">
        <v>80</v>
      </c>
    </row>
    <row r="1128" customFormat="false" ht="15" hidden="false" customHeight="false" outlineLevel="0" collapsed="false">
      <c r="A1128" s="0" t="s">
        <v>8</v>
      </c>
      <c r="B1128" s="0" t="s">
        <v>1517</v>
      </c>
      <c r="C1128" s="0" t="s">
        <v>7071</v>
      </c>
    </row>
    <row r="1129" customFormat="false" ht="15" hidden="false" customHeight="false" outlineLevel="0" collapsed="false">
      <c r="A1129" s="0" t="s">
        <v>8</v>
      </c>
      <c r="B1129" s="0" t="s">
        <v>1517</v>
      </c>
      <c r="C1129" s="0" t="s">
        <v>7072</v>
      </c>
    </row>
    <row r="1130" customFormat="false" ht="15" hidden="false" customHeight="false" outlineLevel="0" collapsed="false">
      <c r="A1130" s="0" t="s">
        <v>8</v>
      </c>
      <c r="B1130" s="0" t="s">
        <v>1523</v>
      </c>
      <c r="C1130" s="0" t="s">
        <v>7070</v>
      </c>
      <c r="D1130" s="0" t="n">
        <v>400</v>
      </c>
    </row>
    <row r="1131" customFormat="false" ht="15" hidden="false" customHeight="false" outlineLevel="0" collapsed="false">
      <c r="A1131" s="0" t="s">
        <v>8</v>
      </c>
      <c r="B1131" s="0" t="s">
        <v>1523</v>
      </c>
      <c r="C1131" s="0" t="s">
        <v>7071</v>
      </c>
    </row>
    <row r="1132" customFormat="false" ht="15" hidden="false" customHeight="false" outlineLevel="0" collapsed="false">
      <c r="A1132" s="0" t="s">
        <v>8</v>
      </c>
      <c r="B1132" s="0" t="s">
        <v>1523</v>
      </c>
      <c r="C1132" s="0" t="s">
        <v>7072</v>
      </c>
    </row>
    <row r="1133" customFormat="false" ht="15" hidden="false" customHeight="false" outlineLevel="0" collapsed="false">
      <c r="A1133" s="0" t="s">
        <v>8</v>
      </c>
      <c r="B1133" s="0" t="s">
        <v>1527</v>
      </c>
      <c r="C1133" s="0" t="s">
        <v>7070</v>
      </c>
      <c r="D1133" s="0" t="n">
        <v>1600</v>
      </c>
    </row>
    <row r="1134" customFormat="false" ht="15" hidden="false" customHeight="false" outlineLevel="0" collapsed="false">
      <c r="A1134" s="0" t="s">
        <v>8</v>
      </c>
      <c r="B1134" s="0" t="s">
        <v>1527</v>
      </c>
      <c r="C1134" s="0" t="s">
        <v>7071</v>
      </c>
    </row>
    <row r="1135" customFormat="false" ht="15" hidden="false" customHeight="false" outlineLevel="0" collapsed="false">
      <c r="A1135" s="0" t="s">
        <v>8</v>
      </c>
      <c r="B1135" s="0" t="s">
        <v>1527</v>
      </c>
      <c r="C1135" s="0" t="s">
        <v>7072</v>
      </c>
    </row>
    <row r="1136" customFormat="false" ht="15" hidden="false" customHeight="false" outlineLevel="0" collapsed="false">
      <c r="A1136" s="0" t="s">
        <v>8</v>
      </c>
      <c r="B1136" s="0" t="s">
        <v>1531</v>
      </c>
      <c r="C1136" s="0" t="s">
        <v>7070</v>
      </c>
    </row>
    <row r="1137" customFormat="false" ht="15" hidden="false" customHeight="false" outlineLevel="0" collapsed="false">
      <c r="A1137" s="0" t="s">
        <v>8</v>
      </c>
      <c r="B1137" s="0" t="s">
        <v>1531</v>
      </c>
      <c r="C1137" s="0" t="s">
        <v>7071</v>
      </c>
      <c r="D1137" s="0" t="n">
        <v>15</v>
      </c>
    </row>
    <row r="1138" customFormat="false" ht="15" hidden="false" customHeight="false" outlineLevel="0" collapsed="false">
      <c r="A1138" s="0" t="s">
        <v>8</v>
      </c>
      <c r="B1138" s="0" t="s">
        <v>1531</v>
      </c>
      <c r="C1138" s="0" t="s">
        <v>7072</v>
      </c>
      <c r="D1138" s="0" t="n">
        <v>20</v>
      </c>
    </row>
    <row r="1139" customFormat="false" ht="15" hidden="false" customHeight="false" outlineLevel="0" collapsed="false">
      <c r="A1139" s="0" t="s">
        <v>8</v>
      </c>
      <c r="B1139" s="0" t="s">
        <v>1536</v>
      </c>
      <c r="C1139" s="0" t="s">
        <v>7070</v>
      </c>
      <c r="D1139" s="0" t="n">
        <v>79</v>
      </c>
    </row>
    <row r="1140" customFormat="false" ht="15" hidden="false" customHeight="false" outlineLevel="0" collapsed="false">
      <c r="A1140" s="0" t="s">
        <v>8</v>
      </c>
      <c r="B1140" s="0" t="s">
        <v>1536</v>
      </c>
      <c r="C1140" s="0" t="s">
        <v>7071</v>
      </c>
    </row>
    <row r="1141" customFormat="false" ht="15" hidden="false" customHeight="false" outlineLevel="0" collapsed="false">
      <c r="A1141" s="0" t="s">
        <v>8</v>
      </c>
      <c r="B1141" s="0" t="s">
        <v>1536</v>
      </c>
      <c r="C1141" s="0" t="s">
        <v>7072</v>
      </c>
    </row>
    <row r="1142" customFormat="false" ht="15" hidden="false" customHeight="false" outlineLevel="0" collapsed="false">
      <c r="A1142" s="0" t="s">
        <v>8</v>
      </c>
      <c r="B1142" s="0" t="s">
        <v>1543</v>
      </c>
      <c r="C1142" s="0" t="s">
        <v>7070</v>
      </c>
      <c r="D1142" s="0" t="n">
        <v>219</v>
      </c>
    </row>
    <row r="1143" customFormat="false" ht="15" hidden="false" customHeight="false" outlineLevel="0" collapsed="false">
      <c r="A1143" s="0" t="s">
        <v>8</v>
      </c>
      <c r="B1143" s="0" t="s">
        <v>1543</v>
      </c>
      <c r="C1143" s="0" t="s">
        <v>7071</v>
      </c>
    </row>
    <row r="1144" customFormat="false" ht="15" hidden="false" customHeight="false" outlineLevel="0" collapsed="false">
      <c r="A1144" s="0" t="s">
        <v>8</v>
      </c>
      <c r="B1144" s="0" t="s">
        <v>1543</v>
      </c>
      <c r="C1144" s="0" t="s">
        <v>7072</v>
      </c>
    </row>
    <row r="1145" customFormat="false" ht="15" hidden="false" customHeight="false" outlineLevel="0" collapsed="false">
      <c r="A1145" s="0" t="s">
        <v>8</v>
      </c>
      <c r="B1145" s="0" t="s">
        <v>1547</v>
      </c>
      <c r="C1145" s="0" t="s">
        <v>7070</v>
      </c>
      <c r="D1145" s="0" t="n">
        <v>859</v>
      </c>
    </row>
    <row r="1146" customFormat="false" ht="15" hidden="false" customHeight="false" outlineLevel="0" collapsed="false">
      <c r="A1146" s="0" t="s">
        <v>8</v>
      </c>
      <c r="B1146" s="0" t="s">
        <v>1547</v>
      </c>
      <c r="C1146" s="0" t="s">
        <v>7071</v>
      </c>
    </row>
    <row r="1147" customFormat="false" ht="15" hidden="false" customHeight="false" outlineLevel="0" collapsed="false">
      <c r="A1147" s="0" t="s">
        <v>8</v>
      </c>
      <c r="B1147" s="0" t="s">
        <v>1547</v>
      </c>
      <c r="C1147" s="0" t="s">
        <v>7072</v>
      </c>
    </row>
    <row r="1148" customFormat="false" ht="15" hidden="false" customHeight="false" outlineLevel="0" collapsed="false">
      <c r="A1148" s="0" t="s">
        <v>8</v>
      </c>
      <c r="B1148" s="0" t="s">
        <v>1551</v>
      </c>
      <c r="C1148" s="0" t="s">
        <v>7070</v>
      </c>
      <c r="D1148" s="0" t="n">
        <v>119</v>
      </c>
    </row>
    <row r="1149" customFormat="false" ht="15" hidden="false" customHeight="false" outlineLevel="0" collapsed="false">
      <c r="A1149" s="0" t="s">
        <v>8</v>
      </c>
      <c r="B1149" s="0" t="s">
        <v>1551</v>
      </c>
      <c r="C1149" s="0" t="s">
        <v>7071</v>
      </c>
    </row>
    <row r="1150" customFormat="false" ht="15" hidden="false" customHeight="false" outlineLevel="0" collapsed="false">
      <c r="A1150" s="0" t="s">
        <v>8</v>
      </c>
      <c r="B1150" s="0" t="s">
        <v>1551</v>
      </c>
      <c r="C1150" s="0" t="s">
        <v>7072</v>
      </c>
    </row>
    <row r="1151" customFormat="false" ht="15" hidden="false" customHeight="false" outlineLevel="0" collapsed="false">
      <c r="A1151" s="0" t="s">
        <v>8</v>
      </c>
      <c r="B1151" s="0" t="s">
        <v>1555</v>
      </c>
      <c r="C1151" s="0" t="s">
        <v>7070</v>
      </c>
      <c r="D1151" s="0" t="n">
        <v>229</v>
      </c>
    </row>
    <row r="1152" customFormat="false" ht="15" hidden="false" customHeight="false" outlineLevel="0" collapsed="false">
      <c r="A1152" s="0" t="s">
        <v>8</v>
      </c>
      <c r="B1152" s="0" t="s">
        <v>1555</v>
      </c>
      <c r="C1152" s="0" t="s">
        <v>7071</v>
      </c>
    </row>
    <row r="1153" customFormat="false" ht="15" hidden="false" customHeight="false" outlineLevel="0" collapsed="false">
      <c r="A1153" s="0" t="s">
        <v>8</v>
      </c>
      <c r="B1153" s="0" t="s">
        <v>1555</v>
      </c>
      <c r="C1153" s="0" t="s">
        <v>7072</v>
      </c>
    </row>
    <row r="1154" customFormat="false" ht="15" hidden="false" customHeight="false" outlineLevel="0" collapsed="false">
      <c r="A1154" s="0" t="s">
        <v>8</v>
      </c>
      <c r="B1154" s="0" t="s">
        <v>1559</v>
      </c>
      <c r="C1154" s="0" t="s">
        <v>7070</v>
      </c>
      <c r="D1154" s="0" t="n">
        <v>19</v>
      </c>
    </row>
    <row r="1155" customFormat="false" ht="15" hidden="false" customHeight="false" outlineLevel="0" collapsed="false">
      <c r="A1155" s="0" t="s">
        <v>8</v>
      </c>
      <c r="B1155" s="0" t="s">
        <v>1559</v>
      </c>
      <c r="C1155" s="0" t="s">
        <v>7071</v>
      </c>
    </row>
    <row r="1156" customFormat="false" ht="15" hidden="false" customHeight="false" outlineLevel="0" collapsed="false">
      <c r="A1156" s="0" t="s">
        <v>8</v>
      </c>
      <c r="B1156" s="0" t="s">
        <v>1559</v>
      </c>
      <c r="C1156" s="0" t="s">
        <v>7072</v>
      </c>
    </row>
    <row r="1157" customFormat="false" ht="15" hidden="false" customHeight="false" outlineLevel="0" collapsed="false">
      <c r="A1157" s="0" t="s">
        <v>8</v>
      </c>
      <c r="B1157" s="0" t="s">
        <v>1564</v>
      </c>
      <c r="C1157" s="0" t="s">
        <v>7070</v>
      </c>
    </row>
    <row r="1158" customFormat="false" ht="15" hidden="false" customHeight="false" outlineLevel="0" collapsed="false">
      <c r="A1158" s="0" t="s">
        <v>8</v>
      </c>
      <c r="B1158" s="0" t="s">
        <v>1564</v>
      </c>
      <c r="C1158" s="0" t="s">
        <v>7071</v>
      </c>
    </row>
    <row r="1159" customFormat="false" ht="15" hidden="false" customHeight="false" outlineLevel="0" collapsed="false">
      <c r="A1159" s="0" t="s">
        <v>8</v>
      </c>
      <c r="B1159" s="0" t="s">
        <v>1564</v>
      </c>
      <c r="C1159" s="0" t="s">
        <v>7072</v>
      </c>
    </row>
    <row r="1160" customFormat="false" ht="15" hidden="false" customHeight="false" outlineLevel="0" collapsed="false">
      <c r="A1160" s="0" t="s">
        <v>8</v>
      </c>
      <c r="B1160" s="0" t="s">
        <v>1571</v>
      </c>
      <c r="C1160" s="0" t="s">
        <v>7070</v>
      </c>
    </row>
    <row r="1161" customFormat="false" ht="15" hidden="false" customHeight="false" outlineLevel="0" collapsed="false">
      <c r="A1161" s="0" t="s">
        <v>8</v>
      </c>
      <c r="B1161" s="0" t="s">
        <v>1571</v>
      </c>
      <c r="C1161" s="0" t="s">
        <v>7071</v>
      </c>
    </row>
    <row r="1162" customFormat="false" ht="15" hidden="false" customHeight="false" outlineLevel="0" collapsed="false">
      <c r="A1162" s="0" t="s">
        <v>8</v>
      </c>
      <c r="B1162" s="0" t="s">
        <v>1571</v>
      </c>
      <c r="C1162" s="0" t="s">
        <v>7072</v>
      </c>
    </row>
    <row r="1163" customFormat="false" ht="15" hidden="false" customHeight="false" outlineLevel="0" collapsed="false">
      <c r="A1163" s="0" t="s">
        <v>8</v>
      </c>
      <c r="B1163" s="0" t="s">
        <v>1578</v>
      </c>
      <c r="C1163" s="0" t="s">
        <v>7070</v>
      </c>
    </row>
    <row r="1164" customFormat="false" ht="15" hidden="false" customHeight="false" outlineLevel="0" collapsed="false">
      <c r="A1164" s="0" t="s">
        <v>8</v>
      </c>
      <c r="B1164" s="0" t="s">
        <v>1578</v>
      </c>
      <c r="C1164" s="0" t="s">
        <v>7071</v>
      </c>
    </row>
    <row r="1165" customFormat="false" ht="15" hidden="false" customHeight="false" outlineLevel="0" collapsed="false">
      <c r="A1165" s="0" t="s">
        <v>8</v>
      </c>
      <c r="B1165" s="0" t="s">
        <v>1578</v>
      </c>
      <c r="C1165" s="0" t="s">
        <v>7072</v>
      </c>
    </row>
    <row r="1166" customFormat="false" ht="15" hidden="false" customHeight="false" outlineLevel="0" collapsed="false">
      <c r="A1166" s="0" t="s">
        <v>8</v>
      </c>
      <c r="B1166" s="0" t="s">
        <v>1582</v>
      </c>
      <c r="C1166" s="0" t="s">
        <v>7070</v>
      </c>
    </row>
    <row r="1167" customFormat="false" ht="15" hidden="false" customHeight="false" outlineLevel="0" collapsed="false">
      <c r="A1167" s="0" t="s">
        <v>8</v>
      </c>
      <c r="B1167" s="0" t="s">
        <v>1582</v>
      </c>
      <c r="C1167" s="0" t="s">
        <v>7071</v>
      </c>
    </row>
    <row r="1168" customFormat="false" ht="15" hidden="false" customHeight="false" outlineLevel="0" collapsed="false">
      <c r="A1168" s="0" t="s">
        <v>8</v>
      </c>
      <c r="B1168" s="0" t="s">
        <v>1582</v>
      </c>
      <c r="C1168" s="0" t="s">
        <v>7072</v>
      </c>
    </row>
    <row r="1169" customFormat="false" ht="15" hidden="false" customHeight="false" outlineLevel="0" collapsed="false">
      <c r="A1169" s="0" t="s">
        <v>8</v>
      </c>
      <c r="B1169" s="0" t="s">
        <v>1587</v>
      </c>
      <c r="C1169" s="0" t="s">
        <v>7070</v>
      </c>
    </row>
    <row r="1170" customFormat="false" ht="15" hidden="false" customHeight="false" outlineLevel="0" collapsed="false">
      <c r="A1170" s="0" t="s">
        <v>8</v>
      </c>
      <c r="B1170" s="0" t="s">
        <v>1587</v>
      </c>
      <c r="C1170" s="0" t="s">
        <v>7071</v>
      </c>
    </row>
    <row r="1171" customFormat="false" ht="15" hidden="false" customHeight="false" outlineLevel="0" collapsed="false">
      <c r="A1171" s="0" t="s">
        <v>8</v>
      </c>
      <c r="B1171" s="0" t="s">
        <v>1587</v>
      </c>
      <c r="C1171" s="0" t="s">
        <v>7072</v>
      </c>
    </row>
    <row r="1172" customFormat="false" ht="15" hidden="false" customHeight="false" outlineLevel="0" collapsed="false">
      <c r="A1172" s="0" t="s">
        <v>8</v>
      </c>
      <c r="B1172" s="0" t="s">
        <v>1593</v>
      </c>
      <c r="C1172" s="0" t="s">
        <v>7070</v>
      </c>
    </row>
    <row r="1173" customFormat="false" ht="15" hidden="false" customHeight="false" outlineLevel="0" collapsed="false">
      <c r="A1173" s="0" t="s">
        <v>8</v>
      </c>
      <c r="B1173" s="0" t="s">
        <v>1593</v>
      </c>
      <c r="C1173" s="0" t="s">
        <v>7071</v>
      </c>
    </row>
    <row r="1174" customFormat="false" ht="15" hidden="false" customHeight="false" outlineLevel="0" collapsed="false">
      <c r="A1174" s="0" t="s">
        <v>8</v>
      </c>
      <c r="B1174" s="0" t="s">
        <v>1593</v>
      </c>
      <c r="C1174" s="0" t="s">
        <v>7072</v>
      </c>
    </row>
    <row r="1175" customFormat="false" ht="15" hidden="false" customHeight="false" outlineLevel="0" collapsed="false">
      <c r="A1175" s="0" t="s">
        <v>8</v>
      </c>
      <c r="B1175" s="0" t="s">
        <v>1597</v>
      </c>
      <c r="C1175" s="0" t="s">
        <v>7070</v>
      </c>
    </row>
    <row r="1176" customFormat="false" ht="15" hidden="false" customHeight="false" outlineLevel="0" collapsed="false">
      <c r="A1176" s="0" t="s">
        <v>8</v>
      </c>
      <c r="B1176" s="0" t="s">
        <v>1597</v>
      </c>
      <c r="C1176" s="0" t="s">
        <v>7071</v>
      </c>
    </row>
    <row r="1177" customFormat="false" ht="15" hidden="false" customHeight="false" outlineLevel="0" collapsed="false">
      <c r="A1177" s="0" t="s">
        <v>8</v>
      </c>
      <c r="B1177" s="0" t="s">
        <v>1597</v>
      </c>
      <c r="C1177" s="0" t="s">
        <v>7072</v>
      </c>
    </row>
    <row r="1178" customFormat="false" ht="15" hidden="false" customHeight="false" outlineLevel="0" collapsed="false">
      <c r="A1178" s="0" t="s">
        <v>8</v>
      </c>
      <c r="B1178" s="0" t="s">
        <v>1602</v>
      </c>
      <c r="C1178" s="0" t="s">
        <v>7070</v>
      </c>
    </row>
    <row r="1179" customFormat="false" ht="15" hidden="false" customHeight="false" outlineLevel="0" collapsed="false">
      <c r="A1179" s="0" t="s">
        <v>8</v>
      </c>
      <c r="B1179" s="0" t="s">
        <v>1602</v>
      </c>
      <c r="C1179" s="0" t="s">
        <v>7071</v>
      </c>
    </row>
    <row r="1180" customFormat="false" ht="15" hidden="false" customHeight="false" outlineLevel="0" collapsed="false">
      <c r="A1180" s="0" t="s">
        <v>8</v>
      </c>
      <c r="B1180" s="0" t="s">
        <v>1602</v>
      </c>
      <c r="C1180" s="0" t="s">
        <v>7072</v>
      </c>
    </row>
    <row r="1181" customFormat="false" ht="15" hidden="false" customHeight="false" outlineLevel="0" collapsed="false">
      <c r="A1181" s="0" t="s">
        <v>8</v>
      </c>
      <c r="B1181" s="0" t="s">
        <v>1610</v>
      </c>
      <c r="C1181" s="0" t="s">
        <v>7070</v>
      </c>
    </row>
    <row r="1182" customFormat="false" ht="15" hidden="false" customHeight="false" outlineLevel="0" collapsed="false">
      <c r="A1182" s="0" t="s">
        <v>8</v>
      </c>
      <c r="B1182" s="0" t="s">
        <v>1610</v>
      </c>
      <c r="C1182" s="0" t="s">
        <v>7071</v>
      </c>
    </row>
    <row r="1183" customFormat="false" ht="15" hidden="false" customHeight="false" outlineLevel="0" collapsed="false">
      <c r="A1183" s="0" t="s">
        <v>8</v>
      </c>
      <c r="B1183" s="0" t="s">
        <v>1610</v>
      </c>
      <c r="C1183" s="0" t="s">
        <v>7072</v>
      </c>
    </row>
    <row r="1184" customFormat="false" ht="15" hidden="false" customHeight="false" outlineLevel="0" collapsed="false">
      <c r="A1184" s="0" t="s">
        <v>8</v>
      </c>
      <c r="B1184" s="0" t="s">
        <v>1616</v>
      </c>
      <c r="C1184" s="0" t="s">
        <v>7070</v>
      </c>
    </row>
    <row r="1185" customFormat="false" ht="15" hidden="false" customHeight="false" outlineLevel="0" collapsed="false">
      <c r="A1185" s="0" t="s">
        <v>8</v>
      </c>
      <c r="B1185" s="0" t="s">
        <v>1616</v>
      </c>
      <c r="C1185" s="0" t="s">
        <v>7071</v>
      </c>
    </row>
    <row r="1186" customFormat="false" ht="15" hidden="false" customHeight="false" outlineLevel="0" collapsed="false">
      <c r="A1186" s="0" t="s">
        <v>8</v>
      </c>
      <c r="B1186" s="0" t="s">
        <v>1616</v>
      </c>
      <c r="C1186" s="0" t="s">
        <v>7072</v>
      </c>
    </row>
    <row r="1187" customFormat="false" ht="15" hidden="false" customHeight="false" outlineLevel="0" collapsed="false">
      <c r="A1187" s="0" t="s">
        <v>8</v>
      </c>
      <c r="B1187" s="0" t="s">
        <v>1624</v>
      </c>
      <c r="C1187" s="0" t="s">
        <v>7070</v>
      </c>
    </row>
    <row r="1188" customFormat="false" ht="15" hidden="false" customHeight="false" outlineLevel="0" collapsed="false">
      <c r="A1188" s="0" t="s">
        <v>8</v>
      </c>
      <c r="B1188" s="0" t="s">
        <v>1624</v>
      </c>
      <c r="C1188" s="0" t="s">
        <v>7071</v>
      </c>
    </row>
    <row r="1189" customFormat="false" ht="15" hidden="false" customHeight="false" outlineLevel="0" collapsed="false">
      <c r="A1189" s="0" t="s">
        <v>8</v>
      </c>
      <c r="B1189" s="0" t="s">
        <v>1624</v>
      </c>
      <c r="C1189" s="0" t="s">
        <v>7072</v>
      </c>
    </row>
    <row r="1190" customFormat="false" ht="15" hidden="false" customHeight="false" outlineLevel="0" collapsed="false">
      <c r="A1190" s="0" t="s">
        <v>8</v>
      </c>
      <c r="B1190" s="0" t="s">
        <v>1631</v>
      </c>
      <c r="C1190" s="0" t="s">
        <v>7070</v>
      </c>
      <c r="D1190" s="0" t="n">
        <v>580</v>
      </c>
    </row>
    <row r="1191" customFormat="false" ht="15" hidden="false" customHeight="false" outlineLevel="0" collapsed="false">
      <c r="A1191" s="0" t="s">
        <v>8</v>
      </c>
      <c r="B1191" s="0" t="s">
        <v>1631</v>
      </c>
      <c r="C1191" s="0" t="s">
        <v>7071</v>
      </c>
    </row>
    <row r="1192" customFormat="false" ht="15" hidden="false" customHeight="false" outlineLevel="0" collapsed="false">
      <c r="A1192" s="0" t="s">
        <v>8</v>
      </c>
      <c r="B1192" s="0" t="s">
        <v>1631</v>
      </c>
      <c r="C1192" s="0" t="s">
        <v>7072</v>
      </c>
    </row>
    <row r="1193" customFormat="false" ht="15" hidden="false" customHeight="false" outlineLevel="0" collapsed="false">
      <c r="A1193" s="0" t="s">
        <v>8</v>
      </c>
      <c r="B1193" s="0" t="s">
        <v>1637</v>
      </c>
      <c r="C1193" s="0" t="s">
        <v>7070</v>
      </c>
      <c r="D1193" s="0" t="n">
        <v>740</v>
      </c>
    </row>
    <row r="1194" customFormat="false" ht="15" hidden="false" customHeight="false" outlineLevel="0" collapsed="false">
      <c r="A1194" s="0" t="s">
        <v>8</v>
      </c>
      <c r="B1194" s="0" t="s">
        <v>1637</v>
      </c>
      <c r="C1194" s="0" t="s">
        <v>7071</v>
      </c>
    </row>
    <row r="1195" customFormat="false" ht="15" hidden="false" customHeight="false" outlineLevel="0" collapsed="false">
      <c r="A1195" s="0" t="s">
        <v>8</v>
      </c>
      <c r="B1195" s="0" t="s">
        <v>1637</v>
      </c>
      <c r="C1195" s="0" t="s">
        <v>7072</v>
      </c>
    </row>
    <row r="1196" customFormat="false" ht="15" hidden="false" customHeight="false" outlineLevel="0" collapsed="false">
      <c r="A1196" s="0" t="s">
        <v>8</v>
      </c>
      <c r="B1196" s="0" t="s">
        <v>1642</v>
      </c>
      <c r="C1196" s="0" t="s">
        <v>7070</v>
      </c>
      <c r="D1196" s="0" t="n">
        <v>144</v>
      </c>
    </row>
    <row r="1197" customFormat="false" ht="15" hidden="false" customHeight="false" outlineLevel="0" collapsed="false">
      <c r="A1197" s="0" t="s">
        <v>8</v>
      </c>
      <c r="B1197" s="0" t="s">
        <v>1642</v>
      </c>
      <c r="C1197" s="0" t="s">
        <v>7071</v>
      </c>
    </row>
    <row r="1198" customFormat="false" ht="15" hidden="false" customHeight="false" outlineLevel="0" collapsed="false">
      <c r="A1198" s="0" t="s">
        <v>8</v>
      </c>
      <c r="B1198" s="0" t="s">
        <v>1642</v>
      </c>
      <c r="C1198" s="0" t="s">
        <v>7072</v>
      </c>
    </row>
    <row r="1199" customFormat="false" ht="15" hidden="false" customHeight="false" outlineLevel="0" collapsed="false">
      <c r="A1199" s="0" t="s">
        <v>8</v>
      </c>
      <c r="B1199" s="0" t="s">
        <v>1648</v>
      </c>
      <c r="C1199" s="0" t="s">
        <v>7070</v>
      </c>
      <c r="D1199" s="0" t="n">
        <v>400</v>
      </c>
    </row>
    <row r="1200" customFormat="false" ht="15" hidden="false" customHeight="false" outlineLevel="0" collapsed="false">
      <c r="A1200" s="0" t="s">
        <v>8</v>
      </c>
      <c r="B1200" s="0" t="s">
        <v>1648</v>
      </c>
      <c r="C1200" s="0" t="s">
        <v>7071</v>
      </c>
    </row>
    <row r="1201" customFormat="false" ht="15" hidden="false" customHeight="false" outlineLevel="0" collapsed="false">
      <c r="A1201" s="0" t="s">
        <v>8</v>
      </c>
      <c r="B1201" s="0" t="s">
        <v>1648</v>
      </c>
      <c r="C1201" s="0" t="s">
        <v>7072</v>
      </c>
    </row>
    <row r="1202" customFormat="false" ht="15" hidden="false" customHeight="false" outlineLevel="0" collapsed="false">
      <c r="A1202" s="0" t="s">
        <v>8</v>
      </c>
      <c r="B1202" s="0" t="s">
        <v>1653</v>
      </c>
      <c r="C1202" s="0" t="s">
        <v>7070</v>
      </c>
      <c r="D1202" s="0" t="n">
        <v>603</v>
      </c>
    </row>
    <row r="1203" customFormat="false" ht="15" hidden="false" customHeight="false" outlineLevel="0" collapsed="false">
      <c r="A1203" s="0" t="s">
        <v>8</v>
      </c>
      <c r="B1203" s="0" t="s">
        <v>1653</v>
      </c>
      <c r="C1203" s="0" t="s">
        <v>7071</v>
      </c>
    </row>
    <row r="1204" customFormat="false" ht="15" hidden="false" customHeight="false" outlineLevel="0" collapsed="false">
      <c r="A1204" s="0" t="s">
        <v>8</v>
      </c>
      <c r="B1204" s="0" t="s">
        <v>1653</v>
      </c>
      <c r="C1204" s="0" t="s">
        <v>7072</v>
      </c>
    </row>
    <row r="1205" customFormat="false" ht="15" hidden="false" customHeight="false" outlineLevel="0" collapsed="false">
      <c r="A1205" s="0" t="s">
        <v>8</v>
      </c>
      <c r="B1205" s="0" t="s">
        <v>1658</v>
      </c>
      <c r="C1205" s="0" t="s">
        <v>7070</v>
      </c>
      <c r="D1205" s="0" t="n">
        <v>24.2</v>
      </c>
    </row>
    <row r="1206" customFormat="false" ht="15" hidden="false" customHeight="false" outlineLevel="0" collapsed="false">
      <c r="A1206" s="0" t="s">
        <v>8</v>
      </c>
      <c r="B1206" s="0" t="s">
        <v>1658</v>
      </c>
      <c r="C1206" s="0" t="s">
        <v>7071</v>
      </c>
    </row>
    <row r="1207" customFormat="false" ht="15" hidden="false" customHeight="false" outlineLevel="0" collapsed="false">
      <c r="A1207" s="0" t="s">
        <v>8</v>
      </c>
      <c r="B1207" s="0" t="s">
        <v>1658</v>
      </c>
      <c r="C1207" s="0" t="s">
        <v>7072</v>
      </c>
    </row>
    <row r="1208" customFormat="false" ht="15" hidden="false" customHeight="false" outlineLevel="0" collapsed="false">
      <c r="A1208" s="0" t="s">
        <v>8</v>
      </c>
      <c r="B1208" s="0" t="s">
        <v>1662</v>
      </c>
      <c r="C1208" s="0" t="s">
        <v>7070</v>
      </c>
      <c r="D1208" s="0" t="n">
        <v>40</v>
      </c>
    </row>
    <row r="1209" customFormat="false" ht="15" hidden="false" customHeight="false" outlineLevel="0" collapsed="false">
      <c r="A1209" s="0" t="s">
        <v>8</v>
      </c>
      <c r="B1209" s="0" t="s">
        <v>1662</v>
      </c>
      <c r="C1209" s="0" t="s">
        <v>7071</v>
      </c>
    </row>
    <row r="1210" customFormat="false" ht="15" hidden="false" customHeight="false" outlineLevel="0" collapsed="false">
      <c r="A1210" s="0" t="s">
        <v>8</v>
      </c>
      <c r="B1210" s="0" t="s">
        <v>1662</v>
      </c>
      <c r="C1210" s="0" t="s">
        <v>7072</v>
      </c>
    </row>
    <row r="1211" customFormat="false" ht="15" hidden="false" customHeight="false" outlineLevel="0" collapsed="false">
      <c r="A1211" s="0" t="s">
        <v>8</v>
      </c>
      <c r="B1211" s="0" t="s">
        <v>1666</v>
      </c>
      <c r="C1211" s="0" t="s">
        <v>7070</v>
      </c>
      <c r="D1211" s="0" t="n">
        <v>8000</v>
      </c>
    </row>
    <row r="1212" customFormat="false" ht="15" hidden="false" customHeight="false" outlineLevel="0" collapsed="false">
      <c r="A1212" s="0" t="s">
        <v>8</v>
      </c>
      <c r="B1212" s="0" t="s">
        <v>1666</v>
      </c>
      <c r="C1212" s="0" t="s">
        <v>7071</v>
      </c>
    </row>
    <row r="1213" customFormat="false" ht="15" hidden="false" customHeight="false" outlineLevel="0" collapsed="false">
      <c r="A1213" s="0" t="s">
        <v>8</v>
      </c>
      <c r="B1213" s="0" t="s">
        <v>1666</v>
      </c>
      <c r="C1213" s="0" t="s">
        <v>7072</v>
      </c>
    </row>
    <row r="1214" customFormat="false" ht="15" hidden="false" customHeight="false" outlineLevel="0" collapsed="false">
      <c r="A1214" s="0" t="s">
        <v>8</v>
      </c>
      <c r="B1214" s="0" t="s">
        <v>1672</v>
      </c>
      <c r="C1214" s="0" t="s">
        <v>7070</v>
      </c>
      <c r="D1214" s="0" t="n">
        <v>12000</v>
      </c>
    </row>
    <row r="1215" customFormat="false" ht="15" hidden="false" customHeight="false" outlineLevel="0" collapsed="false">
      <c r="A1215" s="0" t="s">
        <v>8</v>
      </c>
      <c r="B1215" s="0" t="s">
        <v>1672</v>
      </c>
      <c r="C1215" s="0" t="s">
        <v>7071</v>
      </c>
    </row>
    <row r="1216" customFormat="false" ht="15" hidden="false" customHeight="false" outlineLevel="0" collapsed="false">
      <c r="A1216" s="0" t="s">
        <v>8</v>
      </c>
      <c r="B1216" s="0" t="s">
        <v>1672</v>
      </c>
      <c r="C1216" s="0" t="s">
        <v>7072</v>
      </c>
    </row>
    <row r="1217" customFormat="false" ht="15" hidden="false" customHeight="false" outlineLevel="0" collapsed="false">
      <c r="A1217" s="0" t="s">
        <v>8</v>
      </c>
      <c r="B1217" s="0" t="s">
        <v>1677</v>
      </c>
      <c r="C1217" s="0" t="s">
        <v>7070</v>
      </c>
      <c r="D1217" s="0" t="n">
        <v>8000</v>
      </c>
    </row>
    <row r="1218" customFormat="false" ht="15" hidden="false" customHeight="false" outlineLevel="0" collapsed="false">
      <c r="A1218" s="0" t="s">
        <v>8</v>
      </c>
      <c r="B1218" s="0" t="s">
        <v>1677</v>
      </c>
      <c r="C1218" s="0" t="s">
        <v>7071</v>
      </c>
    </row>
    <row r="1219" customFormat="false" ht="15" hidden="false" customHeight="false" outlineLevel="0" collapsed="false">
      <c r="A1219" s="0" t="s">
        <v>8</v>
      </c>
      <c r="B1219" s="0" t="s">
        <v>1677</v>
      </c>
      <c r="C1219" s="0" t="s">
        <v>7072</v>
      </c>
    </row>
    <row r="1220" customFormat="false" ht="15" hidden="false" customHeight="false" outlineLevel="0" collapsed="false">
      <c r="A1220" s="0" t="s">
        <v>8</v>
      </c>
      <c r="B1220" s="0" t="s">
        <v>1683</v>
      </c>
      <c r="C1220" s="0" t="s">
        <v>7070</v>
      </c>
      <c r="D1220" s="0" t="n">
        <v>9</v>
      </c>
    </row>
    <row r="1221" customFormat="false" ht="15" hidden="false" customHeight="false" outlineLevel="0" collapsed="false">
      <c r="A1221" s="0" t="s">
        <v>8</v>
      </c>
      <c r="B1221" s="0" t="s">
        <v>1683</v>
      </c>
      <c r="C1221" s="0" t="s">
        <v>7071</v>
      </c>
    </row>
    <row r="1222" customFormat="false" ht="15" hidden="false" customHeight="false" outlineLevel="0" collapsed="false">
      <c r="A1222" s="0" t="s">
        <v>8</v>
      </c>
      <c r="B1222" s="0" t="s">
        <v>1683</v>
      </c>
      <c r="C1222" s="0" t="s">
        <v>7072</v>
      </c>
    </row>
    <row r="1223" customFormat="false" ht="15" hidden="false" customHeight="false" outlineLevel="0" collapsed="false">
      <c r="A1223" s="0" t="s">
        <v>8</v>
      </c>
      <c r="B1223" s="0" t="s">
        <v>1688</v>
      </c>
      <c r="C1223" s="0" t="s">
        <v>7070</v>
      </c>
      <c r="D1223" s="0" t="n">
        <v>218</v>
      </c>
    </row>
    <row r="1224" customFormat="false" ht="15" hidden="false" customHeight="false" outlineLevel="0" collapsed="false">
      <c r="A1224" s="0" t="s">
        <v>8</v>
      </c>
      <c r="B1224" s="0" t="s">
        <v>1688</v>
      </c>
      <c r="C1224" s="0" t="s">
        <v>7071</v>
      </c>
    </row>
    <row r="1225" customFormat="false" ht="15" hidden="false" customHeight="false" outlineLevel="0" collapsed="false">
      <c r="A1225" s="0" t="s">
        <v>8</v>
      </c>
      <c r="B1225" s="0" t="s">
        <v>1688</v>
      </c>
      <c r="C1225" s="0" t="s">
        <v>7072</v>
      </c>
    </row>
    <row r="1226" customFormat="false" ht="15" hidden="false" customHeight="false" outlineLevel="0" collapsed="false">
      <c r="A1226" s="0" t="s">
        <v>8</v>
      </c>
      <c r="B1226" s="0" t="s">
        <v>1693</v>
      </c>
      <c r="C1226" s="0" t="s">
        <v>7070</v>
      </c>
      <c r="D1226" s="0" t="n">
        <v>233</v>
      </c>
    </row>
    <row r="1227" customFormat="false" ht="15" hidden="false" customHeight="false" outlineLevel="0" collapsed="false">
      <c r="A1227" s="0" t="s">
        <v>8</v>
      </c>
      <c r="B1227" s="0" t="s">
        <v>1693</v>
      </c>
      <c r="C1227" s="0" t="s">
        <v>7071</v>
      </c>
    </row>
    <row r="1228" customFormat="false" ht="15" hidden="false" customHeight="false" outlineLevel="0" collapsed="false">
      <c r="A1228" s="0" t="s">
        <v>8</v>
      </c>
      <c r="B1228" s="0" t="s">
        <v>1693</v>
      </c>
      <c r="C1228" s="0" t="s">
        <v>7072</v>
      </c>
    </row>
    <row r="1229" customFormat="false" ht="15" hidden="false" customHeight="false" outlineLevel="0" collapsed="false">
      <c r="A1229" s="0" t="s">
        <v>8</v>
      </c>
      <c r="B1229" s="0" t="s">
        <v>1697</v>
      </c>
      <c r="C1229" s="0" t="s">
        <v>7070</v>
      </c>
      <c r="D1229" s="0" t="n">
        <v>40</v>
      </c>
    </row>
    <row r="1230" customFormat="false" ht="15" hidden="false" customHeight="false" outlineLevel="0" collapsed="false">
      <c r="A1230" s="0" t="s">
        <v>8</v>
      </c>
      <c r="B1230" s="0" t="s">
        <v>1697</v>
      </c>
      <c r="C1230" s="0" t="s">
        <v>7071</v>
      </c>
    </row>
    <row r="1231" customFormat="false" ht="15" hidden="false" customHeight="false" outlineLevel="0" collapsed="false">
      <c r="A1231" s="0" t="s">
        <v>8</v>
      </c>
      <c r="B1231" s="0" t="s">
        <v>1697</v>
      </c>
      <c r="C1231" s="0" t="s">
        <v>7072</v>
      </c>
    </row>
    <row r="1232" customFormat="false" ht="15" hidden="false" customHeight="false" outlineLevel="0" collapsed="false">
      <c r="A1232" s="0" t="s">
        <v>8</v>
      </c>
      <c r="B1232" s="0" t="s">
        <v>1702</v>
      </c>
      <c r="C1232" s="0" t="s">
        <v>7070</v>
      </c>
      <c r="D1232" s="0" t="n">
        <v>23</v>
      </c>
    </row>
    <row r="1233" customFormat="false" ht="15" hidden="false" customHeight="false" outlineLevel="0" collapsed="false">
      <c r="A1233" s="0" t="s">
        <v>8</v>
      </c>
      <c r="B1233" s="0" t="s">
        <v>1702</v>
      </c>
      <c r="C1233" s="0" t="s">
        <v>7071</v>
      </c>
    </row>
    <row r="1234" customFormat="false" ht="15" hidden="false" customHeight="false" outlineLevel="0" collapsed="false">
      <c r="A1234" s="0" t="s">
        <v>8</v>
      </c>
      <c r="B1234" s="0" t="s">
        <v>1702</v>
      </c>
      <c r="C1234" s="0" t="s">
        <v>7072</v>
      </c>
    </row>
    <row r="1235" customFormat="false" ht="15" hidden="false" customHeight="false" outlineLevel="0" collapsed="false">
      <c r="A1235" s="0" t="s">
        <v>8</v>
      </c>
      <c r="B1235" s="0" t="s">
        <v>1706</v>
      </c>
      <c r="C1235" s="0" t="s">
        <v>7070</v>
      </c>
      <c r="D1235" s="0" t="n">
        <v>98</v>
      </c>
    </row>
    <row r="1236" customFormat="false" ht="15" hidden="false" customHeight="false" outlineLevel="0" collapsed="false">
      <c r="A1236" s="0" t="s">
        <v>8</v>
      </c>
      <c r="B1236" s="0" t="s">
        <v>1706</v>
      </c>
      <c r="C1236" s="0" t="s">
        <v>7071</v>
      </c>
    </row>
    <row r="1237" customFormat="false" ht="15" hidden="false" customHeight="false" outlineLevel="0" collapsed="false">
      <c r="A1237" s="0" t="s">
        <v>8</v>
      </c>
      <c r="B1237" s="0" t="s">
        <v>1706</v>
      </c>
      <c r="C1237" s="0" t="s">
        <v>7072</v>
      </c>
    </row>
    <row r="1238" customFormat="false" ht="15" hidden="false" customHeight="false" outlineLevel="0" collapsed="false">
      <c r="A1238" s="0" t="s">
        <v>8</v>
      </c>
      <c r="B1238" s="0" t="s">
        <v>1711</v>
      </c>
      <c r="C1238" s="0" t="s">
        <v>7070</v>
      </c>
      <c r="D1238" s="0" t="n">
        <v>4.2</v>
      </c>
    </row>
    <row r="1239" customFormat="false" ht="15" hidden="false" customHeight="false" outlineLevel="0" collapsed="false">
      <c r="A1239" s="0" t="s">
        <v>8</v>
      </c>
      <c r="B1239" s="0" t="s">
        <v>1711</v>
      </c>
      <c r="C1239" s="0" t="s">
        <v>7071</v>
      </c>
    </row>
    <row r="1240" customFormat="false" ht="15" hidden="false" customHeight="false" outlineLevel="0" collapsed="false">
      <c r="A1240" s="0" t="s">
        <v>8</v>
      </c>
      <c r="B1240" s="0" t="s">
        <v>1711</v>
      </c>
      <c r="C1240" s="0" t="s">
        <v>7072</v>
      </c>
    </row>
    <row r="1241" customFormat="false" ht="15" hidden="false" customHeight="false" outlineLevel="0" collapsed="false">
      <c r="A1241" s="0" t="s">
        <v>8</v>
      </c>
      <c r="B1241" s="0" t="s">
        <v>1717</v>
      </c>
      <c r="C1241" s="0" t="s">
        <v>7070</v>
      </c>
      <c r="D1241" s="0" t="n">
        <v>4.6</v>
      </c>
    </row>
    <row r="1242" customFormat="false" ht="15" hidden="false" customHeight="false" outlineLevel="0" collapsed="false">
      <c r="A1242" s="0" t="s">
        <v>8</v>
      </c>
      <c r="B1242" s="0" t="s">
        <v>1717</v>
      </c>
      <c r="C1242" s="0" t="s">
        <v>7071</v>
      </c>
    </row>
    <row r="1243" customFormat="false" ht="15" hidden="false" customHeight="false" outlineLevel="0" collapsed="false">
      <c r="A1243" s="0" t="s">
        <v>8</v>
      </c>
      <c r="B1243" s="0" t="s">
        <v>1717</v>
      </c>
      <c r="C1243" s="0" t="s">
        <v>7072</v>
      </c>
    </row>
    <row r="1244" customFormat="false" ht="15" hidden="false" customHeight="false" outlineLevel="0" collapsed="false">
      <c r="A1244" s="0" t="s">
        <v>8</v>
      </c>
      <c r="B1244" s="0" t="s">
        <v>1724</v>
      </c>
      <c r="C1244" s="0" t="s">
        <v>7070</v>
      </c>
      <c r="D1244" s="0" t="n">
        <v>0.0005</v>
      </c>
    </row>
    <row r="1245" customFormat="false" ht="15" hidden="false" customHeight="false" outlineLevel="0" collapsed="false">
      <c r="A1245" s="0" t="s">
        <v>8</v>
      </c>
      <c r="B1245" s="0" t="s">
        <v>1724</v>
      </c>
      <c r="C1245" s="0" t="s">
        <v>7071</v>
      </c>
    </row>
    <row r="1246" customFormat="false" ht="15" hidden="false" customHeight="false" outlineLevel="0" collapsed="false">
      <c r="A1246" s="0" t="s">
        <v>8</v>
      </c>
      <c r="B1246" s="0" t="s">
        <v>1724</v>
      </c>
      <c r="C1246" s="0" t="s">
        <v>7072</v>
      </c>
    </row>
    <row r="1247" customFormat="false" ht="15" hidden="false" customHeight="false" outlineLevel="0" collapsed="false">
      <c r="A1247" s="0" t="s">
        <v>8</v>
      </c>
      <c r="B1247" s="0" t="s">
        <v>1729</v>
      </c>
      <c r="C1247" s="0" t="s">
        <v>7070</v>
      </c>
      <c r="D1247" s="0" t="n">
        <v>62</v>
      </c>
    </row>
    <row r="1248" customFormat="false" ht="15" hidden="false" customHeight="false" outlineLevel="0" collapsed="false">
      <c r="A1248" s="0" t="s">
        <v>8</v>
      </c>
      <c r="B1248" s="0" t="s">
        <v>1729</v>
      </c>
      <c r="C1248" s="0" t="s">
        <v>7071</v>
      </c>
    </row>
    <row r="1249" customFormat="false" ht="15" hidden="false" customHeight="false" outlineLevel="0" collapsed="false">
      <c r="A1249" s="0" t="s">
        <v>8</v>
      </c>
      <c r="B1249" s="0" t="s">
        <v>1729</v>
      </c>
      <c r="C1249" s="0" t="s">
        <v>7072</v>
      </c>
    </row>
    <row r="1250" customFormat="false" ht="15" hidden="false" customHeight="false" outlineLevel="0" collapsed="false">
      <c r="A1250" s="0" t="s">
        <v>8</v>
      </c>
      <c r="B1250" s="0" t="s">
        <v>1736</v>
      </c>
      <c r="C1250" s="0" t="s">
        <v>7070</v>
      </c>
      <c r="D1250" s="0" t="n">
        <v>16</v>
      </c>
    </row>
    <row r="1251" customFormat="false" ht="15" hidden="false" customHeight="false" outlineLevel="0" collapsed="false">
      <c r="A1251" s="0" t="s">
        <v>8</v>
      </c>
      <c r="B1251" s="0" t="s">
        <v>1736</v>
      </c>
      <c r="C1251" s="0" t="s">
        <v>7071</v>
      </c>
    </row>
    <row r="1252" customFormat="false" ht="15" hidden="false" customHeight="false" outlineLevel="0" collapsed="false">
      <c r="A1252" s="0" t="s">
        <v>8</v>
      </c>
      <c r="B1252" s="0" t="s">
        <v>1736</v>
      </c>
      <c r="C1252" s="0" t="s">
        <v>7072</v>
      </c>
    </row>
    <row r="1253" customFormat="false" ht="15" hidden="false" customHeight="false" outlineLevel="0" collapsed="false">
      <c r="A1253" s="0" t="s">
        <v>8</v>
      </c>
      <c r="B1253" s="0" t="s">
        <v>1744</v>
      </c>
      <c r="C1253" s="0" t="s">
        <v>7070</v>
      </c>
      <c r="D1253" s="0" t="n">
        <v>20</v>
      </c>
    </row>
    <row r="1254" customFormat="false" ht="15" hidden="false" customHeight="false" outlineLevel="0" collapsed="false">
      <c r="A1254" s="0" t="s">
        <v>8</v>
      </c>
      <c r="B1254" s="0" t="s">
        <v>1744</v>
      </c>
      <c r="C1254" s="0" t="s">
        <v>7071</v>
      </c>
    </row>
    <row r="1255" customFormat="false" ht="15" hidden="false" customHeight="false" outlineLevel="0" collapsed="false">
      <c r="A1255" s="0" t="s">
        <v>8</v>
      </c>
      <c r="B1255" s="0" t="s">
        <v>1744</v>
      </c>
      <c r="C1255" s="0" t="s">
        <v>7072</v>
      </c>
    </row>
    <row r="1256" customFormat="false" ht="15" hidden="false" customHeight="false" outlineLevel="0" collapsed="false">
      <c r="A1256" s="0" t="s">
        <v>8</v>
      </c>
      <c r="B1256" s="0" t="s">
        <v>1749</v>
      </c>
      <c r="C1256" s="0" t="s">
        <v>7070</v>
      </c>
      <c r="D1256" s="0" t="n">
        <v>18</v>
      </c>
    </row>
    <row r="1257" customFormat="false" ht="15" hidden="false" customHeight="false" outlineLevel="0" collapsed="false">
      <c r="A1257" s="0" t="s">
        <v>8</v>
      </c>
      <c r="B1257" s="0" t="s">
        <v>1749</v>
      </c>
      <c r="C1257" s="0" t="s">
        <v>7071</v>
      </c>
    </row>
    <row r="1258" customFormat="false" ht="15" hidden="false" customHeight="false" outlineLevel="0" collapsed="false">
      <c r="A1258" s="0" t="s">
        <v>8</v>
      </c>
      <c r="B1258" s="0" t="s">
        <v>1749</v>
      </c>
      <c r="C1258" s="0" t="s">
        <v>7072</v>
      </c>
    </row>
    <row r="1259" customFormat="false" ht="15" hidden="false" customHeight="false" outlineLevel="0" collapsed="false">
      <c r="A1259" s="0" t="s">
        <v>8</v>
      </c>
      <c r="B1259" s="0" t="s">
        <v>1756</v>
      </c>
      <c r="C1259" s="0" t="s">
        <v>7070</v>
      </c>
      <c r="D1259" s="0" t="n">
        <v>30</v>
      </c>
    </row>
    <row r="1260" customFormat="false" ht="15" hidden="false" customHeight="false" outlineLevel="0" collapsed="false">
      <c r="A1260" s="0" t="s">
        <v>8</v>
      </c>
      <c r="B1260" s="0" t="s">
        <v>1756</v>
      </c>
      <c r="C1260" s="0" t="s">
        <v>7071</v>
      </c>
    </row>
    <row r="1261" customFormat="false" ht="15" hidden="false" customHeight="false" outlineLevel="0" collapsed="false">
      <c r="A1261" s="0" t="s">
        <v>8</v>
      </c>
      <c r="B1261" s="0" t="s">
        <v>1756</v>
      </c>
      <c r="C1261" s="0" t="s">
        <v>7072</v>
      </c>
    </row>
    <row r="1262" customFormat="false" ht="15" hidden="false" customHeight="false" outlineLevel="0" collapsed="false">
      <c r="A1262" s="0" t="s">
        <v>8</v>
      </c>
      <c r="B1262" s="0" t="s">
        <v>1761</v>
      </c>
      <c r="C1262" s="0" t="s">
        <v>7070</v>
      </c>
      <c r="D1262" s="0" t="n">
        <v>10</v>
      </c>
    </row>
    <row r="1263" customFormat="false" ht="15" hidden="false" customHeight="false" outlineLevel="0" collapsed="false">
      <c r="A1263" s="0" t="s">
        <v>8</v>
      </c>
      <c r="B1263" s="0" t="s">
        <v>1761</v>
      </c>
      <c r="C1263" s="0" t="s">
        <v>7071</v>
      </c>
    </row>
    <row r="1264" customFormat="false" ht="15" hidden="false" customHeight="false" outlineLevel="0" collapsed="false">
      <c r="A1264" s="0" t="s">
        <v>8</v>
      </c>
      <c r="B1264" s="0" t="s">
        <v>1761</v>
      </c>
      <c r="C1264" s="0" t="s">
        <v>7072</v>
      </c>
    </row>
    <row r="1265" customFormat="false" ht="15" hidden="false" customHeight="false" outlineLevel="0" collapsed="false">
      <c r="A1265" s="0" t="s">
        <v>8</v>
      </c>
      <c r="B1265" s="0" t="s">
        <v>1766</v>
      </c>
      <c r="C1265" s="0" t="s">
        <v>7070</v>
      </c>
    </row>
    <row r="1266" customFormat="false" ht="15" hidden="false" customHeight="false" outlineLevel="0" collapsed="false">
      <c r="A1266" s="0" t="s">
        <v>8</v>
      </c>
      <c r="B1266" s="0" t="s">
        <v>1766</v>
      </c>
      <c r="C1266" s="0" t="s">
        <v>7071</v>
      </c>
    </row>
    <row r="1267" customFormat="false" ht="15" hidden="false" customHeight="false" outlineLevel="0" collapsed="false">
      <c r="A1267" s="0" t="s">
        <v>8</v>
      </c>
      <c r="B1267" s="0" t="s">
        <v>1766</v>
      </c>
      <c r="C1267" s="0" t="s">
        <v>7072</v>
      </c>
    </row>
    <row r="1268" customFormat="false" ht="15" hidden="false" customHeight="false" outlineLevel="0" collapsed="false">
      <c r="A1268" s="0" t="s">
        <v>8</v>
      </c>
      <c r="B1268" s="0" t="s">
        <v>1774</v>
      </c>
      <c r="C1268" s="0" t="s">
        <v>7070</v>
      </c>
      <c r="D1268" s="0" t="n">
        <v>55.4</v>
      </c>
    </row>
    <row r="1269" customFormat="false" ht="15" hidden="false" customHeight="false" outlineLevel="0" collapsed="false">
      <c r="A1269" s="0" t="s">
        <v>8</v>
      </c>
      <c r="B1269" s="0" t="s">
        <v>1774</v>
      </c>
      <c r="C1269" s="0" t="s">
        <v>7071</v>
      </c>
    </row>
    <row r="1270" customFormat="false" ht="15" hidden="false" customHeight="false" outlineLevel="0" collapsed="false">
      <c r="A1270" s="0" t="s">
        <v>8</v>
      </c>
      <c r="B1270" s="0" t="s">
        <v>1774</v>
      </c>
      <c r="C1270" s="0" t="s">
        <v>7072</v>
      </c>
    </row>
    <row r="1271" customFormat="false" ht="15" hidden="false" customHeight="false" outlineLevel="0" collapsed="false">
      <c r="A1271" s="0" t="s">
        <v>8</v>
      </c>
      <c r="B1271" s="0" t="s">
        <v>1779</v>
      </c>
      <c r="C1271" s="0" t="s">
        <v>7070</v>
      </c>
      <c r="D1271" s="0" t="n">
        <v>15.4</v>
      </c>
    </row>
    <row r="1272" customFormat="false" ht="15" hidden="false" customHeight="false" outlineLevel="0" collapsed="false">
      <c r="A1272" s="0" t="s">
        <v>8</v>
      </c>
      <c r="B1272" s="0" t="s">
        <v>1779</v>
      </c>
      <c r="C1272" s="0" t="s">
        <v>7071</v>
      </c>
    </row>
    <row r="1273" customFormat="false" ht="15" hidden="false" customHeight="false" outlineLevel="0" collapsed="false">
      <c r="A1273" s="0" t="s">
        <v>8</v>
      </c>
      <c r="B1273" s="0" t="s">
        <v>1779</v>
      </c>
      <c r="C1273" s="0" t="s">
        <v>7072</v>
      </c>
    </row>
    <row r="1274" customFormat="false" ht="15" hidden="false" customHeight="false" outlineLevel="0" collapsed="false">
      <c r="A1274" s="0" t="s">
        <v>8</v>
      </c>
      <c r="B1274" s="0" t="s">
        <v>1782</v>
      </c>
      <c r="C1274" s="0" t="s">
        <v>7070</v>
      </c>
      <c r="D1274" s="0" t="n">
        <v>61.5</v>
      </c>
    </row>
    <row r="1275" customFormat="false" ht="15" hidden="false" customHeight="false" outlineLevel="0" collapsed="false">
      <c r="A1275" s="0" t="s">
        <v>8</v>
      </c>
      <c r="B1275" s="0" t="s">
        <v>1782</v>
      </c>
      <c r="C1275" s="0" t="s">
        <v>7071</v>
      </c>
    </row>
    <row r="1276" customFormat="false" ht="15" hidden="false" customHeight="false" outlineLevel="0" collapsed="false">
      <c r="A1276" s="0" t="s">
        <v>8</v>
      </c>
      <c r="B1276" s="0" t="s">
        <v>1782</v>
      </c>
      <c r="C1276" s="0" t="s">
        <v>7072</v>
      </c>
    </row>
    <row r="1277" customFormat="false" ht="15" hidden="false" customHeight="false" outlineLevel="0" collapsed="false">
      <c r="A1277" s="0" t="s">
        <v>8</v>
      </c>
      <c r="B1277" s="0" t="s">
        <v>1785</v>
      </c>
      <c r="C1277" s="0" t="s">
        <v>7070</v>
      </c>
      <c r="D1277" s="0" t="n">
        <v>14.7</v>
      </c>
    </row>
    <row r="1278" customFormat="false" ht="15" hidden="false" customHeight="false" outlineLevel="0" collapsed="false">
      <c r="A1278" s="0" t="s">
        <v>8</v>
      </c>
      <c r="B1278" s="0" t="s">
        <v>1785</v>
      </c>
      <c r="C1278" s="0" t="s">
        <v>7071</v>
      </c>
    </row>
    <row r="1279" customFormat="false" ht="15" hidden="false" customHeight="false" outlineLevel="0" collapsed="false">
      <c r="A1279" s="0" t="s">
        <v>8</v>
      </c>
      <c r="B1279" s="0" t="s">
        <v>1785</v>
      </c>
      <c r="C1279" s="0" t="s">
        <v>7072</v>
      </c>
    </row>
    <row r="1280" customFormat="false" ht="15" hidden="false" customHeight="false" outlineLevel="0" collapsed="false">
      <c r="A1280" s="0" t="s">
        <v>8</v>
      </c>
      <c r="B1280" s="0" t="s">
        <v>1787</v>
      </c>
      <c r="C1280" s="0" t="s">
        <v>7070</v>
      </c>
      <c r="D1280" s="0" t="n">
        <v>45.5</v>
      </c>
    </row>
    <row r="1281" customFormat="false" ht="15" hidden="false" customHeight="false" outlineLevel="0" collapsed="false">
      <c r="A1281" s="0" t="s">
        <v>8</v>
      </c>
      <c r="B1281" s="0" t="s">
        <v>1787</v>
      </c>
      <c r="C1281" s="0" t="s">
        <v>7071</v>
      </c>
    </row>
    <row r="1282" customFormat="false" ht="15" hidden="false" customHeight="false" outlineLevel="0" collapsed="false">
      <c r="A1282" s="0" t="s">
        <v>8</v>
      </c>
      <c r="B1282" s="0" t="s">
        <v>1787</v>
      </c>
      <c r="C1282" s="0" t="s">
        <v>7072</v>
      </c>
    </row>
    <row r="1283" customFormat="false" ht="15" hidden="false" customHeight="false" outlineLevel="0" collapsed="false">
      <c r="A1283" s="0" t="s">
        <v>8</v>
      </c>
      <c r="B1283" s="0" t="s">
        <v>1790</v>
      </c>
      <c r="C1283" s="0" t="s">
        <v>7070</v>
      </c>
      <c r="D1283" s="0" t="n">
        <v>19</v>
      </c>
    </row>
    <row r="1284" customFormat="false" ht="15" hidden="false" customHeight="false" outlineLevel="0" collapsed="false">
      <c r="A1284" s="0" t="s">
        <v>8</v>
      </c>
      <c r="B1284" s="0" t="s">
        <v>1790</v>
      </c>
      <c r="C1284" s="0" t="s">
        <v>7071</v>
      </c>
    </row>
    <row r="1285" customFormat="false" ht="15" hidden="false" customHeight="false" outlineLevel="0" collapsed="false">
      <c r="A1285" s="0" t="s">
        <v>8</v>
      </c>
      <c r="B1285" s="0" t="s">
        <v>1790</v>
      </c>
      <c r="C1285" s="0" t="s">
        <v>7072</v>
      </c>
    </row>
    <row r="1286" customFormat="false" ht="15" hidden="false" customHeight="false" outlineLevel="0" collapsed="false">
      <c r="A1286" s="0" t="s">
        <v>8</v>
      </c>
      <c r="B1286" s="0" t="s">
        <v>1792</v>
      </c>
      <c r="C1286" s="0" t="s">
        <v>7070</v>
      </c>
      <c r="D1286" s="0" t="n">
        <v>40</v>
      </c>
    </row>
    <row r="1287" customFormat="false" ht="15" hidden="false" customHeight="false" outlineLevel="0" collapsed="false">
      <c r="A1287" s="0" t="s">
        <v>8</v>
      </c>
      <c r="B1287" s="0" t="s">
        <v>1792</v>
      </c>
      <c r="C1287" s="0" t="s">
        <v>7071</v>
      </c>
    </row>
    <row r="1288" customFormat="false" ht="15" hidden="false" customHeight="false" outlineLevel="0" collapsed="false">
      <c r="A1288" s="0" t="s">
        <v>8</v>
      </c>
      <c r="B1288" s="0" t="s">
        <v>1792</v>
      </c>
      <c r="C1288" s="0" t="s">
        <v>7072</v>
      </c>
    </row>
    <row r="1289" customFormat="false" ht="15" hidden="false" customHeight="false" outlineLevel="0" collapsed="false">
      <c r="A1289" s="0" t="s">
        <v>8</v>
      </c>
      <c r="B1289" s="0" t="s">
        <v>1795</v>
      </c>
      <c r="C1289" s="0" t="s">
        <v>7070</v>
      </c>
      <c r="D1289" s="0" t="n">
        <v>11</v>
      </c>
    </row>
    <row r="1290" customFormat="false" ht="15" hidden="false" customHeight="false" outlineLevel="0" collapsed="false">
      <c r="A1290" s="0" t="s">
        <v>8</v>
      </c>
      <c r="B1290" s="0" t="s">
        <v>1795</v>
      </c>
      <c r="C1290" s="0" t="s">
        <v>7071</v>
      </c>
    </row>
    <row r="1291" customFormat="false" ht="15" hidden="false" customHeight="false" outlineLevel="0" collapsed="false">
      <c r="A1291" s="0" t="s">
        <v>8</v>
      </c>
      <c r="B1291" s="0" t="s">
        <v>1795</v>
      </c>
      <c r="C1291" s="0" t="s">
        <v>7072</v>
      </c>
    </row>
    <row r="1292" customFormat="false" ht="15" hidden="false" customHeight="false" outlineLevel="0" collapsed="false">
      <c r="A1292" s="0" t="s">
        <v>8</v>
      </c>
      <c r="B1292" s="0" t="s">
        <v>1797</v>
      </c>
      <c r="C1292" s="0" t="s">
        <v>7070</v>
      </c>
      <c r="D1292" s="0" t="n">
        <v>1.42</v>
      </c>
    </row>
    <row r="1293" customFormat="false" ht="15" hidden="false" customHeight="false" outlineLevel="0" collapsed="false">
      <c r="A1293" s="0" t="s">
        <v>8</v>
      </c>
      <c r="B1293" s="0" t="s">
        <v>1797</v>
      </c>
      <c r="C1293" s="0" t="s">
        <v>7071</v>
      </c>
    </row>
    <row r="1294" customFormat="false" ht="15" hidden="false" customHeight="false" outlineLevel="0" collapsed="false">
      <c r="A1294" s="0" t="s">
        <v>8</v>
      </c>
      <c r="B1294" s="0" t="s">
        <v>1797</v>
      </c>
      <c r="C1294" s="0" t="s">
        <v>7072</v>
      </c>
    </row>
    <row r="1295" customFormat="false" ht="15" hidden="false" customHeight="false" outlineLevel="0" collapsed="false">
      <c r="A1295" s="0" t="s">
        <v>8</v>
      </c>
      <c r="B1295" s="0" t="s">
        <v>1802</v>
      </c>
      <c r="C1295" s="0" t="s">
        <v>7070</v>
      </c>
      <c r="D1295" s="0" t="n">
        <v>0</v>
      </c>
    </row>
    <row r="1296" customFormat="false" ht="15" hidden="false" customHeight="false" outlineLevel="0" collapsed="false">
      <c r="A1296" s="0" t="s">
        <v>8</v>
      </c>
      <c r="B1296" s="0" t="s">
        <v>1802</v>
      </c>
      <c r="C1296" s="0" t="s">
        <v>7071</v>
      </c>
    </row>
    <row r="1297" customFormat="false" ht="15" hidden="false" customHeight="false" outlineLevel="0" collapsed="false">
      <c r="A1297" s="0" t="s">
        <v>8</v>
      </c>
      <c r="B1297" s="0" t="s">
        <v>1802</v>
      </c>
      <c r="C1297" s="0" t="s">
        <v>7072</v>
      </c>
    </row>
    <row r="1298" customFormat="false" ht="15" hidden="false" customHeight="false" outlineLevel="0" collapsed="false">
      <c r="A1298" s="0" t="s">
        <v>8</v>
      </c>
      <c r="B1298" s="0" t="s">
        <v>1808</v>
      </c>
      <c r="C1298" s="0" t="s">
        <v>7070</v>
      </c>
      <c r="D1298" s="0" t="n">
        <v>2.42</v>
      </c>
    </row>
    <row r="1299" customFormat="false" ht="15" hidden="false" customHeight="false" outlineLevel="0" collapsed="false">
      <c r="A1299" s="0" t="s">
        <v>8</v>
      </c>
      <c r="B1299" s="0" t="s">
        <v>1808</v>
      </c>
      <c r="C1299" s="0" t="s">
        <v>7071</v>
      </c>
    </row>
    <row r="1300" customFormat="false" ht="15" hidden="false" customHeight="false" outlineLevel="0" collapsed="false">
      <c r="A1300" s="0" t="s">
        <v>8</v>
      </c>
      <c r="B1300" s="0" t="s">
        <v>1808</v>
      </c>
      <c r="C1300" s="0" t="s">
        <v>7072</v>
      </c>
    </row>
    <row r="1301" customFormat="false" ht="15" hidden="false" customHeight="false" outlineLevel="0" collapsed="false">
      <c r="A1301" s="0" t="s">
        <v>8</v>
      </c>
      <c r="B1301" s="0" t="s">
        <v>1814</v>
      </c>
      <c r="C1301" s="0" t="s">
        <v>7070</v>
      </c>
    </row>
    <row r="1302" customFormat="false" ht="15" hidden="false" customHeight="false" outlineLevel="0" collapsed="false">
      <c r="A1302" s="0" t="s">
        <v>8</v>
      </c>
      <c r="B1302" s="0" t="s">
        <v>1814</v>
      </c>
      <c r="C1302" s="0" t="s">
        <v>7071</v>
      </c>
    </row>
    <row r="1303" customFormat="false" ht="15" hidden="false" customHeight="false" outlineLevel="0" collapsed="false">
      <c r="A1303" s="0" t="s">
        <v>8</v>
      </c>
      <c r="B1303" s="0" t="s">
        <v>1814</v>
      </c>
      <c r="C1303" s="0" t="s">
        <v>7072</v>
      </c>
    </row>
    <row r="1304" customFormat="false" ht="15" hidden="false" customHeight="false" outlineLevel="0" collapsed="false">
      <c r="A1304" s="0" t="s">
        <v>8</v>
      </c>
      <c r="B1304" s="0" t="s">
        <v>1823</v>
      </c>
      <c r="C1304" s="0" t="s">
        <v>7070</v>
      </c>
      <c r="D1304" s="0" t="n">
        <v>2.58</v>
      </c>
    </row>
    <row r="1305" customFormat="false" ht="15" hidden="false" customHeight="false" outlineLevel="0" collapsed="false">
      <c r="A1305" s="0" t="s">
        <v>8</v>
      </c>
      <c r="B1305" s="0" t="s">
        <v>1823</v>
      </c>
      <c r="C1305" s="0" t="s">
        <v>7071</v>
      </c>
      <c r="D1305" s="0" t="n">
        <v>2.58</v>
      </c>
    </row>
    <row r="1306" customFormat="false" ht="15" hidden="false" customHeight="false" outlineLevel="0" collapsed="false">
      <c r="A1306" s="0" t="s">
        <v>8</v>
      </c>
      <c r="B1306" s="0" t="s">
        <v>1823</v>
      </c>
      <c r="C1306" s="0" t="s">
        <v>7072</v>
      </c>
      <c r="D1306" s="0" t="n">
        <v>2.58</v>
      </c>
    </row>
    <row r="1307" customFormat="false" ht="15" hidden="false" customHeight="false" outlineLevel="0" collapsed="false">
      <c r="A1307" s="0" t="s">
        <v>8</v>
      </c>
      <c r="B1307" s="0" t="s">
        <v>1832</v>
      </c>
      <c r="C1307" s="0" t="s">
        <v>7070</v>
      </c>
      <c r="D1307" s="0" t="n">
        <v>46.7</v>
      </c>
    </row>
    <row r="1308" customFormat="false" ht="15" hidden="false" customHeight="false" outlineLevel="0" collapsed="false">
      <c r="A1308" s="0" t="s">
        <v>8</v>
      </c>
      <c r="B1308" s="0" t="s">
        <v>1832</v>
      </c>
      <c r="C1308" s="0" t="s">
        <v>7071</v>
      </c>
      <c r="D1308" s="0" t="n">
        <v>46.7</v>
      </c>
    </row>
    <row r="1309" customFormat="false" ht="15" hidden="false" customHeight="false" outlineLevel="0" collapsed="false">
      <c r="A1309" s="0" t="s">
        <v>8</v>
      </c>
      <c r="B1309" s="0" t="s">
        <v>1832</v>
      </c>
      <c r="C1309" s="0" t="s">
        <v>7072</v>
      </c>
      <c r="D1309" s="0" t="n">
        <v>46.7</v>
      </c>
    </row>
    <row r="1310" customFormat="false" ht="15" hidden="false" customHeight="false" outlineLevel="0" collapsed="false">
      <c r="A1310" s="0" t="s">
        <v>8</v>
      </c>
      <c r="B1310" s="0" t="s">
        <v>1836</v>
      </c>
      <c r="C1310" s="0" t="s">
        <v>7070</v>
      </c>
      <c r="D1310" s="0" t="n">
        <v>5.5</v>
      </c>
    </row>
    <row r="1311" customFormat="false" ht="15" hidden="false" customHeight="false" outlineLevel="0" collapsed="false">
      <c r="A1311" s="0" t="s">
        <v>8</v>
      </c>
      <c r="B1311" s="0" t="s">
        <v>1836</v>
      </c>
      <c r="C1311" s="0" t="s">
        <v>7071</v>
      </c>
      <c r="D1311" s="0" t="n">
        <v>4</v>
      </c>
    </row>
    <row r="1312" customFormat="false" ht="15" hidden="false" customHeight="false" outlineLevel="0" collapsed="false">
      <c r="A1312" s="0" t="s">
        <v>8</v>
      </c>
      <c r="B1312" s="0" t="s">
        <v>1836</v>
      </c>
      <c r="C1312" s="0" t="s">
        <v>7072</v>
      </c>
      <c r="D1312" s="0" t="n">
        <v>7</v>
      </c>
    </row>
    <row r="1313" customFormat="false" ht="15" hidden="false" customHeight="false" outlineLevel="0" collapsed="false">
      <c r="A1313" s="0" t="s">
        <v>8</v>
      </c>
      <c r="B1313" s="0" t="s">
        <v>1841</v>
      </c>
      <c r="C1313" s="0" t="s">
        <v>7070</v>
      </c>
      <c r="D1313" s="0" t="n">
        <v>4</v>
      </c>
    </row>
    <row r="1314" customFormat="false" ht="15" hidden="false" customHeight="false" outlineLevel="0" collapsed="false">
      <c r="A1314" s="0" t="s">
        <v>8</v>
      </c>
      <c r="B1314" s="0" t="s">
        <v>1841</v>
      </c>
      <c r="C1314" s="0" t="s">
        <v>7071</v>
      </c>
      <c r="D1314" s="0" t="n">
        <v>4</v>
      </c>
    </row>
    <row r="1315" customFormat="false" ht="15" hidden="false" customHeight="false" outlineLevel="0" collapsed="false">
      <c r="A1315" s="0" t="s">
        <v>8</v>
      </c>
      <c r="B1315" s="0" t="s">
        <v>1841</v>
      </c>
      <c r="C1315" s="0" t="s">
        <v>7072</v>
      </c>
      <c r="D1315" s="0" t="n">
        <v>5</v>
      </c>
    </row>
    <row r="1316" customFormat="false" ht="15" hidden="false" customHeight="false" outlineLevel="0" collapsed="false">
      <c r="A1316" s="0" t="s">
        <v>8</v>
      </c>
      <c r="B1316" s="0" t="s">
        <v>1850</v>
      </c>
      <c r="C1316" s="0" t="s">
        <v>7070</v>
      </c>
      <c r="D1316" s="0" t="n">
        <v>75</v>
      </c>
    </row>
    <row r="1317" customFormat="false" ht="15" hidden="false" customHeight="false" outlineLevel="0" collapsed="false">
      <c r="A1317" s="0" t="s">
        <v>8</v>
      </c>
      <c r="B1317" s="0" t="s">
        <v>1850</v>
      </c>
      <c r="C1317" s="0" t="s">
        <v>7071</v>
      </c>
    </row>
    <row r="1318" customFormat="false" ht="15" hidden="false" customHeight="false" outlineLevel="0" collapsed="false">
      <c r="A1318" s="0" t="s">
        <v>8</v>
      </c>
      <c r="B1318" s="0" t="s">
        <v>1850</v>
      </c>
      <c r="C1318" s="0" t="s">
        <v>7072</v>
      </c>
    </row>
    <row r="1319" customFormat="false" ht="15" hidden="false" customHeight="false" outlineLevel="0" collapsed="false">
      <c r="A1319" s="0" t="s">
        <v>8</v>
      </c>
      <c r="B1319" s="0" t="s">
        <v>1859</v>
      </c>
      <c r="C1319" s="0" t="s">
        <v>7070</v>
      </c>
      <c r="D1319" s="0" t="n">
        <v>54.5</v>
      </c>
    </row>
    <row r="1320" customFormat="false" ht="15" hidden="false" customHeight="false" outlineLevel="0" collapsed="false">
      <c r="A1320" s="0" t="s">
        <v>8</v>
      </c>
      <c r="B1320" s="0" t="s">
        <v>1859</v>
      </c>
      <c r="C1320" s="0" t="s">
        <v>7071</v>
      </c>
    </row>
    <row r="1321" customFormat="false" ht="15" hidden="false" customHeight="false" outlineLevel="0" collapsed="false">
      <c r="A1321" s="0" t="s">
        <v>8</v>
      </c>
      <c r="B1321" s="0" t="s">
        <v>1859</v>
      </c>
      <c r="C1321" s="0" t="s">
        <v>7072</v>
      </c>
    </row>
    <row r="1322" customFormat="false" ht="15" hidden="false" customHeight="false" outlineLevel="0" collapsed="false">
      <c r="A1322" s="0" t="s">
        <v>8</v>
      </c>
      <c r="B1322" s="0" t="s">
        <v>1863</v>
      </c>
      <c r="C1322" s="0" t="s">
        <v>7070</v>
      </c>
      <c r="D1322" s="0" t="n">
        <v>33.1</v>
      </c>
    </row>
    <row r="1323" customFormat="false" ht="15" hidden="false" customHeight="false" outlineLevel="0" collapsed="false">
      <c r="A1323" s="0" t="s">
        <v>8</v>
      </c>
      <c r="B1323" s="0" t="s">
        <v>1863</v>
      </c>
      <c r="C1323" s="0" t="s">
        <v>7071</v>
      </c>
    </row>
    <row r="1324" customFormat="false" ht="15" hidden="false" customHeight="false" outlineLevel="0" collapsed="false">
      <c r="A1324" s="0" t="s">
        <v>8</v>
      </c>
      <c r="B1324" s="0" t="s">
        <v>1863</v>
      </c>
      <c r="C1324" s="0" t="s">
        <v>7072</v>
      </c>
    </row>
    <row r="1325" customFormat="false" ht="15" hidden="false" customHeight="false" outlineLevel="0" collapsed="false">
      <c r="A1325" s="0" t="s">
        <v>8</v>
      </c>
      <c r="B1325" s="0" t="s">
        <v>1866</v>
      </c>
      <c r="C1325" s="0" t="s">
        <v>7070</v>
      </c>
      <c r="D1325" s="0" t="n">
        <v>53.6</v>
      </c>
    </row>
    <row r="1326" customFormat="false" ht="15" hidden="false" customHeight="false" outlineLevel="0" collapsed="false">
      <c r="A1326" s="0" t="s">
        <v>8</v>
      </c>
      <c r="B1326" s="0" t="s">
        <v>1866</v>
      </c>
      <c r="C1326" s="0" t="s">
        <v>7071</v>
      </c>
    </row>
    <row r="1327" customFormat="false" ht="15" hidden="false" customHeight="false" outlineLevel="0" collapsed="false">
      <c r="A1327" s="0" t="s">
        <v>8</v>
      </c>
      <c r="B1327" s="0" t="s">
        <v>1866</v>
      </c>
      <c r="C1327" s="0" t="s">
        <v>7072</v>
      </c>
    </row>
    <row r="1328" customFormat="false" ht="15" hidden="false" customHeight="false" outlineLevel="0" collapsed="false">
      <c r="A1328" s="0" t="s">
        <v>8</v>
      </c>
      <c r="B1328" s="0" t="s">
        <v>1869</v>
      </c>
      <c r="C1328" s="0" t="s">
        <v>7070</v>
      </c>
      <c r="D1328" s="0" t="n">
        <v>16.4</v>
      </c>
    </row>
    <row r="1329" customFormat="false" ht="15" hidden="false" customHeight="false" outlineLevel="0" collapsed="false">
      <c r="A1329" s="0" t="s">
        <v>8</v>
      </c>
      <c r="B1329" s="0" t="s">
        <v>1869</v>
      </c>
      <c r="C1329" s="0" t="s">
        <v>7071</v>
      </c>
    </row>
    <row r="1330" customFormat="false" ht="15" hidden="false" customHeight="false" outlineLevel="0" collapsed="false">
      <c r="A1330" s="0" t="s">
        <v>8</v>
      </c>
      <c r="B1330" s="0" t="s">
        <v>1869</v>
      </c>
      <c r="C1330" s="0" t="s">
        <v>7072</v>
      </c>
    </row>
    <row r="1331" customFormat="false" ht="15" hidden="false" customHeight="false" outlineLevel="0" collapsed="false">
      <c r="A1331" s="0" t="s">
        <v>8</v>
      </c>
      <c r="B1331" s="0" t="s">
        <v>1871</v>
      </c>
      <c r="C1331" s="0" t="s">
        <v>7070</v>
      </c>
      <c r="D1331" s="0" t="n">
        <v>47.3</v>
      </c>
    </row>
    <row r="1332" customFormat="false" ht="15" hidden="false" customHeight="false" outlineLevel="0" collapsed="false">
      <c r="A1332" s="0" t="s">
        <v>8</v>
      </c>
      <c r="B1332" s="0" t="s">
        <v>1871</v>
      </c>
      <c r="C1332" s="0" t="s">
        <v>7071</v>
      </c>
    </row>
    <row r="1333" customFormat="false" ht="15" hidden="false" customHeight="false" outlineLevel="0" collapsed="false">
      <c r="A1333" s="0" t="s">
        <v>8</v>
      </c>
      <c r="B1333" s="0" t="s">
        <v>1871</v>
      </c>
      <c r="C1333" s="0" t="s">
        <v>7072</v>
      </c>
    </row>
    <row r="1334" customFormat="false" ht="15" hidden="false" customHeight="false" outlineLevel="0" collapsed="false">
      <c r="A1334" s="0" t="s">
        <v>8</v>
      </c>
      <c r="B1334" s="0" t="s">
        <v>1874</v>
      </c>
      <c r="C1334" s="0" t="s">
        <v>7070</v>
      </c>
      <c r="D1334" s="0" t="n">
        <v>15.6</v>
      </c>
    </row>
    <row r="1335" customFormat="false" ht="15" hidden="false" customHeight="false" outlineLevel="0" collapsed="false">
      <c r="A1335" s="0" t="s">
        <v>8</v>
      </c>
      <c r="B1335" s="0" t="s">
        <v>1874</v>
      </c>
      <c r="C1335" s="0" t="s">
        <v>7071</v>
      </c>
    </row>
    <row r="1336" customFormat="false" ht="15" hidden="false" customHeight="false" outlineLevel="0" collapsed="false">
      <c r="A1336" s="0" t="s">
        <v>8</v>
      </c>
      <c r="B1336" s="0" t="s">
        <v>1874</v>
      </c>
      <c r="C1336" s="0" t="s">
        <v>7072</v>
      </c>
    </row>
    <row r="1337" customFormat="false" ht="15" hidden="false" customHeight="false" outlineLevel="0" collapsed="false">
      <c r="A1337" s="0" t="s">
        <v>8</v>
      </c>
      <c r="B1337" s="0" t="s">
        <v>1876</v>
      </c>
      <c r="C1337" s="0" t="s">
        <v>7070</v>
      </c>
      <c r="D1337" s="0" t="n">
        <v>50.2</v>
      </c>
    </row>
    <row r="1338" customFormat="false" ht="15" hidden="false" customHeight="false" outlineLevel="0" collapsed="false">
      <c r="A1338" s="0" t="s">
        <v>8</v>
      </c>
      <c r="B1338" s="0" t="s">
        <v>1876</v>
      </c>
      <c r="C1338" s="0" t="s">
        <v>7071</v>
      </c>
    </row>
    <row r="1339" customFormat="false" ht="15" hidden="false" customHeight="false" outlineLevel="0" collapsed="false">
      <c r="A1339" s="0" t="s">
        <v>8</v>
      </c>
      <c r="B1339" s="0" t="s">
        <v>1876</v>
      </c>
      <c r="C1339" s="0" t="s">
        <v>7072</v>
      </c>
    </row>
    <row r="1340" customFormat="false" ht="15" hidden="false" customHeight="false" outlineLevel="0" collapsed="false">
      <c r="A1340" s="0" t="s">
        <v>8</v>
      </c>
      <c r="B1340" s="0" t="s">
        <v>1879</v>
      </c>
      <c r="C1340" s="0" t="s">
        <v>7070</v>
      </c>
      <c r="D1340" s="0" t="n">
        <v>13.4</v>
      </c>
    </row>
    <row r="1341" customFormat="false" ht="15" hidden="false" customHeight="false" outlineLevel="0" collapsed="false">
      <c r="A1341" s="0" t="s">
        <v>8</v>
      </c>
      <c r="B1341" s="0" t="s">
        <v>1879</v>
      </c>
      <c r="C1341" s="0" t="s">
        <v>7071</v>
      </c>
    </row>
    <row r="1342" customFormat="false" ht="15" hidden="false" customHeight="false" outlineLevel="0" collapsed="false">
      <c r="A1342" s="0" t="s">
        <v>8</v>
      </c>
      <c r="B1342" s="0" t="s">
        <v>1879</v>
      </c>
      <c r="C1342" s="0" t="s">
        <v>7072</v>
      </c>
    </row>
    <row r="1343" customFormat="false" ht="15" hidden="false" customHeight="false" outlineLevel="0" collapsed="false">
      <c r="A1343" s="0" t="s">
        <v>8</v>
      </c>
      <c r="B1343" s="0" t="s">
        <v>1881</v>
      </c>
      <c r="C1343" s="0" t="s">
        <v>7070</v>
      </c>
      <c r="D1343" s="0" t="n">
        <v>15.52</v>
      </c>
    </row>
    <row r="1344" customFormat="false" ht="15" hidden="false" customHeight="false" outlineLevel="0" collapsed="false">
      <c r="A1344" s="0" t="s">
        <v>8</v>
      </c>
      <c r="B1344" s="0" t="s">
        <v>1881</v>
      </c>
      <c r="C1344" s="0" t="s">
        <v>7071</v>
      </c>
    </row>
    <row r="1345" customFormat="false" ht="15" hidden="false" customHeight="false" outlineLevel="0" collapsed="false">
      <c r="A1345" s="0" t="s">
        <v>8</v>
      </c>
      <c r="B1345" s="0" t="s">
        <v>1881</v>
      </c>
      <c r="C1345" s="0" t="s">
        <v>7072</v>
      </c>
    </row>
    <row r="1346" customFormat="false" ht="15" hidden="false" customHeight="false" outlineLevel="0" collapsed="false">
      <c r="A1346" s="0" t="s">
        <v>8</v>
      </c>
      <c r="B1346" s="0" t="s">
        <v>1885</v>
      </c>
      <c r="C1346" s="0" t="s">
        <v>7070</v>
      </c>
      <c r="D1346" s="0" t="n">
        <v>15.53</v>
      </c>
    </row>
    <row r="1347" customFormat="false" ht="15" hidden="false" customHeight="false" outlineLevel="0" collapsed="false">
      <c r="A1347" s="0" t="s">
        <v>8</v>
      </c>
      <c r="B1347" s="0" t="s">
        <v>1885</v>
      </c>
      <c r="C1347" s="0" t="s">
        <v>7071</v>
      </c>
    </row>
    <row r="1348" customFormat="false" ht="15" hidden="false" customHeight="false" outlineLevel="0" collapsed="false">
      <c r="A1348" s="0" t="s">
        <v>8</v>
      </c>
      <c r="B1348" s="0" t="s">
        <v>1885</v>
      </c>
      <c r="C1348" s="0" t="s">
        <v>7072</v>
      </c>
    </row>
    <row r="1349" customFormat="false" ht="15" hidden="false" customHeight="false" outlineLevel="0" collapsed="false">
      <c r="A1349" s="0" t="s">
        <v>8</v>
      </c>
      <c r="B1349" s="0" t="s">
        <v>1890</v>
      </c>
      <c r="C1349" s="0" t="s">
        <v>7070</v>
      </c>
      <c r="D1349" s="0" t="n">
        <v>11.45</v>
      </c>
    </row>
    <row r="1350" customFormat="false" ht="15" hidden="false" customHeight="false" outlineLevel="0" collapsed="false">
      <c r="A1350" s="0" t="s">
        <v>8</v>
      </c>
      <c r="B1350" s="0" t="s">
        <v>1890</v>
      </c>
      <c r="C1350" s="0" t="s">
        <v>7071</v>
      </c>
    </row>
    <row r="1351" customFormat="false" ht="15" hidden="false" customHeight="false" outlineLevel="0" collapsed="false">
      <c r="A1351" s="0" t="s">
        <v>8</v>
      </c>
      <c r="B1351" s="0" t="s">
        <v>1890</v>
      </c>
      <c r="C1351" s="0" t="s">
        <v>7072</v>
      </c>
    </row>
    <row r="1352" customFormat="false" ht="15" hidden="false" customHeight="false" outlineLevel="0" collapsed="false">
      <c r="A1352" s="0" t="s">
        <v>8</v>
      </c>
      <c r="B1352" s="0" t="s">
        <v>1894</v>
      </c>
      <c r="C1352" s="0" t="s">
        <v>7070</v>
      </c>
      <c r="D1352" s="0" t="n">
        <v>0.15</v>
      </c>
    </row>
    <row r="1353" customFormat="false" ht="15" hidden="false" customHeight="false" outlineLevel="0" collapsed="false">
      <c r="A1353" s="0" t="s">
        <v>8</v>
      </c>
      <c r="B1353" s="0" t="s">
        <v>1894</v>
      </c>
      <c r="C1353" s="0" t="s">
        <v>7071</v>
      </c>
    </row>
    <row r="1354" customFormat="false" ht="15" hidden="false" customHeight="false" outlineLevel="0" collapsed="false">
      <c r="A1354" s="0" t="s">
        <v>8</v>
      </c>
      <c r="B1354" s="0" t="s">
        <v>1894</v>
      </c>
      <c r="C1354" s="0" t="s">
        <v>7072</v>
      </c>
    </row>
    <row r="1355" customFormat="false" ht="15" hidden="false" customHeight="false" outlineLevel="0" collapsed="false">
      <c r="A1355" s="0" t="s">
        <v>8</v>
      </c>
      <c r="B1355" s="0" t="s">
        <v>1897</v>
      </c>
      <c r="C1355" s="0" t="s">
        <v>7070</v>
      </c>
      <c r="D1355" s="0" t="n">
        <v>100000</v>
      </c>
    </row>
    <row r="1356" customFormat="false" ht="15" hidden="false" customHeight="false" outlineLevel="0" collapsed="false">
      <c r="A1356" s="0" t="s">
        <v>8</v>
      </c>
      <c r="B1356" s="0" t="s">
        <v>1897</v>
      </c>
      <c r="C1356" s="0" t="s">
        <v>7071</v>
      </c>
    </row>
    <row r="1357" customFormat="false" ht="15" hidden="false" customHeight="false" outlineLevel="0" collapsed="false">
      <c r="A1357" s="0" t="s">
        <v>8</v>
      </c>
      <c r="B1357" s="0" t="s">
        <v>1897</v>
      </c>
      <c r="C1357" s="0" t="s">
        <v>7072</v>
      </c>
    </row>
    <row r="1358" customFormat="false" ht="15" hidden="false" customHeight="false" outlineLevel="0" collapsed="false">
      <c r="A1358" s="0" t="s">
        <v>8</v>
      </c>
      <c r="B1358" s="0" t="s">
        <v>1904</v>
      </c>
      <c r="C1358" s="0" t="s">
        <v>7070</v>
      </c>
      <c r="D1358" s="0" t="n">
        <v>100000</v>
      </c>
    </row>
    <row r="1359" customFormat="false" ht="15" hidden="false" customHeight="false" outlineLevel="0" collapsed="false">
      <c r="A1359" s="0" t="s">
        <v>8</v>
      </c>
      <c r="B1359" s="0" t="s">
        <v>1904</v>
      </c>
      <c r="C1359" s="0" t="s">
        <v>7071</v>
      </c>
    </row>
    <row r="1360" customFormat="false" ht="15" hidden="false" customHeight="false" outlineLevel="0" collapsed="false">
      <c r="A1360" s="0" t="s">
        <v>8</v>
      </c>
      <c r="B1360" s="0" t="s">
        <v>1904</v>
      </c>
      <c r="C1360" s="0" t="s">
        <v>7072</v>
      </c>
    </row>
    <row r="1361" customFormat="false" ht="15" hidden="false" customHeight="false" outlineLevel="0" collapsed="false">
      <c r="A1361" s="0" t="s">
        <v>8</v>
      </c>
      <c r="B1361" s="0" t="s">
        <v>1911</v>
      </c>
      <c r="C1361" s="0" t="s">
        <v>7070</v>
      </c>
      <c r="D1361" s="0" t="n">
        <v>80</v>
      </c>
    </row>
    <row r="1362" customFormat="false" ht="15" hidden="false" customHeight="false" outlineLevel="0" collapsed="false">
      <c r="A1362" s="0" t="s">
        <v>8</v>
      </c>
      <c r="B1362" s="0" t="s">
        <v>1911</v>
      </c>
      <c r="C1362" s="0" t="s">
        <v>7071</v>
      </c>
    </row>
    <row r="1363" customFormat="false" ht="15" hidden="false" customHeight="false" outlineLevel="0" collapsed="false">
      <c r="A1363" s="0" t="s">
        <v>8</v>
      </c>
      <c r="B1363" s="0" t="s">
        <v>1911</v>
      </c>
      <c r="C1363" s="0" t="s">
        <v>7072</v>
      </c>
    </row>
    <row r="1364" customFormat="false" ht="15" hidden="false" customHeight="false" outlineLevel="0" collapsed="false">
      <c r="A1364" s="0" t="s">
        <v>8</v>
      </c>
      <c r="B1364" s="0" t="s">
        <v>1916</v>
      </c>
      <c r="C1364" s="0" t="s">
        <v>7070</v>
      </c>
      <c r="D1364" s="0" t="n">
        <v>3</v>
      </c>
    </row>
    <row r="1365" customFormat="false" ht="15" hidden="false" customHeight="false" outlineLevel="0" collapsed="false">
      <c r="A1365" s="0" t="s">
        <v>8</v>
      </c>
      <c r="B1365" s="0" t="s">
        <v>1916</v>
      </c>
      <c r="C1365" s="0" t="s">
        <v>7071</v>
      </c>
    </row>
    <row r="1366" customFormat="false" ht="15" hidden="false" customHeight="false" outlineLevel="0" collapsed="false">
      <c r="A1366" s="0" t="s">
        <v>8</v>
      </c>
      <c r="B1366" s="0" t="s">
        <v>1916</v>
      </c>
      <c r="C1366" s="0" t="s">
        <v>7072</v>
      </c>
    </row>
    <row r="1367" customFormat="false" ht="15" hidden="false" customHeight="false" outlineLevel="0" collapsed="false">
      <c r="A1367" s="0" t="s">
        <v>8</v>
      </c>
      <c r="B1367" s="0" t="s">
        <v>1922</v>
      </c>
      <c r="C1367" s="0" t="s">
        <v>7070</v>
      </c>
      <c r="D1367" s="0" t="n">
        <v>14</v>
      </c>
    </row>
    <row r="1368" customFormat="false" ht="15" hidden="false" customHeight="false" outlineLevel="0" collapsed="false">
      <c r="A1368" s="0" t="s">
        <v>8</v>
      </c>
      <c r="B1368" s="0" t="s">
        <v>1922</v>
      </c>
      <c r="C1368" s="0" t="s">
        <v>7071</v>
      </c>
    </row>
    <row r="1369" customFormat="false" ht="15" hidden="false" customHeight="false" outlineLevel="0" collapsed="false">
      <c r="A1369" s="0" t="s">
        <v>8</v>
      </c>
      <c r="B1369" s="0" t="s">
        <v>1922</v>
      </c>
      <c r="C1369" s="0" t="s">
        <v>7072</v>
      </c>
    </row>
    <row r="1370" customFormat="false" ht="15" hidden="false" customHeight="false" outlineLevel="0" collapsed="false">
      <c r="A1370" s="0" t="s">
        <v>8</v>
      </c>
      <c r="B1370" s="0" t="s">
        <v>1927</v>
      </c>
      <c r="C1370" s="0" t="s">
        <v>7070</v>
      </c>
      <c r="D1370" s="0" t="n">
        <v>50</v>
      </c>
    </row>
    <row r="1371" customFormat="false" ht="15" hidden="false" customHeight="false" outlineLevel="0" collapsed="false">
      <c r="A1371" s="0" t="s">
        <v>8</v>
      </c>
      <c r="B1371" s="0" t="s">
        <v>1927</v>
      </c>
      <c r="C1371" s="0" t="s">
        <v>7071</v>
      </c>
    </row>
    <row r="1372" customFormat="false" ht="15" hidden="false" customHeight="false" outlineLevel="0" collapsed="false">
      <c r="A1372" s="0" t="s">
        <v>8</v>
      </c>
      <c r="B1372" s="0" t="s">
        <v>1927</v>
      </c>
      <c r="C1372" s="0" t="s">
        <v>7072</v>
      </c>
    </row>
    <row r="1373" customFormat="false" ht="15" hidden="false" customHeight="false" outlineLevel="0" collapsed="false">
      <c r="A1373" s="0" t="s">
        <v>8</v>
      </c>
      <c r="B1373" s="0" t="s">
        <v>1931</v>
      </c>
      <c r="C1373" s="0" t="s">
        <v>7070</v>
      </c>
      <c r="D1373" s="0" t="n">
        <v>1</v>
      </c>
    </row>
    <row r="1374" customFormat="false" ht="15" hidden="false" customHeight="false" outlineLevel="0" collapsed="false">
      <c r="A1374" s="0" t="s">
        <v>8</v>
      </c>
      <c r="B1374" s="0" t="s">
        <v>1931</v>
      </c>
      <c r="C1374" s="0" t="s">
        <v>7071</v>
      </c>
    </row>
    <row r="1375" customFormat="false" ht="15" hidden="false" customHeight="false" outlineLevel="0" collapsed="false">
      <c r="A1375" s="0" t="s">
        <v>8</v>
      </c>
      <c r="B1375" s="0" t="s">
        <v>1931</v>
      </c>
      <c r="C1375" s="0" t="s">
        <v>7072</v>
      </c>
    </row>
    <row r="1376" customFormat="false" ht="15" hidden="false" customHeight="false" outlineLevel="0" collapsed="false">
      <c r="A1376" s="0" t="s">
        <v>8</v>
      </c>
      <c r="B1376" s="0" t="s">
        <v>1940</v>
      </c>
      <c r="C1376" s="0" t="s">
        <v>7070</v>
      </c>
    </row>
    <row r="1377" customFormat="false" ht="15" hidden="false" customHeight="false" outlineLevel="0" collapsed="false">
      <c r="A1377" s="0" t="s">
        <v>8</v>
      </c>
      <c r="B1377" s="0" t="s">
        <v>1940</v>
      </c>
      <c r="C1377" s="0" t="s">
        <v>7071</v>
      </c>
    </row>
    <row r="1378" customFormat="false" ht="15" hidden="false" customHeight="false" outlineLevel="0" collapsed="false">
      <c r="A1378" s="0" t="s">
        <v>8</v>
      </c>
      <c r="B1378" s="0" t="s">
        <v>1940</v>
      </c>
      <c r="C1378" s="0" t="s">
        <v>7072</v>
      </c>
    </row>
    <row r="1379" customFormat="false" ht="15" hidden="false" customHeight="false" outlineLevel="0" collapsed="false">
      <c r="A1379" s="0" t="s">
        <v>8</v>
      </c>
      <c r="B1379" s="0" t="s">
        <v>1945</v>
      </c>
      <c r="C1379" s="0" t="s">
        <v>7070</v>
      </c>
      <c r="D1379" s="0" t="n">
        <v>5</v>
      </c>
    </row>
    <row r="1380" customFormat="false" ht="15" hidden="false" customHeight="false" outlineLevel="0" collapsed="false">
      <c r="A1380" s="0" t="s">
        <v>8</v>
      </c>
      <c r="B1380" s="0" t="s">
        <v>1945</v>
      </c>
      <c r="C1380" s="0" t="s">
        <v>7071</v>
      </c>
    </row>
    <row r="1381" customFormat="false" ht="15" hidden="false" customHeight="false" outlineLevel="0" collapsed="false">
      <c r="A1381" s="0" t="s">
        <v>8</v>
      </c>
      <c r="B1381" s="0" t="s">
        <v>1945</v>
      </c>
      <c r="C1381" s="0" t="s">
        <v>7072</v>
      </c>
    </row>
    <row r="1382" customFormat="false" ht="15" hidden="false" customHeight="false" outlineLevel="0" collapsed="false">
      <c r="A1382" s="0" t="s">
        <v>8</v>
      </c>
      <c r="B1382" s="0" t="s">
        <v>1954</v>
      </c>
      <c r="C1382" s="0" t="s">
        <v>7070</v>
      </c>
      <c r="D1382" s="0" t="n">
        <v>50</v>
      </c>
    </row>
    <row r="1383" customFormat="false" ht="15" hidden="false" customHeight="false" outlineLevel="0" collapsed="false">
      <c r="A1383" s="0" t="s">
        <v>8</v>
      </c>
      <c r="B1383" s="0" t="s">
        <v>1954</v>
      </c>
      <c r="C1383" s="0" t="s">
        <v>7071</v>
      </c>
    </row>
    <row r="1384" customFormat="false" ht="15" hidden="false" customHeight="false" outlineLevel="0" collapsed="false">
      <c r="A1384" s="0" t="s">
        <v>8</v>
      </c>
      <c r="B1384" s="0" t="s">
        <v>1954</v>
      </c>
      <c r="C1384" s="0" t="s">
        <v>7072</v>
      </c>
    </row>
    <row r="1385" customFormat="false" ht="15" hidden="false" customHeight="false" outlineLevel="0" collapsed="false">
      <c r="A1385" s="0" t="s">
        <v>8</v>
      </c>
      <c r="B1385" s="0" t="s">
        <v>1959</v>
      </c>
      <c r="C1385" s="0" t="s">
        <v>7070</v>
      </c>
      <c r="D1385" s="0" t="n">
        <v>7.47</v>
      </c>
    </row>
    <row r="1386" customFormat="false" ht="15" hidden="false" customHeight="false" outlineLevel="0" collapsed="false">
      <c r="A1386" s="0" t="s">
        <v>8</v>
      </c>
      <c r="B1386" s="0" t="s">
        <v>1959</v>
      </c>
      <c r="C1386" s="0" t="s">
        <v>7071</v>
      </c>
      <c r="D1386" s="0" t="n">
        <v>7.03</v>
      </c>
    </row>
    <row r="1387" customFormat="false" ht="15" hidden="false" customHeight="false" outlineLevel="0" collapsed="false">
      <c r="A1387" s="0" t="s">
        <v>8</v>
      </c>
      <c r="B1387" s="0" t="s">
        <v>1959</v>
      </c>
      <c r="C1387" s="0" t="s">
        <v>7072</v>
      </c>
      <c r="D1387" s="0" t="n">
        <v>8.16</v>
      </c>
    </row>
    <row r="1388" customFormat="false" ht="15" hidden="false" customHeight="false" outlineLevel="0" collapsed="false">
      <c r="A1388" s="0" t="s">
        <v>8</v>
      </c>
      <c r="B1388" s="0" t="s">
        <v>1966</v>
      </c>
      <c r="C1388" s="0" t="s">
        <v>7070</v>
      </c>
      <c r="D1388" s="0" t="n">
        <v>43000</v>
      </c>
    </row>
    <row r="1389" customFormat="false" ht="15" hidden="false" customHeight="false" outlineLevel="0" collapsed="false">
      <c r="A1389" s="0" t="s">
        <v>8</v>
      </c>
      <c r="B1389" s="0" t="s">
        <v>1966</v>
      </c>
      <c r="C1389" s="0" t="s">
        <v>7071</v>
      </c>
      <c r="D1389" s="0" t="n">
        <v>40500</v>
      </c>
    </row>
    <row r="1390" customFormat="false" ht="15" hidden="false" customHeight="false" outlineLevel="0" collapsed="false">
      <c r="A1390" s="0" t="s">
        <v>8</v>
      </c>
      <c r="B1390" s="0" t="s">
        <v>1966</v>
      </c>
      <c r="C1390" s="0" t="s">
        <v>7072</v>
      </c>
      <c r="D1390" s="0" t="n">
        <v>47000</v>
      </c>
    </row>
    <row r="1391" customFormat="false" ht="15" hidden="false" customHeight="false" outlineLevel="0" collapsed="false">
      <c r="A1391" s="0" t="s">
        <v>8</v>
      </c>
      <c r="B1391" s="0" t="s">
        <v>1971</v>
      </c>
      <c r="C1391" s="0" t="s">
        <v>7070</v>
      </c>
      <c r="D1391" s="0" t="n">
        <v>35000</v>
      </c>
    </row>
    <row r="1392" customFormat="false" ht="15" hidden="false" customHeight="false" outlineLevel="0" collapsed="false">
      <c r="A1392" s="0" t="s">
        <v>8</v>
      </c>
      <c r="B1392" s="0" t="s">
        <v>1971</v>
      </c>
      <c r="C1392" s="0" t="s">
        <v>7071</v>
      </c>
      <c r="D1392" s="0" t="n">
        <v>34000</v>
      </c>
    </row>
    <row r="1393" customFormat="false" ht="15" hidden="false" customHeight="false" outlineLevel="0" collapsed="false">
      <c r="A1393" s="0" t="s">
        <v>8</v>
      </c>
      <c r="B1393" s="0" t="s">
        <v>1971</v>
      </c>
      <c r="C1393" s="0" t="s">
        <v>7072</v>
      </c>
      <c r="D1393" s="0" t="n">
        <v>35000</v>
      </c>
    </row>
    <row r="1394" customFormat="false" ht="15" hidden="false" customHeight="false" outlineLevel="0" collapsed="false">
      <c r="A1394" s="0" t="s">
        <v>8</v>
      </c>
      <c r="B1394" s="0" t="s">
        <v>1977</v>
      </c>
      <c r="C1394" s="0" t="s">
        <v>7070</v>
      </c>
      <c r="D1394" s="0" t="n">
        <v>78000</v>
      </c>
    </row>
    <row r="1395" customFormat="false" ht="15" hidden="false" customHeight="false" outlineLevel="0" collapsed="false">
      <c r="A1395" s="0" t="s">
        <v>8</v>
      </c>
      <c r="B1395" s="0" t="s">
        <v>1977</v>
      </c>
      <c r="C1395" s="0" t="s">
        <v>7071</v>
      </c>
      <c r="D1395" s="0" t="n">
        <v>78000</v>
      </c>
    </row>
    <row r="1396" customFormat="false" ht="15" hidden="false" customHeight="false" outlineLevel="0" collapsed="false">
      <c r="A1396" s="0" t="s">
        <v>8</v>
      </c>
      <c r="B1396" s="0" t="s">
        <v>1977</v>
      </c>
      <c r="C1396" s="0" t="s">
        <v>7072</v>
      </c>
      <c r="D1396" s="0" t="n">
        <v>85000</v>
      </c>
    </row>
    <row r="1397" customFormat="false" ht="15" hidden="false" customHeight="false" outlineLevel="0" collapsed="false">
      <c r="A1397" s="0" t="s">
        <v>8</v>
      </c>
      <c r="B1397" s="0" t="s">
        <v>1983</v>
      </c>
      <c r="C1397" s="0" t="s">
        <v>7070</v>
      </c>
      <c r="D1397" s="0" t="n">
        <v>36000</v>
      </c>
    </row>
    <row r="1398" customFormat="false" ht="15" hidden="false" customHeight="false" outlineLevel="0" collapsed="false">
      <c r="A1398" s="0" t="s">
        <v>8</v>
      </c>
      <c r="B1398" s="0" t="s">
        <v>1983</v>
      </c>
      <c r="C1398" s="0" t="s">
        <v>7071</v>
      </c>
      <c r="D1398" s="0" t="n">
        <v>34000</v>
      </c>
    </row>
    <row r="1399" customFormat="false" ht="15" hidden="false" customHeight="false" outlineLevel="0" collapsed="false">
      <c r="A1399" s="0" t="s">
        <v>8</v>
      </c>
      <c r="B1399" s="0" t="s">
        <v>1983</v>
      </c>
      <c r="C1399" s="0" t="s">
        <v>7072</v>
      </c>
      <c r="D1399" s="0" t="n">
        <v>36000</v>
      </c>
    </row>
    <row r="1400" customFormat="false" ht="15" hidden="false" customHeight="false" outlineLevel="0" collapsed="false">
      <c r="A1400" s="0" t="s">
        <v>8</v>
      </c>
      <c r="B1400" s="0" t="s">
        <v>1987</v>
      </c>
      <c r="C1400" s="0" t="s">
        <v>7070</v>
      </c>
      <c r="D1400" s="0" t="n">
        <v>85000</v>
      </c>
    </row>
    <row r="1401" customFormat="false" ht="15" hidden="false" customHeight="false" outlineLevel="0" collapsed="false">
      <c r="A1401" s="0" t="s">
        <v>8</v>
      </c>
      <c r="B1401" s="0" t="s">
        <v>1987</v>
      </c>
      <c r="C1401" s="0" t="s">
        <v>7071</v>
      </c>
      <c r="D1401" s="0" t="n">
        <v>75000</v>
      </c>
    </row>
    <row r="1402" customFormat="false" ht="15" hidden="false" customHeight="false" outlineLevel="0" collapsed="false">
      <c r="A1402" s="0" t="s">
        <v>8</v>
      </c>
      <c r="B1402" s="0" t="s">
        <v>1987</v>
      </c>
      <c r="C1402" s="0" t="s">
        <v>7072</v>
      </c>
      <c r="D1402" s="0" t="n">
        <v>85000</v>
      </c>
    </row>
    <row r="1403" customFormat="false" ht="15" hidden="false" customHeight="false" outlineLevel="0" collapsed="false">
      <c r="A1403" s="0" t="s">
        <v>8</v>
      </c>
      <c r="B1403" s="0" t="s">
        <v>1991</v>
      </c>
      <c r="C1403" s="0" t="s">
        <v>7070</v>
      </c>
      <c r="D1403" s="0" t="n">
        <v>16000</v>
      </c>
    </row>
    <row r="1404" customFormat="false" ht="15" hidden="false" customHeight="false" outlineLevel="0" collapsed="false">
      <c r="A1404" s="0" t="s">
        <v>8</v>
      </c>
      <c r="B1404" s="0" t="s">
        <v>1991</v>
      </c>
      <c r="C1404" s="0" t="s">
        <v>7071</v>
      </c>
      <c r="D1404" s="0" t="n">
        <v>15000</v>
      </c>
    </row>
    <row r="1405" customFormat="false" ht="15" hidden="false" customHeight="false" outlineLevel="0" collapsed="false">
      <c r="A1405" s="0" t="s">
        <v>8</v>
      </c>
      <c r="B1405" s="0" t="s">
        <v>1991</v>
      </c>
      <c r="C1405" s="0" t="s">
        <v>7072</v>
      </c>
      <c r="D1405" s="0" t="n">
        <v>16000</v>
      </c>
    </row>
    <row r="1406" customFormat="false" ht="15" hidden="false" customHeight="false" outlineLevel="0" collapsed="false">
      <c r="A1406" s="0" t="s">
        <v>8</v>
      </c>
      <c r="B1406" s="0" t="s">
        <v>1997</v>
      </c>
      <c r="C1406" s="0" t="s">
        <v>7070</v>
      </c>
      <c r="D1406" s="0" t="n">
        <v>16000</v>
      </c>
    </row>
    <row r="1407" customFormat="false" ht="15" hidden="false" customHeight="false" outlineLevel="0" collapsed="false">
      <c r="A1407" s="0" t="s">
        <v>8</v>
      </c>
      <c r="B1407" s="0" t="s">
        <v>1997</v>
      </c>
      <c r="C1407" s="0" t="s">
        <v>7071</v>
      </c>
      <c r="D1407" s="0" t="n">
        <v>16000</v>
      </c>
    </row>
    <row r="1408" customFormat="false" ht="15" hidden="false" customHeight="false" outlineLevel="0" collapsed="false">
      <c r="A1408" s="0" t="s">
        <v>8</v>
      </c>
      <c r="B1408" s="0" t="s">
        <v>1997</v>
      </c>
      <c r="C1408" s="0" t="s">
        <v>7072</v>
      </c>
      <c r="D1408" s="0" t="n">
        <v>19000</v>
      </c>
    </row>
    <row r="1409" customFormat="false" ht="15" hidden="false" customHeight="false" outlineLevel="0" collapsed="false">
      <c r="A1409" s="0" t="s">
        <v>8</v>
      </c>
      <c r="B1409" s="0" t="s">
        <v>2003</v>
      </c>
      <c r="C1409" s="0" t="s">
        <v>7070</v>
      </c>
      <c r="D1409" s="0" t="n">
        <v>12000</v>
      </c>
    </row>
    <row r="1410" customFormat="false" ht="15" hidden="false" customHeight="false" outlineLevel="0" collapsed="false">
      <c r="A1410" s="0" t="s">
        <v>8</v>
      </c>
      <c r="B1410" s="0" t="s">
        <v>2003</v>
      </c>
      <c r="C1410" s="0" t="s">
        <v>7071</v>
      </c>
      <c r="D1410" s="0" t="n">
        <v>12000</v>
      </c>
    </row>
    <row r="1411" customFormat="false" ht="15" hidden="false" customHeight="false" outlineLevel="0" collapsed="false">
      <c r="A1411" s="0" t="s">
        <v>8</v>
      </c>
      <c r="B1411" s="0" t="s">
        <v>2003</v>
      </c>
      <c r="C1411" s="0" t="s">
        <v>7072</v>
      </c>
      <c r="D1411" s="0" t="n">
        <v>17000</v>
      </c>
    </row>
    <row r="1412" customFormat="false" ht="15" hidden="false" customHeight="false" outlineLevel="0" collapsed="false">
      <c r="A1412" s="0" t="s">
        <v>8</v>
      </c>
      <c r="B1412" s="0" t="s">
        <v>2008</v>
      </c>
      <c r="C1412" s="0" t="s">
        <v>7070</v>
      </c>
      <c r="D1412" s="0" t="n">
        <v>25000</v>
      </c>
    </row>
    <row r="1413" customFormat="false" ht="15" hidden="false" customHeight="false" outlineLevel="0" collapsed="false">
      <c r="A1413" s="0" t="s">
        <v>8</v>
      </c>
      <c r="B1413" s="0" t="s">
        <v>2008</v>
      </c>
      <c r="C1413" s="0" t="s">
        <v>7071</v>
      </c>
      <c r="D1413" s="0" t="n">
        <v>16000</v>
      </c>
    </row>
    <row r="1414" customFormat="false" ht="15" hidden="false" customHeight="false" outlineLevel="0" collapsed="false">
      <c r="A1414" s="0" t="s">
        <v>8</v>
      </c>
      <c r="B1414" s="0" t="s">
        <v>2008</v>
      </c>
      <c r="C1414" s="0" t="s">
        <v>7072</v>
      </c>
      <c r="D1414" s="0" t="n">
        <v>25000</v>
      </c>
    </row>
    <row r="1415" customFormat="false" ht="15" hidden="false" customHeight="false" outlineLevel="0" collapsed="false">
      <c r="A1415" s="0" t="s">
        <v>8</v>
      </c>
      <c r="B1415" s="0" t="s">
        <v>2016</v>
      </c>
      <c r="C1415" s="0" t="s">
        <v>7070</v>
      </c>
      <c r="D1415" s="0" t="n">
        <v>18.75</v>
      </c>
    </row>
    <row r="1416" customFormat="false" ht="15" hidden="false" customHeight="false" outlineLevel="0" collapsed="false">
      <c r="A1416" s="0" t="s">
        <v>8</v>
      </c>
      <c r="B1416" s="0" t="s">
        <v>2016</v>
      </c>
      <c r="C1416" s="0" t="s">
        <v>7071</v>
      </c>
      <c r="D1416" s="0" t="n">
        <v>11.83</v>
      </c>
    </row>
    <row r="1417" customFormat="false" ht="15" hidden="false" customHeight="false" outlineLevel="0" collapsed="false">
      <c r="A1417" s="0" t="s">
        <v>8</v>
      </c>
      <c r="B1417" s="0" t="s">
        <v>2016</v>
      </c>
      <c r="C1417" s="0" t="s">
        <v>7072</v>
      </c>
      <c r="D1417" s="0" t="n">
        <v>18.75</v>
      </c>
    </row>
    <row r="1418" customFormat="false" ht="15" hidden="false" customHeight="false" outlineLevel="0" collapsed="false">
      <c r="A1418" s="0" t="s">
        <v>8</v>
      </c>
      <c r="B1418" s="0" t="s">
        <v>2020</v>
      </c>
      <c r="C1418" s="0" t="s">
        <v>7070</v>
      </c>
      <c r="D1418" s="0" t="n">
        <v>11.83</v>
      </c>
    </row>
    <row r="1419" customFormat="false" ht="15" hidden="false" customHeight="false" outlineLevel="0" collapsed="false">
      <c r="A1419" s="0" t="s">
        <v>8</v>
      </c>
      <c r="B1419" s="0" t="s">
        <v>2020</v>
      </c>
      <c r="C1419" s="0" t="s">
        <v>7071</v>
      </c>
      <c r="D1419" s="0" t="n">
        <v>11.83</v>
      </c>
    </row>
    <row r="1420" customFormat="false" ht="15" hidden="false" customHeight="false" outlineLevel="0" collapsed="false">
      <c r="A1420" s="0" t="s">
        <v>8</v>
      </c>
      <c r="B1420" s="0" t="s">
        <v>2020</v>
      </c>
      <c r="C1420" s="0" t="s">
        <v>7072</v>
      </c>
      <c r="D1420" s="0" t="n">
        <v>18.75</v>
      </c>
    </row>
    <row r="1421" customFormat="false" ht="15" hidden="false" customHeight="false" outlineLevel="0" collapsed="false">
      <c r="A1421" s="0" t="s">
        <v>8</v>
      </c>
      <c r="B1421" s="0" t="s">
        <v>2023</v>
      </c>
      <c r="C1421" s="0" t="s">
        <v>7070</v>
      </c>
      <c r="D1421" s="0" t="n">
        <v>13.36</v>
      </c>
    </row>
    <row r="1422" customFormat="false" ht="15" hidden="false" customHeight="false" outlineLevel="0" collapsed="false">
      <c r="A1422" s="0" t="s">
        <v>8</v>
      </c>
      <c r="B1422" s="0" t="s">
        <v>2023</v>
      </c>
      <c r="C1422" s="0" t="s">
        <v>7071</v>
      </c>
    </row>
    <row r="1423" customFormat="false" ht="15" hidden="false" customHeight="false" outlineLevel="0" collapsed="false">
      <c r="A1423" s="0" t="s">
        <v>8</v>
      </c>
      <c r="B1423" s="0" t="s">
        <v>2023</v>
      </c>
      <c r="C1423" s="0" t="s">
        <v>7072</v>
      </c>
    </row>
    <row r="1424" customFormat="false" ht="15" hidden="false" customHeight="false" outlineLevel="0" collapsed="false">
      <c r="A1424" s="0" t="s">
        <v>8</v>
      </c>
      <c r="B1424" s="0" t="s">
        <v>2030</v>
      </c>
      <c r="C1424" s="0" t="s">
        <v>7070</v>
      </c>
      <c r="D1424" s="0" t="n">
        <v>6.16</v>
      </c>
    </row>
    <row r="1425" customFormat="false" ht="15" hidden="false" customHeight="false" outlineLevel="0" collapsed="false">
      <c r="A1425" s="0" t="s">
        <v>8</v>
      </c>
      <c r="B1425" s="0" t="s">
        <v>2030</v>
      </c>
      <c r="C1425" s="0" t="s">
        <v>7071</v>
      </c>
    </row>
    <row r="1426" customFormat="false" ht="15" hidden="false" customHeight="false" outlineLevel="0" collapsed="false">
      <c r="A1426" s="0" t="s">
        <v>8</v>
      </c>
      <c r="B1426" s="0" t="s">
        <v>2030</v>
      </c>
      <c r="C1426" s="0" t="s">
        <v>7072</v>
      </c>
    </row>
    <row r="1427" customFormat="false" ht="15" hidden="false" customHeight="false" outlineLevel="0" collapsed="false">
      <c r="A1427" s="0" t="s">
        <v>8</v>
      </c>
      <c r="B1427" s="0" t="s">
        <v>2035</v>
      </c>
      <c r="C1427" s="0" t="s">
        <v>7070</v>
      </c>
      <c r="D1427" s="0" t="n">
        <v>13.7</v>
      </c>
    </row>
    <row r="1428" customFormat="false" ht="15" hidden="false" customHeight="false" outlineLevel="0" collapsed="false">
      <c r="A1428" s="0" t="s">
        <v>8</v>
      </c>
      <c r="B1428" s="0" t="s">
        <v>2035</v>
      </c>
      <c r="C1428" s="0" t="s">
        <v>7071</v>
      </c>
    </row>
    <row r="1429" customFormat="false" ht="15" hidden="false" customHeight="false" outlineLevel="0" collapsed="false">
      <c r="A1429" s="0" t="s">
        <v>8</v>
      </c>
      <c r="B1429" s="0" t="s">
        <v>2035</v>
      </c>
      <c r="C1429" s="0" t="s">
        <v>7072</v>
      </c>
    </row>
    <row r="1430" customFormat="false" ht="15" hidden="false" customHeight="false" outlineLevel="0" collapsed="false">
      <c r="A1430" s="0" t="s">
        <v>8</v>
      </c>
      <c r="B1430" s="0" t="s">
        <v>2040</v>
      </c>
      <c r="C1430" s="0" t="s">
        <v>7070</v>
      </c>
      <c r="D1430" s="0" t="n">
        <v>7.36</v>
      </c>
    </row>
    <row r="1431" customFormat="false" ht="15" hidden="false" customHeight="false" outlineLevel="0" collapsed="false">
      <c r="A1431" s="0" t="s">
        <v>8</v>
      </c>
      <c r="B1431" s="0" t="s">
        <v>2040</v>
      </c>
      <c r="C1431" s="0" t="s">
        <v>7071</v>
      </c>
    </row>
    <row r="1432" customFormat="false" ht="15" hidden="false" customHeight="false" outlineLevel="0" collapsed="false">
      <c r="A1432" s="0" t="s">
        <v>8</v>
      </c>
      <c r="B1432" s="0" t="s">
        <v>2040</v>
      </c>
      <c r="C1432" s="0" t="s">
        <v>7072</v>
      </c>
    </row>
    <row r="1433" customFormat="false" ht="15" hidden="false" customHeight="false" outlineLevel="0" collapsed="false">
      <c r="A1433" s="0" t="s">
        <v>8</v>
      </c>
      <c r="B1433" s="0" t="s">
        <v>2045</v>
      </c>
      <c r="C1433" s="0" t="s">
        <v>7070</v>
      </c>
      <c r="D1433" s="0" t="n">
        <v>2.74</v>
      </c>
    </row>
    <row r="1434" customFormat="false" ht="15" hidden="false" customHeight="false" outlineLevel="0" collapsed="false">
      <c r="A1434" s="0" t="s">
        <v>8</v>
      </c>
      <c r="B1434" s="0" t="s">
        <v>2045</v>
      </c>
      <c r="C1434" s="0" t="s">
        <v>7071</v>
      </c>
      <c r="D1434" s="0" t="n">
        <v>2.74</v>
      </c>
    </row>
    <row r="1435" customFormat="false" ht="15" hidden="false" customHeight="false" outlineLevel="0" collapsed="false">
      <c r="A1435" s="0" t="s">
        <v>8</v>
      </c>
      <c r="B1435" s="0" t="s">
        <v>2045</v>
      </c>
      <c r="C1435" s="0" t="s">
        <v>7072</v>
      </c>
      <c r="D1435" s="0" t="n">
        <v>4.28</v>
      </c>
    </row>
    <row r="1436" customFormat="false" ht="15" hidden="false" customHeight="false" outlineLevel="0" collapsed="false">
      <c r="A1436" s="0" t="s">
        <v>8</v>
      </c>
      <c r="B1436" s="0" t="s">
        <v>2051</v>
      </c>
      <c r="C1436" s="0" t="s">
        <v>7070</v>
      </c>
      <c r="D1436" s="0" t="n">
        <v>4.28</v>
      </c>
    </row>
    <row r="1437" customFormat="false" ht="15" hidden="false" customHeight="false" outlineLevel="0" collapsed="false">
      <c r="A1437" s="0" t="s">
        <v>8</v>
      </c>
      <c r="B1437" s="0" t="s">
        <v>2051</v>
      </c>
      <c r="C1437" s="0" t="s">
        <v>7071</v>
      </c>
      <c r="D1437" s="0" t="n">
        <v>2.74</v>
      </c>
    </row>
    <row r="1438" customFormat="false" ht="15" hidden="false" customHeight="false" outlineLevel="0" collapsed="false">
      <c r="A1438" s="0" t="s">
        <v>8</v>
      </c>
      <c r="B1438" s="0" t="s">
        <v>2051</v>
      </c>
      <c r="C1438" s="0" t="s">
        <v>7072</v>
      </c>
      <c r="D1438" s="0" t="n">
        <v>4.28</v>
      </c>
    </row>
    <row r="1439" customFormat="false" ht="15" hidden="false" customHeight="false" outlineLevel="0" collapsed="false">
      <c r="A1439" s="0" t="s">
        <v>8</v>
      </c>
      <c r="B1439" s="0" t="s">
        <v>2055</v>
      </c>
      <c r="C1439" s="0" t="s">
        <v>7070</v>
      </c>
      <c r="D1439" s="0" t="n">
        <v>0.6</v>
      </c>
    </row>
    <row r="1440" customFormat="false" ht="15" hidden="false" customHeight="false" outlineLevel="0" collapsed="false">
      <c r="A1440" s="0" t="s">
        <v>8</v>
      </c>
      <c r="B1440" s="0" t="s">
        <v>2055</v>
      </c>
      <c r="C1440" s="0" t="s">
        <v>7071</v>
      </c>
      <c r="D1440" s="0" t="n">
        <v>0.6</v>
      </c>
    </row>
    <row r="1441" customFormat="false" ht="15" hidden="false" customHeight="false" outlineLevel="0" collapsed="false">
      <c r="A1441" s="0" t="s">
        <v>8</v>
      </c>
      <c r="B1441" s="0" t="s">
        <v>2055</v>
      </c>
      <c r="C1441" s="0" t="s">
        <v>7072</v>
      </c>
      <c r="D1441" s="0" t="n">
        <v>0.8</v>
      </c>
    </row>
    <row r="1442" customFormat="false" ht="15" hidden="false" customHeight="false" outlineLevel="0" collapsed="false">
      <c r="A1442" s="0" t="s">
        <v>8</v>
      </c>
      <c r="B1442" s="0" t="s">
        <v>2063</v>
      </c>
      <c r="C1442" s="0" t="s">
        <v>7070</v>
      </c>
      <c r="D1442" s="0" t="n">
        <v>310</v>
      </c>
    </row>
    <row r="1443" customFormat="false" ht="15" hidden="false" customHeight="false" outlineLevel="0" collapsed="false">
      <c r="A1443" s="0" t="s">
        <v>8</v>
      </c>
      <c r="B1443" s="0" t="s">
        <v>2063</v>
      </c>
      <c r="C1443" s="0" t="s">
        <v>7071</v>
      </c>
      <c r="D1443" s="0" t="n">
        <v>310</v>
      </c>
    </row>
    <row r="1444" customFormat="false" ht="15" hidden="false" customHeight="false" outlineLevel="0" collapsed="false">
      <c r="A1444" s="0" t="s">
        <v>8</v>
      </c>
      <c r="B1444" s="0" t="s">
        <v>2063</v>
      </c>
      <c r="C1444" s="0" t="s">
        <v>7072</v>
      </c>
      <c r="D1444" s="0" t="n">
        <v>350</v>
      </c>
    </row>
    <row r="1445" customFormat="false" ht="15" hidden="false" customHeight="false" outlineLevel="0" collapsed="false">
      <c r="A1445" s="0" t="s">
        <v>8</v>
      </c>
      <c r="B1445" s="0" t="s">
        <v>2073</v>
      </c>
      <c r="C1445" s="0" t="s">
        <v>7070</v>
      </c>
      <c r="D1445" s="0" t="n">
        <v>752</v>
      </c>
    </row>
    <row r="1446" customFormat="false" ht="15" hidden="false" customHeight="false" outlineLevel="0" collapsed="false">
      <c r="A1446" s="0" t="s">
        <v>8</v>
      </c>
      <c r="B1446" s="0" t="s">
        <v>2073</v>
      </c>
      <c r="C1446" s="0" t="s">
        <v>7071</v>
      </c>
      <c r="D1446" s="0" t="n">
        <v>752</v>
      </c>
    </row>
    <row r="1447" customFormat="false" ht="15" hidden="false" customHeight="false" outlineLevel="0" collapsed="false">
      <c r="A1447" s="0" t="s">
        <v>8</v>
      </c>
      <c r="B1447" s="0" t="s">
        <v>2073</v>
      </c>
      <c r="C1447" s="0" t="s">
        <v>7072</v>
      </c>
      <c r="D1447" s="0" t="n">
        <v>780</v>
      </c>
    </row>
    <row r="1448" customFormat="false" ht="15" hidden="false" customHeight="false" outlineLevel="0" collapsed="false">
      <c r="A1448" s="0" t="s">
        <v>8</v>
      </c>
      <c r="B1448" s="0" t="s">
        <v>2080</v>
      </c>
      <c r="C1448" s="0" t="s">
        <v>7070</v>
      </c>
      <c r="D1448" s="0" t="n">
        <v>559</v>
      </c>
    </row>
    <row r="1449" customFormat="false" ht="15" hidden="false" customHeight="false" outlineLevel="0" collapsed="false">
      <c r="A1449" s="0" t="s">
        <v>8</v>
      </c>
      <c r="B1449" s="0" t="s">
        <v>2080</v>
      </c>
      <c r="C1449" s="0" t="s">
        <v>7071</v>
      </c>
      <c r="D1449" s="0" t="n">
        <v>559</v>
      </c>
    </row>
    <row r="1450" customFormat="false" ht="15" hidden="false" customHeight="false" outlineLevel="0" collapsed="false">
      <c r="A1450" s="0" t="s">
        <v>8</v>
      </c>
      <c r="B1450" s="0" t="s">
        <v>2080</v>
      </c>
      <c r="C1450" s="0" t="s">
        <v>7072</v>
      </c>
      <c r="D1450" s="0" t="n">
        <v>600</v>
      </c>
    </row>
    <row r="1451" customFormat="false" ht="15" hidden="false" customHeight="false" outlineLevel="0" collapsed="false">
      <c r="A1451" s="0" t="s">
        <v>8</v>
      </c>
      <c r="B1451" s="0" t="s">
        <v>2089</v>
      </c>
      <c r="C1451" s="0" t="s">
        <v>7070</v>
      </c>
      <c r="D1451" s="0" t="n">
        <v>3.9</v>
      </c>
    </row>
    <row r="1452" customFormat="false" ht="15" hidden="false" customHeight="false" outlineLevel="0" collapsed="false">
      <c r="A1452" s="0" t="s">
        <v>8</v>
      </c>
      <c r="B1452" s="0" t="s">
        <v>2089</v>
      </c>
      <c r="C1452" s="0" t="s">
        <v>7071</v>
      </c>
      <c r="D1452" s="0" t="n">
        <v>3.9</v>
      </c>
    </row>
    <row r="1453" customFormat="false" ht="15" hidden="false" customHeight="false" outlineLevel="0" collapsed="false">
      <c r="A1453" s="0" t="s">
        <v>8</v>
      </c>
      <c r="B1453" s="0" t="s">
        <v>2089</v>
      </c>
      <c r="C1453" s="0" t="s">
        <v>7072</v>
      </c>
      <c r="D1453" s="0" t="n">
        <v>4.1</v>
      </c>
    </row>
    <row r="1454" customFormat="false" ht="15" hidden="false" customHeight="false" outlineLevel="0" collapsed="false">
      <c r="A1454" s="0" t="s">
        <v>8</v>
      </c>
      <c r="B1454" s="0" t="s">
        <v>2093</v>
      </c>
      <c r="C1454" s="0" t="s">
        <v>7070</v>
      </c>
      <c r="D1454" s="0" t="n">
        <v>1943</v>
      </c>
    </row>
    <row r="1455" customFormat="false" ht="15" hidden="false" customHeight="false" outlineLevel="0" collapsed="false">
      <c r="A1455" s="0" t="s">
        <v>8</v>
      </c>
      <c r="B1455" s="0" t="s">
        <v>2093</v>
      </c>
      <c r="C1455" s="0" t="s">
        <v>7071</v>
      </c>
    </row>
    <row r="1456" customFormat="false" ht="15" hidden="false" customHeight="false" outlineLevel="0" collapsed="false">
      <c r="A1456" s="0" t="s">
        <v>8</v>
      </c>
      <c r="B1456" s="0" t="s">
        <v>2093</v>
      </c>
      <c r="C1456" s="0" t="s">
        <v>7072</v>
      </c>
    </row>
    <row r="1457" customFormat="false" ht="15" hidden="false" customHeight="false" outlineLevel="0" collapsed="false">
      <c r="A1457" s="0" t="s">
        <v>8</v>
      </c>
      <c r="B1457" s="0" t="s">
        <v>2103</v>
      </c>
      <c r="C1457" s="0" t="s">
        <v>7070</v>
      </c>
      <c r="D1457" s="0" t="n">
        <v>4.45</v>
      </c>
    </row>
    <row r="1458" customFormat="false" ht="15" hidden="false" customHeight="false" outlineLevel="0" collapsed="false">
      <c r="A1458" s="0" t="s">
        <v>8</v>
      </c>
      <c r="B1458" s="0" t="s">
        <v>2103</v>
      </c>
      <c r="C1458" s="0" t="s">
        <v>7071</v>
      </c>
    </row>
    <row r="1459" customFormat="false" ht="15" hidden="false" customHeight="false" outlineLevel="0" collapsed="false">
      <c r="A1459" s="0" t="s">
        <v>8</v>
      </c>
      <c r="B1459" s="0" t="s">
        <v>2103</v>
      </c>
      <c r="C1459" s="0" t="s">
        <v>7072</v>
      </c>
    </row>
    <row r="1460" customFormat="false" ht="15" hidden="false" customHeight="false" outlineLevel="0" collapsed="false">
      <c r="A1460" s="0" t="s">
        <v>8</v>
      </c>
      <c r="B1460" s="0" t="s">
        <v>2110</v>
      </c>
      <c r="C1460" s="0" t="s">
        <v>7070</v>
      </c>
      <c r="D1460" s="0" t="n">
        <v>148</v>
      </c>
    </row>
    <row r="1461" customFormat="false" ht="15" hidden="false" customHeight="false" outlineLevel="0" collapsed="false">
      <c r="A1461" s="0" t="s">
        <v>8</v>
      </c>
      <c r="B1461" s="0" t="s">
        <v>2110</v>
      </c>
      <c r="C1461" s="0" t="s">
        <v>7071</v>
      </c>
    </row>
    <row r="1462" customFormat="false" ht="15" hidden="false" customHeight="false" outlineLevel="0" collapsed="false">
      <c r="A1462" s="0" t="s">
        <v>8</v>
      </c>
      <c r="B1462" s="0" t="s">
        <v>2110</v>
      </c>
      <c r="C1462" s="0" t="s">
        <v>7072</v>
      </c>
    </row>
    <row r="1463" customFormat="false" ht="15" hidden="false" customHeight="false" outlineLevel="0" collapsed="false">
      <c r="A1463" s="0" t="s">
        <v>8</v>
      </c>
      <c r="B1463" s="0" t="s">
        <v>2118</v>
      </c>
      <c r="C1463" s="0" t="s">
        <v>7070</v>
      </c>
      <c r="D1463" s="0" t="n">
        <v>1979</v>
      </c>
    </row>
    <row r="1464" customFormat="false" ht="15" hidden="false" customHeight="false" outlineLevel="0" collapsed="false">
      <c r="A1464" s="0" t="s">
        <v>8</v>
      </c>
      <c r="B1464" s="0" t="s">
        <v>2118</v>
      </c>
      <c r="C1464" s="0" t="s">
        <v>7071</v>
      </c>
    </row>
    <row r="1465" customFormat="false" ht="15" hidden="false" customHeight="false" outlineLevel="0" collapsed="false">
      <c r="A1465" s="0" t="s">
        <v>8</v>
      </c>
      <c r="B1465" s="0" t="s">
        <v>2118</v>
      </c>
      <c r="C1465" s="0" t="s">
        <v>7072</v>
      </c>
    </row>
    <row r="1466" customFormat="false" ht="15" hidden="false" customHeight="false" outlineLevel="0" collapsed="false">
      <c r="A1466" s="0" t="s">
        <v>8</v>
      </c>
      <c r="B1466" s="0" t="s">
        <v>2125</v>
      </c>
      <c r="C1466" s="0" t="s">
        <v>7070</v>
      </c>
      <c r="D1466" s="0" t="n">
        <v>0.15</v>
      </c>
    </row>
    <row r="1467" customFormat="false" ht="15" hidden="false" customHeight="false" outlineLevel="0" collapsed="false">
      <c r="A1467" s="0" t="s">
        <v>8</v>
      </c>
      <c r="B1467" s="0" t="s">
        <v>2125</v>
      </c>
      <c r="C1467" s="0" t="s">
        <v>7071</v>
      </c>
    </row>
    <row r="1468" customFormat="false" ht="15" hidden="false" customHeight="false" outlineLevel="0" collapsed="false">
      <c r="A1468" s="0" t="s">
        <v>8</v>
      </c>
      <c r="B1468" s="0" t="s">
        <v>2125</v>
      </c>
      <c r="C1468" s="0" t="s">
        <v>7072</v>
      </c>
    </row>
    <row r="1469" customFormat="false" ht="15" hidden="false" customHeight="false" outlineLevel="0" collapsed="false">
      <c r="A1469" s="0" t="s">
        <v>8</v>
      </c>
      <c r="B1469" s="0" t="s">
        <v>2130</v>
      </c>
      <c r="C1469" s="0" t="s">
        <v>7070</v>
      </c>
      <c r="D1469" s="0" t="n">
        <v>0.34</v>
      </c>
    </row>
    <row r="1470" customFormat="false" ht="15" hidden="false" customHeight="false" outlineLevel="0" collapsed="false">
      <c r="A1470" s="0" t="s">
        <v>8</v>
      </c>
      <c r="B1470" s="0" t="s">
        <v>2130</v>
      </c>
      <c r="C1470" s="0" t="s">
        <v>7071</v>
      </c>
      <c r="D1470" s="0" t="n">
        <v>0.26</v>
      </c>
    </row>
    <row r="1471" customFormat="false" ht="15" hidden="false" customHeight="false" outlineLevel="0" collapsed="false">
      <c r="A1471" s="0" t="s">
        <v>8</v>
      </c>
      <c r="B1471" s="0" t="s">
        <v>2130</v>
      </c>
      <c r="C1471" s="0" t="s">
        <v>7072</v>
      </c>
      <c r="D1471" s="0" t="n">
        <v>0.42</v>
      </c>
    </row>
    <row r="1472" customFormat="false" ht="15" hidden="false" customHeight="false" outlineLevel="0" collapsed="false">
      <c r="A1472" s="0" t="s">
        <v>8</v>
      </c>
      <c r="B1472" s="0" t="s">
        <v>2137</v>
      </c>
      <c r="C1472" s="0" t="s">
        <v>7070</v>
      </c>
      <c r="D1472" s="0" t="n">
        <v>1.2</v>
      </c>
    </row>
    <row r="1473" customFormat="false" ht="15" hidden="false" customHeight="false" outlineLevel="0" collapsed="false">
      <c r="A1473" s="0" t="s">
        <v>8</v>
      </c>
      <c r="B1473" s="0" t="s">
        <v>2137</v>
      </c>
      <c r="C1473" s="0" t="s">
        <v>7071</v>
      </c>
      <c r="D1473" s="0" t="n">
        <v>0.5</v>
      </c>
    </row>
    <row r="1474" customFormat="false" ht="15" hidden="false" customHeight="false" outlineLevel="0" collapsed="false">
      <c r="A1474" s="0" t="s">
        <v>8</v>
      </c>
      <c r="B1474" s="0" t="s">
        <v>2137</v>
      </c>
      <c r="C1474" s="0" t="s">
        <v>7072</v>
      </c>
      <c r="D1474" s="0" t="n">
        <v>1.2</v>
      </c>
    </row>
    <row r="1475" customFormat="false" ht="15" hidden="false" customHeight="false" outlineLevel="0" collapsed="false">
      <c r="A1475" s="0" t="s">
        <v>8</v>
      </c>
      <c r="B1475" s="0" t="s">
        <v>2145</v>
      </c>
      <c r="C1475" s="0" t="s">
        <v>7070</v>
      </c>
      <c r="D1475" s="0" t="n">
        <v>243.77</v>
      </c>
    </row>
    <row r="1476" customFormat="false" ht="15" hidden="false" customHeight="false" outlineLevel="0" collapsed="false">
      <c r="A1476" s="0" t="s">
        <v>8</v>
      </c>
      <c r="B1476" s="0" t="s">
        <v>2145</v>
      </c>
      <c r="C1476" s="0" t="s">
        <v>7071</v>
      </c>
    </row>
    <row r="1477" customFormat="false" ht="15" hidden="false" customHeight="false" outlineLevel="0" collapsed="false">
      <c r="A1477" s="0" t="s">
        <v>8</v>
      </c>
      <c r="B1477" s="0" t="s">
        <v>2145</v>
      </c>
      <c r="C1477" s="0" t="s">
        <v>7072</v>
      </c>
    </row>
    <row r="1478" customFormat="false" ht="15" hidden="false" customHeight="false" outlineLevel="0" collapsed="false">
      <c r="A1478" s="0" t="s">
        <v>8</v>
      </c>
      <c r="B1478" s="0" t="s">
        <v>2154</v>
      </c>
      <c r="C1478" s="0" t="s">
        <v>7070</v>
      </c>
      <c r="D1478" s="0" t="n">
        <v>83</v>
      </c>
    </row>
    <row r="1479" customFormat="false" ht="15" hidden="false" customHeight="false" outlineLevel="0" collapsed="false">
      <c r="A1479" s="0" t="s">
        <v>8</v>
      </c>
      <c r="B1479" s="0" t="s">
        <v>2154</v>
      </c>
      <c r="C1479" s="0" t="s">
        <v>7071</v>
      </c>
      <c r="D1479" s="0" t="n">
        <v>83</v>
      </c>
    </row>
    <row r="1480" customFormat="false" ht="15" hidden="false" customHeight="false" outlineLevel="0" collapsed="false">
      <c r="A1480" s="0" t="s">
        <v>8</v>
      </c>
      <c r="B1480" s="0" t="s">
        <v>2154</v>
      </c>
      <c r="C1480" s="0" t="s">
        <v>7072</v>
      </c>
      <c r="D1480" s="0" t="n">
        <v>83.6</v>
      </c>
    </row>
    <row r="1481" customFormat="false" ht="15" hidden="false" customHeight="false" outlineLevel="0" collapsed="false">
      <c r="A1481" s="0" t="s">
        <v>8</v>
      </c>
      <c r="B1481" s="0" t="s">
        <v>2162</v>
      </c>
      <c r="C1481" s="0" t="s">
        <v>7070</v>
      </c>
      <c r="D1481" s="0" t="n">
        <v>83.6</v>
      </c>
    </row>
    <row r="1482" customFormat="false" ht="15" hidden="false" customHeight="false" outlineLevel="0" collapsed="false">
      <c r="A1482" s="0" t="s">
        <v>8</v>
      </c>
      <c r="B1482" s="0" t="s">
        <v>2162</v>
      </c>
      <c r="C1482" s="0" t="s">
        <v>7071</v>
      </c>
    </row>
    <row r="1483" customFormat="false" ht="15" hidden="false" customHeight="false" outlineLevel="0" collapsed="false">
      <c r="A1483" s="0" t="s">
        <v>8</v>
      </c>
      <c r="B1483" s="0" t="s">
        <v>2162</v>
      </c>
      <c r="C1483" s="0" t="s">
        <v>7072</v>
      </c>
    </row>
    <row r="1484" customFormat="false" ht="15" hidden="false" customHeight="false" outlineLevel="0" collapsed="false">
      <c r="A1484" s="0" t="s">
        <v>8</v>
      </c>
      <c r="B1484" s="0" t="s">
        <v>2169</v>
      </c>
      <c r="C1484" s="0" t="s">
        <v>7070</v>
      </c>
      <c r="D1484" s="0" t="n">
        <v>0.4</v>
      </c>
    </row>
    <row r="1485" customFormat="false" ht="15" hidden="false" customHeight="false" outlineLevel="0" collapsed="false">
      <c r="A1485" s="0" t="s">
        <v>8</v>
      </c>
      <c r="B1485" s="0" t="s">
        <v>2169</v>
      </c>
      <c r="C1485" s="0" t="s">
        <v>7071</v>
      </c>
    </row>
    <row r="1486" customFormat="false" ht="15" hidden="false" customHeight="false" outlineLevel="0" collapsed="false">
      <c r="A1486" s="0" t="s">
        <v>8</v>
      </c>
      <c r="B1486" s="0" t="s">
        <v>2169</v>
      </c>
      <c r="C1486" s="0" t="s">
        <v>7072</v>
      </c>
    </row>
    <row r="1487" customFormat="false" ht="15" hidden="false" customHeight="false" outlineLevel="0" collapsed="false">
      <c r="A1487" s="0" t="s">
        <v>8</v>
      </c>
      <c r="B1487" s="0" t="s">
        <v>2173</v>
      </c>
      <c r="C1487" s="0" t="s">
        <v>7070</v>
      </c>
      <c r="D1487" s="0" t="n">
        <v>3.75</v>
      </c>
    </row>
    <row r="1488" customFormat="false" ht="15" hidden="false" customHeight="false" outlineLevel="0" collapsed="false">
      <c r="A1488" s="0" t="s">
        <v>8</v>
      </c>
      <c r="B1488" s="0" t="s">
        <v>2173</v>
      </c>
      <c r="C1488" s="0" t="s">
        <v>7071</v>
      </c>
    </row>
    <row r="1489" customFormat="false" ht="15" hidden="false" customHeight="false" outlineLevel="0" collapsed="false">
      <c r="A1489" s="0" t="s">
        <v>8</v>
      </c>
      <c r="B1489" s="0" t="s">
        <v>2173</v>
      </c>
      <c r="C1489" s="0" t="s">
        <v>7072</v>
      </c>
    </row>
    <row r="1490" customFormat="false" ht="15" hidden="false" customHeight="false" outlineLevel="0" collapsed="false">
      <c r="A1490" s="0" t="s">
        <v>8</v>
      </c>
      <c r="B1490" s="0" t="s">
        <v>2177</v>
      </c>
      <c r="C1490" s="0" t="s">
        <v>7070</v>
      </c>
      <c r="D1490" s="0" t="n">
        <v>1.52</v>
      </c>
    </row>
    <row r="1491" customFormat="false" ht="15" hidden="false" customHeight="false" outlineLevel="0" collapsed="false">
      <c r="A1491" s="0" t="s">
        <v>8</v>
      </c>
      <c r="B1491" s="0" t="s">
        <v>2177</v>
      </c>
      <c r="C1491" s="0" t="s">
        <v>7071</v>
      </c>
    </row>
    <row r="1492" customFormat="false" ht="15" hidden="false" customHeight="false" outlineLevel="0" collapsed="false">
      <c r="A1492" s="0" t="s">
        <v>8</v>
      </c>
      <c r="B1492" s="0" t="s">
        <v>2177</v>
      </c>
      <c r="C1492" s="0" t="s">
        <v>7072</v>
      </c>
    </row>
    <row r="1493" customFormat="false" ht="15" hidden="false" customHeight="false" outlineLevel="0" collapsed="false">
      <c r="A1493" s="0" t="s">
        <v>8</v>
      </c>
      <c r="B1493" s="0" t="s">
        <v>2182</v>
      </c>
      <c r="C1493" s="0" t="s">
        <v>7070</v>
      </c>
      <c r="D1493" s="0" t="n">
        <v>8.5</v>
      </c>
    </row>
    <row r="1494" customFormat="false" ht="15" hidden="false" customHeight="false" outlineLevel="0" collapsed="false">
      <c r="A1494" s="0" t="s">
        <v>8</v>
      </c>
      <c r="B1494" s="0" t="s">
        <v>2182</v>
      </c>
      <c r="C1494" s="0" t="s">
        <v>7071</v>
      </c>
    </row>
    <row r="1495" customFormat="false" ht="15" hidden="false" customHeight="false" outlineLevel="0" collapsed="false">
      <c r="A1495" s="0" t="s">
        <v>8</v>
      </c>
      <c r="B1495" s="0" t="s">
        <v>2182</v>
      </c>
      <c r="C1495" s="0" t="s">
        <v>7072</v>
      </c>
    </row>
    <row r="1496" customFormat="false" ht="15" hidden="false" customHeight="false" outlineLevel="0" collapsed="false">
      <c r="A1496" s="0" t="s">
        <v>8</v>
      </c>
      <c r="B1496" s="0" t="s">
        <v>2186</v>
      </c>
      <c r="C1496" s="0" t="s">
        <v>7070</v>
      </c>
      <c r="D1496" s="0" t="n">
        <v>2.1</v>
      </c>
    </row>
    <row r="1497" customFormat="false" ht="15" hidden="false" customHeight="false" outlineLevel="0" collapsed="false">
      <c r="A1497" s="0" t="s">
        <v>8</v>
      </c>
      <c r="B1497" s="0" t="s">
        <v>2186</v>
      </c>
      <c r="C1497" s="0" t="s">
        <v>7071</v>
      </c>
    </row>
    <row r="1498" customFormat="false" ht="15" hidden="false" customHeight="false" outlineLevel="0" collapsed="false">
      <c r="A1498" s="0" t="s">
        <v>8</v>
      </c>
      <c r="B1498" s="0" t="s">
        <v>2186</v>
      </c>
      <c r="C1498" s="0" t="s">
        <v>7072</v>
      </c>
    </row>
    <row r="1499" customFormat="false" ht="15" hidden="false" customHeight="false" outlineLevel="0" collapsed="false">
      <c r="A1499" s="0" t="s">
        <v>8</v>
      </c>
      <c r="B1499" s="0" t="s">
        <v>2191</v>
      </c>
      <c r="C1499" s="0" t="s">
        <v>7070</v>
      </c>
      <c r="D1499" s="0" t="n">
        <v>21.1</v>
      </c>
    </row>
    <row r="1500" customFormat="false" ht="15" hidden="false" customHeight="false" outlineLevel="0" collapsed="false">
      <c r="A1500" s="0" t="s">
        <v>8</v>
      </c>
      <c r="B1500" s="0" t="s">
        <v>2191</v>
      </c>
      <c r="C1500" s="0" t="s">
        <v>7071</v>
      </c>
    </row>
    <row r="1501" customFormat="false" ht="15" hidden="false" customHeight="false" outlineLevel="0" collapsed="false">
      <c r="A1501" s="0" t="s">
        <v>8</v>
      </c>
      <c r="B1501" s="0" t="s">
        <v>2191</v>
      </c>
      <c r="C1501" s="0" t="s">
        <v>7072</v>
      </c>
    </row>
    <row r="1502" customFormat="false" ht="15" hidden="false" customHeight="false" outlineLevel="0" collapsed="false">
      <c r="A1502" s="0" t="s">
        <v>8</v>
      </c>
      <c r="B1502" s="0" t="s">
        <v>2195</v>
      </c>
      <c r="C1502" s="0" t="s">
        <v>7070</v>
      </c>
      <c r="D1502" s="0" t="n">
        <v>3</v>
      </c>
    </row>
    <row r="1503" customFormat="false" ht="15" hidden="false" customHeight="false" outlineLevel="0" collapsed="false">
      <c r="A1503" s="0" t="s">
        <v>8</v>
      </c>
      <c r="B1503" s="0" t="s">
        <v>2195</v>
      </c>
      <c r="C1503" s="0" t="s">
        <v>7071</v>
      </c>
    </row>
    <row r="1504" customFormat="false" ht="15" hidden="false" customHeight="false" outlineLevel="0" collapsed="false">
      <c r="A1504" s="0" t="s">
        <v>8</v>
      </c>
      <c r="B1504" s="0" t="s">
        <v>2195</v>
      </c>
      <c r="C1504" s="0" t="s">
        <v>7072</v>
      </c>
    </row>
    <row r="1505" customFormat="false" ht="15" hidden="false" customHeight="false" outlineLevel="0" collapsed="false">
      <c r="A1505" s="0" t="s">
        <v>8</v>
      </c>
      <c r="B1505" s="0" t="s">
        <v>2200</v>
      </c>
      <c r="C1505" s="0" t="s">
        <v>7070</v>
      </c>
      <c r="D1505" s="0" t="n">
        <v>6</v>
      </c>
    </row>
    <row r="1506" customFormat="false" ht="15" hidden="false" customHeight="false" outlineLevel="0" collapsed="false">
      <c r="A1506" s="0" t="s">
        <v>8</v>
      </c>
      <c r="B1506" s="0" t="s">
        <v>2200</v>
      </c>
      <c r="C1506" s="0" t="s">
        <v>7071</v>
      </c>
    </row>
    <row r="1507" customFormat="false" ht="15" hidden="false" customHeight="false" outlineLevel="0" collapsed="false">
      <c r="A1507" s="0" t="s">
        <v>8</v>
      </c>
      <c r="B1507" s="0" t="s">
        <v>2200</v>
      </c>
      <c r="C1507" s="0" t="s">
        <v>7072</v>
      </c>
    </row>
    <row r="1508" customFormat="false" ht="15" hidden="false" customHeight="false" outlineLevel="0" collapsed="false">
      <c r="A1508" s="0" t="s">
        <v>8</v>
      </c>
      <c r="B1508" s="0" t="s">
        <v>2205</v>
      </c>
      <c r="C1508" s="0" t="s">
        <v>7070</v>
      </c>
      <c r="D1508" s="0" t="n">
        <v>2</v>
      </c>
    </row>
    <row r="1509" customFormat="false" ht="15" hidden="false" customHeight="false" outlineLevel="0" collapsed="false">
      <c r="A1509" s="0" t="s">
        <v>8</v>
      </c>
      <c r="B1509" s="0" t="s">
        <v>2205</v>
      </c>
      <c r="C1509" s="0" t="s">
        <v>7071</v>
      </c>
    </row>
    <row r="1510" customFormat="false" ht="15" hidden="false" customHeight="false" outlineLevel="0" collapsed="false">
      <c r="A1510" s="0" t="s">
        <v>8</v>
      </c>
      <c r="B1510" s="0" t="s">
        <v>2205</v>
      </c>
      <c r="C1510" s="0" t="s">
        <v>7072</v>
      </c>
    </row>
    <row r="1511" customFormat="false" ht="15" hidden="false" customHeight="false" outlineLevel="0" collapsed="false">
      <c r="A1511" s="0" t="s">
        <v>8</v>
      </c>
      <c r="B1511" s="0" t="s">
        <v>2210</v>
      </c>
      <c r="C1511" s="0" t="s">
        <v>7070</v>
      </c>
      <c r="D1511" s="0" t="n">
        <v>1.5</v>
      </c>
    </row>
    <row r="1512" customFormat="false" ht="15" hidden="false" customHeight="false" outlineLevel="0" collapsed="false">
      <c r="A1512" s="0" t="s">
        <v>8</v>
      </c>
      <c r="B1512" s="0" t="s">
        <v>2210</v>
      </c>
      <c r="C1512" s="0" t="s">
        <v>7071</v>
      </c>
    </row>
    <row r="1513" customFormat="false" ht="15" hidden="false" customHeight="false" outlineLevel="0" collapsed="false">
      <c r="A1513" s="0" t="s">
        <v>8</v>
      </c>
      <c r="B1513" s="0" t="s">
        <v>2210</v>
      </c>
      <c r="C1513" s="0" t="s">
        <v>7072</v>
      </c>
    </row>
    <row r="1514" customFormat="false" ht="15" hidden="false" customHeight="false" outlineLevel="0" collapsed="false">
      <c r="A1514" s="0" t="s">
        <v>8</v>
      </c>
      <c r="B1514" s="0" t="s">
        <v>2214</v>
      </c>
      <c r="C1514" s="0" t="s">
        <v>7070</v>
      </c>
    </row>
    <row r="1515" customFormat="false" ht="15" hidden="false" customHeight="false" outlineLevel="0" collapsed="false">
      <c r="A1515" s="0" t="s">
        <v>8</v>
      </c>
      <c r="B1515" s="0" t="s">
        <v>2214</v>
      </c>
      <c r="C1515" s="0" t="s">
        <v>7071</v>
      </c>
      <c r="D1515" s="0" t="n">
        <v>25</v>
      </c>
    </row>
    <row r="1516" customFormat="false" ht="15" hidden="false" customHeight="false" outlineLevel="0" collapsed="false">
      <c r="A1516" s="0" t="s">
        <v>8</v>
      </c>
      <c r="B1516" s="0" t="s">
        <v>2214</v>
      </c>
      <c r="C1516" s="0" t="s">
        <v>7072</v>
      </c>
    </row>
    <row r="1517" customFormat="false" ht="15" hidden="false" customHeight="false" outlineLevel="0" collapsed="false">
      <c r="A1517" s="0" t="s">
        <v>8</v>
      </c>
      <c r="B1517" s="0" t="s">
        <v>2223</v>
      </c>
      <c r="C1517" s="0" t="s">
        <v>7070</v>
      </c>
      <c r="D1517" s="0" t="n">
        <v>400</v>
      </c>
    </row>
    <row r="1518" customFormat="false" ht="15" hidden="false" customHeight="false" outlineLevel="0" collapsed="false">
      <c r="A1518" s="0" t="s">
        <v>8</v>
      </c>
      <c r="B1518" s="0" t="s">
        <v>2223</v>
      </c>
      <c r="C1518" s="0" t="s">
        <v>7071</v>
      </c>
    </row>
    <row r="1519" customFormat="false" ht="15" hidden="false" customHeight="false" outlineLevel="0" collapsed="false">
      <c r="A1519" s="0" t="s">
        <v>8</v>
      </c>
      <c r="B1519" s="0" t="s">
        <v>2223</v>
      </c>
      <c r="C1519" s="0" t="s">
        <v>7072</v>
      </c>
    </row>
    <row r="1520" customFormat="false" ht="15" hidden="false" customHeight="false" outlineLevel="0" collapsed="false">
      <c r="A1520" s="0" t="s">
        <v>8</v>
      </c>
      <c r="B1520" s="0" t="s">
        <v>2234</v>
      </c>
      <c r="C1520" s="0" t="s">
        <v>7070</v>
      </c>
      <c r="D1520" s="0" t="n">
        <v>3</v>
      </c>
    </row>
    <row r="1521" customFormat="false" ht="15" hidden="false" customHeight="false" outlineLevel="0" collapsed="false">
      <c r="A1521" s="0" t="s">
        <v>8</v>
      </c>
      <c r="B1521" s="0" t="s">
        <v>2234</v>
      </c>
      <c r="C1521" s="0" t="s">
        <v>7071</v>
      </c>
    </row>
    <row r="1522" customFormat="false" ht="15" hidden="false" customHeight="false" outlineLevel="0" collapsed="false">
      <c r="A1522" s="0" t="s">
        <v>8</v>
      </c>
      <c r="B1522" s="0" t="s">
        <v>2234</v>
      </c>
      <c r="C1522" s="0" t="s">
        <v>7072</v>
      </c>
    </row>
    <row r="1523" customFormat="false" ht="15" hidden="false" customHeight="false" outlineLevel="0" collapsed="false">
      <c r="A1523" s="0" t="s">
        <v>8</v>
      </c>
      <c r="B1523" s="0" t="s">
        <v>2240</v>
      </c>
      <c r="C1523" s="0" t="s">
        <v>7070</v>
      </c>
      <c r="D1523" s="0" t="n">
        <v>200</v>
      </c>
    </row>
    <row r="1524" customFormat="false" ht="15" hidden="false" customHeight="false" outlineLevel="0" collapsed="false">
      <c r="A1524" s="0" t="s">
        <v>8</v>
      </c>
      <c r="B1524" s="0" t="s">
        <v>2240</v>
      </c>
      <c r="C1524" s="0" t="s">
        <v>7071</v>
      </c>
    </row>
    <row r="1525" customFormat="false" ht="15" hidden="false" customHeight="false" outlineLevel="0" collapsed="false">
      <c r="A1525" s="0" t="s">
        <v>8</v>
      </c>
      <c r="B1525" s="0" t="s">
        <v>2240</v>
      </c>
      <c r="C1525" s="0" t="s">
        <v>7072</v>
      </c>
    </row>
    <row r="1526" customFormat="false" ht="15" hidden="false" customHeight="false" outlineLevel="0" collapsed="false">
      <c r="A1526" s="0" t="s">
        <v>8</v>
      </c>
      <c r="B1526" s="0" t="s">
        <v>2250</v>
      </c>
      <c r="C1526" s="0" t="s">
        <v>7070</v>
      </c>
      <c r="D1526" s="0" t="n">
        <v>30</v>
      </c>
    </row>
    <row r="1527" customFormat="false" ht="15" hidden="false" customHeight="false" outlineLevel="0" collapsed="false">
      <c r="A1527" s="0" t="s">
        <v>8</v>
      </c>
      <c r="B1527" s="0" t="s">
        <v>2250</v>
      </c>
      <c r="C1527" s="0" t="s">
        <v>7071</v>
      </c>
    </row>
    <row r="1528" customFormat="false" ht="15" hidden="false" customHeight="false" outlineLevel="0" collapsed="false">
      <c r="A1528" s="0" t="s">
        <v>8</v>
      </c>
      <c r="B1528" s="0" t="s">
        <v>2250</v>
      </c>
      <c r="C1528" s="0" t="s">
        <v>7072</v>
      </c>
    </row>
    <row r="1529" customFormat="false" ht="15" hidden="false" customHeight="false" outlineLevel="0" collapsed="false">
      <c r="A1529" s="0" t="s">
        <v>8</v>
      </c>
      <c r="B1529" s="0" t="s">
        <v>2256</v>
      </c>
      <c r="C1529" s="0" t="s">
        <v>7070</v>
      </c>
    </row>
    <row r="1530" customFormat="false" ht="15" hidden="false" customHeight="false" outlineLevel="0" collapsed="false">
      <c r="A1530" s="0" t="s">
        <v>8</v>
      </c>
      <c r="B1530" s="0" t="s">
        <v>2256</v>
      </c>
      <c r="C1530" s="0" t="s">
        <v>7071</v>
      </c>
      <c r="D1530" s="0" t="n">
        <v>10</v>
      </c>
    </row>
    <row r="1531" customFormat="false" ht="15" hidden="false" customHeight="false" outlineLevel="0" collapsed="false">
      <c r="A1531" s="0" t="s">
        <v>8</v>
      </c>
      <c r="B1531" s="0" t="s">
        <v>2256</v>
      </c>
      <c r="C1531" s="0" t="s">
        <v>7072</v>
      </c>
    </row>
    <row r="1532" customFormat="false" ht="15" hidden="false" customHeight="false" outlineLevel="0" collapsed="false">
      <c r="A1532" s="0" t="s">
        <v>8</v>
      </c>
      <c r="B1532" s="0" t="s">
        <v>2264</v>
      </c>
      <c r="C1532" s="0" t="s">
        <v>7070</v>
      </c>
      <c r="D1532" s="0" t="n">
        <v>5</v>
      </c>
    </row>
    <row r="1533" customFormat="false" ht="15" hidden="false" customHeight="false" outlineLevel="0" collapsed="false">
      <c r="A1533" s="0" t="s">
        <v>8</v>
      </c>
      <c r="B1533" s="0" t="s">
        <v>2264</v>
      </c>
      <c r="C1533" s="0" t="s">
        <v>7071</v>
      </c>
    </row>
    <row r="1534" customFormat="false" ht="15" hidden="false" customHeight="false" outlineLevel="0" collapsed="false">
      <c r="A1534" s="0" t="s">
        <v>8</v>
      </c>
      <c r="B1534" s="0" t="s">
        <v>2264</v>
      </c>
      <c r="C1534" s="0" t="s">
        <v>7072</v>
      </c>
    </row>
    <row r="1535" customFormat="false" ht="15" hidden="false" customHeight="false" outlineLevel="0" collapsed="false">
      <c r="A1535" s="0" t="s">
        <v>8</v>
      </c>
      <c r="B1535" s="0" t="s">
        <v>2272</v>
      </c>
      <c r="C1535" s="0" t="s">
        <v>7070</v>
      </c>
      <c r="D1535" s="0" t="n">
        <v>3</v>
      </c>
    </row>
    <row r="1536" customFormat="false" ht="15" hidden="false" customHeight="false" outlineLevel="0" collapsed="false">
      <c r="A1536" s="0" t="s">
        <v>8</v>
      </c>
      <c r="B1536" s="0" t="s">
        <v>2272</v>
      </c>
      <c r="C1536" s="0" t="s">
        <v>7071</v>
      </c>
    </row>
    <row r="1537" customFormat="false" ht="15" hidden="false" customHeight="false" outlineLevel="0" collapsed="false">
      <c r="A1537" s="0" t="s">
        <v>8</v>
      </c>
      <c r="B1537" s="0" t="s">
        <v>2272</v>
      </c>
      <c r="C1537" s="0" t="s">
        <v>7072</v>
      </c>
    </row>
    <row r="1538" customFormat="false" ht="15" hidden="false" customHeight="false" outlineLevel="0" collapsed="false">
      <c r="A1538" s="0" t="s">
        <v>8</v>
      </c>
      <c r="B1538" s="0" t="s">
        <v>2280</v>
      </c>
      <c r="C1538" s="0" t="s">
        <v>7070</v>
      </c>
      <c r="D1538" s="0" t="n">
        <v>10</v>
      </c>
    </row>
    <row r="1539" customFormat="false" ht="15" hidden="false" customHeight="false" outlineLevel="0" collapsed="false">
      <c r="A1539" s="0" t="s">
        <v>8</v>
      </c>
      <c r="B1539" s="0" t="s">
        <v>2280</v>
      </c>
      <c r="C1539" s="0" t="s">
        <v>7071</v>
      </c>
    </row>
    <row r="1540" customFormat="false" ht="15" hidden="false" customHeight="false" outlineLevel="0" collapsed="false">
      <c r="A1540" s="0" t="s">
        <v>8</v>
      </c>
      <c r="B1540" s="0" t="s">
        <v>2280</v>
      </c>
      <c r="C1540" s="0" t="s">
        <v>7072</v>
      </c>
    </row>
    <row r="1541" customFormat="false" ht="15" hidden="false" customHeight="false" outlineLevel="0" collapsed="false">
      <c r="A1541" s="0" t="s">
        <v>8</v>
      </c>
      <c r="B1541" s="0" t="s">
        <v>2289</v>
      </c>
      <c r="C1541" s="0" t="s">
        <v>7070</v>
      </c>
    </row>
    <row r="1542" customFormat="false" ht="15" hidden="false" customHeight="false" outlineLevel="0" collapsed="false">
      <c r="A1542" s="0" t="s">
        <v>8</v>
      </c>
      <c r="B1542" s="0" t="s">
        <v>2289</v>
      </c>
      <c r="C1542" s="0" t="s">
        <v>7071</v>
      </c>
      <c r="D1542" s="0" t="n">
        <v>20</v>
      </c>
    </row>
    <row r="1543" customFormat="false" ht="15" hidden="false" customHeight="false" outlineLevel="0" collapsed="false">
      <c r="A1543" s="0" t="s">
        <v>8</v>
      </c>
      <c r="B1543" s="0" t="s">
        <v>2289</v>
      </c>
      <c r="C1543" s="0" t="s">
        <v>7072</v>
      </c>
    </row>
    <row r="1544" customFormat="false" ht="15" hidden="false" customHeight="false" outlineLevel="0" collapsed="false">
      <c r="A1544" s="0" t="s">
        <v>8</v>
      </c>
      <c r="B1544" s="0" t="s">
        <v>2294</v>
      </c>
      <c r="C1544" s="0" t="s">
        <v>7070</v>
      </c>
      <c r="D1544" s="0" t="n">
        <v>116.2</v>
      </c>
    </row>
    <row r="1545" customFormat="false" ht="15" hidden="false" customHeight="false" outlineLevel="0" collapsed="false">
      <c r="A1545" s="0" t="s">
        <v>8</v>
      </c>
      <c r="B1545" s="0" t="s">
        <v>2294</v>
      </c>
      <c r="C1545" s="0" t="s">
        <v>7071</v>
      </c>
    </row>
    <row r="1546" customFormat="false" ht="15" hidden="false" customHeight="false" outlineLevel="0" collapsed="false">
      <c r="A1546" s="0" t="s">
        <v>8</v>
      </c>
      <c r="B1546" s="0" t="s">
        <v>2294</v>
      </c>
      <c r="C1546" s="0" t="s">
        <v>7072</v>
      </c>
    </row>
    <row r="1547" customFormat="false" ht="15" hidden="false" customHeight="false" outlineLevel="0" collapsed="false">
      <c r="A1547" s="0" t="s">
        <v>8</v>
      </c>
      <c r="B1547" s="0" t="s">
        <v>2303</v>
      </c>
      <c r="C1547" s="0" t="s">
        <v>7070</v>
      </c>
      <c r="D1547" s="0" t="n">
        <v>37419500</v>
      </c>
    </row>
    <row r="1548" customFormat="false" ht="15" hidden="false" customHeight="false" outlineLevel="0" collapsed="false">
      <c r="A1548" s="0" t="s">
        <v>8</v>
      </c>
      <c r="B1548" s="0" t="s">
        <v>2303</v>
      </c>
      <c r="C1548" s="0" t="s">
        <v>7071</v>
      </c>
    </row>
    <row r="1549" customFormat="false" ht="15" hidden="false" customHeight="false" outlineLevel="0" collapsed="false">
      <c r="A1549" s="0" t="s">
        <v>8</v>
      </c>
      <c r="B1549" s="0" t="s">
        <v>2303</v>
      </c>
      <c r="C1549" s="0" t="s">
        <v>7072</v>
      </c>
    </row>
    <row r="1550" customFormat="false" ht="15" hidden="false" customHeight="false" outlineLevel="0" collapsed="false">
      <c r="A1550" s="0" t="s">
        <v>8</v>
      </c>
      <c r="B1550" s="0" t="s">
        <v>2309</v>
      </c>
      <c r="C1550" s="0" t="s">
        <v>7070</v>
      </c>
      <c r="D1550" s="0" t="n">
        <v>4348.1</v>
      </c>
    </row>
    <row r="1551" customFormat="false" ht="15" hidden="false" customHeight="false" outlineLevel="0" collapsed="false">
      <c r="A1551" s="0" t="s">
        <v>8</v>
      </c>
      <c r="B1551" s="0" t="s">
        <v>2309</v>
      </c>
      <c r="C1551" s="0" t="s">
        <v>7071</v>
      </c>
    </row>
    <row r="1552" customFormat="false" ht="15" hidden="false" customHeight="false" outlineLevel="0" collapsed="false">
      <c r="A1552" s="0" t="s">
        <v>8</v>
      </c>
      <c r="B1552" s="0" t="s">
        <v>2309</v>
      </c>
      <c r="C1552" s="0" t="s">
        <v>7072</v>
      </c>
    </row>
    <row r="1553" customFormat="false" ht="15" hidden="false" customHeight="false" outlineLevel="0" collapsed="false">
      <c r="A1553" s="0" t="s">
        <v>8</v>
      </c>
      <c r="B1553" s="0" t="s">
        <v>2317</v>
      </c>
      <c r="C1553" s="0" t="s">
        <v>7070</v>
      </c>
      <c r="D1553" s="0" t="n">
        <v>174.7</v>
      </c>
    </row>
    <row r="1554" customFormat="false" ht="15" hidden="false" customHeight="false" outlineLevel="0" collapsed="false">
      <c r="A1554" s="0" t="s">
        <v>8</v>
      </c>
      <c r="B1554" s="0" t="s">
        <v>2317</v>
      </c>
      <c r="C1554" s="0" t="s">
        <v>7071</v>
      </c>
    </row>
    <row r="1555" customFormat="false" ht="15" hidden="false" customHeight="false" outlineLevel="0" collapsed="false">
      <c r="A1555" s="0" t="s">
        <v>8</v>
      </c>
      <c r="B1555" s="0" t="s">
        <v>2317</v>
      </c>
      <c r="C1555" s="0" t="s">
        <v>7072</v>
      </c>
    </row>
    <row r="1556" customFormat="false" ht="15" hidden="false" customHeight="false" outlineLevel="0" collapsed="false">
      <c r="A1556" s="0" t="s">
        <v>8</v>
      </c>
      <c r="B1556" s="0" t="s">
        <v>2321</v>
      </c>
      <c r="C1556" s="0" t="s">
        <v>7070</v>
      </c>
      <c r="D1556" s="0" t="n">
        <v>4173.4</v>
      </c>
    </row>
    <row r="1557" customFormat="false" ht="15" hidden="false" customHeight="false" outlineLevel="0" collapsed="false">
      <c r="A1557" s="0" t="s">
        <v>8</v>
      </c>
      <c r="B1557" s="0" t="s">
        <v>2321</v>
      </c>
      <c r="C1557" s="0" t="s">
        <v>7071</v>
      </c>
    </row>
    <row r="1558" customFormat="false" ht="15" hidden="false" customHeight="false" outlineLevel="0" collapsed="false">
      <c r="A1558" s="0" t="s">
        <v>8</v>
      </c>
      <c r="B1558" s="0" t="s">
        <v>2321</v>
      </c>
      <c r="C1558" s="0" t="s">
        <v>7072</v>
      </c>
    </row>
    <row r="1559" customFormat="false" ht="15" hidden="false" customHeight="false" outlineLevel="0" collapsed="false">
      <c r="A1559" s="0" t="s">
        <v>8</v>
      </c>
      <c r="B1559" s="0" t="s">
        <v>2326</v>
      </c>
      <c r="C1559" s="0" t="s">
        <v>7070</v>
      </c>
      <c r="D1559" s="0" t="n">
        <v>5612900</v>
      </c>
    </row>
    <row r="1560" customFormat="false" ht="15" hidden="false" customHeight="false" outlineLevel="0" collapsed="false">
      <c r="A1560" s="0" t="s">
        <v>8</v>
      </c>
      <c r="B1560" s="0" t="s">
        <v>2326</v>
      </c>
      <c r="C1560" s="0" t="s">
        <v>7071</v>
      </c>
    </row>
    <row r="1561" customFormat="false" ht="15" hidden="false" customHeight="false" outlineLevel="0" collapsed="false">
      <c r="A1561" s="0" t="s">
        <v>8</v>
      </c>
      <c r="B1561" s="0" t="s">
        <v>2326</v>
      </c>
      <c r="C1561" s="0" t="s">
        <v>7072</v>
      </c>
    </row>
    <row r="1562" customFormat="false" ht="15" hidden="false" customHeight="false" outlineLevel="0" collapsed="false">
      <c r="A1562" s="0" t="s">
        <v>8</v>
      </c>
      <c r="B1562" s="0" t="s">
        <v>2333</v>
      </c>
      <c r="C1562" s="0" t="s">
        <v>7070</v>
      </c>
      <c r="D1562" s="0" t="n">
        <v>5623900</v>
      </c>
    </row>
    <row r="1563" customFormat="false" ht="15" hidden="false" customHeight="false" outlineLevel="0" collapsed="false">
      <c r="A1563" s="0" t="s">
        <v>8</v>
      </c>
      <c r="B1563" s="0" t="s">
        <v>2333</v>
      </c>
      <c r="C1563" s="0" t="s">
        <v>7071</v>
      </c>
    </row>
    <row r="1564" customFormat="false" ht="15" hidden="false" customHeight="false" outlineLevel="0" collapsed="false">
      <c r="A1564" s="0" t="s">
        <v>8</v>
      </c>
      <c r="B1564" s="0" t="s">
        <v>2333</v>
      </c>
      <c r="C1564" s="0" t="s">
        <v>7072</v>
      </c>
    </row>
    <row r="1565" customFormat="false" ht="15" hidden="false" customHeight="false" outlineLevel="0" collapsed="false">
      <c r="A1565" s="0" t="s">
        <v>8</v>
      </c>
      <c r="B1565" s="0" t="s">
        <v>2338</v>
      </c>
      <c r="C1565" s="0" t="s">
        <v>7070</v>
      </c>
      <c r="D1565" s="0" t="n">
        <v>4896.2</v>
      </c>
    </row>
    <row r="1566" customFormat="false" ht="15" hidden="false" customHeight="false" outlineLevel="0" collapsed="false">
      <c r="A1566" s="0" t="s">
        <v>8</v>
      </c>
      <c r="B1566" s="0" t="s">
        <v>2338</v>
      </c>
      <c r="C1566" s="0" t="s">
        <v>7071</v>
      </c>
    </row>
    <row r="1567" customFormat="false" ht="15" hidden="false" customHeight="false" outlineLevel="0" collapsed="false">
      <c r="A1567" s="0" t="s">
        <v>8</v>
      </c>
      <c r="B1567" s="0" t="s">
        <v>2338</v>
      </c>
      <c r="C1567" s="0" t="s">
        <v>7072</v>
      </c>
    </row>
    <row r="1568" customFormat="false" ht="15" hidden="false" customHeight="false" outlineLevel="0" collapsed="false">
      <c r="A1568" s="0" t="s">
        <v>8</v>
      </c>
      <c r="B1568" s="0" t="s">
        <v>2343</v>
      </c>
      <c r="C1568" s="0" t="s">
        <v>7070</v>
      </c>
      <c r="D1568" s="0" t="n">
        <v>29.8</v>
      </c>
    </row>
    <row r="1569" customFormat="false" ht="15" hidden="false" customHeight="false" outlineLevel="0" collapsed="false">
      <c r="A1569" s="0" t="s">
        <v>8</v>
      </c>
      <c r="B1569" s="0" t="s">
        <v>2343</v>
      </c>
      <c r="C1569" s="0" t="s">
        <v>7071</v>
      </c>
    </row>
    <row r="1570" customFormat="false" ht="15" hidden="false" customHeight="false" outlineLevel="0" collapsed="false">
      <c r="A1570" s="0" t="s">
        <v>8</v>
      </c>
      <c r="B1570" s="0" t="s">
        <v>2343</v>
      </c>
      <c r="C1570" s="0" t="s">
        <v>7072</v>
      </c>
    </row>
    <row r="1571" customFormat="false" ht="15" hidden="false" customHeight="false" outlineLevel="0" collapsed="false">
      <c r="A1571" s="0" t="s">
        <v>8</v>
      </c>
      <c r="B1571" s="0" t="s">
        <v>2351</v>
      </c>
      <c r="C1571" s="0" t="s">
        <v>7070</v>
      </c>
      <c r="D1571" s="0" t="n">
        <v>1159.46</v>
      </c>
    </row>
    <row r="1572" customFormat="false" ht="15" hidden="false" customHeight="false" outlineLevel="0" collapsed="false">
      <c r="A1572" s="0" t="s">
        <v>8</v>
      </c>
      <c r="B1572" s="0" t="s">
        <v>2351</v>
      </c>
      <c r="C1572" s="0" t="s">
        <v>7071</v>
      </c>
    </row>
    <row r="1573" customFormat="false" ht="15" hidden="false" customHeight="false" outlineLevel="0" collapsed="false">
      <c r="A1573" s="0" t="s">
        <v>8</v>
      </c>
      <c r="B1573" s="0" t="s">
        <v>2351</v>
      </c>
      <c r="C1573" s="0" t="s">
        <v>7072</v>
      </c>
    </row>
    <row r="1574" customFormat="false" ht="15" hidden="false" customHeight="false" outlineLevel="0" collapsed="false">
      <c r="A1574" s="0" t="s">
        <v>8</v>
      </c>
      <c r="B1574" s="0" t="s">
        <v>2357</v>
      </c>
      <c r="C1574" s="0" t="s">
        <v>7070</v>
      </c>
      <c r="D1574" s="0" t="n">
        <v>70</v>
      </c>
    </row>
    <row r="1575" customFormat="false" ht="15" hidden="false" customHeight="false" outlineLevel="0" collapsed="false">
      <c r="A1575" s="0" t="s">
        <v>8</v>
      </c>
      <c r="B1575" s="0" t="s">
        <v>2357</v>
      </c>
      <c r="C1575" s="0" t="s">
        <v>7071</v>
      </c>
    </row>
    <row r="1576" customFormat="false" ht="15" hidden="false" customHeight="false" outlineLevel="0" collapsed="false">
      <c r="A1576" s="0" t="s">
        <v>8</v>
      </c>
      <c r="B1576" s="0" t="s">
        <v>2357</v>
      </c>
      <c r="C1576" s="0" t="s">
        <v>7072</v>
      </c>
    </row>
    <row r="1577" customFormat="false" ht="15" hidden="false" customHeight="false" outlineLevel="0" collapsed="false">
      <c r="A1577" s="0" t="s">
        <v>8</v>
      </c>
      <c r="B1577" s="0" t="s">
        <v>2363</v>
      </c>
      <c r="C1577" s="0" t="s">
        <v>7070</v>
      </c>
      <c r="D1577" s="0" t="n">
        <v>440230190</v>
      </c>
    </row>
    <row r="1578" customFormat="false" ht="15" hidden="false" customHeight="false" outlineLevel="0" collapsed="false">
      <c r="A1578" s="0" t="s">
        <v>8</v>
      </c>
      <c r="B1578" s="0" t="s">
        <v>2363</v>
      </c>
      <c r="C1578" s="0" t="s">
        <v>7071</v>
      </c>
    </row>
    <row r="1579" customFormat="false" ht="15" hidden="false" customHeight="false" outlineLevel="0" collapsed="false">
      <c r="A1579" s="0" t="s">
        <v>8</v>
      </c>
      <c r="B1579" s="0" t="s">
        <v>2363</v>
      </c>
      <c r="C1579" s="0" t="s">
        <v>7072</v>
      </c>
    </row>
    <row r="1580" customFormat="false" ht="15" hidden="false" customHeight="false" outlineLevel="0" collapsed="false">
      <c r="A1580" s="0" t="s">
        <v>8</v>
      </c>
      <c r="B1580" s="0" t="s">
        <v>2367</v>
      </c>
      <c r="C1580" s="0" t="s">
        <v>7070</v>
      </c>
      <c r="D1580" s="0" t="n">
        <v>511.5</v>
      </c>
    </row>
    <row r="1581" customFormat="false" ht="15" hidden="false" customHeight="false" outlineLevel="0" collapsed="false">
      <c r="A1581" s="0" t="s">
        <v>8</v>
      </c>
      <c r="B1581" s="0" t="s">
        <v>2367</v>
      </c>
      <c r="C1581" s="0" t="s">
        <v>7071</v>
      </c>
    </row>
    <row r="1582" customFormat="false" ht="15" hidden="false" customHeight="false" outlineLevel="0" collapsed="false">
      <c r="A1582" s="0" t="s">
        <v>8</v>
      </c>
      <c r="B1582" s="0" t="s">
        <v>2367</v>
      </c>
      <c r="C1582" s="0" t="s">
        <v>7072</v>
      </c>
    </row>
    <row r="1583" customFormat="false" ht="15" hidden="false" customHeight="false" outlineLevel="0" collapsed="false">
      <c r="A1583" s="0" t="s">
        <v>8</v>
      </c>
      <c r="B1583" s="0" t="s">
        <v>2373</v>
      </c>
      <c r="C1583" s="0" t="s">
        <v>7070</v>
      </c>
      <c r="D1583" s="0" t="n">
        <v>528.3</v>
      </c>
    </row>
    <row r="1584" customFormat="false" ht="15" hidden="false" customHeight="false" outlineLevel="0" collapsed="false">
      <c r="A1584" s="0" t="s">
        <v>8</v>
      </c>
      <c r="B1584" s="0" t="s">
        <v>2373</v>
      </c>
      <c r="C1584" s="0" t="s">
        <v>7071</v>
      </c>
    </row>
    <row r="1585" customFormat="false" ht="15" hidden="false" customHeight="false" outlineLevel="0" collapsed="false">
      <c r="A1585" s="0" t="s">
        <v>8</v>
      </c>
      <c r="B1585" s="0" t="s">
        <v>2373</v>
      </c>
      <c r="C1585" s="0" t="s">
        <v>7072</v>
      </c>
    </row>
    <row r="1586" customFormat="false" ht="15" hidden="false" customHeight="false" outlineLevel="0" collapsed="false">
      <c r="A1586" s="0" t="s">
        <v>8</v>
      </c>
      <c r="B1586" s="0" t="s">
        <v>2379</v>
      </c>
      <c r="C1586" s="0" t="s">
        <v>7070</v>
      </c>
      <c r="D1586" s="0" t="n">
        <v>131.5</v>
      </c>
    </row>
    <row r="1587" customFormat="false" ht="15" hidden="false" customHeight="false" outlineLevel="0" collapsed="false">
      <c r="A1587" s="0" t="s">
        <v>8</v>
      </c>
      <c r="B1587" s="0" t="s">
        <v>2379</v>
      </c>
      <c r="C1587" s="0" t="s">
        <v>7071</v>
      </c>
    </row>
    <row r="1588" customFormat="false" ht="15" hidden="false" customHeight="false" outlineLevel="0" collapsed="false">
      <c r="A1588" s="0" t="s">
        <v>8</v>
      </c>
      <c r="B1588" s="0" t="s">
        <v>2379</v>
      </c>
      <c r="C1588" s="0" t="s">
        <v>7072</v>
      </c>
    </row>
    <row r="1589" customFormat="false" ht="15" hidden="false" customHeight="false" outlineLevel="0" collapsed="false">
      <c r="A1589" s="0" t="s">
        <v>8</v>
      </c>
      <c r="B1589" s="0" t="s">
        <v>2385</v>
      </c>
      <c r="C1589" s="0" t="s">
        <v>7070</v>
      </c>
      <c r="D1589" s="0" t="n">
        <v>578.9</v>
      </c>
    </row>
    <row r="1590" customFormat="false" ht="15" hidden="false" customHeight="false" outlineLevel="0" collapsed="false">
      <c r="A1590" s="0" t="s">
        <v>8</v>
      </c>
      <c r="B1590" s="0" t="s">
        <v>2385</v>
      </c>
      <c r="C1590" s="0" t="s">
        <v>7071</v>
      </c>
    </row>
    <row r="1591" customFormat="false" ht="15" hidden="false" customHeight="false" outlineLevel="0" collapsed="false">
      <c r="A1591" s="0" t="s">
        <v>8</v>
      </c>
      <c r="B1591" s="0" t="s">
        <v>2385</v>
      </c>
      <c r="C1591" s="0" t="s">
        <v>7072</v>
      </c>
    </row>
    <row r="1592" customFormat="false" ht="15" hidden="false" customHeight="false" outlineLevel="0" collapsed="false">
      <c r="A1592" s="0" t="s">
        <v>8</v>
      </c>
      <c r="B1592" s="0" t="s">
        <v>2389</v>
      </c>
      <c r="C1592" s="0" t="s">
        <v>7070</v>
      </c>
      <c r="D1592" s="0" t="n">
        <v>586</v>
      </c>
    </row>
    <row r="1593" customFormat="false" ht="15" hidden="false" customHeight="false" outlineLevel="0" collapsed="false">
      <c r="A1593" s="0" t="s">
        <v>8</v>
      </c>
      <c r="B1593" s="0" t="s">
        <v>2389</v>
      </c>
      <c r="C1593" s="0" t="s">
        <v>7071</v>
      </c>
    </row>
    <row r="1594" customFormat="false" ht="15" hidden="false" customHeight="false" outlineLevel="0" collapsed="false">
      <c r="A1594" s="0" t="s">
        <v>8</v>
      </c>
      <c r="B1594" s="0" t="s">
        <v>2389</v>
      </c>
      <c r="C1594" s="0" t="s">
        <v>7072</v>
      </c>
    </row>
    <row r="1595" customFormat="false" ht="15" hidden="false" customHeight="false" outlineLevel="0" collapsed="false">
      <c r="A1595" s="0" t="s">
        <v>8</v>
      </c>
      <c r="B1595" s="0" t="s">
        <v>2396</v>
      </c>
      <c r="C1595" s="0" t="s">
        <v>7070</v>
      </c>
      <c r="D1595" s="0" t="n">
        <v>1588</v>
      </c>
    </row>
    <row r="1596" customFormat="false" ht="15" hidden="false" customHeight="false" outlineLevel="0" collapsed="false">
      <c r="A1596" s="0" t="s">
        <v>8</v>
      </c>
      <c r="B1596" s="0" t="s">
        <v>2396</v>
      </c>
      <c r="C1596" s="0" t="s">
        <v>7071</v>
      </c>
    </row>
    <row r="1597" customFormat="false" ht="15" hidden="false" customHeight="false" outlineLevel="0" collapsed="false">
      <c r="A1597" s="0" t="s">
        <v>8</v>
      </c>
      <c r="B1597" s="0" t="s">
        <v>2396</v>
      </c>
      <c r="C1597" s="0" t="s">
        <v>7072</v>
      </c>
    </row>
    <row r="1598" customFormat="false" ht="15" hidden="false" customHeight="false" outlineLevel="0" collapsed="false">
      <c r="A1598" s="0" t="s">
        <v>8</v>
      </c>
      <c r="B1598" s="0" t="s">
        <v>2402</v>
      </c>
      <c r="C1598" s="0" t="s">
        <v>7070</v>
      </c>
      <c r="D1598" s="0" t="n">
        <v>19780000</v>
      </c>
    </row>
    <row r="1599" customFormat="false" ht="15" hidden="false" customHeight="false" outlineLevel="0" collapsed="false">
      <c r="A1599" s="0" t="s">
        <v>8</v>
      </c>
      <c r="B1599" s="0" t="s">
        <v>2402</v>
      </c>
      <c r="C1599" s="0" t="s">
        <v>7071</v>
      </c>
    </row>
    <row r="1600" customFormat="false" ht="15" hidden="false" customHeight="false" outlineLevel="0" collapsed="false">
      <c r="A1600" s="0" t="s">
        <v>8</v>
      </c>
      <c r="B1600" s="0" t="s">
        <v>2402</v>
      </c>
      <c r="C1600" s="0" t="s">
        <v>7072</v>
      </c>
    </row>
    <row r="1601" customFormat="false" ht="15" hidden="false" customHeight="false" outlineLevel="0" collapsed="false">
      <c r="A1601" s="0" t="s">
        <v>8</v>
      </c>
      <c r="B1601" s="0" t="s">
        <v>2411</v>
      </c>
      <c r="C1601" s="0" t="s">
        <v>7070</v>
      </c>
      <c r="D1601" s="0" t="n">
        <v>12.99</v>
      </c>
    </row>
    <row r="1602" customFormat="false" ht="15" hidden="false" customHeight="false" outlineLevel="0" collapsed="false">
      <c r="A1602" s="0" t="s">
        <v>8</v>
      </c>
      <c r="B1602" s="0" t="s">
        <v>2411</v>
      </c>
      <c r="C1602" s="0" t="s">
        <v>7071</v>
      </c>
    </row>
    <row r="1603" customFormat="false" ht="15" hidden="false" customHeight="false" outlineLevel="0" collapsed="false">
      <c r="A1603" s="0" t="s">
        <v>8</v>
      </c>
      <c r="B1603" s="0" t="s">
        <v>2411</v>
      </c>
      <c r="C1603" s="0" t="s">
        <v>7072</v>
      </c>
    </row>
    <row r="1604" customFormat="false" ht="15" hidden="false" customHeight="false" outlineLevel="0" collapsed="false">
      <c r="A1604" s="0" t="s">
        <v>8</v>
      </c>
      <c r="B1604" s="0" t="s">
        <v>2419</v>
      </c>
      <c r="C1604" s="0" t="s">
        <v>7070</v>
      </c>
      <c r="D1604" s="0" t="n">
        <v>31411</v>
      </c>
    </row>
    <row r="1605" customFormat="false" ht="15" hidden="false" customHeight="false" outlineLevel="0" collapsed="false">
      <c r="A1605" s="0" t="s">
        <v>8</v>
      </c>
      <c r="B1605" s="0" t="s">
        <v>2419</v>
      </c>
      <c r="C1605" s="0" t="s">
        <v>7071</v>
      </c>
    </row>
    <row r="1606" customFormat="false" ht="15" hidden="false" customHeight="false" outlineLevel="0" collapsed="false">
      <c r="A1606" s="0" t="s">
        <v>8</v>
      </c>
      <c r="B1606" s="0" t="s">
        <v>2419</v>
      </c>
      <c r="C1606" s="0" t="s">
        <v>7072</v>
      </c>
    </row>
    <row r="1607" customFormat="false" ht="15" hidden="false" customHeight="false" outlineLevel="0" collapsed="false">
      <c r="A1607" s="0" t="s">
        <v>8</v>
      </c>
      <c r="B1607" s="0" t="s">
        <v>2425</v>
      </c>
      <c r="C1607" s="0" t="s">
        <v>7070</v>
      </c>
      <c r="D1607" s="0" t="n">
        <v>31374.95</v>
      </c>
    </row>
    <row r="1608" customFormat="false" ht="15" hidden="false" customHeight="false" outlineLevel="0" collapsed="false">
      <c r="A1608" s="0" t="s">
        <v>8</v>
      </c>
      <c r="B1608" s="0" t="s">
        <v>2425</v>
      </c>
      <c r="C1608" s="0" t="s">
        <v>7071</v>
      </c>
    </row>
    <row r="1609" customFormat="false" ht="15" hidden="false" customHeight="false" outlineLevel="0" collapsed="false">
      <c r="A1609" s="0" t="s">
        <v>8</v>
      </c>
      <c r="B1609" s="0" t="s">
        <v>2425</v>
      </c>
      <c r="C1609" s="0" t="s">
        <v>7072</v>
      </c>
    </row>
    <row r="1610" customFormat="false" ht="15" hidden="false" customHeight="false" outlineLevel="0" collapsed="false">
      <c r="A1610" s="0" t="s">
        <v>8</v>
      </c>
      <c r="B1610" s="0" t="s">
        <v>2429</v>
      </c>
      <c r="C1610" s="0" t="s">
        <v>7070</v>
      </c>
    </row>
    <row r="1611" customFormat="false" ht="15" hidden="false" customHeight="false" outlineLevel="0" collapsed="false">
      <c r="A1611" s="0" t="s">
        <v>8</v>
      </c>
      <c r="B1611" s="0" t="s">
        <v>2429</v>
      </c>
      <c r="C1611" s="0" t="s">
        <v>7071</v>
      </c>
    </row>
    <row r="1612" customFormat="false" ht="15" hidden="false" customHeight="false" outlineLevel="0" collapsed="false">
      <c r="A1612" s="0" t="s">
        <v>8</v>
      </c>
      <c r="B1612" s="0" t="s">
        <v>2429</v>
      </c>
      <c r="C1612" s="0" t="s">
        <v>7072</v>
      </c>
    </row>
    <row r="1613" customFormat="false" ht="15" hidden="false" customHeight="false" outlineLevel="0" collapsed="false">
      <c r="A1613" s="0" t="s">
        <v>8</v>
      </c>
      <c r="B1613" s="0" t="s">
        <v>2436</v>
      </c>
      <c r="C1613" s="0" t="s">
        <v>7070</v>
      </c>
      <c r="D1613" s="0" t="n">
        <v>4</v>
      </c>
    </row>
    <row r="1614" customFormat="false" ht="15" hidden="false" customHeight="false" outlineLevel="0" collapsed="false">
      <c r="A1614" s="0" t="s">
        <v>8</v>
      </c>
      <c r="B1614" s="0" t="s">
        <v>2436</v>
      </c>
      <c r="C1614" s="0" t="s">
        <v>7071</v>
      </c>
    </row>
    <row r="1615" customFormat="false" ht="15" hidden="false" customHeight="false" outlineLevel="0" collapsed="false">
      <c r="A1615" s="0" t="s">
        <v>8</v>
      </c>
      <c r="B1615" s="0" t="s">
        <v>2436</v>
      </c>
      <c r="C1615" s="0" t="s">
        <v>7072</v>
      </c>
    </row>
    <row r="1616" customFormat="false" ht="15" hidden="false" customHeight="false" outlineLevel="0" collapsed="false">
      <c r="A1616" s="0" t="s">
        <v>8</v>
      </c>
      <c r="B1616" s="0" t="s">
        <v>2444</v>
      </c>
      <c r="C1616" s="0" t="s">
        <v>7070</v>
      </c>
      <c r="D1616" s="0" t="n">
        <v>55</v>
      </c>
    </row>
    <row r="1617" customFormat="false" ht="15" hidden="false" customHeight="false" outlineLevel="0" collapsed="false">
      <c r="A1617" s="0" t="s">
        <v>8</v>
      </c>
      <c r="B1617" s="0" t="s">
        <v>2444</v>
      </c>
      <c r="C1617" s="0" t="s">
        <v>7071</v>
      </c>
    </row>
    <row r="1618" customFormat="false" ht="15" hidden="false" customHeight="false" outlineLevel="0" collapsed="false">
      <c r="A1618" s="0" t="s">
        <v>8</v>
      </c>
      <c r="B1618" s="0" t="s">
        <v>2444</v>
      </c>
      <c r="C1618" s="0" t="s">
        <v>7072</v>
      </c>
    </row>
    <row r="1619" customFormat="false" ht="15" hidden="false" customHeight="false" outlineLevel="0" collapsed="false">
      <c r="A1619" s="0" t="s">
        <v>8</v>
      </c>
      <c r="B1619" s="0" t="s">
        <v>2448</v>
      </c>
      <c r="C1619" s="0" t="s">
        <v>7070</v>
      </c>
      <c r="D1619" s="0" t="n">
        <v>10954.8</v>
      </c>
    </row>
    <row r="1620" customFormat="false" ht="15" hidden="false" customHeight="false" outlineLevel="0" collapsed="false">
      <c r="A1620" s="0" t="s">
        <v>8</v>
      </c>
      <c r="B1620" s="0" t="s">
        <v>2448</v>
      </c>
      <c r="C1620" s="0" t="s">
        <v>7071</v>
      </c>
    </row>
    <row r="1621" customFormat="false" ht="15" hidden="false" customHeight="false" outlineLevel="0" collapsed="false">
      <c r="A1621" s="0" t="s">
        <v>8</v>
      </c>
      <c r="B1621" s="0" t="s">
        <v>2448</v>
      </c>
      <c r="C1621" s="0" t="s">
        <v>7072</v>
      </c>
    </row>
    <row r="1622" customFormat="false" ht="15" hidden="false" customHeight="false" outlineLevel="0" collapsed="false">
      <c r="A1622" s="0" t="s">
        <v>8</v>
      </c>
      <c r="B1622" s="0" t="s">
        <v>2452</v>
      </c>
      <c r="C1622" s="0" t="s">
        <v>7070</v>
      </c>
      <c r="D1622" s="0" t="n">
        <v>714</v>
      </c>
    </row>
    <row r="1623" customFormat="false" ht="15" hidden="false" customHeight="false" outlineLevel="0" collapsed="false">
      <c r="A1623" s="0" t="s">
        <v>8</v>
      </c>
      <c r="B1623" s="0" t="s">
        <v>2452</v>
      </c>
      <c r="C1623" s="0" t="s">
        <v>7071</v>
      </c>
    </row>
    <row r="1624" customFormat="false" ht="15" hidden="false" customHeight="false" outlineLevel="0" collapsed="false">
      <c r="A1624" s="0" t="s">
        <v>8</v>
      </c>
      <c r="B1624" s="0" t="s">
        <v>2452</v>
      </c>
      <c r="C1624" s="0" t="s">
        <v>7072</v>
      </c>
    </row>
    <row r="1625" customFormat="false" ht="15" hidden="false" customHeight="false" outlineLevel="0" collapsed="false">
      <c r="A1625" s="0" t="s">
        <v>8</v>
      </c>
      <c r="B1625" s="0" t="s">
        <v>2457</v>
      </c>
      <c r="C1625" s="0" t="s">
        <v>7070</v>
      </c>
      <c r="D1625" s="0" t="n">
        <v>21965000</v>
      </c>
    </row>
    <row r="1626" customFormat="false" ht="15" hidden="false" customHeight="false" outlineLevel="0" collapsed="false">
      <c r="A1626" s="0" t="s">
        <v>8</v>
      </c>
      <c r="B1626" s="0" t="s">
        <v>2457</v>
      </c>
      <c r="C1626" s="0" t="s">
        <v>7071</v>
      </c>
    </row>
    <row r="1627" customFormat="false" ht="15" hidden="false" customHeight="false" outlineLevel="0" collapsed="false">
      <c r="A1627" s="0" t="s">
        <v>8</v>
      </c>
      <c r="B1627" s="0" t="s">
        <v>2457</v>
      </c>
      <c r="C1627" s="0" t="s">
        <v>7072</v>
      </c>
    </row>
    <row r="1628" customFormat="false" ht="15" hidden="false" customHeight="false" outlineLevel="0" collapsed="false">
      <c r="A1628" s="0" t="s">
        <v>8</v>
      </c>
      <c r="B1628" s="0" t="s">
        <v>2465</v>
      </c>
      <c r="C1628" s="0" t="s">
        <v>7070</v>
      </c>
      <c r="D1628" s="0" t="n">
        <v>15683.01</v>
      </c>
    </row>
    <row r="1629" customFormat="false" ht="15" hidden="false" customHeight="false" outlineLevel="0" collapsed="false">
      <c r="A1629" s="0" t="s">
        <v>8</v>
      </c>
      <c r="B1629" s="0" t="s">
        <v>2465</v>
      </c>
      <c r="C1629" s="0" t="s">
        <v>7071</v>
      </c>
    </row>
    <row r="1630" customFormat="false" ht="15" hidden="false" customHeight="false" outlineLevel="0" collapsed="false">
      <c r="A1630" s="0" t="s">
        <v>8</v>
      </c>
      <c r="B1630" s="0" t="s">
        <v>2465</v>
      </c>
      <c r="C1630" s="0" t="s">
        <v>7072</v>
      </c>
    </row>
    <row r="1631" customFormat="false" ht="15" hidden="false" customHeight="false" outlineLevel="0" collapsed="false">
      <c r="A1631" s="0" t="s">
        <v>8</v>
      </c>
      <c r="B1631" s="0" t="s">
        <v>2469</v>
      </c>
      <c r="C1631" s="0" t="s">
        <v>7070</v>
      </c>
      <c r="D1631" s="0" t="n">
        <v>15664.13</v>
      </c>
    </row>
    <row r="1632" customFormat="false" ht="15" hidden="false" customHeight="false" outlineLevel="0" collapsed="false">
      <c r="A1632" s="0" t="s">
        <v>8</v>
      </c>
      <c r="B1632" s="0" t="s">
        <v>2469</v>
      </c>
      <c r="C1632" s="0" t="s">
        <v>7071</v>
      </c>
    </row>
    <row r="1633" customFormat="false" ht="15" hidden="false" customHeight="false" outlineLevel="0" collapsed="false">
      <c r="A1633" s="0" t="s">
        <v>8</v>
      </c>
      <c r="B1633" s="0" t="s">
        <v>2469</v>
      </c>
      <c r="C1633" s="0" t="s">
        <v>7072</v>
      </c>
    </row>
    <row r="1634" customFormat="false" ht="15" hidden="false" customHeight="false" outlineLevel="0" collapsed="false">
      <c r="A1634" s="0" t="s">
        <v>8</v>
      </c>
      <c r="B1634" s="0" t="s">
        <v>2473</v>
      </c>
      <c r="C1634" s="0" t="s">
        <v>7070</v>
      </c>
      <c r="D1634" s="0" t="n">
        <v>201.4</v>
      </c>
    </row>
    <row r="1635" customFormat="false" ht="15" hidden="false" customHeight="false" outlineLevel="0" collapsed="false">
      <c r="A1635" s="0" t="s">
        <v>8</v>
      </c>
      <c r="B1635" s="0" t="s">
        <v>2473</v>
      </c>
      <c r="C1635" s="0" t="s">
        <v>7071</v>
      </c>
    </row>
    <row r="1636" customFormat="false" ht="15" hidden="false" customHeight="false" outlineLevel="0" collapsed="false">
      <c r="A1636" s="0" t="s">
        <v>8</v>
      </c>
      <c r="B1636" s="0" t="s">
        <v>2473</v>
      </c>
      <c r="C1636" s="0" t="s">
        <v>7072</v>
      </c>
    </row>
    <row r="1637" customFormat="false" ht="15" hidden="false" customHeight="false" outlineLevel="0" collapsed="false">
      <c r="A1637" s="0" t="s">
        <v>8</v>
      </c>
      <c r="B1637" s="0" t="s">
        <v>2478</v>
      </c>
      <c r="C1637" s="0" t="s">
        <v>7070</v>
      </c>
      <c r="D1637" s="0" t="n">
        <v>3015.64</v>
      </c>
    </row>
    <row r="1638" customFormat="false" ht="15" hidden="false" customHeight="false" outlineLevel="0" collapsed="false">
      <c r="A1638" s="0" t="s">
        <v>8</v>
      </c>
      <c r="B1638" s="0" t="s">
        <v>2478</v>
      </c>
      <c r="C1638" s="0" t="s">
        <v>7071</v>
      </c>
    </row>
    <row r="1639" customFormat="false" ht="15" hidden="false" customHeight="false" outlineLevel="0" collapsed="false">
      <c r="A1639" s="0" t="s">
        <v>8</v>
      </c>
      <c r="B1639" s="0" t="s">
        <v>2478</v>
      </c>
      <c r="C1639" s="0" t="s">
        <v>7072</v>
      </c>
    </row>
    <row r="1640" customFormat="false" ht="15" hidden="false" customHeight="false" outlineLevel="0" collapsed="false">
      <c r="A1640" s="0" t="s">
        <v>8</v>
      </c>
      <c r="B1640" s="0" t="s">
        <v>2482</v>
      </c>
      <c r="C1640" s="0" t="s">
        <v>7070</v>
      </c>
      <c r="D1640" s="0" t="n">
        <v>3010.77</v>
      </c>
    </row>
    <row r="1641" customFormat="false" ht="15" hidden="false" customHeight="false" outlineLevel="0" collapsed="false">
      <c r="A1641" s="0" t="s">
        <v>8</v>
      </c>
      <c r="B1641" s="0" t="s">
        <v>2482</v>
      </c>
      <c r="C1641" s="0" t="s">
        <v>7071</v>
      </c>
    </row>
    <row r="1642" customFormat="false" ht="15" hidden="false" customHeight="false" outlineLevel="0" collapsed="false">
      <c r="A1642" s="0" t="s">
        <v>8</v>
      </c>
      <c r="B1642" s="0" t="s">
        <v>2482</v>
      </c>
      <c r="C1642" s="0" t="s">
        <v>7072</v>
      </c>
    </row>
    <row r="1643" customFormat="false" ht="15" hidden="false" customHeight="false" outlineLevel="0" collapsed="false">
      <c r="A1643" s="0" t="s">
        <v>8</v>
      </c>
      <c r="B1643" s="0" t="s">
        <v>2486</v>
      </c>
      <c r="C1643" s="0" t="s">
        <v>7070</v>
      </c>
      <c r="D1643" s="0" t="n">
        <v>892.5</v>
      </c>
    </row>
    <row r="1644" customFormat="false" ht="15" hidden="false" customHeight="false" outlineLevel="0" collapsed="false">
      <c r="A1644" s="0" t="s">
        <v>8</v>
      </c>
      <c r="B1644" s="0" t="s">
        <v>2486</v>
      </c>
      <c r="C1644" s="0" t="s">
        <v>7071</v>
      </c>
    </row>
    <row r="1645" customFormat="false" ht="15" hidden="false" customHeight="false" outlineLevel="0" collapsed="false">
      <c r="A1645" s="0" t="s">
        <v>8</v>
      </c>
      <c r="B1645" s="0" t="s">
        <v>2486</v>
      </c>
      <c r="C1645" s="0" t="s">
        <v>7072</v>
      </c>
    </row>
    <row r="1646" customFormat="false" ht="15" hidden="false" customHeight="false" outlineLevel="0" collapsed="false">
      <c r="A1646" s="0" t="s">
        <v>8</v>
      </c>
      <c r="B1646" s="0" t="s">
        <v>2490</v>
      </c>
      <c r="C1646" s="0" t="s">
        <v>7070</v>
      </c>
      <c r="D1646" s="0" t="n">
        <v>26365026</v>
      </c>
    </row>
    <row r="1647" customFormat="false" ht="15" hidden="false" customHeight="false" outlineLevel="0" collapsed="false">
      <c r="A1647" s="0" t="s">
        <v>8</v>
      </c>
      <c r="B1647" s="0" t="s">
        <v>2490</v>
      </c>
      <c r="C1647" s="0" t="s">
        <v>7071</v>
      </c>
    </row>
    <row r="1648" customFormat="false" ht="15" hidden="false" customHeight="false" outlineLevel="0" collapsed="false">
      <c r="A1648" s="0" t="s">
        <v>8</v>
      </c>
      <c r="B1648" s="0" t="s">
        <v>2490</v>
      </c>
      <c r="C1648" s="0" t="s">
        <v>7072</v>
      </c>
    </row>
    <row r="1649" customFormat="false" ht="15" hidden="false" customHeight="false" outlineLevel="0" collapsed="false">
      <c r="A1649" s="0" t="s">
        <v>8</v>
      </c>
      <c r="B1649" s="0" t="s">
        <v>2494</v>
      </c>
      <c r="C1649" s="0" t="s">
        <v>7070</v>
      </c>
      <c r="D1649" s="0" t="n">
        <v>60</v>
      </c>
    </row>
    <row r="1650" customFormat="false" ht="15" hidden="false" customHeight="false" outlineLevel="0" collapsed="false">
      <c r="A1650" s="0" t="s">
        <v>8</v>
      </c>
      <c r="B1650" s="0" t="s">
        <v>2494</v>
      </c>
      <c r="C1650" s="0" t="s">
        <v>7071</v>
      </c>
    </row>
    <row r="1651" customFormat="false" ht="15" hidden="false" customHeight="false" outlineLevel="0" collapsed="false">
      <c r="A1651" s="0" t="s">
        <v>8</v>
      </c>
      <c r="B1651" s="0" t="s">
        <v>2494</v>
      </c>
      <c r="C1651" s="0" t="s">
        <v>7072</v>
      </c>
    </row>
    <row r="1652" customFormat="false" ht="15" hidden="false" customHeight="false" outlineLevel="0" collapsed="false">
      <c r="A1652" s="0" t="s">
        <v>8</v>
      </c>
      <c r="B1652" s="0" t="s">
        <v>2498</v>
      </c>
      <c r="C1652" s="0" t="s">
        <v>7070</v>
      </c>
      <c r="D1652" s="0" t="n">
        <v>393.31</v>
      </c>
    </row>
    <row r="1653" customFormat="false" ht="15" hidden="false" customHeight="false" outlineLevel="0" collapsed="false">
      <c r="A1653" s="0" t="s">
        <v>8</v>
      </c>
      <c r="B1653" s="0" t="s">
        <v>2498</v>
      </c>
      <c r="C1653" s="0" t="s">
        <v>7071</v>
      </c>
    </row>
    <row r="1654" customFormat="false" ht="15" hidden="false" customHeight="false" outlineLevel="0" collapsed="false">
      <c r="A1654" s="0" t="s">
        <v>8</v>
      </c>
      <c r="B1654" s="0" t="s">
        <v>2498</v>
      </c>
      <c r="C1654" s="0" t="s">
        <v>7072</v>
      </c>
    </row>
    <row r="1655" customFormat="false" ht="15" hidden="false" customHeight="false" outlineLevel="0" collapsed="false">
      <c r="A1655" s="0" t="s">
        <v>8</v>
      </c>
      <c r="B1655" s="0" t="s">
        <v>2505</v>
      </c>
      <c r="C1655" s="0" t="s">
        <v>7070</v>
      </c>
      <c r="D1655" s="0" t="n">
        <v>2224.8</v>
      </c>
    </row>
    <row r="1656" customFormat="false" ht="15" hidden="false" customHeight="false" outlineLevel="0" collapsed="false">
      <c r="A1656" s="0" t="s">
        <v>8</v>
      </c>
      <c r="B1656" s="0" t="s">
        <v>2505</v>
      </c>
      <c r="C1656" s="0" t="s">
        <v>7071</v>
      </c>
    </row>
    <row r="1657" customFormat="false" ht="15" hidden="false" customHeight="false" outlineLevel="0" collapsed="false">
      <c r="A1657" s="0" t="s">
        <v>8</v>
      </c>
      <c r="B1657" s="0" t="s">
        <v>2505</v>
      </c>
      <c r="C1657" s="0" t="s">
        <v>7072</v>
      </c>
    </row>
    <row r="1658" customFormat="false" ht="15" hidden="false" customHeight="false" outlineLevel="0" collapsed="false">
      <c r="A1658" s="0" t="s">
        <v>8</v>
      </c>
      <c r="B1658" s="0" t="s">
        <v>2513</v>
      </c>
      <c r="C1658" s="0" t="s">
        <v>7070</v>
      </c>
      <c r="D1658" s="0" t="n">
        <v>689.5</v>
      </c>
    </row>
    <row r="1659" customFormat="false" ht="15" hidden="false" customHeight="false" outlineLevel="0" collapsed="false">
      <c r="A1659" s="0" t="s">
        <v>8</v>
      </c>
      <c r="B1659" s="0" t="s">
        <v>2513</v>
      </c>
      <c r="C1659" s="0" t="s">
        <v>7071</v>
      </c>
    </row>
    <row r="1660" customFormat="false" ht="15" hidden="false" customHeight="false" outlineLevel="0" collapsed="false">
      <c r="A1660" s="0" t="s">
        <v>8</v>
      </c>
      <c r="B1660" s="0" t="s">
        <v>2513</v>
      </c>
      <c r="C1660" s="0" t="s">
        <v>7072</v>
      </c>
    </row>
    <row r="1661" customFormat="false" ht="15" hidden="false" customHeight="false" outlineLevel="0" collapsed="false">
      <c r="A1661" s="0" t="s">
        <v>8</v>
      </c>
      <c r="B1661" s="0" t="s">
        <v>2517</v>
      </c>
      <c r="C1661" s="0" t="s">
        <v>7070</v>
      </c>
      <c r="D1661" s="0" t="n">
        <v>58.8</v>
      </c>
    </row>
    <row r="1662" customFormat="false" ht="15" hidden="false" customHeight="false" outlineLevel="0" collapsed="false">
      <c r="A1662" s="0" t="s">
        <v>8</v>
      </c>
      <c r="B1662" s="0" t="s">
        <v>2517</v>
      </c>
      <c r="C1662" s="0" t="s">
        <v>7071</v>
      </c>
    </row>
    <row r="1663" customFormat="false" ht="15" hidden="false" customHeight="false" outlineLevel="0" collapsed="false">
      <c r="A1663" s="0" t="s">
        <v>8</v>
      </c>
      <c r="B1663" s="0" t="s">
        <v>2517</v>
      </c>
      <c r="C1663" s="0" t="s">
        <v>7072</v>
      </c>
    </row>
    <row r="1664" customFormat="false" ht="15" hidden="false" customHeight="false" outlineLevel="0" collapsed="false">
      <c r="A1664" s="0" t="s">
        <v>8</v>
      </c>
      <c r="B1664" s="0" t="s">
        <v>2521</v>
      </c>
      <c r="C1664" s="0" t="s">
        <v>7070</v>
      </c>
      <c r="D1664" s="0" t="n">
        <v>360.52</v>
      </c>
    </row>
    <row r="1665" customFormat="false" ht="15" hidden="false" customHeight="false" outlineLevel="0" collapsed="false">
      <c r="A1665" s="0" t="s">
        <v>8</v>
      </c>
      <c r="B1665" s="0" t="s">
        <v>2521</v>
      </c>
      <c r="C1665" s="0" t="s">
        <v>7071</v>
      </c>
    </row>
    <row r="1666" customFormat="false" ht="15" hidden="false" customHeight="false" outlineLevel="0" collapsed="false">
      <c r="A1666" s="0" t="s">
        <v>8</v>
      </c>
      <c r="B1666" s="0" t="s">
        <v>2521</v>
      </c>
      <c r="C1666" s="0" t="s">
        <v>7072</v>
      </c>
    </row>
    <row r="1667" customFormat="false" ht="15" hidden="false" customHeight="false" outlineLevel="0" collapsed="false">
      <c r="A1667" s="0" t="s">
        <v>8</v>
      </c>
      <c r="B1667" s="0" t="s">
        <v>2526</v>
      </c>
      <c r="C1667" s="0" t="s">
        <v>7070</v>
      </c>
      <c r="D1667" s="0" t="n">
        <v>81.62</v>
      </c>
    </row>
    <row r="1668" customFormat="false" ht="15" hidden="false" customHeight="false" outlineLevel="0" collapsed="false">
      <c r="A1668" s="0" t="s">
        <v>8</v>
      </c>
      <c r="B1668" s="0" t="s">
        <v>2526</v>
      </c>
      <c r="C1668" s="0" t="s">
        <v>7071</v>
      </c>
    </row>
    <row r="1669" customFormat="false" ht="15" hidden="false" customHeight="false" outlineLevel="0" collapsed="false">
      <c r="A1669" s="0" t="s">
        <v>8</v>
      </c>
      <c r="B1669" s="0" t="s">
        <v>2526</v>
      </c>
      <c r="C1669" s="0" t="s">
        <v>7072</v>
      </c>
    </row>
    <row r="1670" customFormat="false" ht="15" hidden="false" customHeight="false" outlineLevel="0" collapsed="false">
      <c r="A1670" s="0" t="s">
        <v>8</v>
      </c>
      <c r="B1670" s="0" t="s">
        <v>2531</v>
      </c>
      <c r="C1670" s="0" t="s">
        <v>7070</v>
      </c>
      <c r="D1670" s="0" t="n">
        <v>390.6</v>
      </c>
    </row>
    <row r="1671" customFormat="false" ht="15" hidden="false" customHeight="false" outlineLevel="0" collapsed="false">
      <c r="A1671" s="0" t="s">
        <v>8</v>
      </c>
      <c r="B1671" s="0" t="s">
        <v>2531</v>
      </c>
      <c r="C1671" s="0" t="s">
        <v>7071</v>
      </c>
    </row>
    <row r="1672" customFormat="false" ht="15" hidden="false" customHeight="false" outlineLevel="0" collapsed="false">
      <c r="A1672" s="0" t="s">
        <v>8</v>
      </c>
      <c r="B1672" s="0" t="s">
        <v>2531</v>
      </c>
      <c r="C1672" s="0" t="s">
        <v>7072</v>
      </c>
    </row>
    <row r="1673" customFormat="false" ht="15" hidden="false" customHeight="false" outlineLevel="0" collapsed="false">
      <c r="A1673" s="0" t="s">
        <v>8</v>
      </c>
      <c r="B1673" s="0" t="s">
        <v>2535</v>
      </c>
      <c r="C1673" s="0" t="s">
        <v>7070</v>
      </c>
      <c r="D1673" s="0" t="n">
        <v>60</v>
      </c>
    </row>
    <row r="1674" customFormat="false" ht="15" hidden="false" customHeight="false" outlineLevel="0" collapsed="false">
      <c r="A1674" s="0" t="s">
        <v>8</v>
      </c>
      <c r="B1674" s="0" t="s">
        <v>2535</v>
      </c>
      <c r="C1674" s="0" t="s">
        <v>7071</v>
      </c>
    </row>
    <row r="1675" customFormat="false" ht="15" hidden="false" customHeight="false" outlineLevel="0" collapsed="false">
      <c r="A1675" s="0" t="s">
        <v>8</v>
      </c>
      <c r="B1675" s="0" t="s">
        <v>2535</v>
      </c>
      <c r="C1675" s="0" t="s">
        <v>7072</v>
      </c>
    </row>
    <row r="1676" customFormat="false" ht="15" hidden="false" customHeight="false" outlineLevel="0" collapsed="false">
      <c r="A1676" s="0" t="s">
        <v>8</v>
      </c>
      <c r="B1676" s="0" t="s">
        <v>2543</v>
      </c>
      <c r="C1676" s="0" t="s">
        <v>7070</v>
      </c>
    </row>
    <row r="1677" customFormat="false" ht="15" hidden="false" customHeight="false" outlineLevel="0" collapsed="false">
      <c r="A1677" s="0" t="s">
        <v>8</v>
      </c>
      <c r="B1677" s="0" t="s">
        <v>2543</v>
      </c>
      <c r="C1677" s="0" t="s">
        <v>7071</v>
      </c>
    </row>
    <row r="1678" customFormat="false" ht="15" hidden="false" customHeight="false" outlineLevel="0" collapsed="false">
      <c r="A1678" s="0" t="s">
        <v>8</v>
      </c>
      <c r="B1678" s="0" t="s">
        <v>2543</v>
      </c>
      <c r="C1678" s="0" t="s">
        <v>7072</v>
      </c>
    </row>
    <row r="1679" customFormat="false" ht="15" hidden="false" customHeight="false" outlineLevel="0" collapsed="false">
      <c r="A1679" s="0" t="s">
        <v>8</v>
      </c>
      <c r="B1679" s="0" t="s">
        <v>2551</v>
      </c>
      <c r="C1679" s="0" t="s">
        <v>7070</v>
      </c>
      <c r="D1679" s="0" t="n">
        <v>445843090</v>
      </c>
    </row>
    <row r="1680" customFormat="false" ht="15" hidden="false" customHeight="false" outlineLevel="0" collapsed="false">
      <c r="A1680" s="0" t="s">
        <v>8</v>
      </c>
      <c r="B1680" s="0" t="s">
        <v>2551</v>
      </c>
      <c r="C1680" s="0" t="s">
        <v>7071</v>
      </c>
    </row>
    <row r="1681" customFormat="false" ht="15" hidden="false" customHeight="false" outlineLevel="0" collapsed="false">
      <c r="A1681" s="0" t="s">
        <v>8</v>
      </c>
      <c r="B1681" s="0" t="s">
        <v>2551</v>
      </c>
      <c r="C1681" s="0" t="s">
        <v>7072</v>
      </c>
    </row>
    <row r="1682" customFormat="false" ht="15" hidden="false" customHeight="false" outlineLevel="0" collapsed="false">
      <c r="A1682" s="0" t="s">
        <v>8</v>
      </c>
      <c r="B1682" s="0" t="s">
        <v>2558</v>
      </c>
      <c r="C1682" s="0" t="s">
        <v>7070</v>
      </c>
      <c r="D1682" s="0" t="n">
        <v>221314605</v>
      </c>
    </row>
    <row r="1683" customFormat="false" ht="15" hidden="false" customHeight="false" outlineLevel="0" collapsed="false">
      <c r="A1683" s="0" t="s">
        <v>8</v>
      </c>
      <c r="B1683" s="0" t="s">
        <v>2558</v>
      </c>
      <c r="C1683" s="0" t="s">
        <v>7071</v>
      </c>
    </row>
    <row r="1684" customFormat="false" ht="15" hidden="false" customHeight="false" outlineLevel="0" collapsed="false">
      <c r="A1684" s="0" t="s">
        <v>8</v>
      </c>
      <c r="B1684" s="0" t="s">
        <v>2558</v>
      </c>
      <c r="C1684" s="0" t="s">
        <v>7072</v>
      </c>
    </row>
    <row r="1685" customFormat="false" ht="15" hidden="false" customHeight="false" outlineLevel="0" collapsed="false">
      <c r="A1685" s="0" t="s">
        <v>8</v>
      </c>
      <c r="B1685" s="0" t="s">
        <v>2562</v>
      </c>
      <c r="C1685" s="0" t="s">
        <v>7070</v>
      </c>
      <c r="D1685" s="0" t="n">
        <v>224528485</v>
      </c>
    </row>
    <row r="1686" customFormat="false" ht="15" hidden="false" customHeight="false" outlineLevel="0" collapsed="false">
      <c r="A1686" s="0" t="s">
        <v>8</v>
      </c>
      <c r="B1686" s="0" t="s">
        <v>2562</v>
      </c>
      <c r="C1686" s="0" t="s">
        <v>7071</v>
      </c>
    </row>
    <row r="1687" customFormat="false" ht="15" hidden="false" customHeight="false" outlineLevel="0" collapsed="false">
      <c r="A1687" s="0" t="s">
        <v>8</v>
      </c>
      <c r="B1687" s="0" t="s">
        <v>2562</v>
      </c>
      <c r="C1687" s="0" t="s">
        <v>7072</v>
      </c>
    </row>
    <row r="1688" customFormat="false" ht="15" hidden="false" customHeight="false" outlineLevel="0" collapsed="false">
      <c r="A1688" s="0" t="s">
        <v>8</v>
      </c>
      <c r="B1688" s="0" t="s">
        <v>2566</v>
      </c>
      <c r="C1688" s="0" t="s">
        <v>7070</v>
      </c>
      <c r="D1688" s="0" t="n">
        <v>487588090</v>
      </c>
    </row>
    <row r="1689" customFormat="false" ht="15" hidden="false" customHeight="false" outlineLevel="0" collapsed="false">
      <c r="A1689" s="0" t="s">
        <v>8</v>
      </c>
      <c r="B1689" s="0" t="s">
        <v>2566</v>
      </c>
      <c r="C1689" s="0" t="s">
        <v>7071</v>
      </c>
    </row>
    <row r="1690" customFormat="false" ht="15" hidden="false" customHeight="false" outlineLevel="0" collapsed="false">
      <c r="A1690" s="0" t="s">
        <v>8</v>
      </c>
      <c r="B1690" s="0" t="s">
        <v>2566</v>
      </c>
      <c r="C1690" s="0" t="s">
        <v>7072</v>
      </c>
    </row>
    <row r="1691" customFormat="false" ht="15" hidden="false" customHeight="false" outlineLevel="0" collapsed="false">
      <c r="A1691" s="0" t="s">
        <v>8</v>
      </c>
      <c r="B1691" s="0" t="s">
        <v>2571</v>
      </c>
      <c r="C1691" s="0" t="s">
        <v>7070</v>
      </c>
      <c r="D1691" s="0" t="n">
        <v>28.57</v>
      </c>
    </row>
    <row r="1692" customFormat="false" ht="15" hidden="false" customHeight="false" outlineLevel="0" collapsed="false">
      <c r="A1692" s="0" t="s">
        <v>8</v>
      </c>
      <c r="B1692" s="0" t="s">
        <v>2571</v>
      </c>
      <c r="C1692" s="0" t="s">
        <v>7071</v>
      </c>
    </row>
    <row r="1693" customFormat="false" ht="15" hidden="false" customHeight="false" outlineLevel="0" collapsed="false">
      <c r="A1693" s="0" t="s">
        <v>8</v>
      </c>
      <c r="B1693" s="0" t="s">
        <v>2571</v>
      </c>
      <c r="C1693" s="0" t="s">
        <v>7072</v>
      </c>
    </row>
    <row r="1694" customFormat="false" ht="15" hidden="false" customHeight="false" outlineLevel="0" collapsed="false">
      <c r="A1694" s="0" t="s">
        <v>8</v>
      </c>
      <c r="B1694" s="0" t="s">
        <v>2575</v>
      </c>
      <c r="C1694" s="0" t="s">
        <v>7070</v>
      </c>
      <c r="D1694" s="0" t="n">
        <v>33.03</v>
      </c>
    </row>
    <row r="1695" customFormat="false" ht="15" hidden="false" customHeight="false" outlineLevel="0" collapsed="false">
      <c r="A1695" s="0" t="s">
        <v>8</v>
      </c>
      <c r="B1695" s="0" t="s">
        <v>2575</v>
      </c>
      <c r="C1695" s="0" t="s">
        <v>7071</v>
      </c>
    </row>
    <row r="1696" customFormat="false" ht="15" hidden="false" customHeight="false" outlineLevel="0" collapsed="false">
      <c r="A1696" s="0" t="s">
        <v>8</v>
      </c>
      <c r="B1696" s="0" t="s">
        <v>2575</v>
      </c>
      <c r="C1696" s="0" t="s">
        <v>7072</v>
      </c>
    </row>
    <row r="1697" customFormat="false" ht="15" hidden="false" customHeight="false" outlineLevel="0" collapsed="false">
      <c r="A1697" s="0" t="s">
        <v>8</v>
      </c>
      <c r="B1697" s="0" t="s">
        <v>2579</v>
      </c>
      <c r="C1697" s="0" t="s">
        <v>7070</v>
      </c>
      <c r="D1697" s="0" t="n">
        <v>6.73</v>
      </c>
    </row>
    <row r="1698" customFormat="false" ht="15" hidden="false" customHeight="false" outlineLevel="0" collapsed="false">
      <c r="A1698" s="0" t="s">
        <v>8</v>
      </c>
      <c r="B1698" s="0" t="s">
        <v>2579</v>
      </c>
      <c r="C1698" s="0" t="s">
        <v>7071</v>
      </c>
    </row>
    <row r="1699" customFormat="false" ht="15" hidden="false" customHeight="false" outlineLevel="0" collapsed="false">
      <c r="A1699" s="0" t="s">
        <v>8</v>
      </c>
      <c r="B1699" s="0" t="s">
        <v>2579</v>
      </c>
      <c r="C1699" s="0" t="s">
        <v>7072</v>
      </c>
    </row>
    <row r="1700" customFormat="false" ht="15" hidden="false" customHeight="false" outlineLevel="0" collapsed="false">
      <c r="A1700" s="0" t="s">
        <v>8</v>
      </c>
      <c r="B1700" s="0" t="s">
        <v>2583</v>
      </c>
      <c r="C1700" s="0" t="s">
        <v>7070</v>
      </c>
      <c r="D1700" s="0" t="n">
        <v>4.27</v>
      </c>
    </row>
    <row r="1701" customFormat="false" ht="15" hidden="false" customHeight="false" outlineLevel="0" collapsed="false">
      <c r="A1701" s="0" t="s">
        <v>8</v>
      </c>
      <c r="B1701" s="0" t="s">
        <v>2583</v>
      </c>
      <c r="C1701" s="0" t="s">
        <v>7071</v>
      </c>
    </row>
    <row r="1702" customFormat="false" ht="15" hidden="false" customHeight="false" outlineLevel="0" collapsed="false">
      <c r="A1702" s="0" t="s">
        <v>8</v>
      </c>
      <c r="B1702" s="0" t="s">
        <v>2583</v>
      </c>
      <c r="C1702" s="0" t="s">
        <v>7072</v>
      </c>
    </row>
    <row r="1703" customFormat="false" ht="15" hidden="false" customHeight="false" outlineLevel="0" collapsed="false">
      <c r="A1703" s="0" t="s">
        <v>8</v>
      </c>
      <c r="B1703" s="0" t="s">
        <v>2587</v>
      </c>
      <c r="C1703" s="0" t="s">
        <v>7070</v>
      </c>
    </row>
    <row r="1704" customFormat="false" ht="15" hidden="false" customHeight="false" outlineLevel="0" collapsed="false">
      <c r="A1704" s="0" t="s">
        <v>8</v>
      </c>
      <c r="B1704" s="0" t="s">
        <v>2587</v>
      </c>
      <c r="C1704" s="0" t="s">
        <v>7071</v>
      </c>
      <c r="D1704" s="0" t="n">
        <v>40</v>
      </c>
    </row>
    <row r="1705" customFormat="false" ht="15" hidden="false" customHeight="false" outlineLevel="0" collapsed="false">
      <c r="A1705" s="0" t="s">
        <v>8</v>
      </c>
      <c r="B1705" s="0" t="s">
        <v>2587</v>
      </c>
      <c r="C1705" s="0" t="s">
        <v>7072</v>
      </c>
    </row>
    <row r="1706" customFormat="false" ht="15" hidden="false" customHeight="false" outlineLevel="0" collapsed="false">
      <c r="A1706" s="0" t="s">
        <v>8</v>
      </c>
      <c r="B1706" s="0" t="s">
        <v>2593</v>
      </c>
      <c r="C1706" s="0" t="s">
        <v>7070</v>
      </c>
      <c r="D1706" s="0" t="n">
        <v>696</v>
      </c>
    </row>
    <row r="1707" customFormat="false" ht="15" hidden="false" customHeight="false" outlineLevel="0" collapsed="false">
      <c r="A1707" s="0" t="s">
        <v>8</v>
      </c>
      <c r="B1707" s="0" t="s">
        <v>2593</v>
      </c>
      <c r="C1707" s="0" t="s">
        <v>7071</v>
      </c>
    </row>
    <row r="1708" customFormat="false" ht="15" hidden="false" customHeight="false" outlineLevel="0" collapsed="false">
      <c r="A1708" s="0" t="s">
        <v>8</v>
      </c>
      <c r="B1708" s="0" t="s">
        <v>2593</v>
      </c>
      <c r="C1708" s="0" t="s">
        <v>7072</v>
      </c>
    </row>
    <row r="1709" customFormat="false" ht="15" hidden="false" customHeight="false" outlineLevel="0" collapsed="false">
      <c r="A1709" s="0" t="s">
        <v>8</v>
      </c>
      <c r="B1709" s="0" t="s">
        <v>2600</v>
      </c>
      <c r="C1709" s="0" t="s">
        <v>7070</v>
      </c>
      <c r="D1709" s="0" t="n">
        <v>626.5</v>
      </c>
    </row>
    <row r="1710" customFormat="false" ht="15" hidden="false" customHeight="false" outlineLevel="0" collapsed="false">
      <c r="A1710" s="0" t="s">
        <v>8</v>
      </c>
      <c r="B1710" s="0" t="s">
        <v>2600</v>
      </c>
      <c r="C1710" s="0" t="s">
        <v>7071</v>
      </c>
    </row>
    <row r="1711" customFormat="false" ht="15" hidden="false" customHeight="false" outlineLevel="0" collapsed="false">
      <c r="A1711" s="0" t="s">
        <v>8</v>
      </c>
      <c r="B1711" s="0" t="s">
        <v>2600</v>
      </c>
      <c r="C1711" s="0" t="s">
        <v>7072</v>
      </c>
    </row>
    <row r="1712" customFormat="false" ht="15" hidden="false" customHeight="false" outlineLevel="0" collapsed="false">
      <c r="A1712" s="0" t="s">
        <v>8</v>
      </c>
      <c r="B1712" s="0" t="s">
        <v>2608</v>
      </c>
      <c r="C1712" s="0" t="s">
        <v>7070</v>
      </c>
      <c r="D1712" s="0" t="n">
        <v>3396.48</v>
      </c>
    </row>
    <row r="1713" customFormat="false" ht="15" hidden="false" customHeight="false" outlineLevel="0" collapsed="false">
      <c r="A1713" s="0" t="s">
        <v>8</v>
      </c>
      <c r="B1713" s="0" t="s">
        <v>2608</v>
      </c>
      <c r="C1713" s="0" t="s">
        <v>7071</v>
      </c>
    </row>
    <row r="1714" customFormat="false" ht="15" hidden="false" customHeight="false" outlineLevel="0" collapsed="false">
      <c r="A1714" s="0" t="s">
        <v>8</v>
      </c>
      <c r="B1714" s="0" t="s">
        <v>2608</v>
      </c>
      <c r="C1714" s="0" t="s">
        <v>7072</v>
      </c>
    </row>
    <row r="1715" customFormat="false" ht="15" hidden="false" customHeight="false" outlineLevel="0" collapsed="false">
      <c r="A1715" s="0" t="s">
        <v>8</v>
      </c>
      <c r="B1715" s="0" t="s">
        <v>2612</v>
      </c>
      <c r="C1715" s="0" t="s">
        <v>7070</v>
      </c>
      <c r="D1715" s="0" t="n">
        <v>3393.61</v>
      </c>
    </row>
    <row r="1716" customFormat="false" ht="15" hidden="false" customHeight="false" outlineLevel="0" collapsed="false">
      <c r="A1716" s="0" t="s">
        <v>8</v>
      </c>
      <c r="B1716" s="0" t="s">
        <v>2612</v>
      </c>
      <c r="C1716" s="0" t="s">
        <v>7071</v>
      </c>
    </row>
    <row r="1717" customFormat="false" ht="15" hidden="false" customHeight="false" outlineLevel="0" collapsed="false">
      <c r="A1717" s="0" t="s">
        <v>8</v>
      </c>
      <c r="B1717" s="0" t="s">
        <v>2612</v>
      </c>
      <c r="C1717" s="0" t="s">
        <v>7072</v>
      </c>
    </row>
    <row r="1718" customFormat="false" ht="15" hidden="false" customHeight="false" outlineLevel="0" collapsed="false">
      <c r="A1718" s="0" t="s">
        <v>8</v>
      </c>
      <c r="B1718" s="0" t="s">
        <v>2618</v>
      </c>
      <c r="C1718" s="0" t="s">
        <v>7070</v>
      </c>
      <c r="D1718" s="0" t="n">
        <v>2980</v>
      </c>
    </row>
    <row r="1719" customFormat="false" ht="15" hidden="false" customHeight="false" outlineLevel="0" collapsed="false">
      <c r="A1719" s="0" t="s">
        <v>8</v>
      </c>
      <c r="B1719" s="0" t="s">
        <v>2618</v>
      </c>
      <c r="C1719" s="0" t="s">
        <v>7071</v>
      </c>
    </row>
    <row r="1720" customFormat="false" ht="15" hidden="false" customHeight="false" outlineLevel="0" collapsed="false">
      <c r="A1720" s="0" t="s">
        <v>8</v>
      </c>
      <c r="B1720" s="0" t="s">
        <v>2618</v>
      </c>
      <c r="C1720" s="0" t="s">
        <v>7072</v>
      </c>
    </row>
    <row r="1721" customFormat="false" ht="15" hidden="false" customHeight="false" outlineLevel="0" collapsed="false">
      <c r="A1721" s="0" t="s">
        <v>8</v>
      </c>
      <c r="B1721" s="0" t="s">
        <v>2623</v>
      </c>
      <c r="C1721" s="0" t="s">
        <v>7070</v>
      </c>
      <c r="D1721" s="0" t="n">
        <v>116.1</v>
      </c>
    </row>
    <row r="1722" customFormat="false" ht="15" hidden="false" customHeight="false" outlineLevel="0" collapsed="false">
      <c r="A1722" s="0" t="s">
        <v>8</v>
      </c>
      <c r="B1722" s="0" t="s">
        <v>2623</v>
      </c>
      <c r="C1722" s="0" t="s">
        <v>7071</v>
      </c>
    </row>
    <row r="1723" customFormat="false" ht="15" hidden="false" customHeight="false" outlineLevel="0" collapsed="false">
      <c r="A1723" s="0" t="s">
        <v>8</v>
      </c>
      <c r="B1723" s="0" t="s">
        <v>2623</v>
      </c>
      <c r="C1723" s="0" t="s">
        <v>7072</v>
      </c>
    </row>
    <row r="1724" customFormat="false" ht="15" hidden="false" customHeight="false" outlineLevel="0" collapsed="false">
      <c r="A1724" s="0" t="s">
        <v>8</v>
      </c>
      <c r="B1724" s="0" t="s">
        <v>2628</v>
      </c>
      <c r="C1724" s="0" t="s">
        <v>7070</v>
      </c>
      <c r="D1724" s="0" t="n">
        <v>1232</v>
      </c>
    </row>
    <row r="1725" customFormat="false" ht="15" hidden="false" customHeight="false" outlineLevel="0" collapsed="false">
      <c r="A1725" s="0" t="s">
        <v>8</v>
      </c>
      <c r="B1725" s="0" t="s">
        <v>2628</v>
      </c>
      <c r="C1725" s="0" t="s">
        <v>7071</v>
      </c>
    </row>
    <row r="1726" customFormat="false" ht="15" hidden="false" customHeight="false" outlineLevel="0" collapsed="false">
      <c r="A1726" s="0" t="s">
        <v>8</v>
      </c>
      <c r="B1726" s="0" t="s">
        <v>2628</v>
      </c>
      <c r="C1726" s="0" t="s">
        <v>7072</v>
      </c>
    </row>
    <row r="1727" customFormat="false" ht="15" hidden="false" customHeight="false" outlineLevel="0" collapsed="false">
      <c r="A1727" s="0" t="s">
        <v>8</v>
      </c>
      <c r="B1727" s="0" t="s">
        <v>2634</v>
      </c>
      <c r="C1727" s="0" t="s">
        <v>7070</v>
      </c>
      <c r="D1727" s="0" t="n">
        <v>3</v>
      </c>
    </row>
    <row r="1728" customFormat="false" ht="15" hidden="false" customHeight="false" outlineLevel="0" collapsed="false">
      <c r="A1728" s="0" t="s">
        <v>8</v>
      </c>
      <c r="B1728" s="0" t="s">
        <v>2634</v>
      </c>
      <c r="C1728" s="0" t="s">
        <v>7071</v>
      </c>
    </row>
    <row r="1729" customFormat="false" ht="15" hidden="false" customHeight="false" outlineLevel="0" collapsed="false">
      <c r="A1729" s="0" t="s">
        <v>8</v>
      </c>
      <c r="B1729" s="0" t="s">
        <v>2634</v>
      </c>
      <c r="C1729" s="0" t="s">
        <v>7072</v>
      </c>
    </row>
    <row r="1730" customFormat="false" ht="15" hidden="false" customHeight="false" outlineLevel="0" collapsed="false">
      <c r="A1730" s="0" t="s">
        <v>8</v>
      </c>
      <c r="B1730" s="0" t="s">
        <v>2641</v>
      </c>
      <c r="C1730" s="0" t="s">
        <v>7070</v>
      </c>
      <c r="D1730" s="0" t="n">
        <v>2.4</v>
      </c>
    </row>
    <row r="1731" customFormat="false" ht="15" hidden="false" customHeight="false" outlineLevel="0" collapsed="false">
      <c r="A1731" s="0" t="s">
        <v>8</v>
      </c>
      <c r="B1731" s="0" t="s">
        <v>2641</v>
      </c>
      <c r="C1731" s="0" t="s">
        <v>7071</v>
      </c>
    </row>
    <row r="1732" customFormat="false" ht="15" hidden="false" customHeight="false" outlineLevel="0" collapsed="false">
      <c r="A1732" s="0" t="s">
        <v>8</v>
      </c>
      <c r="B1732" s="0" t="s">
        <v>2641</v>
      </c>
      <c r="C1732" s="0" t="s">
        <v>7072</v>
      </c>
    </row>
    <row r="1733" customFormat="false" ht="15" hidden="false" customHeight="false" outlineLevel="0" collapsed="false">
      <c r="A1733" s="0" t="s">
        <v>8</v>
      </c>
      <c r="B1733" s="0" t="s">
        <v>2647</v>
      </c>
      <c r="C1733" s="0" t="s">
        <v>7070</v>
      </c>
      <c r="D1733" s="0" t="n">
        <v>1.8</v>
      </c>
    </row>
    <row r="1734" customFormat="false" ht="15" hidden="false" customHeight="false" outlineLevel="0" collapsed="false">
      <c r="A1734" s="0" t="s">
        <v>8</v>
      </c>
      <c r="B1734" s="0" t="s">
        <v>2647</v>
      </c>
      <c r="C1734" s="0" t="s">
        <v>7071</v>
      </c>
    </row>
    <row r="1735" customFormat="false" ht="15" hidden="false" customHeight="false" outlineLevel="0" collapsed="false">
      <c r="A1735" s="0" t="s">
        <v>8</v>
      </c>
      <c r="B1735" s="0" t="s">
        <v>2647</v>
      </c>
      <c r="C1735" s="0" t="s">
        <v>7072</v>
      </c>
    </row>
    <row r="1736" customFormat="false" ht="15" hidden="false" customHeight="false" outlineLevel="0" collapsed="false">
      <c r="A1736" s="0" t="s">
        <v>8</v>
      </c>
      <c r="B1736" s="0" t="s">
        <v>2652</v>
      </c>
      <c r="C1736" s="0" t="s">
        <v>7070</v>
      </c>
      <c r="D1736" s="0" t="n">
        <v>1.6</v>
      </c>
    </row>
    <row r="1737" customFormat="false" ht="15" hidden="false" customHeight="false" outlineLevel="0" collapsed="false">
      <c r="A1737" s="0" t="s">
        <v>8</v>
      </c>
      <c r="B1737" s="0" t="s">
        <v>2652</v>
      </c>
      <c r="C1737" s="0" t="s">
        <v>7071</v>
      </c>
    </row>
    <row r="1738" customFormat="false" ht="15" hidden="false" customHeight="false" outlineLevel="0" collapsed="false">
      <c r="A1738" s="0" t="s">
        <v>8</v>
      </c>
      <c r="B1738" s="0" t="s">
        <v>2652</v>
      </c>
      <c r="C1738" s="0" t="s">
        <v>7072</v>
      </c>
      <c r="D1738" s="0" t="n">
        <v>2</v>
      </c>
    </row>
    <row r="1739" customFormat="false" ht="15" hidden="false" customHeight="false" outlineLevel="0" collapsed="false">
      <c r="A1739" s="0" t="s">
        <v>8</v>
      </c>
      <c r="B1739" s="0" t="s">
        <v>2657</v>
      </c>
      <c r="C1739" s="0" t="s">
        <v>7070</v>
      </c>
      <c r="D1739" s="0" t="n">
        <v>80</v>
      </c>
    </row>
    <row r="1740" customFormat="false" ht="15" hidden="false" customHeight="false" outlineLevel="0" collapsed="false">
      <c r="A1740" s="0" t="s">
        <v>8</v>
      </c>
      <c r="B1740" s="0" t="s">
        <v>2657</v>
      </c>
      <c r="C1740" s="0" t="s">
        <v>7071</v>
      </c>
    </row>
    <row r="1741" customFormat="false" ht="15" hidden="false" customHeight="false" outlineLevel="0" collapsed="false">
      <c r="A1741" s="0" t="s">
        <v>8</v>
      </c>
      <c r="B1741" s="0" t="s">
        <v>2657</v>
      </c>
      <c r="C1741" s="0" t="s">
        <v>7072</v>
      </c>
    </row>
    <row r="1742" customFormat="false" ht="15" hidden="false" customHeight="false" outlineLevel="0" collapsed="false">
      <c r="A1742" s="0" t="s">
        <v>8</v>
      </c>
      <c r="B1742" s="0" t="s">
        <v>2662</v>
      </c>
      <c r="C1742" s="0" t="s">
        <v>7070</v>
      </c>
    </row>
    <row r="1743" customFormat="false" ht="15" hidden="false" customHeight="false" outlineLevel="0" collapsed="false">
      <c r="A1743" s="0" t="s">
        <v>8</v>
      </c>
      <c r="B1743" s="0" t="s">
        <v>2662</v>
      </c>
      <c r="C1743" s="0" t="s">
        <v>7071</v>
      </c>
    </row>
    <row r="1744" customFormat="false" ht="15" hidden="false" customHeight="false" outlineLevel="0" collapsed="false">
      <c r="A1744" s="0" t="s">
        <v>8</v>
      </c>
      <c r="B1744" s="0" t="s">
        <v>2662</v>
      </c>
      <c r="C1744" s="0" t="s">
        <v>7072</v>
      </c>
    </row>
    <row r="1745" customFormat="false" ht="15" hidden="false" customHeight="false" outlineLevel="0" collapsed="false">
      <c r="A1745" s="0" t="s">
        <v>8</v>
      </c>
      <c r="B1745" s="0" t="s">
        <v>2669</v>
      </c>
      <c r="C1745" s="0" t="s">
        <v>7070</v>
      </c>
      <c r="D1745" s="0" t="n">
        <v>6048</v>
      </c>
    </row>
    <row r="1746" customFormat="false" ht="15" hidden="false" customHeight="false" outlineLevel="0" collapsed="false">
      <c r="A1746" s="0" t="s">
        <v>8</v>
      </c>
      <c r="B1746" s="0" t="s">
        <v>2669</v>
      </c>
      <c r="C1746" s="0" t="s">
        <v>7071</v>
      </c>
    </row>
    <row r="1747" customFormat="false" ht="15" hidden="false" customHeight="false" outlineLevel="0" collapsed="false">
      <c r="A1747" s="0" t="s">
        <v>8</v>
      </c>
      <c r="B1747" s="0" t="s">
        <v>2669</v>
      </c>
      <c r="C1747" s="0" t="s">
        <v>7072</v>
      </c>
    </row>
    <row r="1748" customFormat="false" ht="15" hidden="false" customHeight="false" outlineLevel="0" collapsed="false">
      <c r="A1748" s="0" t="s">
        <v>8</v>
      </c>
      <c r="B1748" s="0" t="s">
        <v>2679</v>
      </c>
      <c r="C1748" s="0" t="s">
        <v>7070</v>
      </c>
      <c r="D1748" s="0" t="n">
        <v>18013</v>
      </c>
    </row>
    <row r="1749" customFormat="false" ht="15" hidden="false" customHeight="false" outlineLevel="0" collapsed="false">
      <c r="A1749" s="0" t="s">
        <v>8</v>
      </c>
      <c r="B1749" s="0" t="s">
        <v>2679</v>
      </c>
      <c r="C1749" s="0" t="s">
        <v>7071</v>
      </c>
    </row>
    <row r="1750" customFormat="false" ht="15" hidden="false" customHeight="false" outlineLevel="0" collapsed="false">
      <c r="A1750" s="0" t="s">
        <v>8</v>
      </c>
      <c r="B1750" s="0" t="s">
        <v>2679</v>
      </c>
      <c r="C1750" s="0" t="s">
        <v>7072</v>
      </c>
    </row>
    <row r="1751" customFormat="false" ht="15" hidden="false" customHeight="false" outlineLevel="0" collapsed="false">
      <c r="A1751" s="0" t="s">
        <v>8</v>
      </c>
      <c r="B1751" s="0" t="s">
        <v>2686</v>
      </c>
      <c r="C1751" s="0" t="s">
        <v>7070</v>
      </c>
      <c r="D1751" s="0" t="n">
        <v>37900</v>
      </c>
    </row>
    <row r="1752" customFormat="false" ht="15" hidden="false" customHeight="false" outlineLevel="0" collapsed="false">
      <c r="A1752" s="0" t="s">
        <v>8</v>
      </c>
      <c r="B1752" s="0" t="s">
        <v>2686</v>
      </c>
      <c r="C1752" s="0" t="s">
        <v>7071</v>
      </c>
    </row>
    <row r="1753" customFormat="false" ht="15" hidden="false" customHeight="false" outlineLevel="0" collapsed="false">
      <c r="A1753" s="0" t="s">
        <v>8</v>
      </c>
      <c r="B1753" s="0" t="s">
        <v>2686</v>
      </c>
      <c r="C1753" s="0" t="s">
        <v>7072</v>
      </c>
    </row>
    <row r="1754" customFormat="false" ht="15" hidden="false" customHeight="false" outlineLevel="0" collapsed="false">
      <c r="A1754" s="0" t="s">
        <v>8</v>
      </c>
      <c r="B1754" s="0" t="s">
        <v>2692</v>
      </c>
      <c r="C1754" s="0" t="s">
        <v>7070</v>
      </c>
      <c r="D1754" s="0" t="n">
        <v>-4594</v>
      </c>
    </row>
    <row r="1755" customFormat="false" ht="15" hidden="false" customHeight="false" outlineLevel="0" collapsed="false">
      <c r="A1755" s="0" t="s">
        <v>8</v>
      </c>
      <c r="B1755" s="0" t="s">
        <v>2692</v>
      </c>
      <c r="C1755" s="0" t="s">
        <v>7071</v>
      </c>
    </row>
    <row r="1756" customFormat="false" ht="15" hidden="false" customHeight="false" outlineLevel="0" collapsed="false">
      <c r="A1756" s="0" t="s">
        <v>8</v>
      </c>
      <c r="B1756" s="0" t="s">
        <v>2692</v>
      </c>
      <c r="C1756" s="0" t="s">
        <v>7072</v>
      </c>
    </row>
    <row r="1757" customFormat="false" ht="15" hidden="false" customHeight="false" outlineLevel="0" collapsed="false">
      <c r="A1757" s="0" t="s">
        <v>8</v>
      </c>
      <c r="B1757" s="0" t="s">
        <v>2697</v>
      </c>
      <c r="C1757" s="0" t="s">
        <v>7070</v>
      </c>
      <c r="D1757" s="0" t="n">
        <v>6.1</v>
      </c>
    </row>
    <row r="1758" customFormat="false" ht="15" hidden="false" customHeight="false" outlineLevel="0" collapsed="false">
      <c r="A1758" s="0" t="s">
        <v>8</v>
      </c>
      <c r="B1758" s="0" t="s">
        <v>2697</v>
      </c>
      <c r="C1758" s="0" t="s">
        <v>7071</v>
      </c>
    </row>
    <row r="1759" customFormat="false" ht="15" hidden="false" customHeight="false" outlineLevel="0" collapsed="false">
      <c r="A1759" s="0" t="s">
        <v>8</v>
      </c>
      <c r="B1759" s="0" t="s">
        <v>2697</v>
      </c>
      <c r="C1759" s="0" t="s">
        <v>7072</v>
      </c>
    </row>
    <row r="1760" customFormat="false" ht="15" hidden="false" customHeight="false" outlineLevel="0" collapsed="false">
      <c r="A1760" s="0" t="s">
        <v>8</v>
      </c>
      <c r="B1760" s="0" t="s">
        <v>2705</v>
      </c>
      <c r="C1760" s="0" t="s">
        <v>7070</v>
      </c>
      <c r="D1760" s="0" t="n">
        <v>1567.3</v>
      </c>
    </row>
    <row r="1761" customFormat="false" ht="15" hidden="false" customHeight="false" outlineLevel="0" collapsed="false">
      <c r="A1761" s="0" t="s">
        <v>8</v>
      </c>
      <c r="B1761" s="0" t="s">
        <v>2705</v>
      </c>
      <c r="C1761" s="0" t="s">
        <v>7071</v>
      </c>
    </row>
    <row r="1762" customFormat="false" ht="15" hidden="false" customHeight="false" outlineLevel="0" collapsed="false">
      <c r="A1762" s="0" t="s">
        <v>8</v>
      </c>
      <c r="B1762" s="0" t="s">
        <v>2705</v>
      </c>
      <c r="C1762" s="0" t="s">
        <v>7072</v>
      </c>
    </row>
    <row r="1763" customFormat="false" ht="15" hidden="false" customHeight="false" outlineLevel="0" collapsed="false">
      <c r="A1763" s="0" t="s">
        <v>8</v>
      </c>
      <c r="B1763" s="0" t="s">
        <v>2710</v>
      </c>
      <c r="C1763" s="0" t="s">
        <v>7070</v>
      </c>
      <c r="D1763" s="0" t="n">
        <v>1427</v>
      </c>
    </row>
    <row r="1764" customFormat="false" ht="15" hidden="false" customHeight="false" outlineLevel="0" collapsed="false">
      <c r="A1764" s="0" t="s">
        <v>8</v>
      </c>
      <c r="B1764" s="0" t="s">
        <v>2710</v>
      </c>
      <c r="C1764" s="0" t="s">
        <v>7071</v>
      </c>
      <c r="D1764" s="0" t="n">
        <v>549</v>
      </c>
    </row>
    <row r="1765" customFormat="false" ht="15" hidden="false" customHeight="false" outlineLevel="0" collapsed="false">
      <c r="A1765" s="0" t="s">
        <v>8</v>
      </c>
      <c r="B1765" s="0" t="s">
        <v>2710</v>
      </c>
      <c r="C1765" s="0" t="s">
        <v>7072</v>
      </c>
      <c r="D1765" s="0" t="n">
        <v>1928</v>
      </c>
    </row>
    <row r="1766" customFormat="false" ht="15" hidden="false" customHeight="false" outlineLevel="0" collapsed="false">
      <c r="A1766" s="0" t="s">
        <v>8</v>
      </c>
      <c r="B1766" s="0" t="s">
        <v>2717</v>
      </c>
      <c r="C1766" s="0" t="s">
        <v>7070</v>
      </c>
      <c r="D1766" s="0" t="n">
        <v>1560</v>
      </c>
    </row>
    <row r="1767" customFormat="false" ht="15" hidden="false" customHeight="false" outlineLevel="0" collapsed="false">
      <c r="A1767" s="0" t="s">
        <v>8</v>
      </c>
      <c r="B1767" s="0" t="s">
        <v>2717</v>
      </c>
      <c r="C1767" s="0" t="s">
        <v>7071</v>
      </c>
    </row>
    <row r="1768" customFormat="false" ht="15" hidden="false" customHeight="false" outlineLevel="0" collapsed="false">
      <c r="A1768" s="0" t="s">
        <v>8</v>
      </c>
      <c r="B1768" s="0" t="s">
        <v>2717</v>
      </c>
      <c r="C1768" s="0" t="s">
        <v>7072</v>
      </c>
    </row>
    <row r="1769" customFormat="false" ht="15" hidden="false" customHeight="false" outlineLevel="0" collapsed="false">
      <c r="A1769" s="0" t="s">
        <v>8</v>
      </c>
      <c r="B1769" s="0" t="s">
        <v>2725</v>
      </c>
      <c r="C1769" s="0" t="s">
        <v>7070</v>
      </c>
      <c r="D1769" s="0" t="n">
        <v>1600</v>
      </c>
    </row>
    <row r="1770" customFormat="false" ht="15" hidden="false" customHeight="false" outlineLevel="0" collapsed="false">
      <c r="A1770" s="0" t="s">
        <v>8</v>
      </c>
      <c r="B1770" s="0" t="s">
        <v>2725</v>
      </c>
      <c r="C1770" s="0" t="s">
        <v>7071</v>
      </c>
    </row>
    <row r="1771" customFormat="false" ht="15" hidden="false" customHeight="false" outlineLevel="0" collapsed="false">
      <c r="A1771" s="0" t="s">
        <v>8</v>
      </c>
      <c r="B1771" s="0" t="s">
        <v>2725</v>
      </c>
      <c r="C1771" s="0" t="s">
        <v>7072</v>
      </c>
    </row>
    <row r="1772" customFormat="false" ht="15" hidden="false" customHeight="false" outlineLevel="0" collapsed="false">
      <c r="A1772" s="0" t="s">
        <v>8</v>
      </c>
      <c r="B1772" s="0" t="s">
        <v>2733</v>
      </c>
      <c r="C1772" s="0" t="s">
        <v>7070</v>
      </c>
      <c r="D1772" s="0" t="n">
        <v>62</v>
      </c>
    </row>
    <row r="1773" customFormat="false" ht="15" hidden="false" customHeight="false" outlineLevel="0" collapsed="false">
      <c r="A1773" s="0" t="s">
        <v>8</v>
      </c>
      <c r="B1773" s="0" t="s">
        <v>2733</v>
      </c>
      <c r="C1773" s="0" t="s">
        <v>7071</v>
      </c>
    </row>
    <row r="1774" customFormat="false" ht="15" hidden="false" customHeight="false" outlineLevel="0" collapsed="false">
      <c r="A1774" s="0" t="s">
        <v>8</v>
      </c>
      <c r="B1774" s="0" t="s">
        <v>2733</v>
      </c>
      <c r="C1774" s="0" t="s">
        <v>7072</v>
      </c>
    </row>
    <row r="1775" customFormat="false" ht="15" hidden="false" customHeight="false" outlineLevel="0" collapsed="false">
      <c r="A1775" s="0" t="s">
        <v>8</v>
      </c>
      <c r="B1775" s="0" t="s">
        <v>2741</v>
      </c>
      <c r="C1775" s="0" t="s">
        <v>7070</v>
      </c>
      <c r="D1775" s="0" t="n">
        <v>42</v>
      </c>
    </row>
    <row r="1776" customFormat="false" ht="15" hidden="false" customHeight="false" outlineLevel="0" collapsed="false">
      <c r="A1776" s="0" t="s">
        <v>8</v>
      </c>
      <c r="B1776" s="0" t="s">
        <v>2741</v>
      </c>
      <c r="C1776" s="0" t="s">
        <v>7071</v>
      </c>
    </row>
    <row r="1777" customFormat="false" ht="15" hidden="false" customHeight="false" outlineLevel="0" collapsed="false">
      <c r="A1777" s="0" t="s">
        <v>8</v>
      </c>
      <c r="B1777" s="0" t="s">
        <v>2741</v>
      </c>
      <c r="C1777" s="0" t="s">
        <v>7072</v>
      </c>
    </row>
    <row r="1778" customFormat="false" ht="15" hidden="false" customHeight="false" outlineLevel="0" collapsed="false">
      <c r="A1778" s="0" t="s">
        <v>8</v>
      </c>
      <c r="B1778" s="0" t="s">
        <v>2749</v>
      </c>
      <c r="C1778" s="0" t="s">
        <v>7070</v>
      </c>
      <c r="D1778" s="0" t="n">
        <v>1500</v>
      </c>
    </row>
    <row r="1779" customFormat="false" ht="15" hidden="false" customHeight="false" outlineLevel="0" collapsed="false">
      <c r="A1779" s="0" t="s">
        <v>8</v>
      </c>
      <c r="B1779" s="0" t="s">
        <v>2749</v>
      </c>
      <c r="C1779" s="0" t="s">
        <v>7071</v>
      </c>
    </row>
    <row r="1780" customFormat="false" ht="15" hidden="false" customHeight="false" outlineLevel="0" collapsed="false">
      <c r="A1780" s="0" t="s">
        <v>8</v>
      </c>
      <c r="B1780" s="0" t="s">
        <v>2749</v>
      </c>
      <c r="C1780" s="0" t="s">
        <v>7072</v>
      </c>
    </row>
    <row r="1781" customFormat="false" ht="15" hidden="false" customHeight="false" outlineLevel="0" collapsed="false">
      <c r="A1781" s="0" t="s">
        <v>8</v>
      </c>
      <c r="B1781" s="0" t="s">
        <v>2757</v>
      </c>
      <c r="C1781" s="0" t="s">
        <v>7070</v>
      </c>
      <c r="D1781" s="0" t="n">
        <v>2000</v>
      </c>
    </row>
    <row r="1782" customFormat="false" ht="15" hidden="false" customHeight="false" outlineLevel="0" collapsed="false">
      <c r="A1782" s="0" t="s">
        <v>8</v>
      </c>
      <c r="B1782" s="0" t="s">
        <v>2757</v>
      </c>
      <c r="C1782" s="0" t="s">
        <v>7071</v>
      </c>
    </row>
    <row r="1783" customFormat="false" ht="15" hidden="false" customHeight="false" outlineLevel="0" collapsed="false">
      <c r="A1783" s="0" t="s">
        <v>8</v>
      </c>
      <c r="B1783" s="0" t="s">
        <v>2757</v>
      </c>
      <c r="C1783" s="0" t="s">
        <v>7072</v>
      </c>
    </row>
    <row r="1784" customFormat="false" ht="15" hidden="false" customHeight="false" outlineLevel="0" collapsed="false">
      <c r="A1784" s="0" t="s">
        <v>8</v>
      </c>
      <c r="B1784" s="0" t="s">
        <v>2764</v>
      </c>
      <c r="C1784" s="0" t="s">
        <v>7070</v>
      </c>
      <c r="D1784" s="0" t="n">
        <v>236</v>
      </c>
    </row>
    <row r="1785" customFormat="false" ht="15" hidden="false" customHeight="false" outlineLevel="0" collapsed="false">
      <c r="A1785" s="0" t="s">
        <v>8</v>
      </c>
      <c r="B1785" s="0" t="s">
        <v>2764</v>
      </c>
      <c r="C1785" s="0" t="s">
        <v>7071</v>
      </c>
    </row>
    <row r="1786" customFormat="false" ht="15" hidden="false" customHeight="false" outlineLevel="0" collapsed="false">
      <c r="A1786" s="0" t="s">
        <v>8</v>
      </c>
      <c r="B1786" s="0" t="s">
        <v>2764</v>
      </c>
      <c r="C1786" s="0" t="s">
        <v>7072</v>
      </c>
    </row>
    <row r="1787" customFormat="false" ht="15" hidden="false" customHeight="false" outlineLevel="0" collapsed="false">
      <c r="A1787" s="0" t="s">
        <v>8</v>
      </c>
      <c r="B1787" s="0" t="s">
        <v>2771</v>
      </c>
      <c r="C1787" s="0" t="s">
        <v>7070</v>
      </c>
      <c r="D1787" s="0" t="n">
        <v>830.72</v>
      </c>
    </row>
    <row r="1788" customFormat="false" ht="15" hidden="false" customHeight="false" outlineLevel="0" collapsed="false">
      <c r="A1788" s="0" t="s">
        <v>8</v>
      </c>
      <c r="B1788" s="0" t="s">
        <v>2771</v>
      </c>
      <c r="C1788" s="0" t="s">
        <v>7071</v>
      </c>
    </row>
    <row r="1789" customFormat="false" ht="15" hidden="false" customHeight="false" outlineLevel="0" collapsed="false">
      <c r="A1789" s="0" t="s">
        <v>8</v>
      </c>
      <c r="B1789" s="0" t="s">
        <v>2771</v>
      </c>
      <c r="C1789" s="0" t="s">
        <v>7072</v>
      </c>
    </row>
    <row r="1790" customFormat="false" ht="15" hidden="false" customHeight="false" outlineLevel="0" collapsed="false">
      <c r="A1790" s="0" t="s">
        <v>8</v>
      </c>
      <c r="B1790" s="0" t="s">
        <v>2775</v>
      </c>
      <c r="C1790" s="0" t="s">
        <v>7070</v>
      </c>
      <c r="D1790" s="0" t="n">
        <v>352480183</v>
      </c>
    </row>
    <row r="1791" customFormat="false" ht="15" hidden="false" customHeight="false" outlineLevel="0" collapsed="false">
      <c r="A1791" s="0" t="s">
        <v>8</v>
      </c>
      <c r="B1791" s="0" t="s">
        <v>2775</v>
      </c>
      <c r="C1791" s="0" t="s">
        <v>7071</v>
      </c>
    </row>
    <row r="1792" customFormat="false" ht="15" hidden="false" customHeight="false" outlineLevel="0" collapsed="false">
      <c r="A1792" s="0" t="s">
        <v>8</v>
      </c>
      <c r="B1792" s="0" t="s">
        <v>2775</v>
      </c>
      <c r="C1792" s="0" t="s">
        <v>7072</v>
      </c>
    </row>
    <row r="1793" customFormat="false" ht="15" hidden="false" customHeight="false" outlineLevel="0" collapsed="false">
      <c r="A1793" s="0" t="s">
        <v>8</v>
      </c>
      <c r="B1793" s="0" t="s">
        <v>2783</v>
      </c>
      <c r="C1793" s="0" t="s">
        <v>7070</v>
      </c>
      <c r="D1793" s="0" t="n">
        <v>79</v>
      </c>
    </row>
    <row r="1794" customFormat="false" ht="15" hidden="false" customHeight="false" outlineLevel="0" collapsed="false">
      <c r="A1794" s="0" t="s">
        <v>8</v>
      </c>
      <c r="B1794" s="0" t="s">
        <v>2783</v>
      </c>
      <c r="C1794" s="0" t="s">
        <v>7071</v>
      </c>
    </row>
    <row r="1795" customFormat="false" ht="15" hidden="false" customHeight="false" outlineLevel="0" collapsed="false">
      <c r="A1795" s="0" t="s">
        <v>8</v>
      </c>
      <c r="B1795" s="0" t="s">
        <v>2783</v>
      </c>
      <c r="C1795" s="0" t="s">
        <v>7072</v>
      </c>
    </row>
    <row r="1796" customFormat="false" ht="15" hidden="false" customHeight="false" outlineLevel="0" collapsed="false">
      <c r="A1796" s="0" t="s">
        <v>8</v>
      </c>
      <c r="B1796" s="0" t="s">
        <v>2791</v>
      </c>
      <c r="C1796" s="0" t="s">
        <v>7070</v>
      </c>
      <c r="D1796" s="0" t="n">
        <v>-1871.6</v>
      </c>
    </row>
    <row r="1797" customFormat="false" ht="15" hidden="false" customHeight="false" outlineLevel="0" collapsed="false">
      <c r="A1797" s="0" t="s">
        <v>8</v>
      </c>
      <c r="B1797" s="0" t="s">
        <v>2791</v>
      </c>
      <c r="C1797" s="0" t="s">
        <v>7071</v>
      </c>
    </row>
    <row r="1798" customFormat="false" ht="15" hidden="false" customHeight="false" outlineLevel="0" collapsed="false">
      <c r="A1798" s="0" t="s">
        <v>8</v>
      </c>
      <c r="B1798" s="0" t="s">
        <v>2791</v>
      </c>
      <c r="C1798" s="0" t="s">
        <v>7072</v>
      </c>
    </row>
    <row r="1799" customFormat="false" ht="15" hidden="false" customHeight="false" outlineLevel="0" collapsed="false">
      <c r="A1799" s="0" t="s">
        <v>8</v>
      </c>
      <c r="B1799" s="0" t="s">
        <v>2795</v>
      </c>
      <c r="C1799" s="0" t="s">
        <v>7070</v>
      </c>
      <c r="D1799" s="0" t="n">
        <v>-250.9</v>
      </c>
    </row>
    <row r="1800" customFormat="false" ht="15" hidden="false" customHeight="false" outlineLevel="0" collapsed="false">
      <c r="A1800" s="0" t="s">
        <v>8</v>
      </c>
      <c r="B1800" s="0" t="s">
        <v>2795</v>
      </c>
      <c r="C1800" s="0" t="s">
        <v>7071</v>
      </c>
    </row>
    <row r="1801" customFormat="false" ht="15" hidden="false" customHeight="false" outlineLevel="0" collapsed="false">
      <c r="A1801" s="0" t="s">
        <v>8</v>
      </c>
      <c r="B1801" s="0" t="s">
        <v>2795</v>
      </c>
      <c r="C1801" s="0" t="s">
        <v>7072</v>
      </c>
    </row>
    <row r="1802" customFormat="false" ht="15" hidden="false" customHeight="false" outlineLevel="0" collapsed="false">
      <c r="A1802" s="0" t="s">
        <v>8</v>
      </c>
      <c r="B1802" s="0" t="s">
        <v>2800</v>
      </c>
      <c r="C1802" s="0" t="s">
        <v>7070</v>
      </c>
      <c r="D1802" s="0" t="n">
        <v>116.57</v>
      </c>
    </row>
    <row r="1803" customFormat="false" ht="15" hidden="false" customHeight="false" outlineLevel="0" collapsed="false">
      <c r="A1803" s="0" t="s">
        <v>8</v>
      </c>
      <c r="B1803" s="0" t="s">
        <v>2800</v>
      </c>
      <c r="C1803" s="0" t="s">
        <v>7071</v>
      </c>
    </row>
    <row r="1804" customFormat="false" ht="15" hidden="false" customHeight="false" outlineLevel="0" collapsed="false">
      <c r="A1804" s="0" t="s">
        <v>8</v>
      </c>
      <c r="B1804" s="0" t="s">
        <v>2800</v>
      </c>
      <c r="C1804" s="0" t="s">
        <v>7072</v>
      </c>
    </row>
    <row r="1805" customFormat="false" ht="15" hidden="false" customHeight="false" outlineLevel="0" collapsed="false">
      <c r="A1805" s="0" t="s">
        <v>8</v>
      </c>
      <c r="B1805" s="0" t="s">
        <v>2807</v>
      </c>
      <c r="C1805" s="0" t="s">
        <v>7070</v>
      </c>
      <c r="D1805" s="0" t="n">
        <v>-357.99</v>
      </c>
    </row>
    <row r="1806" customFormat="false" ht="15" hidden="false" customHeight="false" outlineLevel="0" collapsed="false">
      <c r="A1806" s="0" t="s">
        <v>8</v>
      </c>
      <c r="B1806" s="0" t="s">
        <v>2807</v>
      </c>
      <c r="C1806" s="0" t="s">
        <v>7071</v>
      </c>
    </row>
    <row r="1807" customFormat="false" ht="15" hidden="false" customHeight="false" outlineLevel="0" collapsed="false">
      <c r="A1807" s="0" t="s">
        <v>8</v>
      </c>
      <c r="B1807" s="0" t="s">
        <v>2807</v>
      </c>
      <c r="C1807" s="0" t="s">
        <v>7072</v>
      </c>
    </row>
    <row r="1808" customFormat="false" ht="15" hidden="false" customHeight="false" outlineLevel="0" collapsed="false">
      <c r="A1808" s="0" t="s">
        <v>8</v>
      </c>
      <c r="B1808" s="0" t="s">
        <v>2812</v>
      </c>
      <c r="C1808" s="0" t="s">
        <v>7070</v>
      </c>
      <c r="D1808" s="0" t="n">
        <v>1320</v>
      </c>
    </row>
    <row r="1809" customFormat="false" ht="15" hidden="false" customHeight="false" outlineLevel="0" collapsed="false">
      <c r="A1809" s="0" t="s">
        <v>8</v>
      </c>
      <c r="B1809" s="0" t="s">
        <v>2812</v>
      </c>
      <c r="C1809" s="0" t="s">
        <v>7071</v>
      </c>
    </row>
    <row r="1810" customFormat="false" ht="15" hidden="false" customHeight="false" outlineLevel="0" collapsed="false">
      <c r="A1810" s="0" t="s">
        <v>8</v>
      </c>
      <c r="B1810" s="0" t="s">
        <v>2812</v>
      </c>
      <c r="C1810" s="0" t="s">
        <v>7072</v>
      </c>
    </row>
    <row r="1811" customFormat="false" ht="15" hidden="false" customHeight="false" outlineLevel="0" collapsed="false">
      <c r="A1811" s="0" t="s">
        <v>8</v>
      </c>
      <c r="B1811" s="0" t="s">
        <v>2816</v>
      </c>
      <c r="C1811" s="0" t="s">
        <v>7070</v>
      </c>
    </row>
    <row r="1812" customFormat="false" ht="15" hidden="false" customHeight="false" outlineLevel="0" collapsed="false">
      <c r="A1812" s="0" t="s">
        <v>8</v>
      </c>
      <c r="B1812" s="0" t="s">
        <v>2816</v>
      </c>
      <c r="C1812" s="0" t="s">
        <v>7071</v>
      </c>
    </row>
    <row r="1813" customFormat="false" ht="15" hidden="false" customHeight="false" outlineLevel="0" collapsed="false">
      <c r="A1813" s="0" t="s">
        <v>8</v>
      </c>
      <c r="B1813" s="0" t="s">
        <v>2816</v>
      </c>
      <c r="C1813" s="0" t="s">
        <v>7072</v>
      </c>
    </row>
    <row r="1814" customFormat="false" ht="15" hidden="false" customHeight="false" outlineLevel="0" collapsed="false">
      <c r="A1814" s="0" t="s">
        <v>8</v>
      </c>
      <c r="B1814" s="0" t="s">
        <v>2821</v>
      </c>
      <c r="C1814" s="0" t="s">
        <v>7070</v>
      </c>
      <c r="D1814" s="0" t="n">
        <v>2.47</v>
      </c>
    </row>
    <row r="1815" customFormat="false" ht="15" hidden="false" customHeight="false" outlineLevel="0" collapsed="false">
      <c r="A1815" s="0" t="s">
        <v>8</v>
      </c>
      <c r="B1815" s="0" t="s">
        <v>2821</v>
      </c>
      <c r="C1815" s="0" t="s">
        <v>7071</v>
      </c>
    </row>
    <row r="1816" customFormat="false" ht="15" hidden="false" customHeight="false" outlineLevel="0" collapsed="false">
      <c r="A1816" s="0" t="s">
        <v>8</v>
      </c>
      <c r="B1816" s="0" t="s">
        <v>2821</v>
      </c>
      <c r="C1816" s="0" t="s">
        <v>7072</v>
      </c>
    </row>
    <row r="1817" customFormat="false" ht="15" hidden="false" customHeight="false" outlineLevel="0" collapsed="false">
      <c r="A1817" s="0" t="s">
        <v>8</v>
      </c>
      <c r="B1817" s="0" t="s">
        <v>2826</v>
      </c>
      <c r="C1817" s="0" t="s">
        <v>7070</v>
      </c>
      <c r="D1817" s="0" t="n">
        <v>155</v>
      </c>
    </row>
    <row r="1818" customFormat="false" ht="15" hidden="false" customHeight="false" outlineLevel="0" collapsed="false">
      <c r="A1818" s="0" t="s">
        <v>8</v>
      </c>
      <c r="B1818" s="0" t="s">
        <v>2826</v>
      </c>
      <c r="C1818" s="0" t="s">
        <v>7071</v>
      </c>
    </row>
    <row r="1819" customFormat="false" ht="15" hidden="false" customHeight="false" outlineLevel="0" collapsed="false">
      <c r="A1819" s="0" t="s">
        <v>8</v>
      </c>
      <c r="B1819" s="0" t="s">
        <v>2826</v>
      </c>
      <c r="C1819" s="0" t="s">
        <v>7072</v>
      </c>
    </row>
    <row r="1820" customFormat="false" ht="15" hidden="false" customHeight="false" outlineLevel="0" collapsed="false">
      <c r="A1820" s="0" t="s">
        <v>8</v>
      </c>
      <c r="B1820" s="0" t="s">
        <v>2830</v>
      </c>
      <c r="C1820" s="0" t="s">
        <v>7070</v>
      </c>
      <c r="D1820" s="0" t="n">
        <v>344</v>
      </c>
    </row>
    <row r="1821" customFormat="false" ht="15" hidden="false" customHeight="false" outlineLevel="0" collapsed="false">
      <c r="A1821" s="0" t="s">
        <v>8</v>
      </c>
      <c r="B1821" s="0" t="s">
        <v>2830</v>
      </c>
      <c r="C1821" s="0" t="s">
        <v>7071</v>
      </c>
    </row>
    <row r="1822" customFormat="false" ht="15" hidden="false" customHeight="false" outlineLevel="0" collapsed="false">
      <c r="A1822" s="0" t="s">
        <v>8</v>
      </c>
      <c r="B1822" s="0" t="s">
        <v>2830</v>
      </c>
      <c r="C1822" s="0" t="s">
        <v>7072</v>
      </c>
    </row>
    <row r="1823" customFormat="false" ht="15" hidden="false" customHeight="false" outlineLevel="0" collapsed="false">
      <c r="A1823" s="0" t="s">
        <v>8</v>
      </c>
      <c r="B1823" s="0" t="s">
        <v>2834</v>
      </c>
      <c r="C1823" s="0" t="s">
        <v>7070</v>
      </c>
      <c r="D1823" s="0" t="n">
        <v>114</v>
      </c>
    </row>
    <row r="1824" customFormat="false" ht="15" hidden="false" customHeight="false" outlineLevel="0" collapsed="false">
      <c r="A1824" s="0" t="s">
        <v>8</v>
      </c>
      <c r="B1824" s="0" t="s">
        <v>2834</v>
      </c>
      <c r="C1824" s="0" t="s">
        <v>7071</v>
      </c>
    </row>
    <row r="1825" customFormat="false" ht="15" hidden="false" customHeight="false" outlineLevel="0" collapsed="false">
      <c r="A1825" s="0" t="s">
        <v>8</v>
      </c>
      <c r="B1825" s="0" t="s">
        <v>2834</v>
      </c>
      <c r="C1825" s="0" t="s">
        <v>7072</v>
      </c>
    </row>
    <row r="1826" customFormat="false" ht="15" hidden="false" customHeight="false" outlineLevel="0" collapsed="false">
      <c r="A1826" s="0" t="s">
        <v>8</v>
      </c>
      <c r="B1826" s="0" t="s">
        <v>2838</v>
      </c>
      <c r="C1826" s="0" t="s">
        <v>7070</v>
      </c>
      <c r="D1826" s="0" t="n">
        <v>251</v>
      </c>
    </row>
    <row r="1827" customFormat="false" ht="15" hidden="false" customHeight="false" outlineLevel="0" collapsed="false">
      <c r="A1827" s="0" t="s">
        <v>8</v>
      </c>
      <c r="B1827" s="0" t="s">
        <v>2838</v>
      </c>
      <c r="C1827" s="0" t="s">
        <v>7071</v>
      </c>
    </row>
    <row r="1828" customFormat="false" ht="15" hidden="false" customHeight="false" outlineLevel="0" collapsed="false">
      <c r="A1828" s="0" t="s">
        <v>8</v>
      </c>
      <c r="B1828" s="0" t="s">
        <v>2838</v>
      </c>
      <c r="C1828" s="0" t="s">
        <v>7072</v>
      </c>
    </row>
    <row r="1829" customFormat="false" ht="15" hidden="false" customHeight="false" outlineLevel="0" collapsed="false">
      <c r="A1829" s="0" t="s">
        <v>8</v>
      </c>
      <c r="B1829" s="0" t="s">
        <v>2842</v>
      </c>
      <c r="C1829" s="0" t="s">
        <v>7070</v>
      </c>
      <c r="D1829" s="0" t="n">
        <v>475</v>
      </c>
    </row>
    <row r="1830" customFormat="false" ht="15" hidden="false" customHeight="false" outlineLevel="0" collapsed="false">
      <c r="A1830" s="0" t="s">
        <v>8</v>
      </c>
      <c r="B1830" s="0" t="s">
        <v>2842</v>
      </c>
      <c r="C1830" s="0" t="s">
        <v>7071</v>
      </c>
    </row>
    <row r="1831" customFormat="false" ht="15" hidden="false" customHeight="false" outlineLevel="0" collapsed="false">
      <c r="A1831" s="0" t="s">
        <v>8</v>
      </c>
      <c r="B1831" s="0" t="s">
        <v>2842</v>
      </c>
      <c r="C1831" s="0" t="s">
        <v>7072</v>
      </c>
    </row>
    <row r="1832" customFormat="false" ht="15" hidden="false" customHeight="false" outlineLevel="0" collapsed="false">
      <c r="A1832" s="0" t="s">
        <v>8</v>
      </c>
      <c r="B1832" s="0" t="s">
        <v>2847</v>
      </c>
      <c r="C1832" s="0" t="s">
        <v>7070</v>
      </c>
      <c r="D1832" s="0" t="n">
        <v>0.1463</v>
      </c>
    </row>
    <row r="1833" customFormat="false" ht="15" hidden="false" customHeight="false" outlineLevel="0" collapsed="false">
      <c r="A1833" s="0" t="s">
        <v>8</v>
      </c>
      <c r="B1833" s="0" t="s">
        <v>2847</v>
      </c>
      <c r="C1833" s="0" t="s">
        <v>7071</v>
      </c>
    </row>
    <row r="1834" customFormat="false" ht="15" hidden="false" customHeight="false" outlineLevel="0" collapsed="false">
      <c r="A1834" s="0" t="s">
        <v>8</v>
      </c>
      <c r="B1834" s="0" t="s">
        <v>2847</v>
      </c>
      <c r="C1834" s="0" t="s">
        <v>7072</v>
      </c>
    </row>
    <row r="1835" customFormat="false" ht="15" hidden="false" customHeight="false" outlineLevel="0" collapsed="false">
      <c r="A1835" s="0" t="s">
        <v>8</v>
      </c>
      <c r="B1835" s="0" t="s">
        <v>2853</v>
      </c>
      <c r="C1835" s="0" t="s">
        <v>7070</v>
      </c>
      <c r="D1835" s="0" t="n">
        <v>3.1175</v>
      </c>
    </row>
    <row r="1836" customFormat="false" ht="15" hidden="false" customHeight="false" outlineLevel="0" collapsed="false">
      <c r="A1836" s="0" t="s">
        <v>8</v>
      </c>
      <c r="B1836" s="0" t="s">
        <v>2853</v>
      </c>
      <c r="C1836" s="0" t="s">
        <v>7071</v>
      </c>
    </row>
    <row r="1837" customFormat="false" ht="15" hidden="false" customHeight="false" outlineLevel="0" collapsed="false">
      <c r="A1837" s="0" t="s">
        <v>8</v>
      </c>
      <c r="B1837" s="0" t="s">
        <v>2853</v>
      </c>
      <c r="C1837" s="0" t="s">
        <v>7072</v>
      </c>
    </row>
    <row r="1838" customFormat="false" ht="15" hidden="false" customHeight="false" outlineLevel="0" collapsed="false">
      <c r="A1838" s="0" t="s">
        <v>8</v>
      </c>
      <c r="B1838" s="0" t="s">
        <v>2856</v>
      </c>
      <c r="C1838" s="0" t="s">
        <v>7070</v>
      </c>
      <c r="D1838" s="0" t="n">
        <v>15.5283</v>
      </c>
    </row>
    <row r="1839" customFormat="false" ht="15" hidden="false" customHeight="false" outlineLevel="0" collapsed="false">
      <c r="A1839" s="0" t="s">
        <v>8</v>
      </c>
      <c r="B1839" s="0" t="s">
        <v>2856</v>
      </c>
      <c r="C1839" s="0" t="s">
        <v>7071</v>
      </c>
    </row>
    <row r="1840" customFormat="false" ht="15" hidden="false" customHeight="false" outlineLevel="0" collapsed="false">
      <c r="A1840" s="0" t="s">
        <v>8</v>
      </c>
      <c r="B1840" s="0" t="s">
        <v>2856</v>
      </c>
      <c r="C1840" s="0" t="s">
        <v>7072</v>
      </c>
    </row>
    <row r="1841" customFormat="false" ht="15" hidden="false" customHeight="false" outlineLevel="0" collapsed="false">
      <c r="A1841" s="0" t="s">
        <v>8</v>
      </c>
      <c r="B1841" s="0" t="s">
        <v>2859</v>
      </c>
      <c r="C1841" s="0" t="s">
        <v>7070</v>
      </c>
      <c r="D1841" s="0" t="n">
        <v>6.0324</v>
      </c>
    </row>
    <row r="1842" customFormat="false" ht="15" hidden="false" customHeight="false" outlineLevel="0" collapsed="false">
      <c r="A1842" s="0" t="s">
        <v>8</v>
      </c>
      <c r="B1842" s="0" t="s">
        <v>2859</v>
      </c>
      <c r="C1842" s="0" t="s">
        <v>7071</v>
      </c>
    </row>
    <row r="1843" customFormat="false" ht="15" hidden="false" customHeight="false" outlineLevel="0" collapsed="false">
      <c r="A1843" s="0" t="s">
        <v>8</v>
      </c>
      <c r="B1843" s="0" t="s">
        <v>2859</v>
      </c>
      <c r="C1843" s="0" t="s">
        <v>7072</v>
      </c>
    </row>
    <row r="1844" customFormat="false" ht="15" hidden="false" customHeight="false" outlineLevel="0" collapsed="false">
      <c r="A1844" s="0" t="s">
        <v>8</v>
      </c>
      <c r="B1844" s="0" t="s">
        <v>2863</v>
      </c>
      <c r="C1844" s="0" t="s">
        <v>7070</v>
      </c>
      <c r="D1844" s="0" t="n">
        <v>11.4512</v>
      </c>
    </row>
    <row r="1845" customFormat="false" ht="15" hidden="false" customHeight="false" outlineLevel="0" collapsed="false">
      <c r="A1845" s="0" t="s">
        <v>8</v>
      </c>
      <c r="B1845" s="0" t="s">
        <v>2863</v>
      </c>
      <c r="C1845" s="0" t="s">
        <v>7071</v>
      </c>
    </row>
    <row r="1846" customFormat="false" ht="15" hidden="false" customHeight="false" outlineLevel="0" collapsed="false">
      <c r="A1846" s="0" t="s">
        <v>8</v>
      </c>
      <c r="B1846" s="0" t="s">
        <v>2863</v>
      </c>
      <c r="C1846" s="0" t="s">
        <v>7072</v>
      </c>
    </row>
    <row r="1847" customFormat="false" ht="15" hidden="false" customHeight="false" outlineLevel="0" collapsed="false">
      <c r="A1847" s="0" t="s">
        <v>8</v>
      </c>
      <c r="B1847" s="0" t="s">
        <v>2867</v>
      </c>
      <c r="C1847" s="0" t="s">
        <v>7070</v>
      </c>
      <c r="D1847" s="0" t="n">
        <v>0.4198</v>
      </c>
    </row>
    <row r="1848" customFormat="false" ht="15" hidden="false" customHeight="false" outlineLevel="0" collapsed="false">
      <c r="A1848" s="0" t="s">
        <v>8</v>
      </c>
      <c r="B1848" s="0" t="s">
        <v>2867</v>
      </c>
      <c r="C1848" s="0" t="s">
        <v>7071</v>
      </c>
    </row>
    <row r="1849" customFormat="false" ht="15" hidden="false" customHeight="false" outlineLevel="0" collapsed="false">
      <c r="A1849" s="0" t="s">
        <v>8</v>
      </c>
      <c r="B1849" s="0" t="s">
        <v>2867</v>
      </c>
      <c r="C1849" s="0" t="s">
        <v>7072</v>
      </c>
    </row>
    <row r="1850" customFormat="false" ht="15" hidden="false" customHeight="false" outlineLevel="0" collapsed="false">
      <c r="A1850" s="0" t="s">
        <v>8</v>
      </c>
      <c r="B1850" s="0" t="s">
        <v>2871</v>
      </c>
      <c r="C1850" s="0" t="s">
        <v>7070</v>
      </c>
      <c r="D1850" s="0" t="n">
        <v>1.373</v>
      </c>
    </row>
    <row r="1851" customFormat="false" ht="15" hidden="false" customHeight="false" outlineLevel="0" collapsed="false">
      <c r="A1851" s="0" t="s">
        <v>8</v>
      </c>
      <c r="B1851" s="0" t="s">
        <v>2871</v>
      </c>
      <c r="C1851" s="0" t="s">
        <v>7071</v>
      </c>
    </row>
    <row r="1852" customFormat="false" ht="15" hidden="false" customHeight="false" outlineLevel="0" collapsed="false">
      <c r="A1852" s="0" t="s">
        <v>8</v>
      </c>
      <c r="B1852" s="0" t="s">
        <v>2871</v>
      </c>
      <c r="C1852" s="0" t="s">
        <v>7072</v>
      </c>
    </row>
    <row r="1853" customFormat="false" ht="15" hidden="false" customHeight="false" outlineLevel="0" collapsed="false">
      <c r="A1853" s="0" t="s">
        <v>8</v>
      </c>
      <c r="B1853" s="0" t="s">
        <v>2874</v>
      </c>
      <c r="C1853" s="0" t="s">
        <v>7070</v>
      </c>
      <c r="D1853" s="0" t="n">
        <v>3.2419</v>
      </c>
    </row>
    <row r="1854" customFormat="false" ht="15" hidden="false" customHeight="false" outlineLevel="0" collapsed="false">
      <c r="A1854" s="0" t="s">
        <v>8</v>
      </c>
      <c r="B1854" s="0" t="s">
        <v>2874</v>
      </c>
      <c r="C1854" s="0" t="s">
        <v>7071</v>
      </c>
    </row>
    <row r="1855" customFormat="false" ht="15" hidden="false" customHeight="false" outlineLevel="0" collapsed="false">
      <c r="A1855" s="0" t="s">
        <v>8</v>
      </c>
      <c r="B1855" s="0" t="s">
        <v>2874</v>
      </c>
      <c r="C1855" s="0" t="s">
        <v>7072</v>
      </c>
    </row>
    <row r="1856" customFormat="false" ht="15" hidden="false" customHeight="false" outlineLevel="0" collapsed="false">
      <c r="A1856" s="0" t="s">
        <v>8</v>
      </c>
      <c r="B1856" s="0" t="s">
        <v>2877</v>
      </c>
      <c r="C1856" s="0" t="s">
        <v>7070</v>
      </c>
      <c r="D1856" s="0" t="n">
        <v>1.0799</v>
      </c>
    </row>
    <row r="1857" customFormat="false" ht="15" hidden="false" customHeight="false" outlineLevel="0" collapsed="false">
      <c r="A1857" s="0" t="s">
        <v>8</v>
      </c>
      <c r="B1857" s="0" t="s">
        <v>2877</v>
      </c>
      <c r="C1857" s="0" t="s">
        <v>7071</v>
      </c>
    </row>
    <row r="1858" customFormat="false" ht="15" hidden="false" customHeight="false" outlineLevel="0" collapsed="false">
      <c r="A1858" s="0" t="s">
        <v>8</v>
      </c>
      <c r="B1858" s="0" t="s">
        <v>2877</v>
      </c>
      <c r="C1858" s="0" t="s">
        <v>7072</v>
      </c>
    </row>
    <row r="1859" customFormat="false" ht="15" hidden="false" customHeight="false" outlineLevel="0" collapsed="false">
      <c r="A1859" s="0" t="s">
        <v>8</v>
      </c>
      <c r="B1859" s="0" t="s">
        <v>2880</v>
      </c>
      <c r="C1859" s="0" t="s">
        <v>7070</v>
      </c>
      <c r="D1859" s="0" t="n">
        <v>2.6557</v>
      </c>
    </row>
    <row r="1860" customFormat="false" ht="15" hidden="false" customHeight="false" outlineLevel="0" collapsed="false">
      <c r="A1860" s="0" t="s">
        <v>8</v>
      </c>
      <c r="B1860" s="0" t="s">
        <v>2880</v>
      </c>
      <c r="C1860" s="0" t="s">
        <v>7071</v>
      </c>
    </row>
    <row r="1861" customFormat="false" ht="15" hidden="false" customHeight="false" outlineLevel="0" collapsed="false">
      <c r="A1861" s="0" t="s">
        <v>8</v>
      </c>
      <c r="B1861" s="0" t="s">
        <v>2880</v>
      </c>
      <c r="C1861" s="0" t="s">
        <v>7072</v>
      </c>
    </row>
    <row r="1862" customFormat="false" ht="15" hidden="false" customHeight="false" outlineLevel="0" collapsed="false">
      <c r="A1862" s="0" t="s">
        <v>8</v>
      </c>
      <c r="B1862" s="0" t="s">
        <v>2883</v>
      </c>
      <c r="C1862" s="0" t="s">
        <v>7070</v>
      </c>
      <c r="D1862" s="0" t="n">
        <v>0.1469</v>
      </c>
    </row>
    <row r="1863" customFormat="false" ht="15" hidden="false" customHeight="false" outlineLevel="0" collapsed="false">
      <c r="A1863" s="0" t="s">
        <v>8</v>
      </c>
      <c r="B1863" s="0" t="s">
        <v>2883</v>
      </c>
      <c r="C1863" s="0" t="s">
        <v>7071</v>
      </c>
    </row>
    <row r="1864" customFormat="false" ht="15" hidden="false" customHeight="false" outlineLevel="0" collapsed="false">
      <c r="A1864" s="0" t="s">
        <v>8</v>
      </c>
      <c r="B1864" s="0" t="s">
        <v>2883</v>
      </c>
      <c r="C1864" s="0" t="s">
        <v>7072</v>
      </c>
    </row>
    <row r="1865" customFormat="false" ht="15" hidden="false" customHeight="false" outlineLevel="0" collapsed="false">
      <c r="A1865" s="0" t="s">
        <v>8</v>
      </c>
      <c r="B1865" s="0" t="s">
        <v>2887</v>
      </c>
      <c r="C1865" s="0" t="s">
        <v>7070</v>
      </c>
      <c r="D1865" s="0" t="n">
        <v>0.4921</v>
      </c>
    </row>
    <row r="1866" customFormat="false" ht="15" hidden="false" customHeight="false" outlineLevel="0" collapsed="false">
      <c r="A1866" s="0" t="s">
        <v>8</v>
      </c>
      <c r="B1866" s="0" t="s">
        <v>2887</v>
      </c>
      <c r="C1866" s="0" t="s">
        <v>7071</v>
      </c>
    </row>
    <row r="1867" customFormat="false" ht="15" hidden="false" customHeight="false" outlineLevel="0" collapsed="false">
      <c r="A1867" s="0" t="s">
        <v>8</v>
      </c>
      <c r="B1867" s="0" t="s">
        <v>2887</v>
      </c>
      <c r="C1867" s="0" t="s">
        <v>7072</v>
      </c>
    </row>
    <row r="1868" customFormat="false" ht="15" hidden="false" customHeight="false" outlineLevel="0" collapsed="false">
      <c r="A1868" s="0" t="s">
        <v>8</v>
      </c>
      <c r="B1868" s="0" t="s">
        <v>2890</v>
      </c>
      <c r="C1868" s="0" t="s">
        <v>7070</v>
      </c>
      <c r="D1868" s="0" t="n">
        <v>2.5904</v>
      </c>
    </row>
    <row r="1869" customFormat="false" ht="15" hidden="false" customHeight="false" outlineLevel="0" collapsed="false">
      <c r="A1869" s="0" t="s">
        <v>8</v>
      </c>
      <c r="B1869" s="0" t="s">
        <v>2890</v>
      </c>
      <c r="C1869" s="0" t="s">
        <v>7071</v>
      </c>
    </row>
    <row r="1870" customFormat="false" ht="15" hidden="false" customHeight="false" outlineLevel="0" collapsed="false">
      <c r="A1870" s="0" t="s">
        <v>8</v>
      </c>
      <c r="B1870" s="0" t="s">
        <v>2890</v>
      </c>
      <c r="C1870" s="0" t="s">
        <v>7072</v>
      </c>
    </row>
    <row r="1871" customFormat="false" ht="15" hidden="false" customHeight="false" outlineLevel="0" collapsed="false">
      <c r="A1871" s="0" t="s">
        <v>8</v>
      </c>
      <c r="B1871" s="0" t="s">
        <v>2893</v>
      </c>
      <c r="C1871" s="0" t="s">
        <v>7070</v>
      </c>
      <c r="D1871" s="0" t="n">
        <v>1.1852</v>
      </c>
    </row>
    <row r="1872" customFormat="false" ht="15" hidden="false" customHeight="false" outlineLevel="0" collapsed="false">
      <c r="A1872" s="0" t="s">
        <v>8</v>
      </c>
      <c r="B1872" s="0" t="s">
        <v>2893</v>
      </c>
      <c r="C1872" s="0" t="s">
        <v>7071</v>
      </c>
    </row>
    <row r="1873" customFormat="false" ht="15" hidden="false" customHeight="false" outlineLevel="0" collapsed="false">
      <c r="A1873" s="0" t="s">
        <v>8</v>
      </c>
      <c r="B1873" s="0" t="s">
        <v>2893</v>
      </c>
      <c r="C1873" s="0" t="s">
        <v>7072</v>
      </c>
    </row>
    <row r="1874" customFormat="false" ht="15" hidden="false" customHeight="false" outlineLevel="0" collapsed="false">
      <c r="A1874" s="0" t="s">
        <v>8</v>
      </c>
      <c r="B1874" s="0" t="s">
        <v>2896</v>
      </c>
      <c r="C1874" s="0" t="s">
        <v>7070</v>
      </c>
      <c r="D1874" s="0" t="n">
        <v>1.2397</v>
      </c>
    </row>
    <row r="1875" customFormat="false" ht="15" hidden="false" customHeight="false" outlineLevel="0" collapsed="false">
      <c r="A1875" s="0" t="s">
        <v>8</v>
      </c>
      <c r="B1875" s="0" t="s">
        <v>2896</v>
      </c>
      <c r="C1875" s="0" t="s">
        <v>7071</v>
      </c>
    </row>
    <row r="1876" customFormat="false" ht="15" hidden="false" customHeight="false" outlineLevel="0" collapsed="false">
      <c r="A1876" s="0" t="s">
        <v>8</v>
      </c>
      <c r="B1876" s="0" t="s">
        <v>2896</v>
      </c>
      <c r="C1876" s="0" t="s">
        <v>7072</v>
      </c>
    </row>
    <row r="1877" customFormat="false" ht="15" hidden="false" customHeight="false" outlineLevel="0" collapsed="false">
      <c r="A1877" s="0" t="s">
        <v>8</v>
      </c>
      <c r="B1877" s="0" t="s">
        <v>2899</v>
      </c>
      <c r="C1877" s="0" t="s">
        <v>7070</v>
      </c>
      <c r="D1877" s="0" t="n">
        <v>0.1141</v>
      </c>
    </row>
    <row r="1878" customFormat="false" ht="15" hidden="false" customHeight="false" outlineLevel="0" collapsed="false">
      <c r="A1878" s="0" t="s">
        <v>8</v>
      </c>
      <c r="B1878" s="0" t="s">
        <v>2899</v>
      </c>
      <c r="C1878" s="0" t="s">
        <v>7071</v>
      </c>
    </row>
    <row r="1879" customFormat="false" ht="15" hidden="false" customHeight="false" outlineLevel="0" collapsed="false">
      <c r="A1879" s="0" t="s">
        <v>8</v>
      </c>
      <c r="B1879" s="0" t="s">
        <v>2899</v>
      </c>
      <c r="C1879" s="0" t="s">
        <v>7072</v>
      </c>
    </row>
    <row r="1880" customFormat="false" ht="15" hidden="false" customHeight="false" outlineLevel="0" collapsed="false">
      <c r="A1880" s="0" t="s">
        <v>8</v>
      </c>
      <c r="B1880" s="0" t="s">
        <v>2903</v>
      </c>
      <c r="C1880" s="0" t="s">
        <v>7070</v>
      </c>
      <c r="D1880" s="0" t="n">
        <v>0.2518</v>
      </c>
    </row>
    <row r="1881" customFormat="false" ht="15" hidden="false" customHeight="false" outlineLevel="0" collapsed="false">
      <c r="A1881" s="0" t="s">
        <v>8</v>
      </c>
      <c r="B1881" s="0" t="s">
        <v>2903</v>
      </c>
      <c r="C1881" s="0" t="s">
        <v>7071</v>
      </c>
    </row>
    <row r="1882" customFormat="false" ht="15" hidden="false" customHeight="false" outlineLevel="0" collapsed="false">
      <c r="A1882" s="0" t="s">
        <v>8</v>
      </c>
      <c r="B1882" s="0" t="s">
        <v>2903</v>
      </c>
      <c r="C1882" s="0" t="s">
        <v>7072</v>
      </c>
    </row>
    <row r="1883" customFormat="false" ht="15" hidden="false" customHeight="false" outlineLevel="0" collapsed="false">
      <c r="A1883" s="0" t="s">
        <v>8</v>
      </c>
      <c r="B1883" s="0" t="s">
        <v>2906</v>
      </c>
      <c r="C1883" s="0" t="s">
        <v>7070</v>
      </c>
      <c r="D1883" s="0" t="n">
        <v>0.4504</v>
      </c>
    </row>
    <row r="1884" customFormat="false" ht="15" hidden="false" customHeight="false" outlineLevel="0" collapsed="false">
      <c r="A1884" s="0" t="s">
        <v>8</v>
      </c>
      <c r="B1884" s="0" t="s">
        <v>2906</v>
      </c>
      <c r="C1884" s="0" t="s">
        <v>7071</v>
      </c>
    </row>
    <row r="1885" customFormat="false" ht="15" hidden="false" customHeight="false" outlineLevel="0" collapsed="false">
      <c r="A1885" s="0" t="s">
        <v>8</v>
      </c>
      <c r="B1885" s="0" t="s">
        <v>2906</v>
      </c>
      <c r="C1885" s="0" t="s">
        <v>7072</v>
      </c>
    </row>
    <row r="1886" customFormat="false" ht="15" hidden="false" customHeight="false" outlineLevel="0" collapsed="false">
      <c r="A1886" s="0" t="s">
        <v>8</v>
      </c>
      <c r="B1886" s="0" t="s">
        <v>2909</v>
      </c>
      <c r="C1886" s="0" t="s">
        <v>7070</v>
      </c>
      <c r="D1886" s="0" t="n">
        <v>0.2467</v>
      </c>
    </row>
    <row r="1887" customFormat="false" ht="15" hidden="false" customHeight="false" outlineLevel="0" collapsed="false">
      <c r="A1887" s="0" t="s">
        <v>8</v>
      </c>
      <c r="B1887" s="0" t="s">
        <v>2909</v>
      </c>
      <c r="C1887" s="0" t="s">
        <v>7071</v>
      </c>
    </row>
    <row r="1888" customFormat="false" ht="15" hidden="false" customHeight="false" outlineLevel="0" collapsed="false">
      <c r="A1888" s="0" t="s">
        <v>8</v>
      </c>
      <c r="B1888" s="0" t="s">
        <v>2909</v>
      </c>
      <c r="C1888" s="0" t="s">
        <v>7072</v>
      </c>
    </row>
    <row r="1889" customFormat="false" ht="15" hidden="false" customHeight="false" outlineLevel="0" collapsed="false">
      <c r="A1889" s="0" t="s">
        <v>8</v>
      </c>
      <c r="B1889" s="0" t="s">
        <v>2912</v>
      </c>
      <c r="C1889" s="0" t="s">
        <v>7070</v>
      </c>
      <c r="D1889" s="0" t="n">
        <v>0.5221</v>
      </c>
    </row>
    <row r="1890" customFormat="false" ht="15" hidden="false" customHeight="false" outlineLevel="0" collapsed="false">
      <c r="A1890" s="0" t="s">
        <v>8</v>
      </c>
      <c r="B1890" s="0" t="s">
        <v>2912</v>
      </c>
      <c r="C1890" s="0" t="s">
        <v>7071</v>
      </c>
    </row>
    <row r="1891" customFormat="false" ht="15" hidden="false" customHeight="false" outlineLevel="0" collapsed="false">
      <c r="A1891" s="0" t="s">
        <v>8</v>
      </c>
      <c r="B1891" s="0" t="s">
        <v>2912</v>
      </c>
      <c r="C1891" s="0" t="s">
        <v>7072</v>
      </c>
    </row>
    <row r="1892" customFormat="false" ht="15" hidden="false" customHeight="false" outlineLevel="0" collapsed="false">
      <c r="A1892" s="0" t="s">
        <v>8</v>
      </c>
      <c r="B1892" s="0" t="s">
        <v>2915</v>
      </c>
      <c r="C1892" s="0" t="s">
        <v>7070</v>
      </c>
      <c r="D1892" s="0" t="n">
        <v>0.0166</v>
      </c>
    </row>
    <row r="1893" customFormat="false" ht="15" hidden="false" customHeight="false" outlineLevel="0" collapsed="false">
      <c r="A1893" s="0" t="s">
        <v>8</v>
      </c>
      <c r="B1893" s="0" t="s">
        <v>2915</v>
      </c>
      <c r="C1893" s="0" t="s">
        <v>7071</v>
      </c>
    </row>
    <row r="1894" customFormat="false" ht="15" hidden="false" customHeight="false" outlineLevel="0" collapsed="false">
      <c r="A1894" s="0" t="s">
        <v>8</v>
      </c>
      <c r="B1894" s="0" t="s">
        <v>2915</v>
      </c>
      <c r="C1894" s="0" t="s">
        <v>7072</v>
      </c>
    </row>
    <row r="1895" customFormat="false" ht="15" hidden="false" customHeight="false" outlineLevel="0" collapsed="false">
      <c r="A1895" s="0" t="s">
        <v>8</v>
      </c>
      <c r="B1895" s="0" t="s">
        <v>2919</v>
      </c>
      <c r="C1895" s="0" t="s">
        <v>7070</v>
      </c>
      <c r="D1895" s="0" t="n">
        <v>0.0545</v>
      </c>
    </row>
    <row r="1896" customFormat="false" ht="15" hidden="false" customHeight="false" outlineLevel="0" collapsed="false">
      <c r="A1896" s="0" t="s">
        <v>8</v>
      </c>
      <c r="B1896" s="0" t="s">
        <v>2919</v>
      </c>
      <c r="C1896" s="0" t="s">
        <v>7071</v>
      </c>
    </row>
    <row r="1897" customFormat="false" ht="15" hidden="false" customHeight="false" outlineLevel="0" collapsed="false">
      <c r="A1897" s="0" t="s">
        <v>8</v>
      </c>
      <c r="B1897" s="0" t="s">
        <v>2919</v>
      </c>
      <c r="C1897" s="0" t="s">
        <v>7072</v>
      </c>
    </row>
    <row r="1898" customFormat="false" ht="15" hidden="false" customHeight="false" outlineLevel="0" collapsed="false">
      <c r="A1898" s="0" t="s">
        <v>8</v>
      </c>
      <c r="B1898" s="0" t="s">
        <v>2922</v>
      </c>
      <c r="C1898" s="0" t="s">
        <v>7070</v>
      </c>
      <c r="D1898" s="0" t="n">
        <v>0.1434</v>
      </c>
    </row>
    <row r="1899" customFormat="false" ht="15" hidden="false" customHeight="false" outlineLevel="0" collapsed="false">
      <c r="A1899" s="0" t="s">
        <v>8</v>
      </c>
      <c r="B1899" s="0" t="s">
        <v>2922</v>
      </c>
      <c r="C1899" s="0" t="s">
        <v>7071</v>
      </c>
    </row>
    <row r="1900" customFormat="false" ht="15" hidden="false" customHeight="false" outlineLevel="0" collapsed="false">
      <c r="A1900" s="0" t="s">
        <v>8</v>
      </c>
      <c r="B1900" s="0" t="s">
        <v>2922</v>
      </c>
      <c r="C1900" s="0" t="s">
        <v>7072</v>
      </c>
    </row>
    <row r="1901" customFormat="false" ht="15" hidden="false" customHeight="false" outlineLevel="0" collapsed="false">
      <c r="A1901" s="0" t="s">
        <v>8</v>
      </c>
      <c r="B1901" s="0" t="s">
        <v>2925</v>
      </c>
      <c r="C1901" s="0" t="s">
        <v>7070</v>
      </c>
      <c r="D1901" s="0" t="n">
        <v>0.0481</v>
      </c>
    </row>
    <row r="1902" customFormat="false" ht="15" hidden="false" customHeight="false" outlineLevel="0" collapsed="false">
      <c r="A1902" s="0" t="s">
        <v>8</v>
      </c>
      <c r="B1902" s="0" t="s">
        <v>2925</v>
      </c>
      <c r="C1902" s="0" t="s">
        <v>7071</v>
      </c>
    </row>
    <row r="1903" customFormat="false" ht="15" hidden="false" customHeight="false" outlineLevel="0" collapsed="false">
      <c r="A1903" s="0" t="s">
        <v>8</v>
      </c>
      <c r="B1903" s="0" t="s">
        <v>2925</v>
      </c>
      <c r="C1903" s="0" t="s">
        <v>7072</v>
      </c>
    </row>
    <row r="1904" customFormat="false" ht="15" hidden="false" customHeight="false" outlineLevel="0" collapsed="false">
      <c r="A1904" s="0" t="s">
        <v>8</v>
      </c>
      <c r="B1904" s="0" t="s">
        <v>2928</v>
      </c>
      <c r="C1904" s="0" t="s">
        <v>7070</v>
      </c>
      <c r="D1904" s="0" t="n">
        <v>0.078</v>
      </c>
    </row>
    <row r="1905" customFormat="false" ht="15" hidden="false" customHeight="false" outlineLevel="0" collapsed="false">
      <c r="A1905" s="0" t="s">
        <v>8</v>
      </c>
      <c r="B1905" s="0" t="s">
        <v>2928</v>
      </c>
      <c r="C1905" s="0" t="s">
        <v>7071</v>
      </c>
    </row>
    <row r="1906" customFormat="false" ht="15" hidden="false" customHeight="false" outlineLevel="0" collapsed="false">
      <c r="A1906" s="0" t="s">
        <v>8</v>
      </c>
      <c r="B1906" s="0" t="s">
        <v>2928</v>
      </c>
      <c r="C1906" s="0" t="s">
        <v>7072</v>
      </c>
    </row>
    <row r="1907" customFormat="false" ht="15" hidden="false" customHeight="false" outlineLevel="0" collapsed="false">
      <c r="A1907" s="0" t="s">
        <v>8</v>
      </c>
      <c r="B1907" s="0" t="s">
        <v>2931</v>
      </c>
      <c r="C1907" s="0" t="s">
        <v>7070</v>
      </c>
      <c r="D1907" s="0" t="n">
        <v>17.3</v>
      </c>
    </row>
    <row r="1908" customFormat="false" ht="15" hidden="false" customHeight="false" outlineLevel="0" collapsed="false">
      <c r="A1908" s="0" t="s">
        <v>8</v>
      </c>
      <c r="B1908" s="0" t="s">
        <v>2931</v>
      </c>
      <c r="C1908" s="0" t="s">
        <v>7071</v>
      </c>
    </row>
    <row r="1909" customFormat="false" ht="15" hidden="false" customHeight="false" outlineLevel="0" collapsed="false">
      <c r="A1909" s="0" t="s">
        <v>8</v>
      </c>
      <c r="B1909" s="0" t="s">
        <v>2931</v>
      </c>
      <c r="C1909" s="0" t="s">
        <v>7072</v>
      </c>
    </row>
    <row r="1910" customFormat="false" ht="15" hidden="false" customHeight="false" outlineLevel="0" collapsed="false">
      <c r="A1910" s="0" t="s">
        <v>8</v>
      </c>
      <c r="B1910" s="0" t="s">
        <v>2934</v>
      </c>
      <c r="C1910" s="0" t="s">
        <v>7070</v>
      </c>
      <c r="D1910" s="0" t="n">
        <v>58.9</v>
      </c>
    </row>
    <row r="1911" customFormat="false" ht="15" hidden="false" customHeight="false" outlineLevel="0" collapsed="false">
      <c r="A1911" s="0" t="s">
        <v>8</v>
      </c>
      <c r="B1911" s="0" t="s">
        <v>2934</v>
      </c>
      <c r="C1911" s="0" t="s">
        <v>7071</v>
      </c>
    </row>
    <row r="1912" customFormat="false" ht="15" hidden="false" customHeight="false" outlineLevel="0" collapsed="false">
      <c r="A1912" s="0" t="s">
        <v>8</v>
      </c>
      <c r="B1912" s="0" t="s">
        <v>2934</v>
      </c>
      <c r="C1912" s="0" t="s">
        <v>7072</v>
      </c>
    </row>
    <row r="1913" customFormat="false" ht="15" hidden="false" customHeight="false" outlineLevel="0" collapsed="false">
      <c r="A1913" s="0" t="s">
        <v>8</v>
      </c>
      <c r="B1913" s="0" t="s">
        <v>2936</v>
      </c>
      <c r="C1913" s="0" t="s">
        <v>7070</v>
      </c>
      <c r="D1913" s="0" t="n">
        <v>70.7</v>
      </c>
    </row>
    <row r="1914" customFormat="false" ht="15" hidden="false" customHeight="false" outlineLevel="0" collapsed="false">
      <c r="A1914" s="0" t="s">
        <v>8</v>
      </c>
      <c r="B1914" s="0" t="s">
        <v>2936</v>
      </c>
      <c r="C1914" s="0" t="s">
        <v>7071</v>
      </c>
    </row>
    <row r="1915" customFormat="false" ht="15" hidden="false" customHeight="false" outlineLevel="0" collapsed="false">
      <c r="A1915" s="0" t="s">
        <v>8</v>
      </c>
      <c r="B1915" s="0" t="s">
        <v>2936</v>
      </c>
      <c r="C1915" s="0" t="s">
        <v>7072</v>
      </c>
    </row>
    <row r="1916" customFormat="false" ht="15" hidden="false" customHeight="false" outlineLevel="0" collapsed="false">
      <c r="A1916" s="0" t="s">
        <v>8</v>
      </c>
      <c r="B1916" s="0" t="s">
        <v>2938</v>
      </c>
      <c r="C1916" s="0" t="s">
        <v>7070</v>
      </c>
      <c r="D1916" s="0" t="n">
        <v>70.2</v>
      </c>
    </row>
    <row r="1917" customFormat="false" ht="15" hidden="false" customHeight="false" outlineLevel="0" collapsed="false">
      <c r="A1917" s="0" t="s">
        <v>8</v>
      </c>
      <c r="B1917" s="0" t="s">
        <v>2938</v>
      </c>
      <c r="C1917" s="0" t="s">
        <v>7071</v>
      </c>
    </row>
    <row r="1918" customFormat="false" ht="15" hidden="false" customHeight="false" outlineLevel="0" collapsed="false">
      <c r="A1918" s="0" t="s">
        <v>8</v>
      </c>
      <c r="B1918" s="0" t="s">
        <v>2938</v>
      </c>
      <c r="C1918" s="0" t="s">
        <v>7072</v>
      </c>
    </row>
    <row r="1919" customFormat="false" ht="15" hidden="false" customHeight="false" outlineLevel="0" collapsed="false">
      <c r="A1919" s="0" t="s">
        <v>8</v>
      </c>
      <c r="B1919" s="0" t="s">
        <v>2940</v>
      </c>
      <c r="C1919" s="0" t="s">
        <v>7070</v>
      </c>
      <c r="D1919" s="0" t="n">
        <v>71.8</v>
      </c>
    </row>
    <row r="1920" customFormat="false" ht="15" hidden="false" customHeight="false" outlineLevel="0" collapsed="false">
      <c r="A1920" s="0" t="s">
        <v>8</v>
      </c>
      <c r="B1920" s="0" t="s">
        <v>2940</v>
      </c>
      <c r="C1920" s="0" t="s">
        <v>7071</v>
      </c>
    </row>
    <row r="1921" customFormat="false" ht="15" hidden="false" customHeight="false" outlineLevel="0" collapsed="false">
      <c r="A1921" s="0" t="s">
        <v>8</v>
      </c>
      <c r="B1921" s="0" t="s">
        <v>2940</v>
      </c>
      <c r="C1921" s="0" t="s">
        <v>7072</v>
      </c>
    </row>
    <row r="1922" customFormat="false" ht="15" hidden="false" customHeight="false" outlineLevel="0" collapsed="false">
      <c r="A1922" s="0" t="s">
        <v>8</v>
      </c>
      <c r="B1922" s="0" t="s">
        <v>2942</v>
      </c>
      <c r="C1922" s="0" t="s">
        <v>7070</v>
      </c>
      <c r="D1922" s="0" t="n">
        <v>49.8</v>
      </c>
    </row>
    <row r="1923" customFormat="false" ht="15" hidden="false" customHeight="false" outlineLevel="0" collapsed="false">
      <c r="A1923" s="0" t="s">
        <v>8</v>
      </c>
      <c r="B1923" s="0" t="s">
        <v>2942</v>
      </c>
      <c r="C1923" s="0" t="s">
        <v>7071</v>
      </c>
    </row>
    <row r="1924" customFormat="false" ht="15" hidden="false" customHeight="false" outlineLevel="0" collapsed="false">
      <c r="A1924" s="0" t="s">
        <v>8</v>
      </c>
      <c r="B1924" s="0" t="s">
        <v>2942</v>
      </c>
      <c r="C1924" s="0" t="s">
        <v>7072</v>
      </c>
    </row>
    <row r="1925" customFormat="false" ht="15" hidden="false" customHeight="false" outlineLevel="0" collapsed="false">
      <c r="A1925" s="0" t="s">
        <v>8</v>
      </c>
      <c r="B1925" s="0" t="s">
        <v>2945</v>
      </c>
      <c r="C1925" s="0" t="s">
        <v>7070</v>
      </c>
      <c r="D1925" s="0" t="n">
        <v>26</v>
      </c>
    </row>
    <row r="1926" customFormat="false" ht="15" hidden="false" customHeight="false" outlineLevel="0" collapsed="false">
      <c r="A1926" s="0" t="s">
        <v>8</v>
      </c>
      <c r="B1926" s="0" t="s">
        <v>2945</v>
      </c>
      <c r="C1926" s="0" t="s">
        <v>7071</v>
      </c>
    </row>
    <row r="1927" customFormat="false" ht="15" hidden="false" customHeight="false" outlineLevel="0" collapsed="false">
      <c r="A1927" s="0" t="s">
        <v>8</v>
      </c>
      <c r="B1927" s="0" t="s">
        <v>2945</v>
      </c>
      <c r="C1927" s="0" t="s">
        <v>7072</v>
      </c>
    </row>
    <row r="1928" customFormat="false" ht="15" hidden="false" customHeight="false" outlineLevel="0" collapsed="false">
      <c r="A1928" s="0" t="s">
        <v>8</v>
      </c>
      <c r="B1928" s="0" t="s">
        <v>2947</v>
      </c>
      <c r="C1928" s="0" t="s">
        <v>7070</v>
      </c>
      <c r="D1928" s="0" t="n">
        <v>14.8</v>
      </c>
    </row>
    <row r="1929" customFormat="false" ht="15" hidden="false" customHeight="false" outlineLevel="0" collapsed="false">
      <c r="A1929" s="0" t="s">
        <v>8</v>
      </c>
      <c r="B1929" s="0" t="s">
        <v>2947</v>
      </c>
      <c r="C1929" s="0" t="s">
        <v>7071</v>
      </c>
    </row>
    <row r="1930" customFormat="false" ht="15" hidden="false" customHeight="false" outlineLevel="0" collapsed="false">
      <c r="A1930" s="0" t="s">
        <v>8</v>
      </c>
      <c r="B1930" s="0" t="s">
        <v>2947</v>
      </c>
      <c r="C1930" s="0" t="s">
        <v>7072</v>
      </c>
    </row>
    <row r="1931" customFormat="false" ht="15" hidden="false" customHeight="false" outlineLevel="0" collapsed="false">
      <c r="A1931" s="0" t="s">
        <v>8</v>
      </c>
      <c r="B1931" s="0" t="s">
        <v>2950</v>
      </c>
      <c r="C1931" s="0" t="s">
        <v>7070</v>
      </c>
      <c r="D1931" s="0" t="n">
        <v>12.6</v>
      </c>
    </row>
    <row r="1932" customFormat="false" ht="15" hidden="false" customHeight="false" outlineLevel="0" collapsed="false">
      <c r="A1932" s="0" t="s">
        <v>8</v>
      </c>
      <c r="B1932" s="0" t="s">
        <v>2950</v>
      </c>
      <c r="C1932" s="0" t="s">
        <v>7071</v>
      </c>
    </row>
    <row r="1933" customFormat="false" ht="15" hidden="false" customHeight="false" outlineLevel="0" collapsed="false">
      <c r="A1933" s="0" t="s">
        <v>8</v>
      </c>
      <c r="B1933" s="0" t="s">
        <v>2950</v>
      </c>
      <c r="C1933" s="0" t="s">
        <v>7072</v>
      </c>
    </row>
    <row r="1934" customFormat="false" ht="15" hidden="false" customHeight="false" outlineLevel="0" collapsed="false">
      <c r="A1934" s="0" t="s">
        <v>8</v>
      </c>
      <c r="B1934" s="0" t="s">
        <v>2952</v>
      </c>
      <c r="C1934" s="0" t="s">
        <v>7070</v>
      </c>
      <c r="D1934" s="0" t="n">
        <v>16.7</v>
      </c>
    </row>
    <row r="1935" customFormat="false" ht="15" hidden="false" customHeight="false" outlineLevel="0" collapsed="false">
      <c r="A1935" s="0" t="s">
        <v>8</v>
      </c>
      <c r="B1935" s="0" t="s">
        <v>2952</v>
      </c>
      <c r="C1935" s="0" t="s">
        <v>7071</v>
      </c>
    </row>
    <row r="1936" customFormat="false" ht="15" hidden="false" customHeight="false" outlineLevel="0" collapsed="false">
      <c r="A1936" s="0" t="s">
        <v>8</v>
      </c>
      <c r="B1936" s="0" t="s">
        <v>2952</v>
      </c>
      <c r="C1936" s="0" t="s">
        <v>7072</v>
      </c>
    </row>
    <row r="1937" customFormat="false" ht="15" hidden="false" customHeight="false" outlineLevel="0" collapsed="false">
      <c r="A1937" s="0" t="s">
        <v>8</v>
      </c>
      <c r="B1937" s="0" t="s">
        <v>2954</v>
      </c>
      <c r="C1937" s="0" t="s">
        <v>7070</v>
      </c>
    </row>
    <row r="1938" customFormat="false" ht="15" hidden="false" customHeight="false" outlineLevel="0" collapsed="false">
      <c r="A1938" s="0" t="s">
        <v>8</v>
      </c>
      <c r="B1938" s="0" t="s">
        <v>2954</v>
      </c>
      <c r="C1938" s="0" t="s">
        <v>7071</v>
      </c>
    </row>
    <row r="1939" customFormat="false" ht="15" hidden="false" customHeight="false" outlineLevel="0" collapsed="false">
      <c r="A1939" s="0" t="s">
        <v>8</v>
      </c>
      <c r="B1939" s="0" t="s">
        <v>2954</v>
      </c>
      <c r="C1939" s="0" t="s">
        <v>7072</v>
      </c>
    </row>
    <row r="1940" customFormat="false" ht="15" hidden="false" customHeight="false" outlineLevel="0" collapsed="false">
      <c r="A1940" s="0" t="s">
        <v>8</v>
      </c>
      <c r="B1940" s="0" t="s">
        <v>2962</v>
      </c>
      <c r="C1940" s="0" t="s">
        <v>7070</v>
      </c>
    </row>
    <row r="1941" customFormat="false" ht="15" hidden="false" customHeight="false" outlineLevel="0" collapsed="false">
      <c r="A1941" s="0" t="s">
        <v>8</v>
      </c>
      <c r="B1941" s="0" t="s">
        <v>2962</v>
      </c>
      <c r="C1941" s="0" t="s">
        <v>7071</v>
      </c>
    </row>
    <row r="1942" customFormat="false" ht="15" hidden="false" customHeight="false" outlineLevel="0" collapsed="false">
      <c r="A1942" s="0" t="s">
        <v>8</v>
      </c>
      <c r="B1942" s="0" t="s">
        <v>2962</v>
      </c>
      <c r="C1942" s="0" t="s">
        <v>7072</v>
      </c>
    </row>
    <row r="1943" customFormat="false" ht="15" hidden="false" customHeight="false" outlineLevel="0" collapsed="false">
      <c r="A1943" s="0" t="s">
        <v>8</v>
      </c>
      <c r="B1943" s="0" t="s">
        <v>2968</v>
      </c>
      <c r="C1943" s="0" t="s">
        <v>7070</v>
      </c>
      <c r="D1943" s="0" t="n">
        <v>0</v>
      </c>
    </row>
    <row r="1944" customFormat="false" ht="15" hidden="false" customHeight="false" outlineLevel="0" collapsed="false">
      <c r="A1944" s="0" t="s">
        <v>8</v>
      </c>
      <c r="B1944" s="0" t="s">
        <v>2968</v>
      </c>
      <c r="C1944" s="0" t="s">
        <v>7071</v>
      </c>
    </row>
    <row r="1945" customFormat="false" ht="15" hidden="false" customHeight="false" outlineLevel="0" collapsed="false">
      <c r="A1945" s="0" t="s">
        <v>8</v>
      </c>
      <c r="B1945" s="0" t="s">
        <v>2968</v>
      </c>
      <c r="C1945" s="0" t="s">
        <v>7072</v>
      </c>
    </row>
    <row r="1946" customFormat="false" ht="15" hidden="false" customHeight="false" outlineLevel="0" collapsed="false">
      <c r="A1946" s="0" t="s">
        <v>8</v>
      </c>
      <c r="B1946" s="0" t="s">
        <v>2972</v>
      </c>
      <c r="C1946" s="0" t="s">
        <v>7070</v>
      </c>
      <c r="D1946" s="0" t="n">
        <v>0.2589</v>
      </c>
    </row>
    <row r="1947" customFormat="false" ht="15" hidden="false" customHeight="false" outlineLevel="0" collapsed="false">
      <c r="A1947" s="0" t="s">
        <v>8</v>
      </c>
      <c r="B1947" s="0" t="s">
        <v>2972</v>
      </c>
      <c r="C1947" s="0" t="s">
        <v>7071</v>
      </c>
    </row>
    <row r="1948" customFormat="false" ht="15" hidden="false" customHeight="false" outlineLevel="0" collapsed="false">
      <c r="A1948" s="0" t="s">
        <v>8</v>
      </c>
      <c r="B1948" s="0" t="s">
        <v>2972</v>
      </c>
      <c r="C1948" s="0" t="s">
        <v>7072</v>
      </c>
    </row>
    <row r="1949" customFormat="false" ht="15" hidden="false" customHeight="false" outlineLevel="0" collapsed="false">
      <c r="A1949" s="0" t="s">
        <v>8</v>
      </c>
      <c r="B1949" s="0" t="s">
        <v>2978</v>
      </c>
      <c r="C1949" s="0" t="s">
        <v>7070</v>
      </c>
      <c r="D1949" s="0" t="n">
        <v>2.4781</v>
      </c>
    </row>
    <row r="1950" customFormat="false" ht="15" hidden="false" customHeight="false" outlineLevel="0" collapsed="false">
      <c r="A1950" s="0" t="s">
        <v>8</v>
      </c>
      <c r="B1950" s="0" t="s">
        <v>2978</v>
      </c>
      <c r="C1950" s="0" t="s">
        <v>7071</v>
      </c>
    </row>
    <row r="1951" customFormat="false" ht="15" hidden="false" customHeight="false" outlineLevel="0" collapsed="false">
      <c r="A1951" s="0" t="s">
        <v>8</v>
      </c>
      <c r="B1951" s="0" t="s">
        <v>2978</v>
      </c>
      <c r="C1951" s="0" t="s">
        <v>7072</v>
      </c>
    </row>
    <row r="1952" customFormat="false" ht="15" hidden="false" customHeight="false" outlineLevel="0" collapsed="false">
      <c r="A1952" s="0" t="s">
        <v>8</v>
      </c>
      <c r="B1952" s="0" t="s">
        <v>2981</v>
      </c>
      <c r="C1952" s="0" t="s">
        <v>7070</v>
      </c>
      <c r="D1952" s="0" t="n">
        <v>14.2561</v>
      </c>
    </row>
    <row r="1953" customFormat="false" ht="15" hidden="false" customHeight="false" outlineLevel="0" collapsed="false">
      <c r="A1953" s="0" t="s">
        <v>8</v>
      </c>
      <c r="B1953" s="0" t="s">
        <v>2981</v>
      </c>
      <c r="C1953" s="0" t="s">
        <v>7071</v>
      </c>
    </row>
    <row r="1954" customFormat="false" ht="15" hidden="false" customHeight="false" outlineLevel="0" collapsed="false">
      <c r="A1954" s="0" t="s">
        <v>8</v>
      </c>
      <c r="B1954" s="0" t="s">
        <v>2981</v>
      </c>
      <c r="C1954" s="0" t="s">
        <v>7072</v>
      </c>
    </row>
    <row r="1955" customFormat="false" ht="15" hidden="false" customHeight="false" outlineLevel="0" collapsed="false">
      <c r="A1955" s="0" t="s">
        <v>8</v>
      </c>
      <c r="B1955" s="0" t="s">
        <v>2984</v>
      </c>
      <c r="C1955" s="0" t="s">
        <v>7070</v>
      </c>
      <c r="D1955" s="0" t="n">
        <v>9.27</v>
      </c>
    </row>
    <row r="1956" customFormat="false" ht="15" hidden="false" customHeight="false" outlineLevel="0" collapsed="false">
      <c r="A1956" s="0" t="s">
        <v>8</v>
      </c>
      <c r="B1956" s="0" t="s">
        <v>2984</v>
      </c>
      <c r="C1956" s="0" t="s">
        <v>7071</v>
      </c>
    </row>
    <row r="1957" customFormat="false" ht="15" hidden="false" customHeight="false" outlineLevel="0" collapsed="false">
      <c r="A1957" s="0" t="s">
        <v>8</v>
      </c>
      <c r="B1957" s="0" t="s">
        <v>2984</v>
      </c>
      <c r="C1957" s="0" t="s">
        <v>7072</v>
      </c>
    </row>
    <row r="1958" customFormat="false" ht="15" hidden="false" customHeight="false" outlineLevel="0" collapsed="false">
      <c r="A1958" s="0" t="s">
        <v>8</v>
      </c>
      <c r="B1958" s="0" t="s">
        <v>2987</v>
      </c>
      <c r="C1958" s="0" t="s">
        <v>7070</v>
      </c>
      <c r="D1958" s="0" t="n">
        <v>0.8482</v>
      </c>
    </row>
    <row r="1959" customFormat="false" ht="15" hidden="false" customHeight="false" outlineLevel="0" collapsed="false">
      <c r="A1959" s="0" t="s">
        <v>8</v>
      </c>
      <c r="B1959" s="0" t="s">
        <v>2987</v>
      </c>
      <c r="C1959" s="0" t="s">
        <v>7071</v>
      </c>
    </row>
    <row r="1960" customFormat="false" ht="15" hidden="false" customHeight="false" outlineLevel="0" collapsed="false">
      <c r="A1960" s="0" t="s">
        <v>8</v>
      </c>
      <c r="B1960" s="0" t="s">
        <v>2987</v>
      </c>
      <c r="C1960" s="0" t="s">
        <v>7072</v>
      </c>
    </row>
    <row r="1961" customFormat="false" ht="15" hidden="false" customHeight="false" outlineLevel="0" collapsed="false">
      <c r="A1961" s="0" t="s">
        <v>8</v>
      </c>
      <c r="B1961" s="0" t="s">
        <v>2992</v>
      </c>
      <c r="C1961" s="0" t="s">
        <v>7070</v>
      </c>
      <c r="D1961" s="0" t="n">
        <v>1.8194</v>
      </c>
    </row>
    <row r="1962" customFormat="false" ht="15" hidden="false" customHeight="false" outlineLevel="0" collapsed="false">
      <c r="A1962" s="0" t="s">
        <v>8</v>
      </c>
      <c r="B1962" s="0" t="s">
        <v>2992</v>
      </c>
      <c r="C1962" s="0" t="s">
        <v>7071</v>
      </c>
    </row>
    <row r="1963" customFormat="false" ht="15" hidden="false" customHeight="false" outlineLevel="0" collapsed="false">
      <c r="A1963" s="0" t="s">
        <v>8</v>
      </c>
      <c r="B1963" s="0" t="s">
        <v>2992</v>
      </c>
      <c r="C1963" s="0" t="s">
        <v>7072</v>
      </c>
    </row>
    <row r="1964" customFormat="false" ht="15" hidden="false" customHeight="false" outlineLevel="0" collapsed="false">
      <c r="A1964" s="0" t="s">
        <v>8</v>
      </c>
      <c r="B1964" s="0" t="s">
        <v>2995</v>
      </c>
      <c r="C1964" s="0" t="s">
        <v>7070</v>
      </c>
      <c r="D1964" s="0" t="n">
        <v>4.9064</v>
      </c>
    </row>
    <row r="1965" customFormat="false" ht="15" hidden="false" customHeight="false" outlineLevel="0" collapsed="false">
      <c r="A1965" s="0" t="s">
        <v>8</v>
      </c>
      <c r="B1965" s="0" t="s">
        <v>2995</v>
      </c>
      <c r="C1965" s="0" t="s">
        <v>7071</v>
      </c>
    </row>
    <row r="1966" customFormat="false" ht="15" hidden="false" customHeight="false" outlineLevel="0" collapsed="false">
      <c r="A1966" s="0" t="s">
        <v>8</v>
      </c>
      <c r="B1966" s="0" t="s">
        <v>2995</v>
      </c>
      <c r="C1966" s="0" t="s">
        <v>7072</v>
      </c>
    </row>
    <row r="1967" customFormat="false" ht="15" hidden="false" customHeight="false" outlineLevel="0" collapsed="false">
      <c r="A1967" s="0" t="s">
        <v>8</v>
      </c>
      <c r="B1967" s="0" t="s">
        <v>2998</v>
      </c>
      <c r="C1967" s="0" t="s">
        <v>7070</v>
      </c>
      <c r="D1967" s="0" t="n">
        <v>3.3912</v>
      </c>
    </row>
    <row r="1968" customFormat="false" ht="15" hidden="false" customHeight="false" outlineLevel="0" collapsed="false">
      <c r="A1968" s="0" t="s">
        <v>8</v>
      </c>
      <c r="B1968" s="0" t="s">
        <v>2998</v>
      </c>
      <c r="C1968" s="0" t="s">
        <v>7071</v>
      </c>
    </row>
    <row r="1969" customFormat="false" ht="15" hidden="false" customHeight="false" outlineLevel="0" collapsed="false">
      <c r="A1969" s="0" t="s">
        <v>8</v>
      </c>
      <c r="B1969" s="0" t="s">
        <v>2998</v>
      </c>
      <c r="C1969" s="0" t="s">
        <v>7072</v>
      </c>
    </row>
    <row r="1970" customFormat="false" ht="15" hidden="false" customHeight="false" outlineLevel="0" collapsed="false">
      <c r="A1970" s="0" t="s">
        <v>8</v>
      </c>
      <c r="B1970" s="0" t="s">
        <v>3001</v>
      </c>
      <c r="C1970" s="0" t="s">
        <v>7070</v>
      </c>
      <c r="D1970" s="0" t="n">
        <v>0.8098</v>
      </c>
    </row>
    <row r="1971" customFormat="false" ht="15" hidden="false" customHeight="false" outlineLevel="0" collapsed="false">
      <c r="A1971" s="0" t="s">
        <v>8</v>
      </c>
      <c r="B1971" s="0" t="s">
        <v>3001</v>
      </c>
      <c r="C1971" s="0" t="s">
        <v>7071</v>
      </c>
    </row>
    <row r="1972" customFormat="false" ht="15" hidden="false" customHeight="false" outlineLevel="0" collapsed="false">
      <c r="A1972" s="0" t="s">
        <v>8</v>
      </c>
      <c r="B1972" s="0" t="s">
        <v>3001</v>
      </c>
      <c r="C1972" s="0" t="s">
        <v>7072</v>
      </c>
    </row>
    <row r="1973" customFormat="false" ht="15" hidden="false" customHeight="false" outlineLevel="0" collapsed="false">
      <c r="A1973" s="0" t="s">
        <v>8</v>
      </c>
      <c r="B1973" s="0" t="s">
        <v>3006</v>
      </c>
      <c r="C1973" s="0" t="s">
        <v>7070</v>
      </c>
      <c r="D1973" s="0" t="n">
        <v>5.6266</v>
      </c>
    </row>
    <row r="1974" customFormat="false" ht="15" hidden="false" customHeight="false" outlineLevel="0" collapsed="false">
      <c r="A1974" s="0" t="s">
        <v>8</v>
      </c>
      <c r="B1974" s="0" t="s">
        <v>3006</v>
      </c>
      <c r="C1974" s="0" t="s">
        <v>7071</v>
      </c>
    </row>
    <row r="1975" customFormat="false" ht="15" hidden="false" customHeight="false" outlineLevel="0" collapsed="false">
      <c r="A1975" s="0" t="s">
        <v>8</v>
      </c>
      <c r="B1975" s="0" t="s">
        <v>3006</v>
      </c>
      <c r="C1975" s="0" t="s">
        <v>7072</v>
      </c>
    </row>
    <row r="1976" customFormat="false" ht="15" hidden="false" customHeight="false" outlineLevel="0" collapsed="false">
      <c r="A1976" s="0" t="s">
        <v>8</v>
      </c>
      <c r="B1976" s="0" t="s">
        <v>3009</v>
      </c>
      <c r="C1976" s="0" t="s">
        <v>7070</v>
      </c>
      <c r="D1976" s="0" t="n">
        <v>21.9206</v>
      </c>
    </row>
    <row r="1977" customFormat="false" ht="15" hidden="false" customHeight="false" outlineLevel="0" collapsed="false">
      <c r="A1977" s="0" t="s">
        <v>8</v>
      </c>
      <c r="B1977" s="0" t="s">
        <v>3009</v>
      </c>
      <c r="C1977" s="0" t="s">
        <v>7071</v>
      </c>
    </row>
    <row r="1978" customFormat="false" ht="15" hidden="false" customHeight="false" outlineLevel="0" collapsed="false">
      <c r="A1978" s="0" t="s">
        <v>8</v>
      </c>
      <c r="B1978" s="0" t="s">
        <v>3009</v>
      </c>
      <c r="C1978" s="0" t="s">
        <v>7072</v>
      </c>
    </row>
    <row r="1979" customFormat="false" ht="15" hidden="false" customHeight="false" outlineLevel="0" collapsed="false">
      <c r="A1979" s="0" t="s">
        <v>8</v>
      </c>
      <c r="B1979" s="0" t="s">
        <v>3012</v>
      </c>
      <c r="C1979" s="0" t="s">
        <v>7070</v>
      </c>
      <c r="D1979" s="0" t="n">
        <v>8.6072</v>
      </c>
    </row>
    <row r="1980" customFormat="false" ht="15" hidden="false" customHeight="false" outlineLevel="0" collapsed="false">
      <c r="A1980" s="0" t="s">
        <v>8</v>
      </c>
      <c r="B1980" s="0" t="s">
        <v>3012</v>
      </c>
      <c r="C1980" s="0" t="s">
        <v>7071</v>
      </c>
    </row>
    <row r="1981" customFormat="false" ht="15" hidden="false" customHeight="false" outlineLevel="0" collapsed="false">
      <c r="A1981" s="0" t="s">
        <v>8</v>
      </c>
      <c r="B1981" s="0" t="s">
        <v>3012</v>
      </c>
      <c r="C1981" s="0" t="s">
        <v>7072</v>
      </c>
    </row>
    <row r="1982" customFormat="false" ht="15" hidden="false" customHeight="false" outlineLevel="0" collapsed="false">
      <c r="A1982" s="0" t="s">
        <v>8</v>
      </c>
      <c r="B1982" s="0" t="s">
        <v>3015</v>
      </c>
      <c r="C1982" s="0" t="s">
        <v>7070</v>
      </c>
      <c r="D1982" s="0" t="n">
        <v>15.9009</v>
      </c>
    </row>
    <row r="1983" customFormat="false" ht="15" hidden="false" customHeight="false" outlineLevel="0" collapsed="false">
      <c r="A1983" s="0" t="s">
        <v>8</v>
      </c>
      <c r="B1983" s="0" t="s">
        <v>3015</v>
      </c>
      <c r="C1983" s="0" t="s">
        <v>7071</v>
      </c>
    </row>
    <row r="1984" customFormat="false" ht="15" hidden="false" customHeight="false" outlineLevel="0" collapsed="false">
      <c r="A1984" s="0" t="s">
        <v>8</v>
      </c>
      <c r="B1984" s="0" t="s">
        <v>3015</v>
      </c>
      <c r="C1984" s="0" t="s">
        <v>7072</v>
      </c>
    </row>
    <row r="1985" customFormat="false" ht="15" hidden="false" customHeight="false" outlineLevel="0" collapsed="false">
      <c r="A1985" s="0" t="s">
        <v>8</v>
      </c>
      <c r="B1985" s="0" t="s">
        <v>3018</v>
      </c>
      <c r="C1985" s="0" t="s">
        <v>7070</v>
      </c>
      <c r="D1985" s="0" t="n">
        <v>0.1643</v>
      </c>
    </row>
    <row r="1986" customFormat="false" ht="15" hidden="false" customHeight="false" outlineLevel="0" collapsed="false">
      <c r="A1986" s="0" t="s">
        <v>8</v>
      </c>
      <c r="B1986" s="0" t="s">
        <v>3018</v>
      </c>
      <c r="C1986" s="0" t="s">
        <v>7071</v>
      </c>
    </row>
    <row r="1987" customFormat="false" ht="15" hidden="false" customHeight="false" outlineLevel="0" collapsed="false">
      <c r="A1987" s="0" t="s">
        <v>8</v>
      </c>
      <c r="B1987" s="0" t="s">
        <v>3018</v>
      </c>
      <c r="C1987" s="0" t="s">
        <v>7072</v>
      </c>
    </row>
    <row r="1988" customFormat="false" ht="15" hidden="false" customHeight="false" outlineLevel="0" collapsed="false">
      <c r="A1988" s="0" t="s">
        <v>8</v>
      </c>
      <c r="B1988" s="0" t="s">
        <v>3023</v>
      </c>
      <c r="C1988" s="0" t="s">
        <v>7070</v>
      </c>
      <c r="D1988" s="0" t="n">
        <v>0.1537</v>
      </c>
    </row>
    <row r="1989" customFormat="false" ht="15" hidden="false" customHeight="false" outlineLevel="0" collapsed="false">
      <c r="A1989" s="0" t="s">
        <v>8</v>
      </c>
      <c r="B1989" s="0" t="s">
        <v>3023</v>
      </c>
      <c r="C1989" s="0" t="s">
        <v>7071</v>
      </c>
    </row>
    <row r="1990" customFormat="false" ht="15" hidden="false" customHeight="false" outlineLevel="0" collapsed="false">
      <c r="A1990" s="0" t="s">
        <v>8</v>
      </c>
      <c r="B1990" s="0" t="s">
        <v>3023</v>
      </c>
      <c r="C1990" s="0" t="s">
        <v>7072</v>
      </c>
    </row>
    <row r="1991" customFormat="false" ht="15" hidden="false" customHeight="false" outlineLevel="0" collapsed="false">
      <c r="A1991" s="0" t="s">
        <v>8</v>
      </c>
      <c r="B1991" s="0" t="s">
        <v>3026</v>
      </c>
      <c r="C1991" s="0" t="s">
        <v>7070</v>
      </c>
      <c r="D1991" s="0" t="n">
        <v>0.7426</v>
      </c>
    </row>
    <row r="1992" customFormat="false" ht="15" hidden="false" customHeight="false" outlineLevel="0" collapsed="false">
      <c r="A1992" s="0" t="s">
        <v>8</v>
      </c>
      <c r="B1992" s="0" t="s">
        <v>3026</v>
      </c>
      <c r="C1992" s="0" t="s">
        <v>7071</v>
      </c>
    </row>
    <row r="1993" customFormat="false" ht="15" hidden="false" customHeight="false" outlineLevel="0" collapsed="false">
      <c r="A1993" s="0" t="s">
        <v>8</v>
      </c>
      <c r="B1993" s="0" t="s">
        <v>3026</v>
      </c>
      <c r="C1993" s="0" t="s">
        <v>7072</v>
      </c>
    </row>
    <row r="1994" customFormat="false" ht="15" hidden="false" customHeight="false" outlineLevel="0" collapsed="false">
      <c r="A1994" s="0" t="s">
        <v>8</v>
      </c>
      <c r="B1994" s="0" t="s">
        <v>3029</v>
      </c>
      <c r="C1994" s="0" t="s">
        <v>7070</v>
      </c>
      <c r="D1994" s="0" t="n">
        <v>0.1083</v>
      </c>
    </row>
    <row r="1995" customFormat="false" ht="15" hidden="false" customHeight="false" outlineLevel="0" collapsed="false">
      <c r="A1995" s="0" t="s">
        <v>8</v>
      </c>
      <c r="B1995" s="0" t="s">
        <v>3029</v>
      </c>
      <c r="C1995" s="0" t="s">
        <v>7071</v>
      </c>
    </row>
    <row r="1996" customFormat="false" ht="15" hidden="false" customHeight="false" outlineLevel="0" collapsed="false">
      <c r="A1996" s="0" t="s">
        <v>8</v>
      </c>
      <c r="B1996" s="0" t="s">
        <v>3029</v>
      </c>
      <c r="C1996" s="0" t="s">
        <v>7072</v>
      </c>
    </row>
    <row r="1997" customFormat="false" ht="15" hidden="false" customHeight="false" outlineLevel="0" collapsed="false">
      <c r="A1997" s="0" t="s">
        <v>8</v>
      </c>
      <c r="B1997" s="0" t="s">
        <v>3032</v>
      </c>
      <c r="C1997" s="0" t="s">
        <v>7070</v>
      </c>
      <c r="D1997" s="0" t="n">
        <v>0.3763</v>
      </c>
    </row>
    <row r="1998" customFormat="false" ht="15" hidden="false" customHeight="false" outlineLevel="0" collapsed="false">
      <c r="A1998" s="0" t="s">
        <v>8</v>
      </c>
      <c r="B1998" s="0" t="s">
        <v>3032</v>
      </c>
      <c r="C1998" s="0" t="s">
        <v>7071</v>
      </c>
    </row>
    <row r="1999" customFormat="false" ht="15" hidden="false" customHeight="false" outlineLevel="0" collapsed="false">
      <c r="A1999" s="0" t="s">
        <v>8</v>
      </c>
      <c r="B1999" s="0" t="s">
        <v>3032</v>
      </c>
      <c r="C1999" s="0" t="s">
        <v>7072</v>
      </c>
    </row>
    <row r="2000" customFormat="false" ht="15" hidden="false" customHeight="false" outlineLevel="0" collapsed="false">
      <c r="A2000" s="0" t="s">
        <v>8</v>
      </c>
      <c r="B2000" s="0" t="s">
        <v>3035</v>
      </c>
      <c r="C2000" s="0" t="s">
        <v>7070</v>
      </c>
      <c r="D2000" s="0" t="n">
        <v>0</v>
      </c>
    </row>
    <row r="2001" customFormat="false" ht="15" hidden="false" customHeight="false" outlineLevel="0" collapsed="false">
      <c r="A2001" s="0" t="s">
        <v>8</v>
      </c>
      <c r="B2001" s="0" t="s">
        <v>3035</v>
      </c>
      <c r="C2001" s="0" t="s">
        <v>7071</v>
      </c>
    </row>
    <row r="2002" customFormat="false" ht="15" hidden="false" customHeight="false" outlineLevel="0" collapsed="false">
      <c r="A2002" s="0" t="s">
        <v>8</v>
      </c>
      <c r="B2002" s="0" t="s">
        <v>3035</v>
      </c>
      <c r="C2002" s="0" t="s">
        <v>7072</v>
      </c>
    </row>
    <row r="2003" customFormat="false" ht="15" hidden="false" customHeight="false" outlineLevel="0" collapsed="false">
      <c r="A2003" s="0" t="s">
        <v>8</v>
      </c>
      <c r="B2003" s="0" t="s">
        <v>3039</v>
      </c>
      <c r="C2003" s="0" t="s">
        <v>7070</v>
      </c>
      <c r="D2003" s="0" t="n">
        <v>0.12</v>
      </c>
    </row>
    <row r="2004" customFormat="false" ht="15" hidden="false" customHeight="false" outlineLevel="0" collapsed="false">
      <c r="A2004" s="0" t="s">
        <v>8</v>
      </c>
      <c r="B2004" s="0" t="s">
        <v>3039</v>
      </c>
      <c r="C2004" s="0" t="s">
        <v>7071</v>
      </c>
    </row>
    <row r="2005" customFormat="false" ht="15" hidden="false" customHeight="false" outlineLevel="0" collapsed="false">
      <c r="A2005" s="0" t="s">
        <v>8</v>
      </c>
      <c r="B2005" s="0" t="s">
        <v>3039</v>
      </c>
      <c r="C2005" s="0" t="s">
        <v>7072</v>
      </c>
    </row>
    <row r="2006" customFormat="false" ht="15" hidden="false" customHeight="false" outlineLevel="0" collapsed="false">
      <c r="A2006" s="0" t="s">
        <v>8</v>
      </c>
      <c r="B2006" s="0" t="s">
        <v>3042</v>
      </c>
      <c r="C2006" s="0" t="s">
        <v>7070</v>
      </c>
      <c r="D2006" s="0" t="n">
        <v>0.3017</v>
      </c>
    </row>
    <row r="2007" customFormat="false" ht="15" hidden="false" customHeight="false" outlineLevel="0" collapsed="false">
      <c r="A2007" s="0" t="s">
        <v>8</v>
      </c>
      <c r="B2007" s="0" t="s">
        <v>3042</v>
      </c>
      <c r="C2007" s="0" t="s">
        <v>7071</v>
      </c>
    </row>
    <row r="2008" customFormat="false" ht="15" hidden="false" customHeight="false" outlineLevel="0" collapsed="false">
      <c r="A2008" s="0" t="s">
        <v>8</v>
      </c>
      <c r="B2008" s="0" t="s">
        <v>3042</v>
      </c>
      <c r="C2008" s="0" t="s">
        <v>7072</v>
      </c>
    </row>
    <row r="2009" customFormat="false" ht="15" hidden="false" customHeight="false" outlineLevel="0" collapsed="false">
      <c r="A2009" s="0" t="s">
        <v>8</v>
      </c>
      <c r="B2009" s="0" t="s">
        <v>3045</v>
      </c>
      <c r="C2009" s="0" t="s">
        <v>7070</v>
      </c>
      <c r="D2009" s="0" t="n">
        <v>0.0845</v>
      </c>
    </row>
    <row r="2010" customFormat="false" ht="15" hidden="false" customHeight="false" outlineLevel="0" collapsed="false">
      <c r="A2010" s="0" t="s">
        <v>8</v>
      </c>
      <c r="B2010" s="0" t="s">
        <v>3045</v>
      </c>
      <c r="C2010" s="0" t="s">
        <v>7071</v>
      </c>
    </row>
    <row r="2011" customFormat="false" ht="15" hidden="false" customHeight="false" outlineLevel="0" collapsed="false">
      <c r="A2011" s="0" t="s">
        <v>8</v>
      </c>
      <c r="B2011" s="0" t="s">
        <v>3045</v>
      </c>
      <c r="C2011" s="0" t="s">
        <v>7072</v>
      </c>
    </row>
    <row r="2012" customFormat="false" ht="15" hidden="false" customHeight="false" outlineLevel="0" collapsed="false">
      <c r="A2012" s="0" t="s">
        <v>8</v>
      </c>
      <c r="B2012" s="0" t="s">
        <v>3048</v>
      </c>
      <c r="C2012" s="0" t="s">
        <v>7070</v>
      </c>
      <c r="D2012" s="0" t="n">
        <v>0.3584</v>
      </c>
    </row>
    <row r="2013" customFormat="false" ht="15" hidden="false" customHeight="false" outlineLevel="0" collapsed="false">
      <c r="A2013" s="0" t="s">
        <v>8</v>
      </c>
      <c r="B2013" s="0" t="s">
        <v>3048</v>
      </c>
      <c r="C2013" s="0" t="s">
        <v>7071</v>
      </c>
    </row>
    <row r="2014" customFormat="false" ht="15" hidden="false" customHeight="false" outlineLevel="0" collapsed="false">
      <c r="A2014" s="0" t="s">
        <v>8</v>
      </c>
      <c r="B2014" s="0" t="s">
        <v>3048</v>
      </c>
      <c r="C2014" s="0" t="s">
        <v>7072</v>
      </c>
    </row>
    <row r="2015" customFormat="false" ht="15" hidden="false" customHeight="false" outlineLevel="0" collapsed="false">
      <c r="A2015" s="0" t="s">
        <v>8</v>
      </c>
      <c r="B2015" s="0" t="s">
        <v>3051</v>
      </c>
      <c r="C2015" s="0" t="s">
        <v>7070</v>
      </c>
      <c r="D2015" s="0" t="n">
        <v>0.021</v>
      </c>
    </row>
    <row r="2016" customFormat="false" ht="15" hidden="false" customHeight="false" outlineLevel="0" collapsed="false">
      <c r="A2016" s="0" t="s">
        <v>8</v>
      </c>
      <c r="B2016" s="0" t="s">
        <v>3051</v>
      </c>
      <c r="C2016" s="0" t="s">
        <v>7071</v>
      </c>
    </row>
    <row r="2017" customFormat="false" ht="15" hidden="false" customHeight="false" outlineLevel="0" collapsed="false">
      <c r="A2017" s="0" t="s">
        <v>8</v>
      </c>
      <c r="B2017" s="0" t="s">
        <v>3051</v>
      </c>
      <c r="C2017" s="0" t="s">
        <v>7072</v>
      </c>
    </row>
    <row r="2018" customFormat="false" ht="15" hidden="false" customHeight="false" outlineLevel="0" collapsed="false">
      <c r="A2018" s="0" t="s">
        <v>8</v>
      </c>
      <c r="B2018" s="0" t="s">
        <v>3055</v>
      </c>
      <c r="C2018" s="0" t="s">
        <v>7070</v>
      </c>
      <c r="D2018" s="0" t="n">
        <v>0.0452</v>
      </c>
    </row>
    <row r="2019" customFormat="false" ht="15" hidden="false" customHeight="false" outlineLevel="0" collapsed="false">
      <c r="A2019" s="0" t="s">
        <v>8</v>
      </c>
      <c r="B2019" s="0" t="s">
        <v>3055</v>
      </c>
      <c r="C2019" s="0" t="s">
        <v>7071</v>
      </c>
    </row>
    <row r="2020" customFormat="false" ht="15" hidden="false" customHeight="false" outlineLevel="0" collapsed="false">
      <c r="A2020" s="0" t="s">
        <v>8</v>
      </c>
      <c r="B2020" s="0" t="s">
        <v>3055</v>
      </c>
      <c r="C2020" s="0" t="s">
        <v>7072</v>
      </c>
    </row>
    <row r="2021" customFormat="false" ht="15" hidden="false" customHeight="false" outlineLevel="0" collapsed="false">
      <c r="A2021" s="0" t="s">
        <v>8</v>
      </c>
      <c r="B2021" s="0" t="s">
        <v>3058</v>
      </c>
      <c r="C2021" s="0" t="s">
        <v>7070</v>
      </c>
      <c r="D2021" s="0" t="n">
        <v>0.1217</v>
      </c>
    </row>
    <row r="2022" customFormat="false" ht="15" hidden="false" customHeight="false" outlineLevel="0" collapsed="false">
      <c r="A2022" s="0" t="s">
        <v>8</v>
      </c>
      <c r="B2022" s="0" t="s">
        <v>3058</v>
      </c>
      <c r="C2022" s="0" t="s">
        <v>7071</v>
      </c>
    </row>
    <row r="2023" customFormat="false" ht="15" hidden="false" customHeight="false" outlineLevel="0" collapsed="false">
      <c r="A2023" s="0" t="s">
        <v>8</v>
      </c>
      <c r="B2023" s="0" t="s">
        <v>3058</v>
      </c>
      <c r="C2023" s="0" t="s">
        <v>7072</v>
      </c>
    </row>
    <row r="2024" customFormat="false" ht="15" hidden="false" customHeight="false" outlineLevel="0" collapsed="false">
      <c r="A2024" s="0" t="s">
        <v>8</v>
      </c>
      <c r="B2024" s="0" t="s">
        <v>3061</v>
      </c>
      <c r="C2024" s="0" t="s">
        <v>7070</v>
      </c>
      <c r="D2024" s="0" t="n">
        <v>0.0167</v>
      </c>
    </row>
    <row r="2025" customFormat="false" ht="15" hidden="false" customHeight="false" outlineLevel="0" collapsed="false">
      <c r="A2025" s="0" t="s">
        <v>8</v>
      </c>
      <c r="B2025" s="0" t="s">
        <v>3061</v>
      </c>
      <c r="C2025" s="0" t="s">
        <v>7071</v>
      </c>
    </row>
    <row r="2026" customFormat="false" ht="15" hidden="false" customHeight="false" outlineLevel="0" collapsed="false">
      <c r="A2026" s="0" t="s">
        <v>8</v>
      </c>
      <c r="B2026" s="0" t="s">
        <v>3061</v>
      </c>
      <c r="C2026" s="0" t="s">
        <v>7072</v>
      </c>
    </row>
    <row r="2027" customFormat="false" ht="15" hidden="false" customHeight="false" outlineLevel="0" collapsed="false">
      <c r="A2027" s="0" t="s">
        <v>8</v>
      </c>
      <c r="B2027" s="0" t="s">
        <v>3064</v>
      </c>
      <c r="C2027" s="0" t="s">
        <v>7070</v>
      </c>
      <c r="D2027" s="0" t="n">
        <v>0.0667</v>
      </c>
    </row>
    <row r="2028" customFormat="false" ht="15" hidden="false" customHeight="false" outlineLevel="0" collapsed="false">
      <c r="A2028" s="0" t="s">
        <v>8</v>
      </c>
      <c r="B2028" s="0" t="s">
        <v>3064</v>
      </c>
      <c r="C2028" s="0" t="s">
        <v>7071</v>
      </c>
    </row>
    <row r="2029" customFormat="false" ht="15" hidden="false" customHeight="false" outlineLevel="0" collapsed="false">
      <c r="A2029" s="0" t="s">
        <v>8</v>
      </c>
      <c r="B2029" s="0" t="s">
        <v>3064</v>
      </c>
      <c r="C2029" s="0" t="s">
        <v>7072</v>
      </c>
    </row>
    <row r="2030" customFormat="false" ht="15" hidden="false" customHeight="false" outlineLevel="0" collapsed="false">
      <c r="A2030" s="0" t="s">
        <v>8</v>
      </c>
      <c r="B2030" s="0" t="s">
        <v>3067</v>
      </c>
      <c r="C2030" s="0" t="s">
        <v>7070</v>
      </c>
      <c r="D2030" s="0" t="n">
        <v>0.0191</v>
      </c>
    </row>
    <row r="2031" customFormat="false" ht="15" hidden="false" customHeight="false" outlineLevel="0" collapsed="false">
      <c r="A2031" s="0" t="s">
        <v>8</v>
      </c>
      <c r="B2031" s="0" t="s">
        <v>3067</v>
      </c>
      <c r="C2031" s="0" t="s">
        <v>7071</v>
      </c>
    </row>
    <row r="2032" customFormat="false" ht="15" hidden="false" customHeight="false" outlineLevel="0" collapsed="false">
      <c r="A2032" s="0" t="s">
        <v>8</v>
      </c>
      <c r="B2032" s="0" t="s">
        <v>3067</v>
      </c>
      <c r="C2032" s="0" t="s">
        <v>7072</v>
      </c>
    </row>
    <row r="2033" customFormat="false" ht="15" hidden="false" customHeight="false" outlineLevel="0" collapsed="false">
      <c r="A2033" s="0" t="s">
        <v>8</v>
      </c>
      <c r="B2033" s="0" t="s">
        <v>3071</v>
      </c>
      <c r="C2033" s="0" t="s">
        <v>7070</v>
      </c>
      <c r="D2033" s="0" t="n">
        <v>0.0644</v>
      </c>
    </row>
    <row r="2034" customFormat="false" ht="15" hidden="false" customHeight="false" outlineLevel="0" collapsed="false">
      <c r="A2034" s="0" t="s">
        <v>8</v>
      </c>
      <c r="B2034" s="0" t="s">
        <v>3071</v>
      </c>
      <c r="C2034" s="0" t="s">
        <v>7071</v>
      </c>
    </row>
    <row r="2035" customFormat="false" ht="15" hidden="false" customHeight="false" outlineLevel="0" collapsed="false">
      <c r="A2035" s="0" t="s">
        <v>8</v>
      </c>
      <c r="B2035" s="0" t="s">
        <v>3071</v>
      </c>
      <c r="C2035" s="0" t="s">
        <v>7072</v>
      </c>
    </row>
    <row r="2036" customFormat="false" ht="15" hidden="false" customHeight="false" outlineLevel="0" collapsed="false">
      <c r="A2036" s="0" t="s">
        <v>8</v>
      </c>
      <c r="B2036" s="0" t="s">
        <v>3074</v>
      </c>
      <c r="C2036" s="0" t="s">
        <v>7070</v>
      </c>
      <c r="D2036" s="0" t="n">
        <v>0.0677</v>
      </c>
    </row>
    <row r="2037" customFormat="false" ht="15" hidden="false" customHeight="false" outlineLevel="0" collapsed="false">
      <c r="A2037" s="0" t="s">
        <v>8</v>
      </c>
      <c r="B2037" s="0" t="s">
        <v>3074</v>
      </c>
      <c r="C2037" s="0" t="s">
        <v>7071</v>
      </c>
    </row>
    <row r="2038" customFormat="false" ht="15" hidden="false" customHeight="false" outlineLevel="0" collapsed="false">
      <c r="A2038" s="0" t="s">
        <v>8</v>
      </c>
      <c r="B2038" s="0" t="s">
        <v>3074</v>
      </c>
      <c r="C2038" s="0" t="s">
        <v>7072</v>
      </c>
    </row>
    <row r="2039" customFormat="false" ht="15" hidden="false" customHeight="false" outlineLevel="0" collapsed="false">
      <c r="A2039" s="0" t="s">
        <v>8</v>
      </c>
      <c r="B2039" s="0" t="s">
        <v>3077</v>
      </c>
      <c r="C2039" s="0" t="s">
        <v>7070</v>
      </c>
      <c r="D2039" s="0" t="n">
        <v>0.0055</v>
      </c>
    </row>
    <row r="2040" customFormat="false" ht="15" hidden="false" customHeight="false" outlineLevel="0" collapsed="false">
      <c r="A2040" s="0" t="s">
        <v>8</v>
      </c>
      <c r="B2040" s="0" t="s">
        <v>3077</v>
      </c>
      <c r="C2040" s="0" t="s">
        <v>7071</v>
      </c>
    </row>
    <row r="2041" customFormat="false" ht="15" hidden="false" customHeight="false" outlineLevel="0" collapsed="false">
      <c r="A2041" s="0" t="s">
        <v>8</v>
      </c>
      <c r="B2041" s="0" t="s">
        <v>3077</v>
      </c>
      <c r="C2041" s="0" t="s">
        <v>7072</v>
      </c>
    </row>
    <row r="2042" customFormat="false" ht="15" hidden="false" customHeight="false" outlineLevel="0" collapsed="false">
      <c r="A2042" s="0" t="s">
        <v>8</v>
      </c>
      <c r="B2042" s="0" t="s">
        <v>3080</v>
      </c>
      <c r="C2042" s="0" t="s">
        <v>7070</v>
      </c>
      <c r="D2042" s="0" t="n">
        <v>0.0207</v>
      </c>
    </row>
    <row r="2043" customFormat="false" ht="15" hidden="false" customHeight="false" outlineLevel="0" collapsed="false">
      <c r="A2043" s="0" t="s">
        <v>8</v>
      </c>
      <c r="B2043" s="0" t="s">
        <v>3080</v>
      </c>
      <c r="C2043" s="0" t="s">
        <v>7071</v>
      </c>
    </row>
    <row r="2044" customFormat="false" ht="15" hidden="false" customHeight="false" outlineLevel="0" collapsed="false">
      <c r="A2044" s="0" t="s">
        <v>8</v>
      </c>
      <c r="B2044" s="0" t="s">
        <v>3080</v>
      </c>
      <c r="C2044" s="0" t="s">
        <v>7072</v>
      </c>
    </row>
    <row r="2045" customFormat="false" ht="15" hidden="false" customHeight="false" outlineLevel="0" collapsed="false">
      <c r="A2045" s="0" t="s">
        <v>8</v>
      </c>
      <c r="B2045" s="0" t="s">
        <v>3083</v>
      </c>
      <c r="C2045" s="0" t="s">
        <v>7070</v>
      </c>
      <c r="D2045" s="0" t="n">
        <v>0.0455</v>
      </c>
    </row>
    <row r="2046" customFormat="false" ht="15" hidden="false" customHeight="false" outlineLevel="0" collapsed="false">
      <c r="A2046" s="0" t="s">
        <v>8</v>
      </c>
      <c r="B2046" s="0" t="s">
        <v>3083</v>
      </c>
      <c r="C2046" s="0" t="s">
        <v>7071</v>
      </c>
    </row>
    <row r="2047" customFormat="false" ht="15" hidden="false" customHeight="false" outlineLevel="0" collapsed="false">
      <c r="A2047" s="0" t="s">
        <v>8</v>
      </c>
      <c r="B2047" s="0" t="s">
        <v>3083</v>
      </c>
      <c r="C2047" s="0" t="s">
        <v>7072</v>
      </c>
    </row>
    <row r="2048" customFormat="false" ht="15" hidden="false" customHeight="false" outlineLevel="0" collapsed="false">
      <c r="A2048" s="0" t="s">
        <v>8</v>
      </c>
      <c r="B2048" s="0" t="s">
        <v>3087</v>
      </c>
      <c r="C2048" s="0" t="s">
        <v>7070</v>
      </c>
      <c r="D2048" s="0" t="n">
        <v>0.0062</v>
      </c>
    </row>
    <row r="2049" customFormat="false" ht="15" hidden="false" customHeight="false" outlineLevel="0" collapsed="false">
      <c r="A2049" s="0" t="s">
        <v>8</v>
      </c>
      <c r="B2049" s="0" t="s">
        <v>3087</v>
      </c>
      <c r="C2049" s="0" t="s">
        <v>7071</v>
      </c>
    </row>
    <row r="2050" customFormat="false" ht="15" hidden="false" customHeight="false" outlineLevel="0" collapsed="false">
      <c r="A2050" s="0" t="s">
        <v>8</v>
      </c>
      <c r="B2050" s="0" t="s">
        <v>3087</v>
      </c>
      <c r="C2050" s="0" t="s">
        <v>7072</v>
      </c>
    </row>
    <row r="2051" customFormat="false" ht="15" hidden="false" customHeight="false" outlineLevel="0" collapsed="false">
      <c r="A2051" s="0" t="s">
        <v>8</v>
      </c>
      <c r="B2051" s="0" t="s">
        <v>3090</v>
      </c>
      <c r="C2051" s="0" t="s">
        <v>7070</v>
      </c>
      <c r="D2051" s="0" t="n">
        <v>0.0913</v>
      </c>
    </row>
    <row r="2052" customFormat="false" ht="15" hidden="false" customHeight="false" outlineLevel="0" collapsed="false">
      <c r="A2052" s="0" t="s">
        <v>8</v>
      </c>
      <c r="B2052" s="0" t="s">
        <v>3090</v>
      </c>
      <c r="C2052" s="0" t="s">
        <v>7071</v>
      </c>
    </row>
    <row r="2053" customFormat="false" ht="15" hidden="false" customHeight="false" outlineLevel="0" collapsed="false">
      <c r="A2053" s="0" t="s">
        <v>8</v>
      </c>
      <c r="B2053" s="0" t="s">
        <v>3090</v>
      </c>
      <c r="C2053" s="0" t="s">
        <v>7072</v>
      </c>
    </row>
    <row r="2054" customFormat="false" ht="15" hidden="false" customHeight="false" outlineLevel="0" collapsed="false">
      <c r="A2054" s="0" t="s">
        <v>8</v>
      </c>
      <c r="B2054" s="0" t="s">
        <v>3093</v>
      </c>
      <c r="C2054" s="0" t="s">
        <v>7070</v>
      </c>
      <c r="D2054" s="0" t="n">
        <v>0.0036</v>
      </c>
    </row>
    <row r="2055" customFormat="false" ht="15" hidden="false" customHeight="false" outlineLevel="0" collapsed="false">
      <c r="A2055" s="0" t="s">
        <v>8</v>
      </c>
      <c r="B2055" s="0" t="s">
        <v>3093</v>
      </c>
      <c r="C2055" s="0" t="s">
        <v>7071</v>
      </c>
    </row>
    <row r="2056" customFormat="false" ht="15" hidden="false" customHeight="false" outlineLevel="0" collapsed="false">
      <c r="A2056" s="0" t="s">
        <v>8</v>
      </c>
      <c r="B2056" s="0" t="s">
        <v>3093</v>
      </c>
      <c r="C2056" s="0" t="s">
        <v>7072</v>
      </c>
    </row>
    <row r="2057" customFormat="false" ht="15" hidden="false" customHeight="false" outlineLevel="0" collapsed="false">
      <c r="A2057" s="0" t="s">
        <v>8</v>
      </c>
      <c r="B2057" s="0" t="s">
        <v>3096</v>
      </c>
      <c r="C2057" s="0" t="s">
        <v>7070</v>
      </c>
      <c r="D2057" s="0" t="n">
        <v>0.0617</v>
      </c>
    </row>
    <row r="2058" customFormat="false" ht="15" hidden="false" customHeight="false" outlineLevel="0" collapsed="false">
      <c r="A2058" s="0" t="s">
        <v>8</v>
      </c>
      <c r="B2058" s="0" t="s">
        <v>3096</v>
      </c>
      <c r="C2058" s="0" t="s">
        <v>7071</v>
      </c>
    </row>
    <row r="2059" customFormat="false" ht="15" hidden="false" customHeight="false" outlineLevel="0" collapsed="false">
      <c r="A2059" s="0" t="s">
        <v>8</v>
      </c>
      <c r="B2059" s="0" t="s">
        <v>3096</v>
      </c>
      <c r="C2059" s="0" t="s">
        <v>7072</v>
      </c>
    </row>
    <row r="2060" customFormat="false" ht="15" hidden="false" customHeight="false" outlineLevel="0" collapsed="false">
      <c r="A2060" s="0" t="s">
        <v>8</v>
      </c>
      <c r="B2060" s="0" t="s">
        <v>3099</v>
      </c>
      <c r="C2060" s="0" t="s">
        <v>7070</v>
      </c>
      <c r="D2060" s="0" t="n">
        <v>0.0006</v>
      </c>
    </row>
    <row r="2061" customFormat="false" ht="15" hidden="false" customHeight="false" outlineLevel="0" collapsed="false">
      <c r="A2061" s="0" t="s">
        <v>8</v>
      </c>
      <c r="B2061" s="0" t="s">
        <v>3099</v>
      </c>
      <c r="C2061" s="0" t="s">
        <v>7071</v>
      </c>
    </row>
    <row r="2062" customFormat="false" ht="15" hidden="false" customHeight="false" outlineLevel="0" collapsed="false">
      <c r="A2062" s="0" t="s">
        <v>8</v>
      </c>
      <c r="B2062" s="0" t="s">
        <v>3099</v>
      </c>
      <c r="C2062" s="0" t="s">
        <v>7072</v>
      </c>
    </row>
    <row r="2063" customFormat="false" ht="15" hidden="false" customHeight="false" outlineLevel="0" collapsed="false">
      <c r="A2063" s="0" t="s">
        <v>8</v>
      </c>
      <c r="B2063" s="0" t="s">
        <v>3103</v>
      </c>
      <c r="C2063" s="0" t="s">
        <v>7070</v>
      </c>
      <c r="D2063" s="0" t="n">
        <v>0.0171</v>
      </c>
    </row>
    <row r="2064" customFormat="false" ht="15" hidden="false" customHeight="false" outlineLevel="0" collapsed="false">
      <c r="A2064" s="0" t="s">
        <v>8</v>
      </c>
      <c r="B2064" s="0" t="s">
        <v>3103</v>
      </c>
      <c r="C2064" s="0" t="s">
        <v>7071</v>
      </c>
    </row>
    <row r="2065" customFormat="false" ht="15" hidden="false" customHeight="false" outlineLevel="0" collapsed="false">
      <c r="A2065" s="0" t="s">
        <v>8</v>
      </c>
      <c r="B2065" s="0" t="s">
        <v>3103</v>
      </c>
      <c r="C2065" s="0" t="s">
        <v>7072</v>
      </c>
    </row>
    <row r="2066" customFormat="false" ht="15" hidden="false" customHeight="false" outlineLevel="0" collapsed="false">
      <c r="A2066" s="0" t="s">
        <v>8</v>
      </c>
      <c r="B2066" s="0" t="s">
        <v>3106</v>
      </c>
      <c r="C2066" s="0" t="s">
        <v>7070</v>
      </c>
      <c r="D2066" s="0" t="n">
        <v>0.0054</v>
      </c>
    </row>
    <row r="2067" customFormat="false" ht="15" hidden="false" customHeight="false" outlineLevel="0" collapsed="false">
      <c r="A2067" s="0" t="s">
        <v>8</v>
      </c>
      <c r="B2067" s="0" t="s">
        <v>3106</v>
      </c>
      <c r="C2067" s="0" t="s">
        <v>7071</v>
      </c>
    </row>
    <row r="2068" customFormat="false" ht="15" hidden="false" customHeight="false" outlineLevel="0" collapsed="false">
      <c r="A2068" s="0" t="s">
        <v>8</v>
      </c>
      <c r="B2068" s="0" t="s">
        <v>3106</v>
      </c>
      <c r="C2068" s="0" t="s">
        <v>7072</v>
      </c>
    </row>
    <row r="2069" customFormat="false" ht="15" hidden="false" customHeight="false" outlineLevel="0" collapsed="false">
      <c r="A2069" s="0" t="s">
        <v>8</v>
      </c>
      <c r="B2069" s="0" t="s">
        <v>3109</v>
      </c>
      <c r="C2069" s="0" t="s">
        <v>7070</v>
      </c>
      <c r="D2069" s="0" t="n">
        <v>0.0036</v>
      </c>
    </row>
    <row r="2070" customFormat="false" ht="15" hidden="false" customHeight="false" outlineLevel="0" collapsed="false">
      <c r="A2070" s="0" t="s">
        <v>8</v>
      </c>
      <c r="B2070" s="0" t="s">
        <v>3109</v>
      </c>
      <c r="C2070" s="0" t="s">
        <v>7071</v>
      </c>
    </row>
    <row r="2071" customFormat="false" ht="15" hidden="false" customHeight="false" outlineLevel="0" collapsed="false">
      <c r="A2071" s="0" t="s">
        <v>8</v>
      </c>
      <c r="B2071" s="0" t="s">
        <v>3109</v>
      </c>
      <c r="C2071" s="0" t="s">
        <v>7072</v>
      </c>
    </row>
    <row r="2072" customFormat="false" ht="15" hidden="false" customHeight="false" outlineLevel="0" collapsed="false">
      <c r="A2072" s="0" t="s">
        <v>8</v>
      </c>
      <c r="B2072" s="0" t="s">
        <v>3112</v>
      </c>
      <c r="C2072" s="0" t="s">
        <v>7070</v>
      </c>
      <c r="D2072" s="0" t="n">
        <v>0.0111</v>
      </c>
    </row>
    <row r="2073" customFormat="false" ht="15" hidden="false" customHeight="false" outlineLevel="0" collapsed="false">
      <c r="A2073" s="0" t="s">
        <v>8</v>
      </c>
      <c r="B2073" s="0" t="s">
        <v>3112</v>
      </c>
      <c r="C2073" s="0" t="s">
        <v>7071</v>
      </c>
    </row>
    <row r="2074" customFormat="false" ht="15" hidden="false" customHeight="false" outlineLevel="0" collapsed="false">
      <c r="A2074" s="0" t="s">
        <v>8</v>
      </c>
      <c r="B2074" s="0" t="s">
        <v>3112</v>
      </c>
      <c r="C2074" s="0" t="s">
        <v>7072</v>
      </c>
    </row>
    <row r="2075" customFormat="false" ht="15" hidden="false" customHeight="false" outlineLevel="0" collapsed="false">
      <c r="A2075" s="0" t="s">
        <v>8</v>
      </c>
      <c r="B2075" s="0" t="s">
        <v>3115</v>
      </c>
      <c r="C2075" s="0" t="s">
        <v>7070</v>
      </c>
      <c r="D2075" s="0" t="n">
        <v>0.0099</v>
      </c>
    </row>
    <row r="2076" customFormat="false" ht="15" hidden="false" customHeight="false" outlineLevel="0" collapsed="false">
      <c r="A2076" s="0" t="s">
        <v>8</v>
      </c>
      <c r="B2076" s="0" t="s">
        <v>3115</v>
      </c>
      <c r="C2076" s="0" t="s">
        <v>7071</v>
      </c>
    </row>
    <row r="2077" customFormat="false" ht="15" hidden="false" customHeight="false" outlineLevel="0" collapsed="false">
      <c r="A2077" s="0" t="s">
        <v>8</v>
      </c>
      <c r="B2077" s="0" t="s">
        <v>3115</v>
      </c>
      <c r="C2077" s="0" t="s">
        <v>7072</v>
      </c>
    </row>
    <row r="2078" customFormat="false" ht="15" hidden="false" customHeight="false" outlineLevel="0" collapsed="false">
      <c r="A2078" s="0" t="s">
        <v>8</v>
      </c>
      <c r="B2078" s="0" t="s">
        <v>3119</v>
      </c>
      <c r="C2078" s="0" t="s">
        <v>7070</v>
      </c>
      <c r="D2078" s="0" t="n">
        <v>0.0339</v>
      </c>
    </row>
    <row r="2079" customFormat="false" ht="15" hidden="false" customHeight="false" outlineLevel="0" collapsed="false">
      <c r="A2079" s="0" t="s">
        <v>8</v>
      </c>
      <c r="B2079" s="0" t="s">
        <v>3119</v>
      </c>
      <c r="C2079" s="0" t="s">
        <v>7071</v>
      </c>
    </row>
    <row r="2080" customFormat="false" ht="15" hidden="false" customHeight="false" outlineLevel="0" collapsed="false">
      <c r="A2080" s="0" t="s">
        <v>8</v>
      </c>
      <c r="B2080" s="0" t="s">
        <v>3119</v>
      </c>
      <c r="C2080" s="0" t="s">
        <v>7072</v>
      </c>
    </row>
    <row r="2081" customFormat="false" ht="15" hidden="false" customHeight="false" outlineLevel="0" collapsed="false">
      <c r="A2081" s="0" t="s">
        <v>8</v>
      </c>
      <c r="B2081" s="0" t="s">
        <v>3122</v>
      </c>
      <c r="C2081" s="0" t="s">
        <v>7070</v>
      </c>
      <c r="D2081" s="0" t="n">
        <v>0.0348</v>
      </c>
    </row>
    <row r="2082" customFormat="false" ht="15" hidden="false" customHeight="false" outlineLevel="0" collapsed="false">
      <c r="A2082" s="0" t="s">
        <v>8</v>
      </c>
      <c r="B2082" s="0" t="s">
        <v>3122</v>
      </c>
      <c r="C2082" s="0" t="s">
        <v>7071</v>
      </c>
    </row>
    <row r="2083" customFormat="false" ht="15" hidden="false" customHeight="false" outlineLevel="0" collapsed="false">
      <c r="A2083" s="0" t="s">
        <v>8</v>
      </c>
      <c r="B2083" s="0" t="s">
        <v>3122</v>
      </c>
      <c r="C2083" s="0" t="s">
        <v>7072</v>
      </c>
    </row>
    <row r="2084" customFormat="false" ht="15" hidden="false" customHeight="false" outlineLevel="0" collapsed="false">
      <c r="A2084" s="0" t="s">
        <v>8</v>
      </c>
      <c r="B2084" s="0" t="s">
        <v>3125</v>
      </c>
      <c r="C2084" s="0" t="s">
        <v>7070</v>
      </c>
      <c r="D2084" s="0" t="n">
        <v>0.0073</v>
      </c>
    </row>
    <row r="2085" customFormat="false" ht="15" hidden="false" customHeight="false" outlineLevel="0" collapsed="false">
      <c r="A2085" s="0" t="s">
        <v>8</v>
      </c>
      <c r="B2085" s="0" t="s">
        <v>3125</v>
      </c>
      <c r="C2085" s="0" t="s">
        <v>7071</v>
      </c>
    </row>
    <row r="2086" customFormat="false" ht="15" hidden="false" customHeight="false" outlineLevel="0" collapsed="false">
      <c r="A2086" s="0" t="s">
        <v>8</v>
      </c>
      <c r="B2086" s="0" t="s">
        <v>3125</v>
      </c>
      <c r="C2086" s="0" t="s">
        <v>7072</v>
      </c>
    </row>
    <row r="2087" customFormat="false" ht="15" hidden="false" customHeight="false" outlineLevel="0" collapsed="false">
      <c r="A2087" s="0" t="s">
        <v>8</v>
      </c>
      <c r="B2087" s="0" t="s">
        <v>3128</v>
      </c>
      <c r="C2087" s="0" t="s">
        <v>7070</v>
      </c>
      <c r="D2087" s="0" t="n">
        <v>0.0596</v>
      </c>
    </row>
    <row r="2088" customFormat="false" ht="15" hidden="false" customHeight="false" outlineLevel="0" collapsed="false">
      <c r="A2088" s="0" t="s">
        <v>8</v>
      </c>
      <c r="B2088" s="0" t="s">
        <v>3128</v>
      </c>
      <c r="C2088" s="0" t="s">
        <v>7071</v>
      </c>
    </row>
    <row r="2089" customFormat="false" ht="15" hidden="false" customHeight="false" outlineLevel="0" collapsed="false">
      <c r="A2089" s="0" t="s">
        <v>8</v>
      </c>
      <c r="B2089" s="0" t="s">
        <v>3128</v>
      </c>
      <c r="C2089" s="0" t="s">
        <v>7072</v>
      </c>
    </row>
    <row r="2090" customFormat="false" ht="15" hidden="false" customHeight="false" outlineLevel="0" collapsed="false">
      <c r="A2090" s="0" t="s">
        <v>8</v>
      </c>
      <c r="B2090" s="0" t="s">
        <v>3131</v>
      </c>
      <c r="C2090" s="0" t="s">
        <v>7070</v>
      </c>
      <c r="D2090" s="0" t="n">
        <v>0.2543</v>
      </c>
    </row>
    <row r="2091" customFormat="false" ht="15" hidden="false" customHeight="false" outlineLevel="0" collapsed="false">
      <c r="A2091" s="0" t="s">
        <v>8</v>
      </c>
      <c r="B2091" s="0" t="s">
        <v>3131</v>
      </c>
      <c r="C2091" s="0" t="s">
        <v>7071</v>
      </c>
    </row>
    <row r="2092" customFormat="false" ht="15" hidden="false" customHeight="false" outlineLevel="0" collapsed="false">
      <c r="A2092" s="0" t="s">
        <v>8</v>
      </c>
      <c r="B2092" s="0" t="s">
        <v>3131</v>
      </c>
      <c r="C2092" s="0" t="s">
        <v>7072</v>
      </c>
    </row>
    <row r="2093" customFormat="false" ht="15" hidden="false" customHeight="false" outlineLevel="0" collapsed="false">
      <c r="A2093" s="0" t="s">
        <v>8</v>
      </c>
      <c r="B2093" s="0" t="s">
        <v>3135</v>
      </c>
      <c r="C2093" s="0" t="s">
        <v>7070</v>
      </c>
      <c r="D2093" s="0" t="n">
        <v>0.3583</v>
      </c>
    </row>
    <row r="2094" customFormat="false" ht="15" hidden="false" customHeight="false" outlineLevel="0" collapsed="false">
      <c r="A2094" s="0" t="s">
        <v>8</v>
      </c>
      <c r="B2094" s="0" t="s">
        <v>3135</v>
      </c>
      <c r="C2094" s="0" t="s">
        <v>7071</v>
      </c>
    </row>
    <row r="2095" customFormat="false" ht="15" hidden="false" customHeight="false" outlineLevel="0" collapsed="false">
      <c r="A2095" s="0" t="s">
        <v>8</v>
      </c>
      <c r="B2095" s="0" t="s">
        <v>3135</v>
      </c>
      <c r="C2095" s="0" t="s">
        <v>7072</v>
      </c>
    </row>
    <row r="2096" customFormat="false" ht="15" hidden="false" customHeight="false" outlineLevel="0" collapsed="false">
      <c r="A2096" s="0" t="s">
        <v>8</v>
      </c>
      <c r="B2096" s="0" t="s">
        <v>3138</v>
      </c>
      <c r="C2096" s="0" t="s">
        <v>7070</v>
      </c>
      <c r="D2096" s="0" t="n">
        <v>0.8967</v>
      </c>
    </row>
    <row r="2097" customFormat="false" ht="15" hidden="false" customHeight="false" outlineLevel="0" collapsed="false">
      <c r="A2097" s="0" t="s">
        <v>8</v>
      </c>
      <c r="B2097" s="0" t="s">
        <v>3138</v>
      </c>
      <c r="C2097" s="0" t="s">
        <v>7071</v>
      </c>
    </row>
    <row r="2098" customFormat="false" ht="15" hidden="false" customHeight="false" outlineLevel="0" collapsed="false">
      <c r="A2098" s="0" t="s">
        <v>8</v>
      </c>
      <c r="B2098" s="0" t="s">
        <v>3138</v>
      </c>
      <c r="C2098" s="0" t="s">
        <v>7072</v>
      </c>
    </row>
    <row r="2099" customFormat="false" ht="15" hidden="false" customHeight="false" outlineLevel="0" collapsed="false">
      <c r="A2099" s="0" t="s">
        <v>8</v>
      </c>
      <c r="B2099" s="0" t="s">
        <v>3141</v>
      </c>
      <c r="C2099" s="0" t="s">
        <v>7070</v>
      </c>
      <c r="D2099" s="0" t="n">
        <v>0.1003</v>
      </c>
    </row>
    <row r="2100" customFormat="false" ht="15" hidden="false" customHeight="false" outlineLevel="0" collapsed="false">
      <c r="A2100" s="0" t="s">
        <v>8</v>
      </c>
      <c r="B2100" s="0" t="s">
        <v>3141</v>
      </c>
      <c r="C2100" s="0" t="s">
        <v>7071</v>
      </c>
    </row>
    <row r="2101" customFormat="false" ht="15" hidden="false" customHeight="false" outlineLevel="0" collapsed="false">
      <c r="A2101" s="0" t="s">
        <v>8</v>
      </c>
      <c r="B2101" s="0" t="s">
        <v>3141</v>
      </c>
      <c r="C2101" s="0" t="s">
        <v>7072</v>
      </c>
    </row>
    <row r="2102" customFormat="false" ht="15" hidden="false" customHeight="false" outlineLevel="0" collapsed="false">
      <c r="A2102" s="0" t="s">
        <v>8</v>
      </c>
      <c r="B2102" s="0" t="s">
        <v>3144</v>
      </c>
      <c r="C2102" s="0" t="s">
        <v>7070</v>
      </c>
      <c r="D2102" s="0" t="n">
        <v>0.6624</v>
      </c>
    </row>
    <row r="2103" customFormat="false" ht="15" hidden="false" customHeight="false" outlineLevel="0" collapsed="false">
      <c r="A2103" s="0" t="s">
        <v>8</v>
      </c>
      <c r="B2103" s="0" t="s">
        <v>3144</v>
      </c>
      <c r="C2103" s="0" t="s">
        <v>7071</v>
      </c>
    </row>
    <row r="2104" customFormat="false" ht="15" hidden="false" customHeight="false" outlineLevel="0" collapsed="false">
      <c r="A2104" s="0" t="s">
        <v>8</v>
      </c>
      <c r="B2104" s="0" t="s">
        <v>3144</v>
      </c>
      <c r="C2104" s="0" t="s">
        <v>7072</v>
      </c>
    </row>
    <row r="2105" customFormat="false" ht="15" hidden="false" customHeight="false" outlineLevel="0" collapsed="false">
      <c r="A2105" s="0" t="s">
        <v>8</v>
      </c>
      <c r="B2105" s="0" t="s">
        <v>3147</v>
      </c>
      <c r="C2105" s="0" t="s">
        <v>7070</v>
      </c>
      <c r="D2105" s="0" t="n">
        <v>0.0062</v>
      </c>
    </row>
    <row r="2106" customFormat="false" ht="15" hidden="false" customHeight="false" outlineLevel="0" collapsed="false">
      <c r="A2106" s="0" t="s">
        <v>8</v>
      </c>
      <c r="B2106" s="0" t="s">
        <v>3147</v>
      </c>
      <c r="C2106" s="0" t="s">
        <v>7071</v>
      </c>
    </row>
    <row r="2107" customFormat="false" ht="15" hidden="false" customHeight="false" outlineLevel="0" collapsed="false">
      <c r="A2107" s="0" t="s">
        <v>8</v>
      </c>
      <c r="B2107" s="0" t="s">
        <v>3147</v>
      </c>
      <c r="C2107" s="0" t="s">
        <v>7072</v>
      </c>
    </row>
    <row r="2108" customFormat="false" ht="15" hidden="false" customHeight="false" outlineLevel="0" collapsed="false">
      <c r="A2108" s="0" t="s">
        <v>8</v>
      </c>
      <c r="B2108" s="0" t="s">
        <v>3151</v>
      </c>
      <c r="C2108" s="0" t="s">
        <v>7070</v>
      </c>
      <c r="D2108" s="0" t="n">
        <v>0.0822</v>
      </c>
    </row>
    <row r="2109" customFormat="false" ht="15" hidden="false" customHeight="false" outlineLevel="0" collapsed="false">
      <c r="A2109" s="0" t="s">
        <v>8</v>
      </c>
      <c r="B2109" s="0" t="s">
        <v>3151</v>
      </c>
      <c r="C2109" s="0" t="s">
        <v>7071</v>
      </c>
    </row>
    <row r="2110" customFormat="false" ht="15" hidden="false" customHeight="false" outlineLevel="0" collapsed="false">
      <c r="A2110" s="0" t="s">
        <v>8</v>
      </c>
      <c r="B2110" s="0" t="s">
        <v>3151</v>
      </c>
      <c r="C2110" s="0" t="s">
        <v>7072</v>
      </c>
    </row>
    <row r="2111" customFormat="false" ht="15" hidden="false" customHeight="false" outlineLevel="0" collapsed="false">
      <c r="A2111" s="0" t="s">
        <v>8</v>
      </c>
      <c r="B2111" s="0" t="s">
        <v>3154</v>
      </c>
      <c r="C2111" s="0" t="s">
        <v>7070</v>
      </c>
      <c r="D2111" s="0" t="n">
        <v>0.4685</v>
      </c>
    </row>
    <row r="2112" customFormat="false" ht="15" hidden="false" customHeight="false" outlineLevel="0" collapsed="false">
      <c r="A2112" s="0" t="s">
        <v>8</v>
      </c>
      <c r="B2112" s="0" t="s">
        <v>3154</v>
      </c>
      <c r="C2112" s="0" t="s">
        <v>7071</v>
      </c>
    </row>
    <row r="2113" customFormat="false" ht="15" hidden="false" customHeight="false" outlineLevel="0" collapsed="false">
      <c r="A2113" s="0" t="s">
        <v>8</v>
      </c>
      <c r="B2113" s="0" t="s">
        <v>3154</v>
      </c>
      <c r="C2113" s="0" t="s">
        <v>7072</v>
      </c>
    </row>
    <row r="2114" customFormat="false" ht="15" hidden="false" customHeight="false" outlineLevel="0" collapsed="false">
      <c r="A2114" s="0" t="s">
        <v>8</v>
      </c>
      <c r="B2114" s="0" t="s">
        <v>3157</v>
      </c>
      <c r="C2114" s="0" t="s">
        <v>7070</v>
      </c>
      <c r="D2114" s="0" t="n">
        <v>0.1292</v>
      </c>
    </row>
    <row r="2115" customFormat="false" ht="15" hidden="false" customHeight="false" outlineLevel="0" collapsed="false">
      <c r="A2115" s="0" t="s">
        <v>8</v>
      </c>
      <c r="B2115" s="0" t="s">
        <v>3157</v>
      </c>
      <c r="C2115" s="0" t="s">
        <v>7071</v>
      </c>
    </row>
    <row r="2116" customFormat="false" ht="15" hidden="false" customHeight="false" outlineLevel="0" collapsed="false">
      <c r="A2116" s="0" t="s">
        <v>8</v>
      </c>
      <c r="B2116" s="0" t="s">
        <v>3157</v>
      </c>
      <c r="C2116" s="0" t="s">
        <v>7072</v>
      </c>
    </row>
    <row r="2117" customFormat="false" ht="15" hidden="false" customHeight="false" outlineLevel="0" collapsed="false">
      <c r="A2117" s="0" t="s">
        <v>8</v>
      </c>
      <c r="B2117" s="0" t="s">
        <v>3160</v>
      </c>
      <c r="C2117" s="0" t="s">
        <v>7070</v>
      </c>
      <c r="D2117" s="0" t="n">
        <v>0.2922</v>
      </c>
    </row>
    <row r="2118" customFormat="false" ht="15" hidden="false" customHeight="false" outlineLevel="0" collapsed="false">
      <c r="A2118" s="0" t="s">
        <v>8</v>
      </c>
      <c r="B2118" s="0" t="s">
        <v>3160</v>
      </c>
      <c r="C2118" s="0" t="s">
        <v>7071</v>
      </c>
    </row>
    <row r="2119" customFormat="false" ht="15" hidden="false" customHeight="false" outlineLevel="0" collapsed="false">
      <c r="A2119" s="0" t="s">
        <v>8</v>
      </c>
      <c r="B2119" s="0" t="s">
        <v>3160</v>
      </c>
      <c r="C2119" s="0" t="s">
        <v>7072</v>
      </c>
    </row>
    <row r="2120" customFormat="false" ht="15" hidden="false" customHeight="false" outlineLevel="0" collapsed="false">
      <c r="A2120" s="0" t="s">
        <v>8</v>
      </c>
      <c r="B2120" s="0" t="s">
        <v>3163</v>
      </c>
      <c r="C2120" s="0" t="s">
        <v>7070</v>
      </c>
      <c r="D2120" s="0" t="n">
        <v>53.6</v>
      </c>
    </row>
    <row r="2121" customFormat="false" ht="15" hidden="false" customHeight="false" outlineLevel="0" collapsed="false">
      <c r="A2121" s="0" t="s">
        <v>8</v>
      </c>
      <c r="B2121" s="0" t="s">
        <v>3163</v>
      </c>
      <c r="C2121" s="0" t="s">
        <v>7071</v>
      </c>
    </row>
    <row r="2122" customFormat="false" ht="15" hidden="false" customHeight="false" outlineLevel="0" collapsed="false">
      <c r="A2122" s="0" t="s">
        <v>8</v>
      </c>
      <c r="B2122" s="0" t="s">
        <v>3163</v>
      </c>
      <c r="C2122" s="0" t="s">
        <v>7072</v>
      </c>
    </row>
    <row r="2123" customFormat="false" ht="15" hidden="false" customHeight="false" outlineLevel="0" collapsed="false">
      <c r="A2123" s="0" t="s">
        <v>8</v>
      </c>
      <c r="B2123" s="0" t="s">
        <v>3167</v>
      </c>
      <c r="C2123" s="0" t="s">
        <v>7070</v>
      </c>
      <c r="D2123" s="0" t="n">
        <v>76.1</v>
      </c>
    </row>
    <row r="2124" customFormat="false" ht="15" hidden="false" customHeight="false" outlineLevel="0" collapsed="false">
      <c r="A2124" s="0" t="s">
        <v>8</v>
      </c>
      <c r="B2124" s="0" t="s">
        <v>3167</v>
      </c>
      <c r="C2124" s="0" t="s">
        <v>7071</v>
      </c>
    </row>
    <row r="2125" customFormat="false" ht="15" hidden="false" customHeight="false" outlineLevel="0" collapsed="false">
      <c r="A2125" s="0" t="s">
        <v>8</v>
      </c>
      <c r="B2125" s="0" t="s">
        <v>3167</v>
      </c>
      <c r="C2125" s="0" t="s">
        <v>7072</v>
      </c>
    </row>
    <row r="2126" customFormat="false" ht="15" hidden="false" customHeight="false" outlineLevel="0" collapsed="false">
      <c r="A2126" s="0" t="s">
        <v>8</v>
      </c>
      <c r="B2126" s="0" t="s">
        <v>3170</v>
      </c>
      <c r="C2126" s="0" t="s">
        <v>7070</v>
      </c>
      <c r="D2126" s="0" t="n">
        <v>68.2</v>
      </c>
    </row>
    <row r="2127" customFormat="false" ht="15" hidden="false" customHeight="false" outlineLevel="0" collapsed="false">
      <c r="A2127" s="0" t="s">
        <v>8</v>
      </c>
      <c r="B2127" s="0" t="s">
        <v>3170</v>
      </c>
      <c r="C2127" s="0" t="s">
        <v>7071</v>
      </c>
    </row>
    <row r="2128" customFormat="false" ht="15" hidden="false" customHeight="false" outlineLevel="0" collapsed="false">
      <c r="A2128" s="0" t="s">
        <v>8</v>
      </c>
      <c r="B2128" s="0" t="s">
        <v>3170</v>
      </c>
      <c r="C2128" s="0" t="s">
        <v>7072</v>
      </c>
    </row>
    <row r="2129" customFormat="false" ht="15" hidden="false" customHeight="false" outlineLevel="0" collapsed="false">
      <c r="A2129" s="0" t="s">
        <v>8</v>
      </c>
      <c r="B2129" s="0" t="s">
        <v>3172</v>
      </c>
      <c r="C2129" s="0" t="s">
        <v>7070</v>
      </c>
      <c r="D2129" s="0" t="n">
        <v>31</v>
      </c>
    </row>
    <row r="2130" customFormat="false" ht="15" hidden="false" customHeight="false" outlineLevel="0" collapsed="false">
      <c r="A2130" s="0" t="s">
        <v>8</v>
      </c>
      <c r="B2130" s="0" t="s">
        <v>3172</v>
      </c>
      <c r="C2130" s="0" t="s">
        <v>7071</v>
      </c>
    </row>
    <row r="2131" customFormat="false" ht="15" hidden="false" customHeight="false" outlineLevel="0" collapsed="false">
      <c r="A2131" s="0" t="s">
        <v>8</v>
      </c>
      <c r="B2131" s="0" t="s">
        <v>3172</v>
      </c>
      <c r="C2131" s="0" t="s">
        <v>7072</v>
      </c>
    </row>
    <row r="2132" customFormat="false" ht="15" hidden="false" customHeight="false" outlineLevel="0" collapsed="false">
      <c r="A2132" s="0" t="s">
        <v>8</v>
      </c>
      <c r="B2132" s="0" t="s">
        <v>3174</v>
      </c>
      <c r="C2132" s="0" t="s">
        <v>7070</v>
      </c>
      <c r="D2132" s="0" t="n">
        <v>66</v>
      </c>
    </row>
    <row r="2133" customFormat="false" ht="15" hidden="false" customHeight="false" outlineLevel="0" collapsed="false">
      <c r="A2133" s="0" t="s">
        <v>8</v>
      </c>
      <c r="B2133" s="0" t="s">
        <v>3174</v>
      </c>
      <c r="C2133" s="0" t="s">
        <v>7071</v>
      </c>
    </row>
    <row r="2134" customFormat="false" ht="15" hidden="false" customHeight="false" outlineLevel="0" collapsed="false">
      <c r="A2134" s="0" t="s">
        <v>8</v>
      </c>
      <c r="B2134" s="0" t="s">
        <v>3174</v>
      </c>
      <c r="C2134" s="0" t="s">
        <v>7072</v>
      </c>
    </row>
    <row r="2135" customFormat="false" ht="15" hidden="false" customHeight="false" outlineLevel="0" collapsed="false">
      <c r="A2135" s="0" t="s">
        <v>8</v>
      </c>
      <c r="B2135" s="0" t="s">
        <v>3176</v>
      </c>
      <c r="C2135" s="0" t="s">
        <v>7070</v>
      </c>
      <c r="D2135" s="0" t="n">
        <v>3.4</v>
      </c>
    </row>
    <row r="2136" customFormat="false" ht="15" hidden="false" customHeight="false" outlineLevel="0" collapsed="false">
      <c r="A2136" s="0" t="s">
        <v>8</v>
      </c>
      <c r="B2136" s="0" t="s">
        <v>3176</v>
      </c>
      <c r="C2136" s="0" t="s">
        <v>7071</v>
      </c>
    </row>
    <row r="2137" customFormat="false" ht="15" hidden="false" customHeight="false" outlineLevel="0" collapsed="false">
      <c r="A2137" s="0" t="s">
        <v>8</v>
      </c>
      <c r="B2137" s="0" t="s">
        <v>3176</v>
      </c>
      <c r="C2137" s="0" t="s">
        <v>7072</v>
      </c>
    </row>
    <row r="2138" customFormat="false" ht="15" hidden="false" customHeight="false" outlineLevel="0" collapsed="false">
      <c r="A2138" s="0" t="s">
        <v>8</v>
      </c>
      <c r="B2138" s="0" t="s">
        <v>3178</v>
      </c>
      <c r="C2138" s="0" t="s">
        <v>7070</v>
      </c>
      <c r="D2138" s="0" t="n">
        <v>62.6</v>
      </c>
    </row>
    <row r="2139" customFormat="false" ht="15" hidden="false" customHeight="false" outlineLevel="0" collapsed="false">
      <c r="A2139" s="0" t="s">
        <v>8</v>
      </c>
      <c r="B2139" s="0" t="s">
        <v>3178</v>
      </c>
      <c r="C2139" s="0" t="s">
        <v>7071</v>
      </c>
    </row>
    <row r="2140" customFormat="false" ht="15" hidden="false" customHeight="false" outlineLevel="0" collapsed="false">
      <c r="A2140" s="0" t="s">
        <v>8</v>
      </c>
      <c r="B2140" s="0" t="s">
        <v>3178</v>
      </c>
      <c r="C2140" s="0" t="s">
        <v>7072</v>
      </c>
    </row>
    <row r="2141" customFormat="false" ht="15" hidden="false" customHeight="false" outlineLevel="0" collapsed="false">
      <c r="A2141" s="0" t="s">
        <v>8</v>
      </c>
      <c r="B2141" s="0" t="s">
        <v>3180</v>
      </c>
      <c r="C2141" s="0" t="s">
        <v>7070</v>
      </c>
      <c r="D2141" s="0" t="n">
        <v>28.6</v>
      </c>
    </row>
    <row r="2142" customFormat="false" ht="15" hidden="false" customHeight="false" outlineLevel="0" collapsed="false">
      <c r="A2142" s="0" t="s">
        <v>8</v>
      </c>
      <c r="B2142" s="0" t="s">
        <v>3180</v>
      </c>
      <c r="C2142" s="0" t="s">
        <v>7071</v>
      </c>
    </row>
    <row r="2143" customFormat="false" ht="15" hidden="false" customHeight="false" outlineLevel="0" collapsed="false">
      <c r="A2143" s="0" t="s">
        <v>8</v>
      </c>
      <c r="B2143" s="0" t="s">
        <v>3180</v>
      </c>
      <c r="C2143" s="0" t="s">
        <v>7072</v>
      </c>
    </row>
    <row r="2144" customFormat="false" ht="15" hidden="false" customHeight="false" outlineLevel="0" collapsed="false">
      <c r="A2144" s="0" t="s">
        <v>8</v>
      </c>
      <c r="B2144" s="0" t="s">
        <v>3182</v>
      </c>
      <c r="C2144" s="0" t="s">
        <v>7070</v>
      </c>
      <c r="D2144" s="0" t="n">
        <v>59.1</v>
      </c>
    </row>
    <row r="2145" customFormat="false" ht="15" hidden="false" customHeight="false" outlineLevel="0" collapsed="false">
      <c r="A2145" s="0" t="s">
        <v>8</v>
      </c>
      <c r="B2145" s="0" t="s">
        <v>3182</v>
      </c>
      <c r="C2145" s="0" t="s">
        <v>7071</v>
      </c>
    </row>
    <row r="2146" customFormat="false" ht="15" hidden="false" customHeight="false" outlineLevel="0" collapsed="false">
      <c r="A2146" s="0" t="s">
        <v>8</v>
      </c>
      <c r="B2146" s="0" t="s">
        <v>3182</v>
      </c>
      <c r="C2146" s="0" t="s">
        <v>7072</v>
      </c>
    </row>
    <row r="2147" customFormat="false" ht="15" hidden="false" customHeight="false" outlineLevel="0" collapsed="false">
      <c r="A2147" s="0" t="s">
        <v>8</v>
      </c>
      <c r="B2147" s="0" t="s">
        <v>3184</v>
      </c>
      <c r="C2147" s="0" t="s">
        <v>7070</v>
      </c>
      <c r="D2147" s="0" t="n">
        <v>-0.4</v>
      </c>
    </row>
    <row r="2148" customFormat="false" ht="15" hidden="false" customHeight="false" outlineLevel="0" collapsed="false">
      <c r="A2148" s="0" t="s">
        <v>8</v>
      </c>
      <c r="B2148" s="0" t="s">
        <v>3184</v>
      </c>
      <c r="C2148" s="0" t="s">
        <v>7071</v>
      </c>
    </row>
    <row r="2149" customFormat="false" ht="15" hidden="false" customHeight="false" outlineLevel="0" collapsed="false">
      <c r="A2149" s="0" t="s">
        <v>8</v>
      </c>
      <c r="B2149" s="0" t="s">
        <v>3184</v>
      </c>
      <c r="C2149" s="0" t="s">
        <v>7072</v>
      </c>
    </row>
    <row r="2150" customFormat="false" ht="15" hidden="false" customHeight="false" outlineLevel="0" collapsed="false">
      <c r="A2150" s="0" t="s">
        <v>8</v>
      </c>
      <c r="B2150" s="0" t="s">
        <v>3186</v>
      </c>
      <c r="C2150" s="0" t="s">
        <v>7070</v>
      </c>
    </row>
    <row r="2151" customFormat="false" ht="15" hidden="false" customHeight="false" outlineLevel="0" collapsed="false">
      <c r="A2151" s="0" t="s">
        <v>8</v>
      </c>
      <c r="B2151" s="0" t="s">
        <v>3186</v>
      </c>
      <c r="C2151" s="0" t="s">
        <v>7071</v>
      </c>
    </row>
    <row r="2152" customFormat="false" ht="15" hidden="false" customHeight="false" outlineLevel="0" collapsed="false">
      <c r="A2152" s="0" t="s">
        <v>8</v>
      </c>
      <c r="B2152" s="0" t="s">
        <v>3186</v>
      </c>
      <c r="C2152" s="0" t="s">
        <v>7072</v>
      </c>
    </row>
    <row r="2153" customFormat="false" ht="15" hidden="false" customHeight="false" outlineLevel="0" collapsed="false">
      <c r="A2153" s="0" t="s">
        <v>8</v>
      </c>
      <c r="B2153" s="0" t="s">
        <v>3191</v>
      </c>
      <c r="C2153" s="0" t="s">
        <v>7070</v>
      </c>
      <c r="D2153" s="0" t="n">
        <v>0</v>
      </c>
    </row>
    <row r="2154" customFormat="false" ht="15" hidden="false" customHeight="false" outlineLevel="0" collapsed="false">
      <c r="A2154" s="0" t="s">
        <v>8</v>
      </c>
      <c r="B2154" s="0" t="s">
        <v>3191</v>
      </c>
      <c r="C2154" s="0" t="s">
        <v>7071</v>
      </c>
    </row>
    <row r="2155" customFormat="false" ht="15" hidden="false" customHeight="false" outlineLevel="0" collapsed="false">
      <c r="A2155" s="0" t="s">
        <v>8</v>
      </c>
      <c r="B2155" s="0" t="s">
        <v>3191</v>
      </c>
      <c r="C2155" s="0" t="s">
        <v>7072</v>
      </c>
    </row>
    <row r="2156" customFormat="false" ht="15" hidden="false" customHeight="false" outlineLevel="0" collapsed="false">
      <c r="A2156" s="0" t="s">
        <v>8</v>
      </c>
      <c r="B2156" s="0" t="s">
        <v>3196</v>
      </c>
      <c r="C2156" s="0" t="s">
        <v>7070</v>
      </c>
      <c r="D2156" s="0" t="n">
        <v>0.0185</v>
      </c>
    </row>
    <row r="2157" customFormat="false" ht="15" hidden="false" customHeight="false" outlineLevel="0" collapsed="false">
      <c r="A2157" s="0" t="s">
        <v>8</v>
      </c>
      <c r="B2157" s="0" t="s">
        <v>3196</v>
      </c>
      <c r="C2157" s="0" t="s">
        <v>7071</v>
      </c>
    </row>
    <row r="2158" customFormat="false" ht="15" hidden="false" customHeight="false" outlineLevel="0" collapsed="false">
      <c r="A2158" s="0" t="s">
        <v>8</v>
      </c>
      <c r="B2158" s="0" t="s">
        <v>3196</v>
      </c>
      <c r="C2158" s="0" t="s">
        <v>7072</v>
      </c>
    </row>
    <row r="2159" customFormat="false" ht="15" hidden="false" customHeight="false" outlineLevel="0" collapsed="false">
      <c r="A2159" s="0" t="s">
        <v>8</v>
      </c>
      <c r="B2159" s="0" t="s">
        <v>3199</v>
      </c>
      <c r="C2159" s="0" t="s">
        <v>7070</v>
      </c>
      <c r="D2159" s="0" t="n">
        <v>0.1284</v>
      </c>
    </row>
    <row r="2160" customFormat="false" ht="15" hidden="false" customHeight="false" outlineLevel="0" collapsed="false">
      <c r="A2160" s="0" t="s">
        <v>8</v>
      </c>
      <c r="B2160" s="0" t="s">
        <v>3199</v>
      </c>
      <c r="C2160" s="0" t="s">
        <v>7071</v>
      </c>
    </row>
    <row r="2161" customFormat="false" ht="15" hidden="false" customHeight="false" outlineLevel="0" collapsed="false">
      <c r="A2161" s="0" t="s">
        <v>8</v>
      </c>
      <c r="B2161" s="0" t="s">
        <v>3199</v>
      </c>
      <c r="C2161" s="0" t="s">
        <v>7072</v>
      </c>
    </row>
    <row r="2162" customFormat="false" ht="15" hidden="false" customHeight="false" outlineLevel="0" collapsed="false">
      <c r="A2162" s="0" t="s">
        <v>8</v>
      </c>
      <c r="B2162" s="0" t="s">
        <v>3202</v>
      </c>
      <c r="C2162" s="0" t="s">
        <v>7070</v>
      </c>
      <c r="D2162" s="0" t="n">
        <v>0.0229</v>
      </c>
    </row>
    <row r="2163" customFormat="false" ht="15" hidden="false" customHeight="false" outlineLevel="0" collapsed="false">
      <c r="A2163" s="0" t="s">
        <v>8</v>
      </c>
      <c r="B2163" s="0" t="s">
        <v>3202</v>
      </c>
      <c r="C2163" s="0" t="s">
        <v>7071</v>
      </c>
    </row>
    <row r="2164" customFormat="false" ht="15" hidden="false" customHeight="false" outlineLevel="0" collapsed="false">
      <c r="A2164" s="0" t="s">
        <v>8</v>
      </c>
      <c r="B2164" s="0" t="s">
        <v>3202</v>
      </c>
      <c r="C2164" s="0" t="s">
        <v>7072</v>
      </c>
    </row>
    <row r="2165" customFormat="false" ht="15" hidden="false" customHeight="false" outlineLevel="0" collapsed="false">
      <c r="A2165" s="0" t="s">
        <v>8</v>
      </c>
      <c r="B2165" s="0" t="s">
        <v>3205</v>
      </c>
      <c r="C2165" s="0" t="s">
        <v>7070</v>
      </c>
      <c r="D2165" s="0" t="n">
        <v>0.2056</v>
      </c>
    </row>
    <row r="2166" customFormat="false" ht="15" hidden="false" customHeight="false" outlineLevel="0" collapsed="false">
      <c r="A2166" s="0" t="s">
        <v>8</v>
      </c>
      <c r="B2166" s="0" t="s">
        <v>3205</v>
      </c>
      <c r="C2166" s="0" t="s">
        <v>7071</v>
      </c>
    </row>
    <row r="2167" customFormat="false" ht="15" hidden="false" customHeight="false" outlineLevel="0" collapsed="false">
      <c r="A2167" s="0" t="s">
        <v>8</v>
      </c>
      <c r="B2167" s="0" t="s">
        <v>3205</v>
      </c>
      <c r="C2167" s="0" t="s">
        <v>7072</v>
      </c>
    </row>
    <row r="2168" customFormat="false" ht="15" hidden="false" customHeight="false" outlineLevel="0" collapsed="false">
      <c r="A2168" s="0" t="s">
        <v>8</v>
      </c>
      <c r="B2168" s="0" t="s">
        <v>3208</v>
      </c>
      <c r="C2168" s="0" t="s">
        <v>7070</v>
      </c>
      <c r="D2168" s="0" t="n">
        <v>0.1138</v>
      </c>
    </row>
    <row r="2169" customFormat="false" ht="15" hidden="false" customHeight="false" outlineLevel="0" collapsed="false">
      <c r="A2169" s="0" t="s">
        <v>8</v>
      </c>
      <c r="B2169" s="0" t="s">
        <v>3208</v>
      </c>
      <c r="C2169" s="0" t="s">
        <v>7071</v>
      </c>
    </row>
    <row r="2170" customFormat="false" ht="15" hidden="false" customHeight="false" outlineLevel="0" collapsed="false">
      <c r="A2170" s="0" t="s">
        <v>8</v>
      </c>
      <c r="B2170" s="0" t="s">
        <v>3208</v>
      </c>
      <c r="C2170" s="0" t="s">
        <v>7072</v>
      </c>
    </row>
    <row r="2171" customFormat="false" ht="15" hidden="false" customHeight="false" outlineLevel="0" collapsed="false">
      <c r="A2171" s="0" t="s">
        <v>8</v>
      </c>
      <c r="B2171" s="0" t="s">
        <v>3212</v>
      </c>
      <c r="C2171" s="0" t="s">
        <v>7070</v>
      </c>
      <c r="D2171" s="0" t="n">
        <v>0.3033</v>
      </c>
    </row>
    <row r="2172" customFormat="false" ht="15" hidden="false" customHeight="false" outlineLevel="0" collapsed="false">
      <c r="A2172" s="0" t="s">
        <v>8</v>
      </c>
      <c r="B2172" s="0" t="s">
        <v>3212</v>
      </c>
      <c r="C2172" s="0" t="s">
        <v>7071</v>
      </c>
    </row>
    <row r="2173" customFormat="false" ht="15" hidden="false" customHeight="false" outlineLevel="0" collapsed="false">
      <c r="A2173" s="0" t="s">
        <v>8</v>
      </c>
      <c r="B2173" s="0" t="s">
        <v>3212</v>
      </c>
      <c r="C2173" s="0" t="s">
        <v>7072</v>
      </c>
    </row>
    <row r="2174" customFormat="false" ht="15" hidden="false" customHeight="false" outlineLevel="0" collapsed="false">
      <c r="A2174" s="0" t="s">
        <v>8</v>
      </c>
      <c r="B2174" s="0" t="s">
        <v>3215</v>
      </c>
      <c r="C2174" s="0" t="s">
        <v>7070</v>
      </c>
      <c r="D2174" s="0" t="n">
        <v>0.9369</v>
      </c>
    </row>
    <row r="2175" customFormat="false" ht="15" hidden="false" customHeight="false" outlineLevel="0" collapsed="false">
      <c r="A2175" s="0" t="s">
        <v>8</v>
      </c>
      <c r="B2175" s="0" t="s">
        <v>3215</v>
      </c>
      <c r="C2175" s="0" t="s">
        <v>7071</v>
      </c>
    </row>
    <row r="2176" customFormat="false" ht="15" hidden="false" customHeight="false" outlineLevel="0" collapsed="false">
      <c r="A2176" s="0" t="s">
        <v>8</v>
      </c>
      <c r="B2176" s="0" t="s">
        <v>3215</v>
      </c>
      <c r="C2176" s="0" t="s">
        <v>7072</v>
      </c>
    </row>
    <row r="2177" customFormat="false" ht="15" hidden="false" customHeight="false" outlineLevel="0" collapsed="false">
      <c r="A2177" s="0" t="s">
        <v>8</v>
      </c>
      <c r="B2177" s="0" t="s">
        <v>3218</v>
      </c>
      <c r="C2177" s="0" t="s">
        <v>7070</v>
      </c>
      <c r="D2177" s="0" t="n">
        <v>0.4449</v>
      </c>
    </row>
    <row r="2178" customFormat="false" ht="15" hidden="false" customHeight="false" outlineLevel="0" collapsed="false">
      <c r="A2178" s="0" t="s">
        <v>8</v>
      </c>
      <c r="B2178" s="0" t="s">
        <v>3218</v>
      </c>
      <c r="C2178" s="0" t="s">
        <v>7071</v>
      </c>
    </row>
    <row r="2179" customFormat="false" ht="15" hidden="false" customHeight="false" outlineLevel="0" collapsed="false">
      <c r="A2179" s="0" t="s">
        <v>8</v>
      </c>
      <c r="B2179" s="0" t="s">
        <v>3218</v>
      </c>
      <c r="C2179" s="0" t="s">
        <v>7072</v>
      </c>
    </row>
    <row r="2180" customFormat="false" ht="15" hidden="false" customHeight="false" outlineLevel="0" collapsed="false">
      <c r="A2180" s="0" t="s">
        <v>8</v>
      </c>
      <c r="B2180" s="0" t="s">
        <v>3221</v>
      </c>
      <c r="C2180" s="0" t="s">
        <v>7070</v>
      </c>
      <c r="D2180" s="0" t="n">
        <v>0.7174</v>
      </c>
    </row>
    <row r="2181" customFormat="false" ht="15" hidden="false" customHeight="false" outlineLevel="0" collapsed="false">
      <c r="A2181" s="0" t="s">
        <v>8</v>
      </c>
      <c r="B2181" s="0" t="s">
        <v>3221</v>
      </c>
      <c r="C2181" s="0" t="s">
        <v>7071</v>
      </c>
    </row>
    <row r="2182" customFormat="false" ht="15" hidden="false" customHeight="false" outlineLevel="0" collapsed="false">
      <c r="A2182" s="0" t="s">
        <v>8</v>
      </c>
      <c r="B2182" s="0" t="s">
        <v>3221</v>
      </c>
      <c r="C2182" s="0" t="s">
        <v>7072</v>
      </c>
    </row>
    <row r="2183" customFormat="false" ht="15" hidden="false" customHeight="false" outlineLevel="0" collapsed="false">
      <c r="A2183" s="0" t="s">
        <v>8</v>
      </c>
      <c r="B2183" s="0" t="s">
        <v>3224</v>
      </c>
      <c r="C2183" s="0" t="s">
        <v>7070</v>
      </c>
      <c r="D2183" s="0" t="n">
        <v>0.0117</v>
      </c>
    </row>
    <row r="2184" customFormat="false" ht="15" hidden="false" customHeight="false" outlineLevel="0" collapsed="false">
      <c r="A2184" s="0" t="s">
        <v>8</v>
      </c>
      <c r="B2184" s="0" t="s">
        <v>3224</v>
      </c>
      <c r="C2184" s="0" t="s">
        <v>7071</v>
      </c>
    </row>
    <row r="2185" customFormat="false" ht="15" hidden="false" customHeight="false" outlineLevel="0" collapsed="false">
      <c r="A2185" s="0" t="s">
        <v>8</v>
      </c>
      <c r="B2185" s="0" t="s">
        <v>3224</v>
      </c>
      <c r="C2185" s="0" t="s">
        <v>7072</v>
      </c>
    </row>
    <row r="2186" customFormat="false" ht="15" hidden="false" customHeight="false" outlineLevel="0" collapsed="false">
      <c r="A2186" s="0" t="s">
        <v>8</v>
      </c>
      <c r="B2186" s="0" t="s">
        <v>3228</v>
      </c>
      <c r="C2186" s="0" t="s">
        <v>7070</v>
      </c>
      <c r="D2186" s="0" t="n">
        <v>0.5487</v>
      </c>
    </row>
    <row r="2187" customFormat="false" ht="15" hidden="false" customHeight="false" outlineLevel="0" collapsed="false">
      <c r="A2187" s="0" t="s">
        <v>8</v>
      </c>
      <c r="B2187" s="0" t="s">
        <v>3228</v>
      </c>
      <c r="C2187" s="0" t="s">
        <v>7071</v>
      </c>
    </row>
    <row r="2188" customFormat="false" ht="15" hidden="false" customHeight="false" outlineLevel="0" collapsed="false">
      <c r="A2188" s="0" t="s">
        <v>8</v>
      </c>
      <c r="B2188" s="0" t="s">
        <v>3228</v>
      </c>
      <c r="C2188" s="0" t="s">
        <v>7072</v>
      </c>
    </row>
    <row r="2189" customFormat="false" ht="15" hidden="false" customHeight="false" outlineLevel="0" collapsed="false">
      <c r="A2189" s="0" t="s">
        <v>8</v>
      </c>
      <c r="B2189" s="0" t="s">
        <v>3231</v>
      </c>
      <c r="C2189" s="0" t="s">
        <v>7070</v>
      </c>
      <c r="D2189" s="0" t="n">
        <v>2.3745</v>
      </c>
    </row>
    <row r="2190" customFormat="false" ht="15" hidden="false" customHeight="false" outlineLevel="0" collapsed="false">
      <c r="A2190" s="0" t="s">
        <v>8</v>
      </c>
      <c r="B2190" s="0" t="s">
        <v>3231</v>
      </c>
      <c r="C2190" s="0" t="s">
        <v>7071</v>
      </c>
    </row>
    <row r="2191" customFormat="false" ht="15" hidden="false" customHeight="false" outlineLevel="0" collapsed="false">
      <c r="A2191" s="0" t="s">
        <v>8</v>
      </c>
      <c r="B2191" s="0" t="s">
        <v>3231</v>
      </c>
      <c r="C2191" s="0" t="s">
        <v>7072</v>
      </c>
    </row>
    <row r="2192" customFormat="false" ht="15" hidden="false" customHeight="false" outlineLevel="0" collapsed="false">
      <c r="A2192" s="0" t="s">
        <v>8</v>
      </c>
      <c r="B2192" s="0" t="s">
        <v>3234</v>
      </c>
      <c r="C2192" s="0" t="s">
        <v>7070</v>
      </c>
      <c r="D2192" s="0" t="n">
        <v>0.8071</v>
      </c>
    </row>
    <row r="2193" customFormat="false" ht="15" hidden="false" customHeight="false" outlineLevel="0" collapsed="false">
      <c r="A2193" s="0" t="s">
        <v>8</v>
      </c>
      <c r="B2193" s="0" t="s">
        <v>3234</v>
      </c>
      <c r="C2193" s="0" t="s">
        <v>7071</v>
      </c>
    </row>
    <row r="2194" customFormat="false" ht="15" hidden="false" customHeight="false" outlineLevel="0" collapsed="false">
      <c r="A2194" s="0" t="s">
        <v>8</v>
      </c>
      <c r="B2194" s="0" t="s">
        <v>3234</v>
      </c>
      <c r="C2194" s="0" t="s">
        <v>7072</v>
      </c>
    </row>
    <row r="2195" customFormat="false" ht="15" hidden="false" customHeight="false" outlineLevel="0" collapsed="false">
      <c r="A2195" s="0" t="s">
        <v>8</v>
      </c>
      <c r="B2195" s="0" t="s">
        <v>3237</v>
      </c>
      <c r="C2195" s="0" t="s">
        <v>7070</v>
      </c>
      <c r="D2195" s="0" t="n">
        <v>0.9567</v>
      </c>
    </row>
    <row r="2196" customFormat="false" ht="15" hidden="false" customHeight="false" outlineLevel="0" collapsed="false">
      <c r="A2196" s="0" t="s">
        <v>8</v>
      </c>
      <c r="B2196" s="0" t="s">
        <v>3237</v>
      </c>
      <c r="C2196" s="0" t="s">
        <v>7071</v>
      </c>
    </row>
    <row r="2197" customFormat="false" ht="15" hidden="false" customHeight="false" outlineLevel="0" collapsed="false">
      <c r="A2197" s="0" t="s">
        <v>8</v>
      </c>
      <c r="B2197" s="0" t="s">
        <v>3237</v>
      </c>
      <c r="C2197" s="0" t="s">
        <v>7072</v>
      </c>
    </row>
    <row r="2198" customFormat="false" ht="15" hidden="false" customHeight="false" outlineLevel="0" collapsed="false">
      <c r="A2198" s="0" t="s">
        <v>8</v>
      </c>
      <c r="B2198" s="0" t="s">
        <v>3240</v>
      </c>
      <c r="C2198" s="0" t="s">
        <v>7070</v>
      </c>
      <c r="D2198" s="0" t="n">
        <v>0.2092</v>
      </c>
    </row>
    <row r="2199" customFormat="false" ht="15" hidden="false" customHeight="false" outlineLevel="0" collapsed="false">
      <c r="A2199" s="0" t="s">
        <v>8</v>
      </c>
      <c r="B2199" s="0" t="s">
        <v>3240</v>
      </c>
      <c r="C2199" s="0" t="s">
        <v>7071</v>
      </c>
    </row>
    <row r="2200" customFormat="false" ht="15" hidden="false" customHeight="false" outlineLevel="0" collapsed="false">
      <c r="A2200" s="0" t="s">
        <v>8</v>
      </c>
      <c r="B2200" s="0" t="s">
        <v>3240</v>
      </c>
      <c r="C2200" s="0" t="s">
        <v>7072</v>
      </c>
    </row>
    <row r="2201" customFormat="false" ht="15" hidden="false" customHeight="false" outlineLevel="0" collapsed="false">
      <c r="A2201" s="0" t="s">
        <v>8</v>
      </c>
      <c r="B2201" s="0" t="s">
        <v>3244</v>
      </c>
      <c r="C2201" s="0" t="s">
        <v>7070</v>
      </c>
      <c r="D2201" s="0" t="n">
        <v>0.3396</v>
      </c>
    </row>
    <row r="2202" customFormat="false" ht="15" hidden="false" customHeight="false" outlineLevel="0" collapsed="false">
      <c r="A2202" s="0" t="s">
        <v>8</v>
      </c>
      <c r="B2202" s="0" t="s">
        <v>3244</v>
      </c>
      <c r="C2202" s="0" t="s">
        <v>7071</v>
      </c>
    </row>
    <row r="2203" customFormat="false" ht="15" hidden="false" customHeight="false" outlineLevel="0" collapsed="false">
      <c r="A2203" s="0" t="s">
        <v>8</v>
      </c>
      <c r="B2203" s="0" t="s">
        <v>3244</v>
      </c>
      <c r="C2203" s="0" t="s">
        <v>7072</v>
      </c>
    </row>
    <row r="2204" customFormat="false" ht="15" hidden="false" customHeight="false" outlineLevel="0" collapsed="false">
      <c r="A2204" s="0" t="s">
        <v>8</v>
      </c>
      <c r="B2204" s="0" t="s">
        <v>3247</v>
      </c>
      <c r="C2204" s="0" t="s">
        <v>7070</v>
      </c>
      <c r="D2204" s="0" t="n">
        <v>0.7837</v>
      </c>
    </row>
    <row r="2205" customFormat="false" ht="15" hidden="false" customHeight="false" outlineLevel="0" collapsed="false">
      <c r="A2205" s="0" t="s">
        <v>8</v>
      </c>
      <c r="B2205" s="0" t="s">
        <v>3247</v>
      </c>
      <c r="C2205" s="0" t="s">
        <v>7071</v>
      </c>
    </row>
    <row r="2206" customFormat="false" ht="15" hidden="false" customHeight="false" outlineLevel="0" collapsed="false">
      <c r="A2206" s="0" t="s">
        <v>8</v>
      </c>
      <c r="B2206" s="0" t="s">
        <v>3247</v>
      </c>
      <c r="C2206" s="0" t="s">
        <v>7072</v>
      </c>
    </row>
    <row r="2207" customFormat="false" ht="15" hidden="false" customHeight="false" outlineLevel="0" collapsed="false">
      <c r="A2207" s="0" t="s">
        <v>8</v>
      </c>
      <c r="B2207" s="0" t="s">
        <v>3250</v>
      </c>
      <c r="C2207" s="0" t="s">
        <v>7070</v>
      </c>
      <c r="D2207" s="0" t="n">
        <v>0.2904</v>
      </c>
    </row>
    <row r="2208" customFormat="false" ht="15" hidden="false" customHeight="false" outlineLevel="0" collapsed="false">
      <c r="A2208" s="0" t="s">
        <v>8</v>
      </c>
      <c r="B2208" s="0" t="s">
        <v>3250</v>
      </c>
      <c r="C2208" s="0" t="s">
        <v>7071</v>
      </c>
    </row>
    <row r="2209" customFormat="false" ht="15" hidden="false" customHeight="false" outlineLevel="0" collapsed="false">
      <c r="A2209" s="0" t="s">
        <v>8</v>
      </c>
      <c r="B2209" s="0" t="s">
        <v>3250</v>
      </c>
      <c r="C2209" s="0" t="s">
        <v>7072</v>
      </c>
    </row>
    <row r="2210" customFormat="false" ht="15" hidden="false" customHeight="false" outlineLevel="0" collapsed="false">
      <c r="A2210" s="0" t="s">
        <v>8</v>
      </c>
      <c r="B2210" s="0" t="s">
        <v>3253</v>
      </c>
      <c r="C2210" s="0" t="s">
        <v>7070</v>
      </c>
      <c r="D2210" s="0" t="n">
        <v>1.2466</v>
      </c>
    </row>
    <row r="2211" customFormat="false" ht="15" hidden="false" customHeight="false" outlineLevel="0" collapsed="false">
      <c r="A2211" s="0" t="s">
        <v>8</v>
      </c>
      <c r="B2211" s="0" t="s">
        <v>3253</v>
      </c>
      <c r="C2211" s="0" t="s">
        <v>7071</v>
      </c>
    </row>
    <row r="2212" customFormat="false" ht="15" hidden="false" customHeight="false" outlineLevel="0" collapsed="false">
      <c r="A2212" s="0" t="s">
        <v>8</v>
      </c>
      <c r="B2212" s="0" t="s">
        <v>3253</v>
      </c>
      <c r="C2212" s="0" t="s">
        <v>7072</v>
      </c>
    </row>
    <row r="2213" customFormat="false" ht="15" hidden="false" customHeight="false" outlineLevel="0" collapsed="false">
      <c r="A2213" s="0" t="s">
        <v>8</v>
      </c>
      <c r="B2213" s="0" t="s">
        <v>3256</v>
      </c>
      <c r="C2213" s="0" t="s">
        <v>7070</v>
      </c>
      <c r="D2213" s="0" t="n">
        <v>0.1463</v>
      </c>
    </row>
    <row r="2214" customFormat="false" ht="15" hidden="false" customHeight="false" outlineLevel="0" collapsed="false">
      <c r="A2214" s="0" t="s">
        <v>8</v>
      </c>
      <c r="B2214" s="0" t="s">
        <v>3256</v>
      </c>
      <c r="C2214" s="0" t="s">
        <v>7071</v>
      </c>
    </row>
    <row r="2215" customFormat="false" ht="15" hidden="false" customHeight="false" outlineLevel="0" collapsed="false">
      <c r="A2215" s="0" t="s">
        <v>8</v>
      </c>
      <c r="B2215" s="0" t="s">
        <v>3256</v>
      </c>
      <c r="C2215" s="0" t="s">
        <v>7072</v>
      </c>
    </row>
    <row r="2216" customFormat="false" ht="15" hidden="false" customHeight="false" outlineLevel="0" collapsed="false">
      <c r="A2216" s="0" t="s">
        <v>8</v>
      </c>
      <c r="B2216" s="0" t="s">
        <v>3262</v>
      </c>
      <c r="C2216" s="0" t="s">
        <v>7070</v>
      </c>
      <c r="D2216" s="0" t="n">
        <v>3.2559</v>
      </c>
    </row>
    <row r="2217" customFormat="false" ht="15" hidden="false" customHeight="false" outlineLevel="0" collapsed="false">
      <c r="A2217" s="0" t="s">
        <v>8</v>
      </c>
      <c r="B2217" s="0" t="s">
        <v>3262</v>
      </c>
      <c r="C2217" s="0" t="s">
        <v>7071</v>
      </c>
    </row>
    <row r="2218" customFormat="false" ht="15" hidden="false" customHeight="false" outlineLevel="0" collapsed="false">
      <c r="A2218" s="0" t="s">
        <v>8</v>
      </c>
      <c r="B2218" s="0" t="s">
        <v>3262</v>
      </c>
      <c r="C2218" s="0" t="s">
        <v>7072</v>
      </c>
    </row>
    <row r="2219" customFormat="false" ht="15" hidden="false" customHeight="false" outlineLevel="0" collapsed="false">
      <c r="A2219" s="0" t="s">
        <v>8</v>
      </c>
      <c r="B2219" s="0" t="s">
        <v>3265</v>
      </c>
      <c r="C2219" s="0" t="s">
        <v>7070</v>
      </c>
      <c r="D2219" s="0" t="n">
        <v>15.9584</v>
      </c>
    </row>
    <row r="2220" customFormat="false" ht="15" hidden="false" customHeight="false" outlineLevel="0" collapsed="false">
      <c r="A2220" s="0" t="s">
        <v>8</v>
      </c>
      <c r="B2220" s="0" t="s">
        <v>3265</v>
      </c>
      <c r="C2220" s="0" t="s">
        <v>7071</v>
      </c>
    </row>
    <row r="2221" customFormat="false" ht="15" hidden="false" customHeight="false" outlineLevel="0" collapsed="false">
      <c r="A2221" s="0" t="s">
        <v>8</v>
      </c>
      <c r="B2221" s="0" t="s">
        <v>3265</v>
      </c>
      <c r="C2221" s="0" t="s">
        <v>7072</v>
      </c>
    </row>
    <row r="2222" customFormat="false" ht="15" hidden="false" customHeight="false" outlineLevel="0" collapsed="false">
      <c r="A2222" s="0" t="s">
        <v>8</v>
      </c>
      <c r="B2222" s="0" t="s">
        <v>3268</v>
      </c>
      <c r="C2222" s="0" t="s">
        <v>7070</v>
      </c>
      <c r="D2222" s="0" t="n">
        <v>6.1398</v>
      </c>
    </row>
    <row r="2223" customFormat="false" ht="15" hidden="false" customHeight="false" outlineLevel="0" collapsed="false">
      <c r="A2223" s="0" t="s">
        <v>8</v>
      </c>
      <c r="B2223" s="0" t="s">
        <v>3268</v>
      </c>
      <c r="C2223" s="0" t="s">
        <v>7071</v>
      </c>
    </row>
    <row r="2224" customFormat="false" ht="15" hidden="false" customHeight="false" outlineLevel="0" collapsed="false">
      <c r="A2224" s="0" t="s">
        <v>8</v>
      </c>
      <c r="B2224" s="0" t="s">
        <v>3268</v>
      </c>
      <c r="C2224" s="0" t="s">
        <v>7072</v>
      </c>
    </row>
    <row r="2225" customFormat="false" ht="15" hidden="false" customHeight="false" outlineLevel="0" collapsed="false">
      <c r="A2225" s="0" t="s">
        <v>8</v>
      </c>
      <c r="B2225" s="0" t="s">
        <v>3272</v>
      </c>
      <c r="C2225" s="0" t="s">
        <v>7070</v>
      </c>
      <c r="D2225" s="0" t="n">
        <v>12.0153</v>
      </c>
    </row>
    <row r="2226" customFormat="false" ht="15" hidden="false" customHeight="false" outlineLevel="0" collapsed="false">
      <c r="A2226" s="0" t="s">
        <v>8</v>
      </c>
      <c r="B2226" s="0" t="s">
        <v>3272</v>
      </c>
      <c r="C2226" s="0" t="s">
        <v>7071</v>
      </c>
    </row>
    <row r="2227" customFormat="false" ht="15" hidden="false" customHeight="false" outlineLevel="0" collapsed="false">
      <c r="A2227" s="0" t="s">
        <v>8</v>
      </c>
      <c r="B2227" s="0" t="s">
        <v>3272</v>
      </c>
      <c r="C2227" s="0" t="s">
        <v>7072</v>
      </c>
    </row>
    <row r="2228" customFormat="false" ht="15" hidden="false" customHeight="false" outlineLevel="0" collapsed="false">
      <c r="A2228" s="0" t="s">
        <v>8</v>
      </c>
      <c r="B2228" s="0" t="s">
        <v>3275</v>
      </c>
      <c r="C2228" s="0" t="s">
        <v>7070</v>
      </c>
      <c r="D2228" s="0" t="n">
        <v>100</v>
      </c>
    </row>
    <row r="2229" customFormat="false" ht="15" hidden="false" customHeight="false" outlineLevel="0" collapsed="false">
      <c r="A2229" s="0" t="s">
        <v>8</v>
      </c>
      <c r="B2229" s="0" t="s">
        <v>3275</v>
      </c>
      <c r="C2229" s="0" t="s">
        <v>7071</v>
      </c>
    </row>
    <row r="2230" customFormat="false" ht="15" hidden="false" customHeight="false" outlineLevel="0" collapsed="false">
      <c r="A2230" s="0" t="s">
        <v>8</v>
      </c>
      <c r="B2230" s="0" t="s">
        <v>3275</v>
      </c>
      <c r="C2230" s="0" t="s">
        <v>7072</v>
      </c>
    </row>
    <row r="2231" customFormat="false" ht="15" hidden="false" customHeight="false" outlineLevel="0" collapsed="false">
      <c r="A2231" s="0" t="s">
        <v>8</v>
      </c>
      <c r="B2231" s="0" t="s">
        <v>3281</v>
      </c>
      <c r="C2231" s="0" t="s">
        <v>7070</v>
      </c>
      <c r="D2231" s="0" t="n">
        <v>95.7</v>
      </c>
    </row>
    <row r="2232" customFormat="false" ht="15" hidden="false" customHeight="false" outlineLevel="0" collapsed="false">
      <c r="A2232" s="0" t="s">
        <v>8</v>
      </c>
      <c r="B2232" s="0" t="s">
        <v>3281</v>
      </c>
      <c r="C2232" s="0" t="s">
        <v>7071</v>
      </c>
    </row>
    <row r="2233" customFormat="false" ht="15" hidden="false" customHeight="false" outlineLevel="0" collapsed="false">
      <c r="A2233" s="0" t="s">
        <v>8</v>
      </c>
      <c r="B2233" s="0" t="s">
        <v>3281</v>
      </c>
      <c r="C2233" s="0" t="s">
        <v>7072</v>
      </c>
    </row>
    <row r="2234" customFormat="false" ht="15" hidden="false" customHeight="false" outlineLevel="0" collapsed="false">
      <c r="A2234" s="0" t="s">
        <v>8</v>
      </c>
      <c r="B2234" s="0" t="s">
        <v>3284</v>
      </c>
      <c r="C2234" s="0" t="s">
        <v>7070</v>
      </c>
      <c r="D2234" s="0" t="n">
        <v>97.3</v>
      </c>
    </row>
    <row r="2235" customFormat="false" ht="15" hidden="false" customHeight="false" outlineLevel="0" collapsed="false">
      <c r="A2235" s="0" t="s">
        <v>8</v>
      </c>
      <c r="B2235" s="0" t="s">
        <v>3284</v>
      </c>
      <c r="C2235" s="0" t="s">
        <v>7071</v>
      </c>
    </row>
    <row r="2236" customFormat="false" ht="15" hidden="false" customHeight="false" outlineLevel="0" collapsed="false">
      <c r="A2236" s="0" t="s">
        <v>8</v>
      </c>
      <c r="B2236" s="0" t="s">
        <v>3284</v>
      </c>
      <c r="C2236" s="0" t="s">
        <v>7072</v>
      </c>
    </row>
    <row r="2237" customFormat="false" ht="15" hidden="false" customHeight="false" outlineLevel="0" collapsed="false">
      <c r="A2237" s="0" t="s">
        <v>8</v>
      </c>
      <c r="B2237" s="0" t="s">
        <v>3287</v>
      </c>
      <c r="C2237" s="0" t="s">
        <v>7070</v>
      </c>
      <c r="D2237" s="0" t="n">
        <v>98.3</v>
      </c>
    </row>
    <row r="2238" customFormat="false" ht="15" hidden="false" customHeight="false" outlineLevel="0" collapsed="false">
      <c r="A2238" s="0" t="s">
        <v>8</v>
      </c>
      <c r="B2238" s="0" t="s">
        <v>3287</v>
      </c>
      <c r="C2238" s="0" t="s">
        <v>7071</v>
      </c>
    </row>
    <row r="2239" customFormat="false" ht="15" hidden="false" customHeight="false" outlineLevel="0" collapsed="false">
      <c r="A2239" s="0" t="s">
        <v>8</v>
      </c>
      <c r="B2239" s="0" t="s">
        <v>3287</v>
      </c>
      <c r="C2239" s="0" t="s">
        <v>7072</v>
      </c>
    </row>
    <row r="2240" customFormat="false" ht="15" hidden="false" customHeight="false" outlineLevel="0" collapsed="false">
      <c r="A2240" s="0" t="s">
        <v>8</v>
      </c>
      <c r="B2240" s="0" t="s">
        <v>3290</v>
      </c>
      <c r="C2240" s="0" t="s">
        <v>7070</v>
      </c>
      <c r="D2240" s="0" t="n">
        <v>95.3</v>
      </c>
    </row>
    <row r="2241" customFormat="false" ht="15" hidden="false" customHeight="false" outlineLevel="0" collapsed="false">
      <c r="A2241" s="0" t="s">
        <v>8</v>
      </c>
      <c r="B2241" s="0" t="s">
        <v>3290</v>
      </c>
      <c r="C2241" s="0" t="s">
        <v>7071</v>
      </c>
    </row>
    <row r="2242" customFormat="false" ht="15" hidden="false" customHeight="false" outlineLevel="0" collapsed="false">
      <c r="A2242" s="0" t="s">
        <v>8</v>
      </c>
      <c r="B2242" s="0" t="s">
        <v>3290</v>
      </c>
      <c r="C2242" s="0" t="s">
        <v>7072</v>
      </c>
    </row>
    <row r="2243" customFormat="false" ht="15" hidden="false" customHeight="false" outlineLevel="0" collapsed="false">
      <c r="A2243" s="0" t="s">
        <v>8</v>
      </c>
      <c r="B2243" s="0" t="s">
        <v>3293</v>
      </c>
      <c r="C2243" s="0" t="s">
        <v>7070</v>
      </c>
      <c r="D2243" s="0" t="n">
        <v>2.0792</v>
      </c>
    </row>
    <row r="2244" customFormat="false" ht="15" hidden="false" customHeight="false" outlineLevel="0" collapsed="false">
      <c r="A2244" s="0" t="s">
        <v>8</v>
      </c>
      <c r="B2244" s="0" t="s">
        <v>3293</v>
      </c>
      <c r="C2244" s="0" t="s">
        <v>7071</v>
      </c>
    </row>
    <row r="2245" customFormat="false" ht="15" hidden="false" customHeight="false" outlineLevel="0" collapsed="false">
      <c r="A2245" s="0" t="s">
        <v>8</v>
      </c>
      <c r="B2245" s="0" t="s">
        <v>3293</v>
      </c>
      <c r="C2245" s="0" t="s">
        <v>7072</v>
      </c>
    </row>
    <row r="2246" customFormat="false" ht="15" hidden="false" customHeight="false" outlineLevel="0" collapsed="false">
      <c r="A2246" s="0" t="s">
        <v>8</v>
      </c>
      <c r="B2246" s="0" t="s">
        <v>3298</v>
      </c>
      <c r="C2246" s="0" t="s">
        <v>7070</v>
      </c>
      <c r="D2246" s="0" t="n">
        <v>1.5705</v>
      </c>
    </row>
    <row r="2247" customFormat="false" ht="15" hidden="false" customHeight="false" outlineLevel="0" collapsed="false">
      <c r="A2247" s="0" t="s">
        <v>8</v>
      </c>
      <c r="B2247" s="0" t="s">
        <v>3298</v>
      </c>
      <c r="C2247" s="0" t="s">
        <v>7071</v>
      </c>
    </row>
    <row r="2248" customFormat="false" ht="15" hidden="false" customHeight="false" outlineLevel="0" collapsed="false">
      <c r="A2248" s="0" t="s">
        <v>8</v>
      </c>
      <c r="B2248" s="0" t="s">
        <v>3298</v>
      </c>
      <c r="C2248" s="0" t="s">
        <v>7072</v>
      </c>
    </row>
    <row r="2249" customFormat="false" ht="15" hidden="false" customHeight="false" outlineLevel="0" collapsed="false">
      <c r="A2249" s="0" t="s">
        <v>8</v>
      </c>
      <c r="B2249" s="0" t="s">
        <v>3302</v>
      </c>
      <c r="C2249" s="0" t="s">
        <v>7070</v>
      </c>
      <c r="D2249" s="0" t="n">
        <v>1.5243</v>
      </c>
    </row>
    <row r="2250" customFormat="false" ht="15" hidden="false" customHeight="false" outlineLevel="0" collapsed="false">
      <c r="A2250" s="0" t="s">
        <v>8</v>
      </c>
      <c r="B2250" s="0" t="s">
        <v>3302</v>
      </c>
      <c r="C2250" s="0" t="s">
        <v>7071</v>
      </c>
    </row>
    <row r="2251" customFormat="false" ht="15" hidden="false" customHeight="false" outlineLevel="0" collapsed="false">
      <c r="A2251" s="0" t="s">
        <v>8</v>
      </c>
      <c r="B2251" s="0" t="s">
        <v>3302</v>
      </c>
      <c r="C2251" s="0" t="s">
        <v>7072</v>
      </c>
    </row>
    <row r="2252" customFormat="false" ht="15" hidden="false" customHeight="false" outlineLevel="0" collapsed="false">
      <c r="A2252" s="0" t="s">
        <v>8</v>
      </c>
      <c r="B2252" s="0" t="s">
        <v>3306</v>
      </c>
      <c r="C2252" s="0" t="s">
        <v>7070</v>
      </c>
      <c r="D2252" s="0" t="n">
        <v>1.3944</v>
      </c>
    </row>
    <row r="2253" customFormat="false" ht="15" hidden="false" customHeight="false" outlineLevel="0" collapsed="false">
      <c r="A2253" s="0" t="s">
        <v>8</v>
      </c>
      <c r="B2253" s="0" t="s">
        <v>3306</v>
      </c>
      <c r="C2253" s="0" t="s">
        <v>7071</v>
      </c>
    </row>
    <row r="2254" customFormat="false" ht="15" hidden="false" customHeight="false" outlineLevel="0" collapsed="false">
      <c r="A2254" s="0" t="s">
        <v>8</v>
      </c>
      <c r="B2254" s="0" t="s">
        <v>3306</v>
      </c>
      <c r="C2254" s="0" t="s">
        <v>7072</v>
      </c>
    </row>
    <row r="2255" customFormat="false" ht="15" hidden="false" customHeight="false" outlineLevel="0" collapsed="false">
      <c r="A2255" s="0" t="s">
        <v>8</v>
      </c>
      <c r="B2255" s="0" t="s">
        <v>3310</v>
      </c>
      <c r="C2255" s="0" t="s">
        <v>7070</v>
      </c>
      <c r="D2255" s="0" t="n">
        <v>1.2347</v>
      </c>
    </row>
    <row r="2256" customFormat="false" ht="15" hidden="false" customHeight="false" outlineLevel="0" collapsed="false">
      <c r="A2256" s="0" t="s">
        <v>8</v>
      </c>
      <c r="B2256" s="0" t="s">
        <v>3310</v>
      </c>
      <c r="C2256" s="0" t="s">
        <v>7071</v>
      </c>
    </row>
    <row r="2257" customFormat="false" ht="15" hidden="false" customHeight="false" outlineLevel="0" collapsed="false">
      <c r="A2257" s="0" t="s">
        <v>8</v>
      </c>
      <c r="B2257" s="0" t="s">
        <v>3310</v>
      </c>
      <c r="C2257" s="0" t="s">
        <v>7072</v>
      </c>
    </row>
    <row r="2258" customFormat="false" ht="15" hidden="false" customHeight="false" outlineLevel="0" collapsed="false">
      <c r="A2258" s="0" t="s">
        <v>8</v>
      </c>
      <c r="B2258" s="0" t="s">
        <v>3315</v>
      </c>
      <c r="C2258" s="0" t="s">
        <v>7070</v>
      </c>
      <c r="D2258" s="0" t="n">
        <v>3.9477</v>
      </c>
    </row>
    <row r="2259" customFormat="false" ht="15" hidden="false" customHeight="false" outlineLevel="0" collapsed="false">
      <c r="A2259" s="0" t="s">
        <v>8</v>
      </c>
      <c r="B2259" s="0" t="s">
        <v>3315</v>
      </c>
      <c r="C2259" s="0" t="s">
        <v>7071</v>
      </c>
    </row>
    <row r="2260" customFormat="false" ht="15" hidden="false" customHeight="false" outlineLevel="0" collapsed="false">
      <c r="A2260" s="0" t="s">
        <v>8</v>
      </c>
      <c r="B2260" s="0" t="s">
        <v>3315</v>
      </c>
      <c r="C2260" s="0" t="s">
        <v>7072</v>
      </c>
    </row>
    <row r="2261" customFormat="false" ht="15" hidden="false" customHeight="false" outlineLevel="0" collapsed="false">
      <c r="A2261" s="0" t="s">
        <v>8</v>
      </c>
      <c r="B2261" s="0" t="s">
        <v>3318</v>
      </c>
      <c r="C2261" s="0" t="s">
        <v>7070</v>
      </c>
      <c r="D2261" s="0" t="n">
        <v>3.7983</v>
      </c>
    </row>
    <row r="2262" customFormat="false" ht="15" hidden="false" customHeight="false" outlineLevel="0" collapsed="false">
      <c r="A2262" s="0" t="s">
        <v>8</v>
      </c>
      <c r="B2262" s="0" t="s">
        <v>3318</v>
      </c>
      <c r="C2262" s="0" t="s">
        <v>7071</v>
      </c>
    </row>
    <row r="2263" customFormat="false" ht="15" hidden="false" customHeight="false" outlineLevel="0" collapsed="false">
      <c r="A2263" s="0" t="s">
        <v>8</v>
      </c>
      <c r="B2263" s="0" t="s">
        <v>3318</v>
      </c>
      <c r="C2263" s="0" t="s">
        <v>7072</v>
      </c>
    </row>
    <row r="2264" customFormat="false" ht="15" hidden="false" customHeight="false" outlineLevel="0" collapsed="false">
      <c r="A2264" s="0" t="s">
        <v>8</v>
      </c>
      <c r="B2264" s="0" t="s">
        <v>3321</v>
      </c>
      <c r="C2264" s="0" t="s">
        <v>7070</v>
      </c>
      <c r="D2264" s="0" t="n">
        <v>1.9115</v>
      </c>
    </row>
    <row r="2265" customFormat="false" ht="15" hidden="false" customHeight="false" outlineLevel="0" collapsed="false">
      <c r="A2265" s="0" t="s">
        <v>8</v>
      </c>
      <c r="B2265" s="0" t="s">
        <v>3321</v>
      </c>
      <c r="C2265" s="0" t="s">
        <v>7071</v>
      </c>
    </row>
    <row r="2266" customFormat="false" ht="15" hidden="false" customHeight="false" outlineLevel="0" collapsed="false">
      <c r="A2266" s="0" t="s">
        <v>8</v>
      </c>
      <c r="B2266" s="0" t="s">
        <v>3321</v>
      </c>
      <c r="C2266" s="0" t="s">
        <v>7072</v>
      </c>
    </row>
    <row r="2267" customFormat="false" ht="15" hidden="false" customHeight="false" outlineLevel="0" collapsed="false">
      <c r="A2267" s="0" t="s">
        <v>8</v>
      </c>
      <c r="B2267" s="0" t="s">
        <v>3325</v>
      </c>
      <c r="C2267" s="0" t="s">
        <v>7070</v>
      </c>
      <c r="D2267" s="0" t="n">
        <v>1.1983</v>
      </c>
    </row>
    <row r="2268" customFormat="false" ht="15" hidden="false" customHeight="false" outlineLevel="0" collapsed="false">
      <c r="A2268" s="0" t="s">
        <v>8</v>
      </c>
      <c r="B2268" s="0" t="s">
        <v>3325</v>
      </c>
      <c r="C2268" s="0" t="s">
        <v>7071</v>
      </c>
    </row>
    <row r="2269" customFormat="false" ht="15" hidden="false" customHeight="false" outlineLevel="0" collapsed="false">
      <c r="A2269" s="0" t="s">
        <v>8</v>
      </c>
      <c r="B2269" s="0" t="s">
        <v>3325</v>
      </c>
      <c r="C2269" s="0" t="s">
        <v>7072</v>
      </c>
    </row>
    <row r="2270" customFormat="false" ht="15" hidden="false" customHeight="false" outlineLevel="0" collapsed="false">
      <c r="A2270" s="0" t="s">
        <v>8</v>
      </c>
      <c r="B2270" s="0" t="s">
        <v>3329</v>
      </c>
      <c r="C2270" s="0" t="s">
        <v>7070</v>
      </c>
      <c r="D2270" s="0" t="n">
        <v>1.1239</v>
      </c>
    </row>
    <row r="2271" customFormat="false" ht="15" hidden="false" customHeight="false" outlineLevel="0" collapsed="false">
      <c r="A2271" s="0" t="s">
        <v>8</v>
      </c>
      <c r="B2271" s="0" t="s">
        <v>3329</v>
      </c>
      <c r="C2271" s="0" t="s">
        <v>7071</v>
      </c>
    </row>
    <row r="2272" customFormat="false" ht="15" hidden="false" customHeight="false" outlineLevel="0" collapsed="false">
      <c r="A2272" s="0" t="s">
        <v>8</v>
      </c>
      <c r="B2272" s="0" t="s">
        <v>3329</v>
      </c>
      <c r="C2272" s="0" t="s">
        <v>7072</v>
      </c>
    </row>
    <row r="2273" customFormat="false" ht="15" hidden="false" customHeight="false" outlineLevel="0" collapsed="false">
      <c r="A2273" s="0" t="s">
        <v>8</v>
      </c>
      <c r="B2273" s="0" t="s">
        <v>3332</v>
      </c>
      <c r="C2273" s="0" t="s">
        <v>7070</v>
      </c>
      <c r="D2273" s="0" t="n">
        <v>1.5889</v>
      </c>
    </row>
    <row r="2274" customFormat="false" ht="15" hidden="false" customHeight="false" outlineLevel="0" collapsed="false">
      <c r="A2274" s="0" t="s">
        <v>8</v>
      </c>
      <c r="B2274" s="0" t="s">
        <v>3332</v>
      </c>
      <c r="C2274" s="0" t="s">
        <v>7071</v>
      </c>
    </row>
    <row r="2275" customFormat="false" ht="15" hidden="false" customHeight="false" outlineLevel="0" collapsed="false">
      <c r="A2275" s="0" t="s">
        <v>8</v>
      </c>
      <c r="B2275" s="0" t="s">
        <v>3332</v>
      </c>
      <c r="C2275" s="0" t="s">
        <v>7072</v>
      </c>
    </row>
    <row r="2276" customFormat="false" ht="15" hidden="false" customHeight="false" outlineLevel="0" collapsed="false">
      <c r="A2276" s="0" t="s">
        <v>8</v>
      </c>
      <c r="B2276" s="0" t="s">
        <v>3335</v>
      </c>
      <c r="C2276" s="0" t="s">
        <v>7070</v>
      </c>
      <c r="D2276" s="0" t="n">
        <v>1.2447</v>
      </c>
    </row>
    <row r="2277" customFormat="false" ht="15" hidden="false" customHeight="false" outlineLevel="0" collapsed="false">
      <c r="A2277" s="0" t="s">
        <v>8</v>
      </c>
      <c r="B2277" s="0" t="s">
        <v>3335</v>
      </c>
      <c r="C2277" s="0" t="s">
        <v>7071</v>
      </c>
    </row>
    <row r="2278" customFormat="false" ht="15" hidden="false" customHeight="false" outlineLevel="0" collapsed="false">
      <c r="A2278" s="0" t="s">
        <v>8</v>
      </c>
      <c r="B2278" s="0" t="s">
        <v>3335</v>
      </c>
      <c r="C2278" s="0" t="s">
        <v>7072</v>
      </c>
    </row>
    <row r="2279" customFormat="false" ht="15" hidden="false" customHeight="false" outlineLevel="0" collapsed="false">
      <c r="A2279" s="0" t="s">
        <v>8</v>
      </c>
      <c r="B2279" s="0" t="s">
        <v>3339</v>
      </c>
      <c r="C2279" s="0" t="s">
        <v>7070</v>
      </c>
      <c r="D2279" s="0" t="n">
        <v>0.9584</v>
      </c>
    </row>
    <row r="2280" customFormat="false" ht="15" hidden="false" customHeight="false" outlineLevel="0" collapsed="false">
      <c r="A2280" s="0" t="s">
        <v>8</v>
      </c>
      <c r="B2280" s="0" t="s">
        <v>3339</v>
      </c>
      <c r="C2280" s="0" t="s">
        <v>7071</v>
      </c>
    </row>
    <row r="2281" customFormat="false" ht="15" hidden="false" customHeight="false" outlineLevel="0" collapsed="false">
      <c r="A2281" s="0" t="s">
        <v>8</v>
      </c>
      <c r="B2281" s="0" t="s">
        <v>3339</v>
      </c>
      <c r="C2281" s="0" t="s">
        <v>7072</v>
      </c>
    </row>
    <row r="2282" customFormat="false" ht="15" hidden="false" customHeight="false" outlineLevel="0" collapsed="false">
      <c r="A2282" s="0" t="s">
        <v>8</v>
      </c>
      <c r="B2282" s="0" t="s">
        <v>3343</v>
      </c>
      <c r="C2282" s="0" t="s">
        <v>7070</v>
      </c>
      <c r="D2282" s="0" t="n">
        <v>0.8387</v>
      </c>
    </row>
    <row r="2283" customFormat="false" ht="15" hidden="false" customHeight="false" outlineLevel="0" collapsed="false">
      <c r="A2283" s="0" t="s">
        <v>8</v>
      </c>
      <c r="B2283" s="0" t="s">
        <v>3343</v>
      </c>
      <c r="C2283" s="0" t="s">
        <v>7071</v>
      </c>
    </row>
    <row r="2284" customFormat="false" ht="15" hidden="false" customHeight="false" outlineLevel="0" collapsed="false">
      <c r="A2284" s="0" t="s">
        <v>8</v>
      </c>
      <c r="B2284" s="0" t="s">
        <v>3343</v>
      </c>
      <c r="C2284" s="0" t="s">
        <v>7072</v>
      </c>
    </row>
    <row r="2285" customFormat="false" ht="15" hidden="false" customHeight="false" outlineLevel="0" collapsed="false">
      <c r="A2285" s="0" t="s">
        <v>8</v>
      </c>
      <c r="B2285" s="0" t="s">
        <v>3347</v>
      </c>
      <c r="C2285" s="0" t="s">
        <v>7070</v>
      </c>
      <c r="D2285" s="0" t="n">
        <v>0.5735</v>
      </c>
    </row>
    <row r="2286" customFormat="false" ht="15" hidden="false" customHeight="false" outlineLevel="0" collapsed="false">
      <c r="A2286" s="0" t="s">
        <v>8</v>
      </c>
      <c r="B2286" s="0" t="s">
        <v>3347</v>
      </c>
      <c r="C2286" s="0" t="s">
        <v>7071</v>
      </c>
    </row>
    <row r="2287" customFormat="false" ht="15" hidden="false" customHeight="false" outlineLevel="0" collapsed="false">
      <c r="A2287" s="0" t="s">
        <v>8</v>
      </c>
      <c r="B2287" s="0" t="s">
        <v>3347</v>
      </c>
      <c r="C2287" s="0" t="s">
        <v>7072</v>
      </c>
    </row>
    <row r="2288" customFormat="false" ht="15" hidden="false" customHeight="false" outlineLevel="0" collapsed="false">
      <c r="A2288" s="0" t="s">
        <v>8</v>
      </c>
      <c r="B2288" s="0" t="s">
        <v>3351</v>
      </c>
      <c r="C2288" s="0" t="s">
        <v>7070</v>
      </c>
      <c r="D2288" s="0" t="n">
        <v>0.252</v>
      </c>
    </row>
    <row r="2289" customFormat="false" ht="15" hidden="false" customHeight="false" outlineLevel="0" collapsed="false">
      <c r="A2289" s="0" t="s">
        <v>8</v>
      </c>
      <c r="B2289" s="0" t="s">
        <v>3351</v>
      </c>
      <c r="C2289" s="0" t="s">
        <v>7071</v>
      </c>
    </row>
    <row r="2290" customFormat="false" ht="15" hidden="false" customHeight="false" outlineLevel="0" collapsed="false">
      <c r="A2290" s="0" t="s">
        <v>8</v>
      </c>
      <c r="B2290" s="0" t="s">
        <v>3351</v>
      </c>
      <c r="C2290" s="0" t="s">
        <v>7072</v>
      </c>
    </row>
    <row r="2291" customFormat="false" ht="15" hidden="false" customHeight="false" outlineLevel="0" collapsed="false">
      <c r="A2291" s="0" t="s">
        <v>8</v>
      </c>
      <c r="B2291" s="0" t="s">
        <v>3354</v>
      </c>
      <c r="C2291" s="0" t="s">
        <v>7070</v>
      </c>
      <c r="D2291" s="0" t="n">
        <v>0.0583</v>
      </c>
    </row>
    <row r="2292" customFormat="false" ht="15" hidden="false" customHeight="false" outlineLevel="0" collapsed="false">
      <c r="A2292" s="0" t="s">
        <v>8</v>
      </c>
      <c r="B2292" s="0" t="s">
        <v>3354</v>
      </c>
      <c r="C2292" s="0" t="s">
        <v>7071</v>
      </c>
    </row>
    <row r="2293" customFormat="false" ht="15" hidden="false" customHeight="false" outlineLevel="0" collapsed="false">
      <c r="A2293" s="0" t="s">
        <v>8</v>
      </c>
      <c r="B2293" s="0" t="s">
        <v>3354</v>
      </c>
      <c r="C2293" s="0" t="s">
        <v>7072</v>
      </c>
    </row>
    <row r="2294" customFormat="false" ht="15" hidden="false" customHeight="false" outlineLevel="0" collapsed="false">
      <c r="A2294" s="0" t="s">
        <v>8</v>
      </c>
      <c r="B2294" s="0" t="s">
        <v>3358</v>
      </c>
      <c r="C2294" s="0" t="s">
        <v>7070</v>
      </c>
      <c r="D2294" s="0" t="n">
        <v>0.0503</v>
      </c>
    </row>
    <row r="2295" customFormat="false" ht="15" hidden="false" customHeight="false" outlineLevel="0" collapsed="false">
      <c r="A2295" s="0" t="s">
        <v>8</v>
      </c>
      <c r="B2295" s="0" t="s">
        <v>3358</v>
      </c>
      <c r="C2295" s="0" t="s">
        <v>7071</v>
      </c>
    </row>
    <row r="2296" customFormat="false" ht="15" hidden="false" customHeight="false" outlineLevel="0" collapsed="false">
      <c r="A2296" s="0" t="s">
        <v>8</v>
      </c>
      <c r="B2296" s="0" t="s">
        <v>3358</v>
      </c>
      <c r="C2296" s="0" t="s">
        <v>7072</v>
      </c>
    </row>
    <row r="2297" customFormat="false" ht="15" hidden="false" customHeight="false" outlineLevel="0" collapsed="false">
      <c r="A2297" s="0" t="s">
        <v>8</v>
      </c>
      <c r="B2297" s="0" t="s">
        <v>3361</v>
      </c>
      <c r="C2297" s="0" t="s">
        <v>7070</v>
      </c>
      <c r="D2297" s="0" t="n">
        <v>0.028</v>
      </c>
    </row>
    <row r="2298" customFormat="false" ht="15" hidden="false" customHeight="false" outlineLevel="0" collapsed="false">
      <c r="A2298" s="0" t="s">
        <v>8</v>
      </c>
      <c r="B2298" s="0" t="s">
        <v>3361</v>
      </c>
      <c r="C2298" s="0" t="s">
        <v>7071</v>
      </c>
    </row>
    <row r="2299" customFormat="false" ht="15" hidden="false" customHeight="false" outlineLevel="0" collapsed="false">
      <c r="A2299" s="0" t="s">
        <v>8</v>
      </c>
      <c r="B2299" s="0" t="s">
        <v>3361</v>
      </c>
      <c r="C2299" s="0" t="s">
        <v>7072</v>
      </c>
    </row>
    <row r="2300" customFormat="false" ht="15" hidden="false" customHeight="false" outlineLevel="0" collapsed="false">
      <c r="A2300" s="0" t="s">
        <v>8</v>
      </c>
      <c r="B2300" s="0" t="s">
        <v>3364</v>
      </c>
      <c r="C2300" s="0" t="s">
        <v>7070</v>
      </c>
      <c r="D2300" s="0" t="n">
        <v>0.0255</v>
      </c>
    </row>
    <row r="2301" customFormat="false" ht="15" hidden="false" customHeight="false" outlineLevel="0" collapsed="false">
      <c r="A2301" s="0" t="s">
        <v>8</v>
      </c>
      <c r="B2301" s="0" t="s">
        <v>3364</v>
      </c>
      <c r="C2301" s="0" t="s">
        <v>7071</v>
      </c>
    </row>
    <row r="2302" customFormat="false" ht="15" hidden="false" customHeight="false" outlineLevel="0" collapsed="false">
      <c r="A2302" s="0" t="s">
        <v>8</v>
      </c>
      <c r="B2302" s="0" t="s">
        <v>3364</v>
      </c>
      <c r="C2302" s="0" t="s">
        <v>7072</v>
      </c>
    </row>
    <row r="2303" customFormat="false" ht="15" hidden="false" customHeight="false" outlineLevel="0" collapsed="false">
      <c r="A2303" s="0" t="s">
        <v>8</v>
      </c>
      <c r="B2303" s="0" t="s">
        <v>3368</v>
      </c>
      <c r="C2303" s="0" t="s">
        <v>7070</v>
      </c>
      <c r="D2303" s="0" t="n">
        <v>7.8032</v>
      </c>
    </row>
    <row r="2304" customFormat="false" ht="15" hidden="false" customHeight="false" outlineLevel="0" collapsed="false">
      <c r="A2304" s="0" t="s">
        <v>8</v>
      </c>
      <c r="B2304" s="0" t="s">
        <v>3368</v>
      </c>
      <c r="C2304" s="0" t="s">
        <v>7071</v>
      </c>
    </row>
    <row r="2305" customFormat="false" ht="15" hidden="false" customHeight="false" outlineLevel="0" collapsed="false">
      <c r="A2305" s="0" t="s">
        <v>8</v>
      </c>
      <c r="B2305" s="0" t="s">
        <v>3368</v>
      </c>
      <c r="C2305" s="0" t="s">
        <v>7072</v>
      </c>
    </row>
    <row r="2306" customFormat="false" ht="15" hidden="false" customHeight="false" outlineLevel="0" collapsed="false">
      <c r="A2306" s="0" t="s">
        <v>8</v>
      </c>
      <c r="B2306" s="0" t="s">
        <v>3373</v>
      </c>
      <c r="C2306" s="0" t="s">
        <v>7070</v>
      </c>
      <c r="D2306" s="0" t="n">
        <v>15.54</v>
      </c>
    </row>
    <row r="2307" customFormat="false" ht="15" hidden="false" customHeight="false" outlineLevel="0" collapsed="false">
      <c r="A2307" s="0" t="s">
        <v>8</v>
      </c>
      <c r="B2307" s="0" t="s">
        <v>3373</v>
      </c>
      <c r="C2307" s="0" t="s">
        <v>7071</v>
      </c>
    </row>
    <row r="2308" customFormat="false" ht="15" hidden="false" customHeight="false" outlineLevel="0" collapsed="false">
      <c r="A2308" s="0" t="s">
        <v>8</v>
      </c>
      <c r="B2308" s="0" t="s">
        <v>3373</v>
      </c>
      <c r="C2308" s="0" t="s">
        <v>7072</v>
      </c>
    </row>
    <row r="2309" customFormat="false" ht="15" hidden="false" customHeight="false" outlineLevel="0" collapsed="false">
      <c r="A2309" s="0" t="s">
        <v>8</v>
      </c>
      <c r="B2309" s="0" t="s">
        <v>3378</v>
      </c>
      <c r="C2309" s="0" t="s">
        <v>7070</v>
      </c>
      <c r="D2309" s="0" t="n">
        <v>11.9798</v>
      </c>
    </row>
    <row r="2310" customFormat="false" ht="15" hidden="false" customHeight="false" outlineLevel="0" collapsed="false">
      <c r="A2310" s="0" t="s">
        <v>8</v>
      </c>
      <c r="B2310" s="0" t="s">
        <v>3378</v>
      </c>
      <c r="C2310" s="0" t="s">
        <v>7071</v>
      </c>
    </row>
    <row r="2311" customFormat="false" ht="15" hidden="false" customHeight="false" outlineLevel="0" collapsed="false">
      <c r="A2311" s="0" t="s">
        <v>8</v>
      </c>
      <c r="B2311" s="0" t="s">
        <v>3378</v>
      </c>
      <c r="C2311" s="0" t="s">
        <v>7072</v>
      </c>
    </row>
    <row r="2312" customFormat="false" ht="15" hidden="false" customHeight="false" outlineLevel="0" collapsed="false">
      <c r="A2312" s="0" t="s">
        <v>8</v>
      </c>
      <c r="B2312" s="0" t="s">
        <v>3381</v>
      </c>
      <c r="C2312" s="0" t="s">
        <v>7070</v>
      </c>
      <c r="D2312" s="0" t="n">
        <v>25.33</v>
      </c>
    </row>
    <row r="2313" customFormat="false" ht="15" hidden="false" customHeight="false" outlineLevel="0" collapsed="false">
      <c r="A2313" s="0" t="s">
        <v>8</v>
      </c>
      <c r="B2313" s="0" t="s">
        <v>3381</v>
      </c>
      <c r="C2313" s="0" t="s">
        <v>7071</v>
      </c>
    </row>
    <row r="2314" customFormat="false" ht="15" hidden="false" customHeight="false" outlineLevel="0" collapsed="false">
      <c r="A2314" s="0" t="s">
        <v>8</v>
      </c>
      <c r="B2314" s="0" t="s">
        <v>3381</v>
      </c>
      <c r="C2314" s="0" t="s">
        <v>7072</v>
      </c>
    </row>
    <row r="2315" customFormat="false" ht="15" hidden="false" customHeight="false" outlineLevel="0" collapsed="false">
      <c r="A2315" s="0" t="s">
        <v>8</v>
      </c>
      <c r="B2315" s="0" t="s">
        <v>3384</v>
      </c>
      <c r="C2315" s="0" t="s">
        <v>7070</v>
      </c>
      <c r="D2315" s="0" t="n">
        <v>5.2042</v>
      </c>
    </row>
    <row r="2316" customFormat="false" ht="15" hidden="false" customHeight="false" outlineLevel="0" collapsed="false">
      <c r="A2316" s="0" t="s">
        <v>8</v>
      </c>
      <c r="B2316" s="0" t="s">
        <v>3384</v>
      </c>
      <c r="C2316" s="0" t="s">
        <v>7071</v>
      </c>
    </row>
    <row r="2317" customFormat="false" ht="15" hidden="false" customHeight="false" outlineLevel="0" collapsed="false">
      <c r="A2317" s="0" t="s">
        <v>8</v>
      </c>
      <c r="B2317" s="0" t="s">
        <v>3384</v>
      </c>
      <c r="C2317" s="0" t="s">
        <v>7072</v>
      </c>
    </row>
    <row r="2318" customFormat="false" ht="15" hidden="false" customHeight="false" outlineLevel="0" collapsed="false">
      <c r="A2318" s="0" t="s">
        <v>8</v>
      </c>
      <c r="B2318" s="0" t="s">
        <v>3387</v>
      </c>
      <c r="C2318" s="0" t="s">
        <v>7070</v>
      </c>
      <c r="D2318" s="0" t="n">
        <v>9.71</v>
      </c>
    </row>
    <row r="2319" customFormat="false" ht="15" hidden="false" customHeight="false" outlineLevel="0" collapsed="false">
      <c r="A2319" s="0" t="s">
        <v>8</v>
      </c>
      <c r="B2319" s="0" t="s">
        <v>3387</v>
      </c>
      <c r="C2319" s="0" t="s">
        <v>7071</v>
      </c>
    </row>
    <row r="2320" customFormat="false" ht="15" hidden="false" customHeight="false" outlineLevel="0" collapsed="false">
      <c r="A2320" s="0" t="s">
        <v>8</v>
      </c>
      <c r="B2320" s="0" t="s">
        <v>3387</v>
      </c>
      <c r="C2320" s="0" t="s">
        <v>7072</v>
      </c>
    </row>
    <row r="2321" customFormat="false" ht="15" hidden="false" customHeight="false" outlineLevel="0" collapsed="false">
      <c r="A2321" s="0" t="s">
        <v>8</v>
      </c>
      <c r="B2321" s="0" t="s">
        <v>3390</v>
      </c>
      <c r="C2321" s="0" t="s">
        <v>7070</v>
      </c>
      <c r="D2321" s="0" t="n">
        <v>0.4142</v>
      </c>
    </row>
    <row r="2322" customFormat="false" ht="15" hidden="false" customHeight="false" outlineLevel="0" collapsed="false">
      <c r="A2322" s="0" t="s">
        <v>8</v>
      </c>
      <c r="B2322" s="0" t="s">
        <v>3390</v>
      </c>
      <c r="C2322" s="0" t="s">
        <v>7071</v>
      </c>
    </row>
    <row r="2323" customFormat="false" ht="15" hidden="false" customHeight="false" outlineLevel="0" collapsed="false">
      <c r="A2323" s="0" t="s">
        <v>8</v>
      </c>
      <c r="B2323" s="0" t="s">
        <v>3390</v>
      </c>
      <c r="C2323" s="0" t="s">
        <v>7072</v>
      </c>
    </row>
    <row r="2324" customFormat="false" ht="15" hidden="false" customHeight="false" outlineLevel="0" collapsed="false">
      <c r="A2324" s="0" t="s">
        <v>8</v>
      </c>
      <c r="B2324" s="0" t="s">
        <v>3393</v>
      </c>
      <c r="C2324" s="0" t="s">
        <v>7070</v>
      </c>
      <c r="D2324" s="0" t="n">
        <v>0.76</v>
      </c>
    </row>
    <row r="2325" customFormat="false" ht="15" hidden="false" customHeight="false" outlineLevel="0" collapsed="false">
      <c r="A2325" s="0" t="s">
        <v>8</v>
      </c>
      <c r="B2325" s="0" t="s">
        <v>3393</v>
      </c>
      <c r="C2325" s="0" t="s">
        <v>7071</v>
      </c>
    </row>
    <row r="2326" customFormat="false" ht="15" hidden="false" customHeight="false" outlineLevel="0" collapsed="false">
      <c r="A2326" s="0" t="s">
        <v>8</v>
      </c>
      <c r="B2326" s="0" t="s">
        <v>3393</v>
      </c>
      <c r="C2326" s="0" t="s">
        <v>7072</v>
      </c>
    </row>
    <row r="2327" customFormat="false" ht="15" hidden="false" customHeight="false" outlineLevel="0" collapsed="false">
      <c r="A2327" s="0" t="s">
        <v>8</v>
      </c>
      <c r="B2327" s="0" t="s">
        <v>3396</v>
      </c>
      <c r="C2327" s="0" t="s">
        <v>7070</v>
      </c>
      <c r="D2327" s="0" t="n">
        <v>13.4</v>
      </c>
    </row>
    <row r="2328" customFormat="false" ht="15" hidden="false" customHeight="false" outlineLevel="0" collapsed="false">
      <c r="A2328" s="0" t="s">
        <v>8</v>
      </c>
      <c r="B2328" s="0" t="s">
        <v>3396</v>
      </c>
      <c r="C2328" s="0" t="s">
        <v>7071</v>
      </c>
    </row>
    <row r="2329" customFormat="false" ht="15" hidden="false" customHeight="false" outlineLevel="0" collapsed="false">
      <c r="A2329" s="0" t="s">
        <v>8</v>
      </c>
      <c r="B2329" s="0" t="s">
        <v>3396</v>
      </c>
      <c r="C2329" s="0" t="s">
        <v>7072</v>
      </c>
    </row>
    <row r="2330" customFormat="false" ht="15" hidden="false" customHeight="false" outlineLevel="0" collapsed="false">
      <c r="A2330" s="0" t="s">
        <v>8</v>
      </c>
      <c r="B2330" s="0" t="s">
        <v>3399</v>
      </c>
      <c r="C2330" s="0" t="s">
        <v>7070</v>
      </c>
      <c r="D2330" s="0" t="n">
        <v>15.6</v>
      </c>
    </row>
    <row r="2331" customFormat="false" ht="15" hidden="false" customHeight="false" outlineLevel="0" collapsed="false">
      <c r="A2331" s="0" t="s">
        <v>8</v>
      </c>
      <c r="B2331" s="0" t="s">
        <v>3399</v>
      </c>
      <c r="C2331" s="0" t="s">
        <v>7071</v>
      </c>
    </row>
    <row r="2332" customFormat="false" ht="15" hidden="false" customHeight="false" outlineLevel="0" collapsed="false">
      <c r="A2332" s="0" t="s">
        <v>8</v>
      </c>
      <c r="B2332" s="0" t="s">
        <v>3399</v>
      </c>
      <c r="C2332" s="0" t="s">
        <v>7072</v>
      </c>
    </row>
    <row r="2333" customFormat="false" ht="15" hidden="false" customHeight="false" outlineLevel="0" collapsed="false">
      <c r="A2333" s="0" t="s">
        <v>8</v>
      </c>
      <c r="B2333" s="0" t="s">
        <v>3401</v>
      </c>
      <c r="C2333" s="0" t="s">
        <v>7070</v>
      </c>
      <c r="D2333" s="0" t="n">
        <v>16.4</v>
      </c>
    </row>
    <row r="2334" customFormat="false" ht="15" hidden="false" customHeight="false" outlineLevel="0" collapsed="false">
      <c r="A2334" s="0" t="s">
        <v>8</v>
      </c>
      <c r="B2334" s="0" t="s">
        <v>3401</v>
      </c>
      <c r="C2334" s="0" t="s">
        <v>7071</v>
      </c>
    </row>
    <row r="2335" customFormat="false" ht="15" hidden="false" customHeight="false" outlineLevel="0" collapsed="false">
      <c r="A2335" s="0" t="s">
        <v>8</v>
      </c>
      <c r="B2335" s="0" t="s">
        <v>3401</v>
      </c>
      <c r="C2335" s="0" t="s">
        <v>7072</v>
      </c>
    </row>
    <row r="2336" customFormat="false" ht="15" hidden="false" customHeight="false" outlineLevel="0" collapsed="false">
      <c r="A2336" s="0" t="s">
        <v>8</v>
      </c>
      <c r="B2336" s="0" t="s">
        <v>3403</v>
      </c>
      <c r="C2336" s="0" t="s">
        <v>7070</v>
      </c>
      <c r="D2336" s="0" t="n">
        <v>33.1</v>
      </c>
    </row>
    <row r="2337" customFormat="false" ht="15" hidden="false" customHeight="false" outlineLevel="0" collapsed="false">
      <c r="A2337" s="0" t="s">
        <v>8</v>
      </c>
      <c r="B2337" s="0" t="s">
        <v>3403</v>
      </c>
      <c r="C2337" s="0" t="s">
        <v>7071</v>
      </c>
    </row>
    <row r="2338" customFormat="false" ht="15" hidden="false" customHeight="false" outlineLevel="0" collapsed="false">
      <c r="A2338" s="0" t="s">
        <v>8</v>
      </c>
      <c r="B2338" s="0" t="s">
        <v>3403</v>
      </c>
      <c r="C2338" s="0" t="s">
        <v>7072</v>
      </c>
    </row>
    <row r="2339" customFormat="false" ht="15" hidden="false" customHeight="false" outlineLevel="0" collapsed="false">
      <c r="A2339" s="0" t="s">
        <v>8</v>
      </c>
      <c r="B2339" s="0" t="s">
        <v>3405</v>
      </c>
      <c r="C2339" s="0" t="s">
        <v>7070</v>
      </c>
    </row>
    <row r="2340" customFormat="false" ht="15" hidden="false" customHeight="false" outlineLevel="0" collapsed="false">
      <c r="A2340" s="0" t="s">
        <v>8</v>
      </c>
      <c r="B2340" s="0" t="s">
        <v>3405</v>
      </c>
      <c r="C2340" s="0" t="s">
        <v>7071</v>
      </c>
    </row>
    <row r="2341" customFormat="false" ht="15" hidden="false" customHeight="false" outlineLevel="0" collapsed="false">
      <c r="A2341" s="0" t="s">
        <v>8</v>
      </c>
      <c r="B2341" s="0" t="s">
        <v>3405</v>
      </c>
      <c r="C2341" s="0" t="s">
        <v>7072</v>
      </c>
    </row>
    <row r="2342" customFormat="false" ht="15" hidden="false" customHeight="false" outlineLevel="0" collapsed="false">
      <c r="A2342" s="0" t="s">
        <v>8</v>
      </c>
      <c r="B2342" s="0" t="s">
        <v>3409</v>
      </c>
      <c r="C2342" s="0" t="s">
        <v>7070</v>
      </c>
      <c r="D2342" s="0" t="n">
        <v>40</v>
      </c>
    </row>
    <row r="2343" customFormat="false" ht="15" hidden="false" customHeight="false" outlineLevel="0" collapsed="false">
      <c r="A2343" s="0" t="s">
        <v>8</v>
      </c>
      <c r="B2343" s="0" t="s">
        <v>3409</v>
      </c>
      <c r="C2343" s="0" t="s">
        <v>7071</v>
      </c>
      <c r="D2343" s="0" t="n">
        <v>0</v>
      </c>
    </row>
    <row r="2344" customFormat="false" ht="15" hidden="false" customHeight="false" outlineLevel="0" collapsed="false">
      <c r="A2344" s="0" t="s">
        <v>8</v>
      </c>
      <c r="B2344" s="0" t="s">
        <v>3409</v>
      </c>
      <c r="C2344" s="0" t="s">
        <v>7072</v>
      </c>
      <c r="D2344" s="0" t="n">
        <v>40</v>
      </c>
    </row>
    <row r="2345" customFormat="false" ht="15" hidden="false" customHeight="false" outlineLevel="0" collapsed="false">
      <c r="A2345" s="0" t="s">
        <v>8</v>
      </c>
      <c r="B2345" s="0" t="s">
        <v>3414</v>
      </c>
      <c r="C2345" s="0" t="s">
        <v>7070</v>
      </c>
      <c r="D2345" s="0" t="n">
        <v>3.7983</v>
      </c>
    </row>
    <row r="2346" customFormat="false" ht="15" hidden="false" customHeight="false" outlineLevel="0" collapsed="false">
      <c r="A2346" s="0" t="s">
        <v>8</v>
      </c>
      <c r="B2346" s="0" t="s">
        <v>3414</v>
      </c>
      <c r="C2346" s="0" t="s">
        <v>7071</v>
      </c>
    </row>
    <row r="2347" customFormat="false" ht="15" hidden="false" customHeight="false" outlineLevel="0" collapsed="false">
      <c r="A2347" s="0" t="s">
        <v>8</v>
      </c>
      <c r="B2347" s="0" t="s">
        <v>3414</v>
      </c>
      <c r="C2347" s="0" t="s">
        <v>7072</v>
      </c>
    </row>
    <row r="2348" customFormat="false" ht="15" hidden="false" customHeight="false" outlineLevel="0" collapsed="false">
      <c r="A2348" s="0" t="s">
        <v>8</v>
      </c>
      <c r="B2348" s="0" t="s">
        <v>3418</v>
      </c>
      <c r="C2348" s="0" t="s">
        <v>7070</v>
      </c>
      <c r="D2348" s="0" t="n">
        <v>3.9477</v>
      </c>
    </row>
    <row r="2349" customFormat="false" ht="15" hidden="false" customHeight="false" outlineLevel="0" collapsed="false">
      <c r="A2349" s="0" t="s">
        <v>8</v>
      </c>
      <c r="B2349" s="0" t="s">
        <v>3418</v>
      </c>
      <c r="C2349" s="0" t="s">
        <v>7071</v>
      </c>
    </row>
    <row r="2350" customFormat="false" ht="15" hidden="false" customHeight="false" outlineLevel="0" collapsed="false">
      <c r="A2350" s="0" t="s">
        <v>8</v>
      </c>
      <c r="B2350" s="0" t="s">
        <v>3418</v>
      </c>
      <c r="C2350" s="0" t="s">
        <v>7072</v>
      </c>
    </row>
    <row r="2351" customFormat="false" ht="15" hidden="false" customHeight="false" outlineLevel="0" collapsed="false">
      <c r="A2351" s="0" t="s">
        <v>8</v>
      </c>
      <c r="B2351" s="0" t="s">
        <v>3424</v>
      </c>
      <c r="C2351" s="0" t="s">
        <v>7070</v>
      </c>
      <c r="D2351" s="0" t="n">
        <v>0.945</v>
      </c>
    </row>
    <row r="2352" customFormat="false" ht="15" hidden="false" customHeight="false" outlineLevel="0" collapsed="false">
      <c r="A2352" s="0" t="s">
        <v>8</v>
      </c>
      <c r="B2352" s="0" t="s">
        <v>3424</v>
      </c>
      <c r="C2352" s="0" t="s">
        <v>7071</v>
      </c>
    </row>
    <row r="2353" customFormat="false" ht="15" hidden="false" customHeight="false" outlineLevel="0" collapsed="false">
      <c r="A2353" s="0" t="s">
        <v>8</v>
      </c>
      <c r="B2353" s="0" t="s">
        <v>3424</v>
      </c>
      <c r="C2353" s="0" t="s">
        <v>7072</v>
      </c>
    </row>
    <row r="2354" customFormat="false" ht="15" hidden="false" customHeight="false" outlineLevel="0" collapsed="false">
      <c r="A2354" s="0" t="s">
        <v>8</v>
      </c>
      <c r="B2354" s="0" t="s">
        <v>3430</v>
      </c>
      <c r="C2354" s="0" t="s">
        <v>7070</v>
      </c>
      <c r="D2354" s="0" t="n">
        <v>0.242</v>
      </c>
    </row>
    <row r="2355" customFormat="false" ht="15" hidden="false" customHeight="false" outlineLevel="0" collapsed="false">
      <c r="A2355" s="0" t="s">
        <v>8</v>
      </c>
      <c r="B2355" s="0" t="s">
        <v>3430</v>
      </c>
      <c r="C2355" s="0" t="s">
        <v>7071</v>
      </c>
    </row>
    <row r="2356" customFormat="false" ht="15" hidden="false" customHeight="false" outlineLevel="0" collapsed="false">
      <c r="A2356" s="0" t="s">
        <v>8</v>
      </c>
      <c r="B2356" s="0" t="s">
        <v>3430</v>
      </c>
      <c r="C2356" s="0" t="s">
        <v>7072</v>
      </c>
    </row>
    <row r="2357" customFormat="false" ht="15" hidden="false" customHeight="false" outlineLevel="0" collapsed="false">
      <c r="A2357" s="0" t="s">
        <v>8</v>
      </c>
      <c r="B2357" s="0" t="s">
        <v>3436</v>
      </c>
      <c r="C2357" s="0" t="s">
        <v>7070</v>
      </c>
      <c r="D2357" s="0" t="n">
        <v>0.247</v>
      </c>
    </row>
    <row r="2358" customFormat="false" ht="15" hidden="false" customHeight="false" outlineLevel="0" collapsed="false">
      <c r="A2358" s="0" t="s">
        <v>8</v>
      </c>
      <c r="B2358" s="0" t="s">
        <v>3436</v>
      </c>
      <c r="C2358" s="0" t="s">
        <v>7071</v>
      </c>
    </row>
    <row r="2359" customFormat="false" ht="15" hidden="false" customHeight="false" outlineLevel="0" collapsed="false">
      <c r="A2359" s="0" t="s">
        <v>8</v>
      </c>
      <c r="B2359" s="0" t="s">
        <v>3436</v>
      </c>
      <c r="C2359" s="0" t="s">
        <v>7072</v>
      </c>
    </row>
    <row r="2360" customFormat="false" ht="15" hidden="false" customHeight="false" outlineLevel="0" collapsed="false">
      <c r="A2360" s="0" t="s">
        <v>8</v>
      </c>
      <c r="B2360" s="0" t="s">
        <v>3440</v>
      </c>
      <c r="C2360" s="0" t="s">
        <v>7070</v>
      </c>
      <c r="D2360" s="0" t="n">
        <v>0.1163</v>
      </c>
    </row>
    <row r="2361" customFormat="false" ht="15" hidden="false" customHeight="false" outlineLevel="0" collapsed="false">
      <c r="A2361" s="0" t="s">
        <v>8</v>
      </c>
      <c r="B2361" s="0" t="s">
        <v>3440</v>
      </c>
      <c r="C2361" s="0" t="s">
        <v>7071</v>
      </c>
    </row>
    <row r="2362" customFormat="false" ht="15" hidden="false" customHeight="false" outlineLevel="0" collapsed="false">
      <c r="A2362" s="0" t="s">
        <v>8</v>
      </c>
      <c r="B2362" s="0" t="s">
        <v>3440</v>
      </c>
      <c r="C2362" s="0" t="s">
        <v>7072</v>
      </c>
    </row>
    <row r="2363" customFormat="false" ht="15" hidden="false" customHeight="false" outlineLevel="0" collapsed="false">
      <c r="A2363" s="0" t="s">
        <v>8</v>
      </c>
      <c r="B2363" s="0" t="s">
        <v>3446</v>
      </c>
      <c r="C2363" s="0" t="s">
        <v>7070</v>
      </c>
      <c r="D2363" s="0" t="n">
        <v>0.883</v>
      </c>
    </row>
    <row r="2364" customFormat="false" ht="15" hidden="false" customHeight="false" outlineLevel="0" collapsed="false">
      <c r="A2364" s="0" t="s">
        <v>8</v>
      </c>
      <c r="B2364" s="0" t="s">
        <v>3446</v>
      </c>
      <c r="C2364" s="0" t="s">
        <v>7071</v>
      </c>
    </row>
    <row r="2365" customFormat="false" ht="15" hidden="false" customHeight="false" outlineLevel="0" collapsed="false">
      <c r="A2365" s="0" t="s">
        <v>8</v>
      </c>
      <c r="B2365" s="0" t="s">
        <v>3446</v>
      </c>
      <c r="C2365" s="0" t="s">
        <v>7072</v>
      </c>
    </row>
    <row r="2366" customFormat="false" ht="15" hidden="false" customHeight="false" outlineLevel="0" collapsed="false">
      <c r="A2366" s="0" t="s">
        <v>8</v>
      </c>
      <c r="B2366" s="0" t="s">
        <v>3450</v>
      </c>
      <c r="C2366" s="0" t="s">
        <v>7070</v>
      </c>
      <c r="D2366" s="0" t="n">
        <v>1.6689</v>
      </c>
    </row>
    <row r="2367" customFormat="false" ht="15" hidden="false" customHeight="false" outlineLevel="0" collapsed="false">
      <c r="A2367" s="0" t="s">
        <v>8</v>
      </c>
      <c r="B2367" s="0" t="s">
        <v>3450</v>
      </c>
      <c r="C2367" s="0" t="s">
        <v>7071</v>
      </c>
    </row>
    <row r="2368" customFormat="false" ht="15" hidden="false" customHeight="false" outlineLevel="0" collapsed="false">
      <c r="A2368" s="0" t="s">
        <v>8</v>
      </c>
      <c r="B2368" s="0" t="s">
        <v>3450</v>
      </c>
      <c r="C2368" s="0" t="s">
        <v>7072</v>
      </c>
    </row>
    <row r="2369" customFormat="false" ht="15" hidden="false" customHeight="false" outlineLevel="0" collapsed="false">
      <c r="A2369" s="0" t="s">
        <v>8</v>
      </c>
      <c r="B2369" s="0" t="s">
        <v>3454</v>
      </c>
      <c r="C2369" s="0" t="s">
        <v>7070</v>
      </c>
      <c r="D2369" s="0" t="n">
        <v>1.3403</v>
      </c>
    </row>
    <row r="2370" customFormat="false" ht="15" hidden="false" customHeight="false" outlineLevel="0" collapsed="false">
      <c r="A2370" s="0" t="s">
        <v>8</v>
      </c>
      <c r="B2370" s="0" t="s">
        <v>3454</v>
      </c>
      <c r="C2370" s="0" t="s">
        <v>7071</v>
      </c>
    </row>
    <row r="2371" customFormat="false" ht="15" hidden="false" customHeight="false" outlineLevel="0" collapsed="false">
      <c r="A2371" s="0" t="s">
        <v>8</v>
      </c>
      <c r="B2371" s="0" t="s">
        <v>3454</v>
      </c>
      <c r="C2371" s="0" t="s">
        <v>7072</v>
      </c>
    </row>
    <row r="2372" customFormat="false" ht="15" hidden="false" customHeight="false" outlineLevel="0" collapsed="false">
      <c r="A2372" s="0" t="s">
        <v>8</v>
      </c>
      <c r="B2372" s="0" t="s">
        <v>3457</v>
      </c>
      <c r="C2372" s="0" t="s">
        <v>7070</v>
      </c>
      <c r="D2372" s="0" t="n">
        <v>0.1163</v>
      </c>
    </row>
    <row r="2373" customFormat="false" ht="15" hidden="false" customHeight="false" outlineLevel="0" collapsed="false">
      <c r="A2373" s="0" t="s">
        <v>8</v>
      </c>
      <c r="B2373" s="0" t="s">
        <v>3457</v>
      </c>
      <c r="C2373" s="0" t="s">
        <v>7071</v>
      </c>
    </row>
    <row r="2374" customFormat="false" ht="15" hidden="false" customHeight="false" outlineLevel="0" collapsed="false">
      <c r="A2374" s="0" t="s">
        <v>8</v>
      </c>
      <c r="B2374" s="0" t="s">
        <v>3457</v>
      </c>
      <c r="C2374" s="0" t="s">
        <v>7072</v>
      </c>
    </row>
    <row r="2375" customFormat="false" ht="15" hidden="false" customHeight="false" outlineLevel="0" collapsed="false">
      <c r="A2375" s="0" t="s">
        <v>8</v>
      </c>
      <c r="B2375" s="0" t="s">
        <v>3462</v>
      </c>
      <c r="C2375" s="0" t="s">
        <v>7070</v>
      </c>
      <c r="D2375" s="0" t="n">
        <v>0.883</v>
      </c>
    </row>
    <row r="2376" customFormat="false" ht="15" hidden="false" customHeight="false" outlineLevel="0" collapsed="false">
      <c r="A2376" s="0" t="s">
        <v>8</v>
      </c>
      <c r="B2376" s="0" t="s">
        <v>3462</v>
      </c>
      <c r="C2376" s="0" t="s">
        <v>7071</v>
      </c>
    </row>
    <row r="2377" customFormat="false" ht="15" hidden="false" customHeight="false" outlineLevel="0" collapsed="false">
      <c r="A2377" s="0" t="s">
        <v>8</v>
      </c>
      <c r="B2377" s="0" t="s">
        <v>3462</v>
      </c>
      <c r="C2377" s="0" t="s">
        <v>7072</v>
      </c>
    </row>
    <row r="2378" customFormat="false" ht="15" hidden="false" customHeight="false" outlineLevel="0" collapsed="false">
      <c r="A2378" s="0" t="s">
        <v>8</v>
      </c>
      <c r="B2378" s="0" t="s">
        <v>3465</v>
      </c>
      <c r="C2378" s="0" t="s">
        <v>7070</v>
      </c>
      <c r="D2378" s="0" t="n">
        <v>1.2737</v>
      </c>
    </row>
    <row r="2379" customFormat="false" ht="15" hidden="false" customHeight="false" outlineLevel="0" collapsed="false">
      <c r="A2379" s="0" t="s">
        <v>8</v>
      </c>
      <c r="B2379" s="0" t="s">
        <v>3465</v>
      </c>
      <c r="C2379" s="0" t="s">
        <v>7071</v>
      </c>
    </row>
    <row r="2380" customFormat="false" ht="15" hidden="false" customHeight="false" outlineLevel="0" collapsed="false">
      <c r="A2380" s="0" t="s">
        <v>8</v>
      </c>
      <c r="B2380" s="0" t="s">
        <v>3465</v>
      </c>
      <c r="C2380" s="0" t="s">
        <v>7072</v>
      </c>
    </row>
    <row r="2381" customFormat="false" ht="15" hidden="false" customHeight="false" outlineLevel="0" collapsed="false">
      <c r="A2381" s="0" t="s">
        <v>8</v>
      </c>
      <c r="B2381" s="0" t="s">
        <v>3468</v>
      </c>
      <c r="C2381" s="0" t="s">
        <v>7070</v>
      </c>
      <c r="D2381" s="0" t="n">
        <v>0.7291</v>
      </c>
    </row>
    <row r="2382" customFormat="false" ht="15" hidden="false" customHeight="false" outlineLevel="0" collapsed="false">
      <c r="A2382" s="0" t="s">
        <v>8</v>
      </c>
      <c r="B2382" s="0" t="s">
        <v>3468</v>
      </c>
      <c r="C2382" s="0" t="s">
        <v>7071</v>
      </c>
    </row>
    <row r="2383" customFormat="false" ht="15" hidden="false" customHeight="false" outlineLevel="0" collapsed="false">
      <c r="A2383" s="0" t="s">
        <v>8</v>
      </c>
      <c r="B2383" s="0" t="s">
        <v>3468</v>
      </c>
      <c r="C2383" s="0" t="s">
        <v>7072</v>
      </c>
    </row>
    <row r="2384" customFormat="false" ht="15" hidden="false" customHeight="false" outlineLevel="0" collapsed="false">
      <c r="A2384" s="0" t="s">
        <v>8</v>
      </c>
      <c r="B2384" s="0" t="s">
        <v>3471</v>
      </c>
      <c r="C2384" s="0" t="s">
        <v>7070</v>
      </c>
      <c r="D2384" s="0" t="n">
        <v>0</v>
      </c>
    </row>
    <row r="2385" customFormat="false" ht="15" hidden="false" customHeight="false" outlineLevel="0" collapsed="false">
      <c r="A2385" s="0" t="s">
        <v>8</v>
      </c>
      <c r="B2385" s="0" t="s">
        <v>3471</v>
      </c>
      <c r="C2385" s="0" t="s">
        <v>7071</v>
      </c>
    </row>
    <row r="2386" customFormat="false" ht="15" hidden="false" customHeight="false" outlineLevel="0" collapsed="false">
      <c r="A2386" s="0" t="s">
        <v>8</v>
      </c>
      <c r="B2386" s="0" t="s">
        <v>3471</v>
      </c>
      <c r="C2386" s="0" t="s">
        <v>7072</v>
      </c>
    </row>
    <row r="2387" customFormat="false" ht="15" hidden="false" customHeight="false" outlineLevel="0" collapsed="false">
      <c r="A2387" s="0" t="s">
        <v>8</v>
      </c>
      <c r="B2387" s="0" t="s">
        <v>3476</v>
      </c>
      <c r="C2387" s="0" t="s">
        <v>7070</v>
      </c>
      <c r="D2387" s="0" t="n">
        <v>0</v>
      </c>
    </row>
    <row r="2388" customFormat="false" ht="15" hidden="false" customHeight="false" outlineLevel="0" collapsed="false">
      <c r="A2388" s="0" t="s">
        <v>8</v>
      </c>
      <c r="B2388" s="0" t="s">
        <v>3476</v>
      </c>
      <c r="C2388" s="0" t="s">
        <v>7071</v>
      </c>
    </row>
    <row r="2389" customFormat="false" ht="15" hidden="false" customHeight="false" outlineLevel="0" collapsed="false">
      <c r="A2389" s="0" t="s">
        <v>8</v>
      </c>
      <c r="B2389" s="0" t="s">
        <v>3476</v>
      </c>
      <c r="C2389" s="0" t="s">
        <v>7072</v>
      </c>
    </row>
    <row r="2390" customFormat="false" ht="15" hidden="false" customHeight="false" outlineLevel="0" collapsed="false">
      <c r="A2390" s="0" t="s">
        <v>8</v>
      </c>
      <c r="B2390" s="0" t="s">
        <v>3478</v>
      </c>
      <c r="C2390" s="0" t="s">
        <v>7070</v>
      </c>
      <c r="D2390" s="0" t="n">
        <v>0.3952</v>
      </c>
    </row>
    <row r="2391" customFormat="false" ht="15" hidden="false" customHeight="false" outlineLevel="0" collapsed="false">
      <c r="A2391" s="0" t="s">
        <v>8</v>
      </c>
      <c r="B2391" s="0" t="s">
        <v>3478</v>
      </c>
      <c r="C2391" s="0" t="s">
        <v>7071</v>
      </c>
    </row>
    <row r="2392" customFormat="false" ht="15" hidden="false" customHeight="false" outlineLevel="0" collapsed="false">
      <c r="A2392" s="0" t="s">
        <v>8</v>
      </c>
      <c r="B2392" s="0" t="s">
        <v>3478</v>
      </c>
      <c r="C2392" s="0" t="s">
        <v>7072</v>
      </c>
    </row>
    <row r="2393" customFormat="false" ht="15" hidden="false" customHeight="false" outlineLevel="0" collapsed="false">
      <c r="A2393" s="0" t="s">
        <v>8</v>
      </c>
      <c r="B2393" s="0" t="s">
        <v>3481</v>
      </c>
      <c r="C2393" s="0" t="s">
        <v>7070</v>
      </c>
      <c r="D2393" s="0" t="n">
        <v>0.6112</v>
      </c>
    </row>
    <row r="2394" customFormat="false" ht="15" hidden="false" customHeight="false" outlineLevel="0" collapsed="false">
      <c r="A2394" s="0" t="s">
        <v>8</v>
      </c>
      <c r="B2394" s="0" t="s">
        <v>3481</v>
      </c>
      <c r="C2394" s="0" t="s">
        <v>7071</v>
      </c>
    </row>
    <row r="2395" customFormat="false" ht="15" hidden="false" customHeight="false" outlineLevel="0" collapsed="false">
      <c r="A2395" s="0" t="s">
        <v>8</v>
      </c>
      <c r="B2395" s="0" t="s">
        <v>3481</v>
      </c>
      <c r="C2395" s="0" t="s">
        <v>7072</v>
      </c>
    </row>
    <row r="2396" customFormat="false" ht="15" hidden="false" customHeight="false" outlineLevel="0" collapsed="false">
      <c r="A2396" s="0" t="s">
        <v>8</v>
      </c>
      <c r="B2396" s="0" t="s">
        <v>3484</v>
      </c>
      <c r="C2396" s="0" t="s">
        <v>7070</v>
      </c>
      <c r="D2396" s="0" t="n">
        <v>0.0151</v>
      </c>
    </row>
    <row r="2397" customFormat="false" ht="15" hidden="false" customHeight="false" outlineLevel="0" collapsed="false">
      <c r="A2397" s="0" t="s">
        <v>8</v>
      </c>
      <c r="B2397" s="0" t="s">
        <v>3484</v>
      </c>
      <c r="C2397" s="0" t="s">
        <v>7071</v>
      </c>
    </row>
    <row r="2398" customFormat="false" ht="15" hidden="false" customHeight="false" outlineLevel="0" collapsed="false">
      <c r="A2398" s="0" t="s">
        <v>8</v>
      </c>
      <c r="B2398" s="0" t="s">
        <v>3484</v>
      </c>
      <c r="C2398" s="0" t="s">
        <v>7072</v>
      </c>
    </row>
    <row r="2399" customFormat="false" ht="15" hidden="false" customHeight="false" outlineLevel="0" collapsed="false">
      <c r="A2399" s="0" t="s">
        <v>8</v>
      </c>
      <c r="B2399" s="0" t="s">
        <v>3488</v>
      </c>
      <c r="C2399" s="0" t="s">
        <v>7070</v>
      </c>
      <c r="D2399" s="0" t="n">
        <v>1.0454</v>
      </c>
    </row>
    <row r="2400" customFormat="false" ht="15" hidden="false" customHeight="false" outlineLevel="0" collapsed="false">
      <c r="A2400" s="0" t="s">
        <v>8</v>
      </c>
      <c r="B2400" s="0" t="s">
        <v>3488</v>
      </c>
      <c r="C2400" s="0" t="s">
        <v>7071</v>
      </c>
    </row>
    <row r="2401" customFormat="false" ht="15" hidden="false" customHeight="false" outlineLevel="0" collapsed="false">
      <c r="A2401" s="0" t="s">
        <v>8</v>
      </c>
      <c r="B2401" s="0" t="s">
        <v>3488</v>
      </c>
      <c r="C2401" s="0" t="s">
        <v>7072</v>
      </c>
    </row>
    <row r="2402" customFormat="false" ht="15" hidden="false" customHeight="false" outlineLevel="0" collapsed="false">
      <c r="A2402" s="0" t="s">
        <v>8</v>
      </c>
      <c r="B2402" s="0" t="s">
        <v>3491</v>
      </c>
      <c r="C2402" s="0" t="s">
        <v>7070</v>
      </c>
      <c r="D2402" s="0" t="n">
        <v>2.6947</v>
      </c>
    </row>
    <row r="2403" customFormat="false" ht="15" hidden="false" customHeight="false" outlineLevel="0" collapsed="false">
      <c r="A2403" s="0" t="s">
        <v>8</v>
      </c>
      <c r="B2403" s="0" t="s">
        <v>3491</v>
      </c>
      <c r="C2403" s="0" t="s">
        <v>7071</v>
      </c>
    </row>
    <row r="2404" customFormat="false" ht="15" hidden="false" customHeight="false" outlineLevel="0" collapsed="false">
      <c r="A2404" s="0" t="s">
        <v>8</v>
      </c>
      <c r="B2404" s="0" t="s">
        <v>3491</v>
      </c>
      <c r="C2404" s="0" t="s">
        <v>7072</v>
      </c>
    </row>
    <row r="2405" customFormat="false" ht="15" hidden="false" customHeight="false" outlineLevel="0" collapsed="false">
      <c r="A2405" s="0" t="s">
        <v>8</v>
      </c>
      <c r="B2405" s="0" t="s">
        <v>3494</v>
      </c>
      <c r="C2405" s="0" t="s">
        <v>7070</v>
      </c>
      <c r="D2405" s="0" t="n">
        <v>4.9535</v>
      </c>
    </row>
    <row r="2406" customFormat="false" ht="15" hidden="false" customHeight="false" outlineLevel="0" collapsed="false">
      <c r="A2406" s="0" t="s">
        <v>8</v>
      </c>
      <c r="B2406" s="0" t="s">
        <v>3494</v>
      </c>
      <c r="C2406" s="0" t="s">
        <v>7071</v>
      </c>
    </row>
    <row r="2407" customFormat="false" ht="15" hidden="false" customHeight="false" outlineLevel="0" collapsed="false">
      <c r="A2407" s="0" t="s">
        <v>8</v>
      </c>
      <c r="B2407" s="0" t="s">
        <v>3494</v>
      </c>
      <c r="C2407" s="0" t="s">
        <v>7072</v>
      </c>
    </row>
    <row r="2408" customFormat="false" ht="15" hidden="false" customHeight="false" outlineLevel="0" collapsed="false">
      <c r="A2408" s="0" t="s">
        <v>8</v>
      </c>
      <c r="B2408" s="0" t="s">
        <v>3497</v>
      </c>
      <c r="C2408" s="0" t="s">
        <v>7070</v>
      </c>
      <c r="D2408" s="0" t="n">
        <v>0.2583</v>
      </c>
    </row>
    <row r="2409" customFormat="false" ht="15" hidden="false" customHeight="false" outlineLevel="0" collapsed="false">
      <c r="A2409" s="0" t="s">
        <v>8</v>
      </c>
      <c r="B2409" s="0" t="s">
        <v>3497</v>
      </c>
      <c r="C2409" s="0" t="s">
        <v>7071</v>
      </c>
    </row>
    <row r="2410" customFormat="false" ht="15" hidden="false" customHeight="false" outlineLevel="0" collapsed="false">
      <c r="A2410" s="0" t="s">
        <v>8</v>
      </c>
      <c r="B2410" s="0" t="s">
        <v>3497</v>
      </c>
      <c r="C2410" s="0" t="s">
        <v>7072</v>
      </c>
    </row>
    <row r="2411" customFormat="false" ht="15" hidden="false" customHeight="false" outlineLevel="0" collapsed="false">
      <c r="A2411" s="0" t="s">
        <v>8</v>
      </c>
      <c r="B2411" s="0" t="s">
        <v>3502</v>
      </c>
      <c r="C2411" s="0" t="s">
        <v>7070</v>
      </c>
      <c r="D2411" s="0" t="n">
        <v>2.882</v>
      </c>
    </row>
    <row r="2412" customFormat="false" ht="15" hidden="false" customHeight="false" outlineLevel="0" collapsed="false">
      <c r="A2412" s="0" t="s">
        <v>8</v>
      </c>
      <c r="B2412" s="0" t="s">
        <v>3502</v>
      </c>
      <c r="C2412" s="0" t="s">
        <v>7071</v>
      </c>
    </row>
    <row r="2413" customFormat="false" ht="15" hidden="false" customHeight="false" outlineLevel="0" collapsed="false">
      <c r="A2413" s="0" t="s">
        <v>8</v>
      </c>
      <c r="B2413" s="0" t="s">
        <v>3502</v>
      </c>
      <c r="C2413" s="0" t="s">
        <v>7072</v>
      </c>
    </row>
    <row r="2414" customFormat="false" ht="15" hidden="false" customHeight="false" outlineLevel="0" collapsed="false">
      <c r="A2414" s="0" t="s">
        <v>8</v>
      </c>
      <c r="B2414" s="0" t="s">
        <v>3505</v>
      </c>
      <c r="C2414" s="0" t="s">
        <v>7070</v>
      </c>
      <c r="D2414" s="0" t="n">
        <v>6.0349</v>
      </c>
    </row>
    <row r="2415" customFormat="false" ht="15" hidden="false" customHeight="false" outlineLevel="0" collapsed="false">
      <c r="A2415" s="0" t="s">
        <v>8</v>
      </c>
      <c r="B2415" s="0" t="s">
        <v>3505</v>
      </c>
      <c r="C2415" s="0" t="s">
        <v>7071</v>
      </c>
    </row>
    <row r="2416" customFormat="false" ht="15" hidden="false" customHeight="false" outlineLevel="0" collapsed="false">
      <c r="A2416" s="0" t="s">
        <v>8</v>
      </c>
      <c r="B2416" s="0" t="s">
        <v>3505</v>
      </c>
      <c r="C2416" s="0" t="s">
        <v>7072</v>
      </c>
    </row>
    <row r="2417" customFormat="false" ht="15" hidden="false" customHeight="false" outlineLevel="0" collapsed="false">
      <c r="A2417" s="0" t="s">
        <v>8</v>
      </c>
      <c r="B2417" s="0" t="s">
        <v>3508</v>
      </c>
      <c r="C2417" s="0" t="s">
        <v>7070</v>
      </c>
      <c r="D2417" s="0" t="n">
        <v>8.3842</v>
      </c>
    </row>
    <row r="2418" customFormat="false" ht="15" hidden="false" customHeight="false" outlineLevel="0" collapsed="false">
      <c r="A2418" s="0" t="s">
        <v>8</v>
      </c>
      <c r="B2418" s="0" t="s">
        <v>3508</v>
      </c>
      <c r="C2418" s="0" t="s">
        <v>7071</v>
      </c>
    </row>
    <row r="2419" customFormat="false" ht="15" hidden="false" customHeight="false" outlineLevel="0" collapsed="false">
      <c r="A2419" s="0" t="s">
        <v>8</v>
      </c>
      <c r="B2419" s="0" t="s">
        <v>3508</v>
      </c>
      <c r="C2419" s="0" t="s">
        <v>7072</v>
      </c>
    </row>
    <row r="2420" customFormat="false" ht="15" hidden="false" customHeight="false" outlineLevel="0" collapsed="false">
      <c r="A2420" s="0" t="s">
        <v>8</v>
      </c>
      <c r="B2420" s="0" t="s">
        <v>3511</v>
      </c>
      <c r="C2420" s="0" t="s">
        <v>7070</v>
      </c>
      <c r="D2420" s="0" t="n">
        <v>12.0935</v>
      </c>
    </row>
    <row r="2421" customFormat="false" ht="15" hidden="false" customHeight="false" outlineLevel="0" collapsed="false">
      <c r="A2421" s="0" t="s">
        <v>8</v>
      </c>
      <c r="B2421" s="0" t="s">
        <v>3511</v>
      </c>
      <c r="C2421" s="0" t="s">
        <v>7071</v>
      </c>
    </row>
    <row r="2422" customFormat="false" ht="15" hidden="false" customHeight="false" outlineLevel="0" collapsed="false">
      <c r="A2422" s="0" t="s">
        <v>8</v>
      </c>
      <c r="B2422" s="0" t="s">
        <v>3511</v>
      </c>
      <c r="C2422" s="0" t="s">
        <v>7072</v>
      </c>
    </row>
    <row r="2423" customFormat="false" ht="15" hidden="false" customHeight="false" outlineLevel="0" collapsed="false">
      <c r="A2423" s="0" t="s">
        <v>8</v>
      </c>
      <c r="B2423" s="0" t="s">
        <v>3515</v>
      </c>
      <c r="C2423" s="0" t="s">
        <v>7070</v>
      </c>
      <c r="D2423" s="0" t="n">
        <v>0</v>
      </c>
    </row>
    <row r="2424" customFormat="false" ht="15" hidden="false" customHeight="false" outlineLevel="0" collapsed="false">
      <c r="A2424" s="0" t="s">
        <v>8</v>
      </c>
      <c r="B2424" s="0" t="s">
        <v>3515</v>
      </c>
      <c r="C2424" s="0" t="s">
        <v>7071</v>
      </c>
    </row>
    <row r="2425" customFormat="false" ht="15" hidden="false" customHeight="false" outlineLevel="0" collapsed="false">
      <c r="A2425" s="0" t="s">
        <v>8</v>
      </c>
      <c r="B2425" s="0" t="s">
        <v>3515</v>
      </c>
      <c r="C2425" s="0" t="s">
        <v>7072</v>
      </c>
    </row>
    <row r="2426" customFormat="false" ht="15" hidden="false" customHeight="false" outlineLevel="0" collapsed="false">
      <c r="A2426" s="0" t="s">
        <v>8</v>
      </c>
      <c r="B2426" s="0" t="s">
        <v>3521</v>
      </c>
      <c r="C2426" s="0" t="s">
        <v>7070</v>
      </c>
      <c r="D2426" s="0" t="n">
        <v>0</v>
      </c>
    </row>
    <row r="2427" customFormat="false" ht="15" hidden="false" customHeight="false" outlineLevel="0" collapsed="false">
      <c r="A2427" s="0" t="s">
        <v>8</v>
      </c>
      <c r="B2427" s="0" t="s">
        <v>3521</v>
      </c>
      <c r="C2427" s="0" t="s">
        <v>7071</v>
      </c>
    </row>
    <row r="2428" customFormat="false" ht="15" hidden="false" customHeight="false" outlineLevel="0" collapsed="false">
      <c r="A2428" s="0" t="s">
        <v>8</v>
      </c>
      <c r="B2428" s="0" t="s">
        <v>3521</v>
      </c>
      <c r="C2428" s="0" t="s">
        <v>7072</v>
      </c>
    </row>
    <row r="2429" customFormat="false" ht="15" hidden="false" customHeight="false" outlineLevel="0" collapsed="false">
      <c r="A2429" s="0" t="s">
        <v>8</v>
      </c>
      <c r="B2429" s="0" t="s">
        <v>3527</v>
      </c>
      <c r="C2429" s="0" t="s">
        <v>7070</v>
      </c>
      <c r="D2429" s="0" t="n">
        <v>0</v>
      </c>
    </row>
    <row r="2430" customFormat="false" ht="15" hidden="false" customHeight="false" outlineLevel="0" collapsed="false">
      <c r="A2430" s="0" t="s">
        <v>8</v>
      </c>
      <c r="B2430" s="0" t="s">
        <v>3527</v>
      </c>
      <c r="C2430" s="0" t="s">
        <v>7071</v>
      </c>
    </row>
    <row r="2431" customFormat="false" ht="15" hidden="false" customHeight="false" outlineLevel="0" collapsed="false">
      <c r="A2431" s="0" t="s">
        <v>8</v>
      </c>
      <c r="B2431" s="0" t="s">
        <v>3527</v>
      </c>
      <c r="C2431" s="0" t="s">
        <v>7072</v>
      </c>
    </row>
    <row r="2432" customFormat="false" ht="15" hidden="false" customHeight="false" outlineLevel="0" collapsed="false">
      <c r="A2432" s="0" t="s">
        <v>8</v>
      </c>
      <c r="B2432" s="0" t="s">
        <v>3533</v>
      </c>
      <c r="C2432" s="0" t="s">
        <v>7070</v>
      </c>
      <c r="D2432" s="0" t="n">
        <v>0.1283</v>
      </c>
    </row>
    <row r="2433" customFormat="false" ht="15" hidden="false" customHeight="false" outlineLevel="0" collapsed="false">
      <c r="A2433" s="0" t="s">
        <v>8</v>
      </c>
      <c r="B2433" s="0" t="s">
        <v>3533</v>
      </c>
      <c r="C2433" s="0" t="s">
        <v>7071</v>
      </c>
    </row>
    <row r="2434" customFormat="false" ht="15" hidden="false" customHeight="false" outlineLevel="0" collapsed="false">
      <c r="A2434" s="0" t="s">
        <v>8</v>
      </c>
      <c r="B2434" s="0" t="s">
        <v>3533</v>
      </c>
      <c r="C2434" s="0" t="s">
        <v>7072</v>
      </c>
    </row>
    <row r="2435" customFormat="false" ht="15" hidden="false" customHeight="false" outlineLevel="0" collapsed="false">
      <c r="A2435" s="0" t="s">
        <v>8</v>
      </c>
      <c r="B2435" s="0" t="s">
        <v>3538</v>
      </c>
      <c r="C2435" s="0" t="s">
        <v>7070</v>
      </c>
      <c r="D2435" s="0" t="n">
        <v>2.7088</v>
      </c>
    </row>
    <row r="2436" customFormat="false" ht="15" hidden="false" customHeight="false" outlineLevel="0" collapsed="false">
      <c r="A2436" s="0" t="s">
        <v>8</v>
      </c>
      <c r="B2436" s="0" t="s">
        <v>3538</v>
      </c>
      <c r="C2436" s="0" t="s">
        <v>7071</v>
      </c>
    </row>
    <row r="2437" customFormat="false" ht="15" hidden="false" customHeight="false" outlineLevel="0" collapsed="false">
      <c r="A2437" s="0" t="s">
        <v>8</v>
      </c>
      <c r="B2437" s="0" t="s">
        <v>3538</v>
      </c>
      <c r="C2437" s="0" t="s">
        <v>7072</v>
      </c>
    </row>
    <row r="2438" customFormat="false" ht="15" hidden="false" customHeight="false" outlineLevel="0" collapsed="false">
      <c r="A2438" s="0" t="s">
        <v>8</v>
      </c>
      <c r="B2438" s="0" t="s">
        <v>3541</v>
      </c>
      <c r="C2438" s="0" t="s">
        <v>7070</v>
      </c>
      <c r="D2438" s="0" t="n">
        <v>6.7127</v>
      </c>
    </row>
    <row r="2439" customFormat="false" ht="15" hidden="false" customHeight="false" outlineLevel="0" collapsed="false">
      <c r="A2439" s="0" t="s">
        <v>8</v>
      </c>
      <c r="B2439" s="0" t="s">
        <v>3541</v>
      </c>
      <c r="C2439" s="0" t="s">
        <v>7071</v>
      </c>
    </row>
    <row r="2440" customFormat="false" ht="15" hidden="false" customHeight="false" outlineLevel="0" collapsed="false">
      <c r="A2440" s="0" t="s">
        <v>8</v>
      </c>
      <c r="B2440" s="0" t="s">
        <v>3541</v>
      </c>
      <c r="C2440" s="0" t="s">
        <v>7072</v>
      </c>
    </row>
    <row r="2441" customFormat="false" ht="15" hidden="false" customHeight="false" outlineLevel="0" collapsed="false">
      <c r="A2441" s="0" t="s">
        <v>8</v>
      </c>
      <c r="B2441" s="0" t="s">
        <v>3544</v>
      </c>
      <c r="C2441" s="0" t="s">
        <v>7070</v>
      </c>
      <c r="D2441" s="0" t="n">
        <v>5.9959</v>
      </c>
    </row>
    <row r="2442" customFormat="false" ht="15" hidden="false" customHeight="false" outlineLevel="0" collapsed="false">
      <c r="A2442" s="0" t="s">
        <v>8</v>
      </c>
      <c r="B2442" s="0" t="s">
        <v>3544</v>
      </c>
      <c r="C2442" s="0" t="s">
        <v>7071</v>
      </c>
    </row>
    <row r="2443" customFormat="false" ht="15" hidden="false" customHeight="false" outlineLevel="0" collapsed="false">
      <c r="A2443" s="0" t="s">
        <v>8</v>
      </c>
      <c r="B2443" s="0" t="s">
        <v>3544</v>
      </c>
      <c r="C2443" s="0" t="s">
        <v>7072</v>
      </c>
    </row>
    <row r="2444" customFormat="false" ht="15" hidden="false" customHeight="false" outlineLevel="0" collapsed="false">
      <c r="A2444" s="0" t="s">
        <v>8</v>
      </c>
      <c r="B2444" s="0" t="s">
        <v>3547</v>
      </c>
      <c r="C2444" s="0" t="s">
        <v>7070</v>
      </c>
      <c r="D2444" s="0" t="n">
        <v>5.6541</v>
      </c>
    </row>
    <row r="2445" customFormat="false" ht="15" hidden="false" customHeight="false" outlineLevel="0" collapsed="false">
      <c r="A2445" s="0" t="s">
        <v>8</v>
      </c>
      <c r="B2445" s="0" t="s">
        <v>3547</v>
      </c>
      <c r="C2445" s="0" t="s">
        <v>7071</v>
      </c>
    </row>
    <row r="2446" customFormat="false" ht="15" hidden="false" customHeight="false" outlineLevel="0" collapsed="false">
      <c r="A2446" s="0" t="s">
        <v>8</v>
      </c>
      <c r="B2446" s="0" t="s">
        <v>3547</v>
      </c>
      <c r="C2446" s="0" t="s">
        <v>7072</v>
      </c>
    </row>
    <row r="2447" customFormat="false" ht="15" hidden="false" customHeight="false" outlineLevel="0" collapsed="false">
      <c r="A2447" s="0" t="s">
        <v>8</v>
      </c>
      <c r="B2447" s="0" t="s">
        <v>3550</v>
      </c>
      <c r="C2447" s="0" t="s">
        <v>7070</v>
      </c>
      <c r="D2447" s="0" t="n">
        <v>0.1283</v>
      </c>
    </row>
    <row r="2448" customFormat="false" ht="15" hidden="false" customHeight="false" outlineLevel="0" collapsed="false">
      <c r="A2448" s="0" t="s">
        <v>8</v>
      </c>
      <c r="B2448" s="0" t="s">
        <v>3550</v>
      </c>
      <c r="C2448" s="0" t="s">
        <v>7071</v>
      </c>
    </row>
    <row r="2449" customFormat="false" ht="15" hidden="false" customHeight="false" outlineLevel="0" collapsed="false">
      <c r="A2449" s="0" t="s">
        <v>8</v>
      </c>
      <c r="B2449" s="0" t="s">
        <v>3550</v>
      </c>
      <c r="C2449" s="0" t="s">
        <v>7072</v>
      </c>
    </row>
    <row r="2450" customFormat="false" ht="15" hidden="false" customHeight="false" outlineLevel="0" collapsed="false">
      <c r="A2450" s="0" t="s">
        <v>8</v>
      </c>
      <c r="B2450" s="0" t="s">
        <v>3555</v>
      </c>
      <c r="C2450" s="0" t="s">
        <v>7070</v>
      </c>
      <c r="D2450" s="0" t="n">
        <v>0.6676</v>
      </c>
    </row>
    <row r="2451" customFormat="false" ht="15" hidden="false" customHeight="false" outlineLevel="0" collapsed="false">
      <c r="A2451" s="0" t="s">
        <v>8</v>
      </c>
      <c r="B2451" s="0" t="s">
        <v>3555</v>
      </c>
      <c r="C2451" s="0" t="s">
        <v>7071</v>
      </c>
    </row>
    <row r="2452" customFormat="false" ht="15" hidden="false" customHeight="false" outlineLevel="0" collapsed="false">
      <c r="A2452" s="0" t="s">
        <v>8</v>
      </c>
      <c r="B2452" s="0" t="s">
        <v>3555</v>
      </c>
      <c r="C2452" s="0" t="s">
        <v>7072</v>
      </c>
    </row>
    <row r="2453" customFormat="false" ht="15" hidden="false" customHeight="false" outlineLevel="0" collapsed="false">
      <c r="A2453" s="0" t="s">
        <v>8</v>
      </c>
      <c r="B2453" s="0" t="s">
        <v>3558</v>
      </c>
      <c r="C2453" s="0" t="s">
        <v>7070</v>
      </c>
      <c r="D2453" s="0" t="n">
        <v>2.1316</v>
      </c>
    </row>
    <row r="2454" customFormat="false" ht="15" hidden="false" customHeight="false" outlineLevel="0" collapsed="false">
      <c r="A2454" s="0" t="s">
        <v>8</v>
      </c>
      <c r="B2454" s="0" t="s">
        <v>3558</v>
      </c>
      <c r="C2454" s="0" t="s">
        <v>7071</v>
      </c>
    </row>
    <row r="2455" customFormat="false" ht="15" hidden="false" customHeight="false" outlineLevel="0" collapsed="false">
      <c r="A2455" s="0" t="s">
        <v>8</v>
      </c>
      <c r="B2455" s="0" t="s">
        <v>3558</v>
      </c>
      <c r="C2455" s="0" t="s">
        <v>7072</v>
      </c>
    </row>
    <row r="2456" customFormat="false" ht="15" hidden="false" customHeight="false" outlineLevel="0" collapsed="false">
      <c r="A2456" s="0" t="s">
        <v>8</v>
      </c>
      <c r="B2456" s="0" t="s">
        <v>3561</v>
      </c>
      <c r="C2456" s="0" t="s">
        <v>7070</v>
      </c>
      <c r="D2456" s="0" t="n">
        <v>2.1346</v>
      </c>
    </row>
    <row r="2457" customFormat="false" ht="15" hidden="false" customHeight="false" outlineLevel="0" collapsed="false">
      <c r="A2457" s="0" t="s">
        <v>8</v>
      </c>
      <c r="B2457" s="0" t="s">
        <v>3561</v>
      </c>
      <c r="C2457" s="0" t="s">
        <v>7071</v>
      </c>
    </row>
    <row r="2458" customFormat="false" ht="15" hidden="false" customHeight="false" outlineLevel="0" collapsed="false">
      <c r="A2458" s="0" t="s">
        <v>8</v>
      </c>
      <c r="B2458" s="0" t="s">
        <v>3561</v>
      </c>
      <c r="C2458" s="0" t="s">
        <v>7072</v>
      </c>
    </row>
    <row r="2459" customFormat="false" ht="15" hidden="false" customHeight="false" outlineLevel="0" collapsed="false">
      <c r="A2459" s="0" t="s">
        <v>8</v>
      </c>
      <c r="B2459" s="0" t="s">
        <v>3564</v>
      </c>
      <c r="C2459" s="0" t="s">
        <v>7070</v>
      </c>
      <c r="D2459" s="0" t="n">
        <v>0</v>
      </c>
    </row>
    <row r="2460" customFormat="false" ht="15" hidden="false" customHeight="false" outlineLevel="0" collapsed="false">
      <c r="A2460" s="0" t="s">
        <v>8</v>
      </c>
      <c r="B2460" s="0" t="s">
        <v>3564</v>
      </c>
      <c r="C2460" s="0" t="s">
        <v>7071</v>
      </c>
    </row>
    <row r="2461" customFormat="false" ht="15" hidden="false" customHeight="false" outlineLevel="0" collapsed="false">
      <c r="A2461" s="0" t="s">
        <v>8</v>
      </c>
      <c r="B2461" s="0" t="s">
        <v>3564</v>
      </c>
      <c r="C2461" s="0" t="s">
        <v>7072</v>
      </c>
    </row>
    <row r="2462" customFormat="false" ht="15" hidden="false" customHeight="false" outlineLevel="0" collapsed="false">
      <c r="A2462" s="0" t="s">
        <v>8</v>
      </c>
      <c r="B2462" s="0" t="s">
        <v>3568</v>
      </c>
      <c r="C2462" s="0" t="s">
        <v>7070</v>
      </c>
      <c r="D2462" s="0" t="n">
        <v>0.4737</v>
      </c>
    </row>
    <row r="2463" customFormat="false" ht="15" hidden="false" customHeight="false" outlineLevel="0" collapsed="false">
      <c r="A2463" s="0" t="s">
        <v>8</v>
      </c>
      <c r="B2463" s="0" t="s">
        <v>3568</v>
      </c>
      <c r="C2463" s="0" t="s">
        <v>7071</v>
      </c>
    </row>
    <row r="2464" customFormat="false" ht="15" hidden="false" customHeight="false" outlineLevel="0" collapsed="false">
      <c r="A2464" s="0" t="s">
        <v>8</v>
      </c>
      <c r="B2464" s="0" t="s">
        <v>3568</v>
      </c>
      <c r="C2464" s="0" t="s">
        <v>7072</v>
      </c>
    </row>
    <row r="2465" customFormat="false" ht="15" hidden="false" customHeight="false" outlineLevel="0" collapsed="false">
      <c r="A2465" s="0" t="s">
        <v>8</v>
      </c>
      <c r="B2465" s="0" t="s">
        <v>3571</v>
      </c>
      <c r="C2465" s="0" t="s">
        <v>7070</v>
      </c>
      <c r="D2465" s="0" t="n">
        <v>2.0544</v>
      </c>
    </row>
    <row r="2466" customFormat="false" ht="15" hidden="false" customHeight="false" outlineLevel="0" collapsed="false">
      <c r="A2466" s="0" t="s">
        <v>8</v>
      </c>
      <c r="B2466" s="0" t="s">
        <v>3571</v>
      </c>
      <c r="C2466" s="0" t="s">
        <v>7071</v>
      </c>
    </row>
    <row r="2467" customFormat="false" ht="15" hidden="false" customHeight="false" outlineLevel="0" collapsed="false">
      <c r="A2467" s="0" t="s">
        <v>8</v>
      </c>
      <c r="B2467" s="0" t="s">
        <v>3571</v>
      </c>
      <c r="C2467" s="0" t="s">
        <v>7072</v>
      </c>
    </row>
    <row r="2468" customFormat="false" ht="15" hidden="false" customHeight="false" outlineLevel="0" collapsed="false">
      <c r="A2468" s="0" t="s">
        <v>8</v>
      </c>
      <c r="B2468" s="0" t="s">
        <v>3574</v>
      </c>
      <c r="C2468" s="0" t="s">
        <v>7070</v>
      </c>
      <c r="D2468" s="0" t="n">
        <v>1.7484</v>
      </c>
    </row>
    <row r="2469" customFormat="false" ht="15" hidden="false" customHeight="false" outlineLevel="0" collapsed="false">
      <c r="A2469" s="0" t="s">
        <v>8</v>
      </c>
      <c r="B2469" s="0" t="s">
        <v>3574</v>
      </c>
      <c r="C2469" s="0" t="s">
        <v>7071</v>
      </c>
    </row>
    <row r="2470" customFormat="false" ht="15" hidden="false" customHeight="false" outlineLevel="0" collapsed="false">
      <c r="A2470" s="0" t="s">
        <v>8</v>
      </c>
      <c r="B2470" s="0" t="s">
        <v>3574</v>
      </c>
      <c r="C2470" s="0" t="s">
        <v>7072</v>
      </c>
    </row>
    <row r="2471" customFormat="false" ht="15" hidden="false" customHeight="false" outlineLevel="0" collapsed="false">
      <c r="A2471" s="0" t="s">
        <v>8</v>
      </c>
      <c r="B2471" s="0" t="s">
        <v>3577</v>
      </c>
      <c r="C2471" s="0" t="s">
        <v>7070</v>
      </c>
      <c r="D2471" s="0" t="n">
        <v>0</v>
      </c>
    </row>
    <row r="2472" customFormat="false" ht="15" hidden="false" customHeight="false" outlineLevel="0" collapsed="false">
      <c r="A2472" s="0" t="s">
        <v>8</v>
      </c>
      <c r="B2472" s="0" t="s">
        <v>3577</v>
      </c>
      <c r="C2472" s="0" t="s">
        <v>7071</v>
      </c>
    </row>
    <row r="2473" customFormat="false" ht="15" hidden="false" customHeight="false" outlineLevel="0" collapsed="false">
      <c r="A2473" s="0" t="s">
        <v>8</v>
      </c>
      <c r="B2473" s="0" t="s">
        <v>3577</v>
      </c>
      <c r="C2473" s="0" t="s">
        <v>7072</v>
      </c>
    </row>
    <row r="2474" customFormat="false" ht="15" hidden="false" customHeight="false" outlineLevel="0" collapsed="false">
      <c r="A2474" s="0" t="s">
        <v>8</v>
      </c>
      <c r="B2474" s="0" t="s">
        <v>3581</v>
      </c>
      <c r="C2474" s="0" t="s">
        <v>7070</v>
      </c>
      <c r="D2474" s="0" t="n">
        <v>1.5675</v>
      </c>
    </row>
    <row r="2475" customFormat="false" ht="15" hidden="false" customHeight="false" outlineLevel="0" collapsed="false">
      <c r="A2475" s="0" t="s">
        <v>8</v>
      </c>
      <c r="B2475" s="0" t="s">
        <v>3581</v>
      </c>
      <c r="C2475" s="0" t="s">
        <v>7071</v>
      </c>
    </row>
    <row r="2476" customFormat="false" ht="15" hidden="false" customHeight="false" outlineLevel="0" collapsed="false">
      <c r="A2476" s="0" t="s">
        <v>8</v>
      </c>
      <c r="B2476" s="0" t="s">
        <v>3581</v>
      </c>
      <c r="C2476" s="0" t="s">
        <v>7072</v>
      </c>
    </row>
    <row r="2477" customFormat="false" ht="15" hidden="false" customHeight="false" outlineLevel="0" collapsed="false">
      <c r="A2477" s="0" t="s">
        <v>8</v>
      </c>
      <c r="B2477" s="0" t="s">
        <v>3584</v>
      </c>
      <c r="C2477" s="0" t="s">
        <v>7070</v>
      </c>
      <c r="D2477" s="0" t="n">
        <v>2.5267</v>
      </c>
    </row>
    <row r="2478" customFormat="false" ht="15" hidden="false" customHeight="false" outlineLevel="0" collapsed="false">
      <c r="A2478" s="0" t="s">
        <v>8</v>
      </c>
      <c r="B2478" s="0" t="s">
        <v>3584</v>
      </c>
      <c r="C2478" s="0" t="s">
        <v>7071</v>
      </c>
    </row>
    <row r="2479" customFormat="false" ht="15" hidden="false" customHeight="false" outlineLevel="0" collapsed="false">
      <c r="A2479" s="0" t="s">
        <v>8</v>
      </c>
      <c r="B2479" s="0" t="s">
        <v>3584</v>
      </c>
      <c r="C2479" s="0" t="s">
        <v>7072</v>
      </c>
    </row>
    <row r="2480" customFormat="false" ht="15" hidden="false" customHeight="false" outlineLevel="0" collapsed="false">
      <c r="A2480" s="0" t="s">
        <v>8</v>
      </c>
      <c r="B2480" s="0" t="s">
        <v>3587</v>
      </c>
      <c r="C2480" s="0" t="s">
        <v>7070</v>
      </c>
      <c r="D2480" s="0" t="n">
        <v>2.113</v>
      </c>
    </row>
    <row r="2481" customFormat="false" ht="15" hidden="false" customHeight="false" outlineLevel="0" collapsed="false">
      <c r="A2481" s="0" t="s">
        <v>8</v>
      </c>
      <c r="B2481" s="0" t="s">
        <v>3587</v>
      </c>
      <c r="C2481" s="0" t="s">
        <v>7071</v>
      </c>
    </row>
    <row r="2482" customFormat="false" ht="15" hidden="false" customHeight="false" outlineLevel="0" collapsed="false">
      <c r="A2482" s="0" t="s">
        <v>8</v>
      </c>
      <c r="B2482" s="0" t="s">
        <v>3587</v>
      </c>
      <c r="C2482" s="0" t="s">
        <v>7072</v>
      </c>
    </row>
    <row r="2483" customFormat="false" ht="15" hidden="false" customHeight="false" outlineLevel="0" collapsed="false">
      <c r="A2483" s="0" t="s">
        <v>8</v>
      </c>
      <c r="B2483" s="0" t="s">
        <v>3590</v>
      </c>
      <c r="C2483" s="0" t="s">
        <v>7070</v>
      </c>
      <c r="D2483" s="0" t="n">
        <v>4.75</v>
      </c>
    </row>
    <row r="2484" customFormat="false" ht="15" hidden="false" customHeight="false" outlineLevel="0" collapsed="false">
      <c r="A2484" s="0" t="s">
        <v>8</v>
      </c>
      <c r="B2484" s="0" t="s">
        <v>3590</v>
      </c>
      <c r="C2484" s="0" t="s">
        <v>7071</v>
      </c>
    </row>
    <row r="2485" customFormat="false" ht="15" hidden="false" customHeight="false" outlineLevel="0" collapsed="false">
      <c r="A2485" s="0" t="s">
        <v>8</v>
      </c>
      <c r="B2485" s="0" t="s">
        <v>3590</v>
      </c>
      <c r="C2485" s="0" t="s">
        <v>7072</v>
      </c>
    </row>
    <row r="2486" customFormat="false" ht="15" hidden="false" customHeight="false" outlineLevel="0" collapsed="false">
      <c r="A2486" s="0" t="s">
        <v>8</v>
      </c>
      <c r="B2486" s="0" t="s">
        <v>3595</v>
      </c>
      <c r="C2486" s="0" t="s">
        <v>7070</v>
      </c>
      <c r="D2486" s="0" t="n">
        <v>0.1428</v>
      </c>
    </row>
    <row r="2487" customFormat="false" ht="15" hidden="false" customHeight="false" outlineLevel="0" collapsed="false">
      <c r="A2487" s="0" t="s">
        <v>8</v>
      </c>
      <c r="B2487" s="0" t="s">
        <v>3595</v>
      </c>
      <c r="C2487" s="0" t="s">
        <v>7071</v>
      </c>
    </row>
    <row r="2488" customFormat="false" ht="15" hidden="false" customHeight="false" outlineLevel="0" collapsed="false">
      <c r="A2488" s="0" t="s">
        <v>8</v>
      </c>
      <c r="B2488" s="0" t="s">
        <v>3595</v>
      </c>
      <c r="C2488" s="0" t="s">
        <v>7072</v>
      </c>
    </row>
    <row r="2489" customFormat="false" ht="15" hidden="false" customHeight="false" outlineLevel="0" collapsed="false">
      <c r="A2489" s="0" t="s">
        <v>8</v>
      </c>
      <c r="B2489" s="0" t="s">
        <v>3600</v>
      </c>
      <c r="C2489" s="0" t="s">
        <v>7070</v>
      </c>
      <c r="D2489" s="0" t="n">
        <v>0.4486</v>
      </c>
    </row>
    <row r="2490" customFormat="false" ht="15" hidden="false" customHeight="false" outlineLevel="0" collapsed="false">
      <c r="A2490" s="0" t="s">
        <v>8</v>
      </c>
      <c r="B2490" s="0" t="s">
        <v>3600</v>
      </c>
      <c r="C2490" s="0" t="s">
        <v>7071</v>
      </c>
    </row>
    <row r="2491" customFormat="false" ht="15" hidden="false" customHeight="false" outlineLevel="0" collapsed="false">
      <c r="A2491" s="0" t="s">
        <v>8</v>
      </c>
      <c r="B2491" s="0" t="s">
        <v>3600</v>
      </c>
      <c r="C2491" s="0" t="s">
        <v>7072</v>
      </c>
    </row>
    <row r="2492" customFormat="false" ht="15" hidden="false" customHeight="false" outlineLevel="0" collapsed="false">
      <c r="A2492" s="0" t="s">
        <v>8</v>
      </c>
      <c r="B2492" s="0" t="s">
        <v>3603</v>
      </c>
      <c r="C2492" s="0" t="s">
        <v>7070</v>
      </c>
      <c r="D2492" s="0" t="n">
        <v>1.8739</v>
      </c>
    </row>
    <row r="2493" customFormat="false" ht="15" hidden="false" customHeight="false" outlineLevel="0" collapsed="false">
      <c r="A2493" s="0" t="s">
        <v>8</v>
      </c>
      <c r="B2493" s="0" t="s">
        <v>3603</v>
      </c>
      <c r="C2493" s="0" t="s">
        <v>7071</v>
      </c>
    </row>
    <row r="2494" customFormat="false" ht="15" hidden="false" customHeight="false" outlineLevel="0" collapsed="false">
      <c r="A2494" s="0" t="s">
        <v>8</v>
      </c>
      <c r="B2494" s="0" t="s">
        <v>3603</v>
      </c>
      <c r="C2494" s="0" t="s">
        <v>7072</v>
      </c>
    </row>
    <row r="2495" customFormat="false" ht="15" hidden="false" customHeight="false" outlineLevel="0" collapsed="false">
      <c r="A2495" s="0" t="s">
        <v>8</v>
      </c>
      <c r="B2495" s="0" t="s">
        <v>3606</v>
      </c>
      <c r="C2495" s="0" t="s">
        <v>7070</v>
      </c>
      <c r="D2495" s="0" t="n">
        <v>0.7782</v>
      </c>
    </row>
    <row r="2496" customFormat="false" ht="15" hidden="false" customHeight="false" outlineLevel="0" collapsed="false">
      <c r="A2496" s="0" t="s">
        <v>8</v>
      </c>
      <c r="B2496" s="0" t="s">
        <v>3606</v>
      </c>
      <c r="C2496" s="0" t="s">
        <v>7071</v>
      </c>
    </row>
    <row r="2497" customFormat="false" ht="15" hidden="false" customHeight="false" outlineLevel="0" collapsed="false">
      <c r="A2497" s="0" t="s">
        <v>8</v>
      </c>
      <c r="B2497" s="0" t="s">
        <v>3606</v>
      </c>
      <c r="C2497" s="0" t="s">
        <v>7072</v>
      </c>
    </row>
    <row r="2498" customFormat="false" ht="15" hidden="false" customHeight="false" outlineLevel="0" collapsed="false">
      <c r="A2498" s="0" t="s">
        <v>8</v>
      </c>
      <c r="B2498" s="0" t="s">
        <v>3610</v>
      </c>
      <c r="C2498" s="0" t="s">
        <v>7070</v>
      </c>
      <c r="D2498" s="0" t="n">
        <v>1.2997</v>
      </c>
    </row>
    <row r="2499" customFormat="false" ht="15" hidden="false" customHeight="false" outlineLevel="0" collapsed="false">
      <c r="A2499" s="0" t="s">
        <v>8</v>
      </c>
      <c r="B2499" s="0" t="s">
        <v>3610</v>
      </c>
      <c r="C2499" s="0" t="s">
        <v>7071</v>
      </c>
    </row>
    <row r="2500" customFormat="false" ht="15" hidden="false" customHeight="false" outlineLevel="0" collapsed="false">
      <c r="A2500" s="0" t="s">
        <v>8</v>
      </c>
      <c r="B2500" s="0" t="s">
        <v>3610</v>
      </c>
      <c r="C2500" s="0" t="s">
        <v>7072</v>
      </c>
    </row>
    <row r="2501" customFormat="false" ht="15" hidden="false" customHeight="false" outlineLevel="0" collapsed="false">
      <c r="A2501" s="0" t="s">
        <v>8</v>
      </c>
      <c r="B2501" s="0" t="s">
        <v>3613</v>
      </c>
      <c r="C2501" s="0" t="s">
        <v>7070</v>
      </c>
      <c r="D2501" s="0" t="n">
        <v>0.1111</v>
      </c>
    </row>
    <row r="2502" customFormat="false" ht="15" hidden="false" customHeight="false" outlineLevel="0" collapsed="false">
      <c r="A2502" s="0" t="s">
        <v>8</v>
      </c>
      <c r="B2502" s="0" t="s">
        <v>3613</v>
      </c>
      <c r="C2502" s="0" t="s">
        <v>7071</v>
      </c>
    </row>
    <row r="2503" customFormat="false" ht="15" hidden="false" customHeight="false" outlineLevel="0" collapsed="false">
      <c r="A2503" s="0" t="s">
        <v>8</v>
      </c>
      <c r="B2503" s="0" t="s">
        <v>3613</v>
      </c>
      <c r="C2503" s="0" t="s">
        <v>7072</v>
      </c>
    </row>
    <row r="2504" customFormat="false" ht="15" hidden="false" customHeight="false" outlineLevel="0" collapsed="false">
      <c r="A2504" s="0" t="s">
        <v>8</v>
      </c>
      <c r="B2504" s="0" t="s">
        <v>3618</v>
      </c>
      <c r="C2504" s="0" t="s">
        <v>7070</v>
      </c>
      <c r="D2504" s="0" t="n">
        <v>0.3183</v>
      </c>
    </row>
    <row r="2505" customFormat="false" ht="15" hidden="false" customHeight="false" outlineLevel="0" collapsed="false">
      <c r="A2505" s="0" t="s">
        <v>8</v>
      </c>
      <c r="B2505" s="0" t="s">
        <v>3618</v>
      </c>
      <c r="C2505" s="0" t="s">
        <v>7071</v>
      </c>
    </row>
    <row r="2506" customFormat="false" ht="15" hidden="false" customHeight="false" outlineLevel="0" collapsed="false">
      <c r="A2506" s="0" t="s">
        <v>8</v>
      </c>
      <c r="B2506" s="0" t="s">
        <v>3618</v>
      </c>
      <c r="C2506" s="0" t="s">
        <v>7072</v>
      </c>
    </row>
    <row r="2507" customFormat="false" ht="15" hidden="false" customHeight="false" outlineLevel="0" collapsed="false">
      <c r="A2507" s="0" t="s">
        <v>8</v>
      </c>
      <c r="B2507" s="0" t="s">
        <v>3621</v>
      </c>
      <c r="C2507" s="0" t="s">
        <v>7070</v>
      </c>
      <c r="D2507" s="0" t="n">
        <v>1.4739</v>
      </c>
    </row>
    <row r="2508" customFormat="false" ht="15" hidden="false" customHeight="false" outlineLevel="0" collapsed="false">
      <c r="A2508" s="0" t="s">
        <v>8</v>
      </c>
      <c r="B2508" s="0" t="s">
        <v>3621</v>
      </c>
      <c r="C2508" s="0" t="s">
        <v>7071</v>
      </c>
    </row>
    <row r="2509" customFormat="false" ht="15" hidden="false" customHeight="false" outlineLevel="0" collapsed="false">
      <c r="A2509" s="0" t="s">
        <v>8</v>
      </c>
      <c r="B2509" s="0" t="s">
        <v>3621</v>
      </c>
      <c r="C2509" s="0" t="s">
        <v>7072</v>
      </c>
    </row>
    <row r="2510" customFormat="false" ht="15" hidden="false" customHeight="false" outlineLevel="0" collapsed="false">
      <c r="A2510" s="0" t="s">
        <v>8</v>
      </c>
      <c r="B2510" s="0" t="s">
        <v>3624</v>
      </c>
      <c r="C2510" s="0" t="s">
        <v>7070</v>
      </c>
      <c r="D2510" s="0" t="n">
        <v>0.6177</v>
      </c>
    </row>
    <row r="2511" customFormat="false" ht="15" hidden="false" customHeight="false" outlineLevel="0" collapsed="false">
      <c r="A2511" s="0" t="s">
        <v>8</v>
      </c>
      <c r="B2511" s="0" t="s">
        <v>3624</v>
      </c>
      <c r="C2511" s="0" t="s">
        <v>7071</v>
      </c>
    </row>
    <row r="2512" customFormat="false" ht="15" hidden="false" customHeight="false" outlineLevel="0" collapsed="false">
      <c r="A2512" s="0" t="s">
        <v>8</v>
      </c>
      <c r="B2512" s="0" t="s">
        <v>3624</v>
      </c>
      <c r="C2512" s="0" t="s">
        <v>7072</v>
      </c>
    </row>
    <row r="2513" customFormat="false" ht="15" hidden="false" customHeight="false" outlineLevel="0" collapsed="false">
      <c r="A2513" s="0" t="s">
        <v>8</v>
      </c>
      <c r="B2513" s="0" t="s">
        <v>3627</v>
      </c>
      <c r="C2513" s="0" t="s">
        <v>7070</v>
      </c>
      <c r="D2513" s="0" t="n">
        <v>1.0608</v>
      </c>
    </row>
    <row r="2514" customFormat="false" ht="15" hidden="false" customHeight="false" outlineLevel="0" collapsed="false">
      <c r="A2514" s="0" t="s">
        <v>8</v>
      </c>
      <c r="B2514" s="0" t="s">
        <v>3627</v>
      </c>
      <c r="C2514" s="0" t="s">
        <v>7071</v>
      </c>
    </row>
    <row r="2515" customFormat="false" ht="15" hidden="false" customHeight="false" outlineLevel="0" collapsed="false">
      <c r="A2515" s="0" t="s">
        <v>8</v>
      </c>
      <c r="B2515" s="0" t="s">
        <v>3627</v>
      </c>
      <c r="C2515" s="0" t="s">
        <v>7072</v>
      </c>
    </row>
    <row r="2516" customFormat="false" ht="15" hidden="false" customHeight="false" outlineLevel="0" collapsed="false">
      <c r="A2516" s="0" t="s">
        <v>8</v>
      </c>
      <c r="B2516" s="0" t="s">
        <v>3630</v>
      </c>
      <c r="C2516" s="0" t="s">
        <v>7070</v>
      </c>
      <c r="D2516" s="0" t="n">
        <v>0.0238</v>
      </c>
    </row>
    <row r="2517" customFormat="false" ht="15" hidden="false" customHeight="false" outlineLevel="0" collapsed="false">
      <c r="A2517" s="0" t="s">
        <v>8</v>
      </c>
      <c r="B2517" s="0" t="s">
        <v>3630</v>
      </c>
      <c r="C2517" s="0" t="s">
        <v>7071</v>
      </c>
    </row>
    <row r="2518" customFormat="false" ht="15" hidden="false" customHeight="false" outlineLevel="0" collapsed="false">
      <c r="A2518" s="0" t="s">
        <v>8</v>
      </c>
      <c r="B2518" s="0" t="s">
        <v>3630</v>
      </c>
      <c r="C2518" s="0" t="s">
        <v>7072</v>
      </c>
    </row>
    <row r="2519" customFormat="false" ht="15" hidden="false" customHeight="false" outlineLevel="0" collapsed="false">
      <c r="A2519" s="0" t="s">
        <v>8</v>
      </c>
      <c r="B2519" s="0" t="s">
        <v>3635</v>
      </c>
      <c r="C2519" s="0" t="s">
        <v>7070</v>
      </c>
      <c r="D2519" s="0" t="n">
        <v>0.0554</v>
      </c>
    </row>
    <row r="2520" customFormat="false" ht="15" hidden="false" customHeight="false" outlineLevel="0" collapsed="false">
      <c r="A2520" s="0" t="s">
        <v>8</v>
      </c>
      <c r="B2520" s="0" t="s">
        <v>3635</v>
      </c>
      <c r="C2520" s="0" t="s">
        <v>7071</v>
      </c>
    </row>
    <row r="2521" customFormat="false" ht="15" hidden="false" customHeight="false" outlineLevel="0" collapsed="false">
      <c r="A2521" s="0" t="s">
        <v>8</v>
      </c>
      <c r="B2521" s="0" t="s">
        <v>3635</v>
      </c>
      <c r="C2521" s="0" t="s">
        <v>7072</v>
      </c>
    </row>
    <row r="2522" customFormat="false" ht="15" hidden="false" customHeight="false" outlineLevel="0" collapsed="false">
      <c r="A2522" s="0" t="s">
        <v>8</v>
      </c>
      <c r="B2522" s="0" t="s">
        <v>3638</v>
      </c>
      <c r="C2522" s="0" t="s">
        <v>7070</v>
      </c>
      <c r="D2522" s="0" t="n">
        <v>0.0907</v>
      </c>
    </row>
    <row r="2523" customFormat="false" ht="15" hidden="false" customHeight="false" outlineLevel="0" collapsed="false">
      <c r="A2523" s="0" t="s">
        <v>8</v>
      </c>
      <c r="B2523" s="0" t="s">
        <v>3638</v>
      </c>
      <c r="C2523" s="0" t="s">
        <v>7071</v>
      </c>
    </row>
    <row r="2524" customFormat="false" ht="15" hidden="false" customHeight="false" outlineLevel="0" collapsed="false">
      <c r="A2524" s="0" t="s">
        <v>8</v>
      </c>
      <c r="B2524" s="0" t="s">
        <v>3638</v>
      </c>
      <c r="C2524" s="0" t="s">
        <v>7072</v>
      </c>
    </row>
    <row r="2525" customFormat="false" ht="15" hidden="false" customHeight="false" outlineLevel="0" collapsed="false">
      <c r="A2525" s="0" t="s">
        <v>8</v>
      </c>
      <c r="B2525" s="0" t="s">
        <v>3641</v>
      </c>
      <c r="C2525" s="0" t="s">
        <v>7070</v>
      </c>
      <c r="D2525" s="0" t="n">
        <v>0.0421</v>
      </c>
    </row>
    <row r="2526" customFormat="false" ht="15" hidden="false" customHeight="false" outlineLevel="0" collapsed="false">
      <c r="A2526" s="0" t="s">
        <v>8</v>
      </c>
      <c r="B2526" s="0" t="s">
        <v>3641</v>
      </c>
      <c r="C2526" s="0" t="s">
        <v>7071</v>
      </c>
    </row>
    <row r="2527" customFormat="false" ht="15" hidden="false" customHeight="false" outlineLevel="0" collapsed="false">
      <c r="A2527" s="0" t="s">
        <v>8</v>
      </c>
      <c r="B2527" s="0" t="s">
        <v>3641</v>
      </c>
      <c r="C2527" s="0" t="s">
        <v>7072</v>
      </c>
    </row>
    <row r="2528" customFormat="false" ht="15" hidden="false" customHeight="false" outlineLevel="0" collapsed="false">
      <c r="A2528" s="0" t="s">
        <v>8</v>
      </c>
      <c r="B2528" s="0" t="s">
        <v>3644</v>
      </c>
      <c r="C2528" s="0" t="s">
        <v>7070</v>
      </c>
      <c r="D2528" s="0" t="n">
        <v>0.0591</v>
      </c>
    </row>
    <row r="2529" customFormat="false" ht="15" hidden="false" customHeight="false" outlineLevel="0" collapsed="false">
      <c r="A2529" s="0" t="s">
        <v>8</v>
      </c>
      <c r="B2529" s="0" t="s">
        <v>3644</v>
      </c>
      <c r="C2529" s="0" t="s">
        <v>7071</v>
      </c>
    </row>
    <row r="2530" customFormat="false" ht="15" hidden="false" customHeight="false" outlineLevel="0" collapsed="false">
      <c r="A2530" s="0" t="s">
        <v>8</v>
      </c>
      <c r="B2530" s="0" t="s">
        <v>3644</v>
      </c>
      <c r="C2530" s="0" t="s">
        <v>7072</v>
      </c>
    </row>
    <row r="2531" customFormat="false" ht="15" hidden="false" customHeight="false" outlineLevel="0" collapsed="false">
      <c r="A2531" s="0" t="s">
        <v>8</v>
      </c>
      <c r="B2531" s="0" t="s">
        <v>3647</v>
      </c>
      <c r="C2531" s="0" t="s">
        <v>7070</v>
      </c>
      <c r="D2531" s="0" t="n">
        <v>883</v>
      </c>
    </row>
    <row r="2532" customFormat="false" ht="15" hidden="false" customHeight="false" outlineLevel="0" collapsed="false">
      <c r="A2532" s="0" t="s">
        <v>8</v>
      </c>
      <c r="B2532" s="0" t="s">
        <v>3647</v>
      </c>
      <c r="C2532" s="0" t="s">
        <v>7071</v>
      </c>
    </row>
    <row r="2533" customFormat="false" ht="15" hidden="false" customHeight="false" outlineLevel="0" collapsed="false">
      <c r="A2533" s="0" t="s">
        <v>8</v>
      </c>
      <c r="B2533" s="0" t="s">
        <v>3647</v>
      </c>
      <c r="C2533" s="0" t="s">
        <v>7072</v>
      </c>
    </row>
    <row r="2534" customFormat="false" ht="15" hidden="false" customHeight="false" outlineLevel="0" collapsed="false">
      <c r="A2534" s="0" t="s">
        <v>8</v>
      </c>
      <c r="B2534" s="0" t="s">
        <v>3651</v>
      </c>
      <c r="C2534" s="0" t="s">
        <v>7070</v>
      </c>
      <c r="D2534" s="0" t="n">
        <v>657</v>
      </c>
    </row>
    <row r="2535" customFormat="false" ht="15" hidden="false" customHeight="false" outlineLevel="0" collapsed="false">
      <c r="A2535" s="0" t="s">
        <v>8</v>
      </c>
      <c r="B2535" s="0" t="s">
        <v>3651</v>
      </c>
      <c r="C2535" s="0" t="s">
        <v>7071</v>
      </c>
    </row>
    <row r="2536" customFormat="false" ht="15" hidden="false" customHeight="false" outlineLevel="0" collapsed="false">
      <c r="A2536" s="0" t="s">
        <v>8</v>
      </c>
      <c r="B2536" s="0" t="s">
        <v>3651</v>
      </c>
      <c r="C2536" s="0" t="s">
        <v>7072</v>
      </c>
    </row>
    <row r="2537" customFormat="false" ht="15" hidden="false" customHeight="false" outlineLevel="0" collapsed="false">
      <c r="A2537" s="0" t="s">
        <v>8</v>
      </c>
      <c r="B2537" s="0" t="s">
        <v>3655</v>
      </c>
      <c r="C2537" s="0" t="s">
        <v>7070</v>
      </c>
      <c r="D2537" s="0" t="n">
        <v>145</v>
      </c>
    </row>
    <row r="2538" customFormat="false" ht="15" hidden="false" customHeight="false" outlineLevel="0" collapsed="false">
      <c r="A2538" s="0" t="s">
        <v>8</v>
      </c>
      <c r="B2538" s="0" t="s">
        <v>3655</v>
      </c>
      <c r="C2538" s="0" t="s">
        <v>7071</v>
      </c>
    </row>
    <row r="2539" customFormat="false" ht="15" hidden="false" customHeight="false" outlineLevel="0" collapsed="false">
      <c r="A2539" s="0" t="s">
        <v>8</v>
      </c>
      <c r="B2539" s="0" t="s">
        <v>3655</v>
      </c>
      <c r="C2539" s="0" t="s">
        <v>7072</v>
      </c>
    </row>
    <row r="2540" customFormat="false" ht="15" hidden="false" customHeight="false" outlineLevel="0" collapsed="false">
      <c r="A2540" s="0" t="s">
        <v>8</v>
      </c>
      <c r="B2540" s="0" t="s">
        <v>3659</v>
      </c>
      <c r="C2540" s="0" t="s">
        <v>7070</v>
      </c>
      <c r="D2540" s="0" t="n">
        <v>81</v>
      </c>
    </row>
    <row r="2541" customFormat="false" ht="15" hidden="false" customHeight="false" outlineLevel="0" collapsed="false">
      <c r="A2541" s="0" t="s">
        <v>8</v>
      </c>
      <c r="B2541" s="0" t="s">
        <v>3659</v>
      </c>
      <c r="C2541" s="0" t="s">
        <v>7071</v>
      </c>
    </row>
    <row r="2542" customFormat="false" ht="15" hidden="false" customHeight="false" outlineLevel="0" collapsed="false">
      <c r="A2542" s="0" t="s">
        <v>8</v>
      </c>
      <c r="B2542" s="0" t="s">
        <v>3659</v>
      </c>
      <c r="C2542" s="0" t="s">
        <v>7072</v>
      </c>
    </row>
    <row r="2543" customFormat="false" ht="15" hidden="false" customHeight="false" outlineLevel="0" collapsed="false">
      <c r="A2543" s="0" t="s">
        <v>8</v>
      </c>
      <c r="B2543" s="0" t="s">
        <v>3663</v>
      </c>
      <c r="C2543" s="0" t="s">
        <v>7070</v>
      </c>
      <c r="D2543" s="0" t="n">
        <v>74.4</v>
      </c>
    </row>
    <row r="2544" customFormat="false" ht="15" hidden="false" customHeight="false" outlineLevel="0" collapsed="false">
      <c r="A2544" s="0" t="s">
        <v>8</v>
      </c>
      <c r="B2544" s="0" t="s">
        <v>3663</v>
      </c>
      <c r="C2544" s="0" t="s">
        <v>7071</v>
      </c>
    </row>
    <row r="2545" customFormat="false" ht="15" hidden="false" customHeight="false" outlineLevel="0" collapsed="false">
      <c r="A2545" s="0" t="s">
        <v>8</v>
      </c>
      <c r="B2545" s="0" t="s">
        <v>3663</v>
      </c>
      <c r="C2545" s="0" t="s">
        <v>7072</v>
      </c>
    </row>
    <row r="2546" customFormat="false" ht="15" hidden="false" customHeight="false" outlineLevel="0" collapsed="false">
      <c r="A2546" s="0" t="s">
        <v>8</v>
      </c>
      <c r="B2546" s="0" t="s">
        <v>3666</v>
      </c>
      <c r="C2546" s="0" t="s">
        <v>7070</v>
      </c>
      <c r="D2546" s="0" t="n">
        <v>657</v>
      </c>
    </row>
    <row r="2547" customFormat="false" ht="15" hidden="false" customHeight="false" outlineLevel="0" collapsed="false">
      <c r="A2547" s="0" t="s">
        <v>8</v>
      </c>
      <c r="B2547" s="0" t="s">
        <v>3666</v>
      </c>
      <c r="C2547" s="0" t="s">
        <v>7071</v>
      </c>
    </row>
    <row r="2548" customFormat="false" ht="15" hidden="false" customHeight="false" outlineLevel="0" collapsed="false">
      <c r="A2548" s="0" t="s">
        <v>8</v>
      </c>
      <c r="B2548" s="0" t="s">
        <v>3666</v>
      </c>
      <c r="C2548" s="0" t="s">
        <v>7072</v>
      </c>
    </row>
    <row r="2549" customFormat="false" ht="15" hidden="false" customHeight="false" outlineLevel="0" collapsed="false">
      <c r="A2549" s="0" t="s">
        <v>8</v>
      </c>
      <c r="B2549" s="0" t="s">
        <v>3670</v>
      </c>
      <c r="C2549" s="0" t="s">
        <v>7070</v>
      </c>
      <c r="D2549" s="0" t="n">
        <v>0.9072</v>
      </c>
    </row>
    <row r="2550" customFormat="false" ht="15" hidden="false" customHeight="false" outlineLevel="0" collapsed="false">
      <c r="A2550" s="0" t="s">
        <v>8</v>
      </c>
      <c r="B2550" s="0" t="s">
        <v>3670</v>
      </c>
      <c r="C2550" s="0" t="s">
        <v>7071</v>
      </c>
    </row>
    <row r="2551" customFormat="false" ht="15" hidden="false" customHeight="false" outlineLevel="0" collapsed="false">
      <c r="A2551" s="0" t="s">
        <v>8</v>
      </c>
      <c r="B2551" s="0" t="s">
        <v>3670</v>
      </c>
      <c r="C2551" s="0" t="s">
        <v>7072</v>
      </c>
    </row>
    <row r="2552" customFormat="false" ht="15" hidden="false" customHeight="false" outlineLevel="0" collapsed="false">
      <c r="A2552" s="0" t="s">
        <v>8</v>
      </c>
      <c r="B2552" s="0" t="s">
        <v>3675</v>
      </c>
      <c r="C2552" s="0" t="s">
        <v>7070</v>
      </c>
      <c r="D2552" s="0" t="n">
        <v>2.1728</v>
      </c>
    </row>
    <row r="2553" customFormat="false" ht="15" hidden="false" customHeight="false" outlineLevel="0" collapsed="false">
      <c r="A2553" s="0" t="s">
        <v>8</v>
      </c>
      <c r="B2553" s="0" t="s">
        <v>3675</v>
      </c>
      <c r="C2553" s="0" t="s">
        <v>7071</v>
      </c>
    </row>
    <row r="2554" customFormat="false" ht="15" hidden="false" customHeight="false" outlineLevel="0" collapsed="false">
      <c r="A2554" s="0" t="s">
        <v>8</v>
      </c>
      <c r="B2554" s="0" t="s">
        <v>3675</v>
      </c>
      <c r="C2554" s="0" t="s">
        <v>7072</v>
      </c>
    </row>
    <row r="2555" customFormat="false" ht="15" hidden="false" customHeight="false" outlineLevel="0" collapsed="false">
      <c r="A2555" s="0" t="s">
        <v>8</v>
      </c>
      <c r="B2555" s="0" t="s">
        <v>3678</v>
      </c>
      <c r="C2555" s="0" t="s">
        <v>7070</v>
      </c>
      <c r="D2555" s="0" t="n">
        <v>5.7322</v>
      </c>
    </row>
    <row r="2556" customFormat="false" ht="15" hidden="false" customHeight="false" outlineLevel="0" collapsed="false">
      <c r="A2556" s="0" t="s">
        <v>8</v>
      </c>
      <c r="B2556" s="0" t="s">
        <v>3678</v>
      </c>
      <c r="C2556" s="0" t="s">
        <v>7071</v>
      </c>
    </row>
    <row r="2557" customFormat="false" ht="15" hidden="false" customHeight="false" outlineLevel="0" collapsed="false">
      <c r="A2557" s="0" t="s">
        <v>8</v>
      </c>
      <c r="B2557" s="0" t="s">
        <v>3678</v>
      </c>
      <c r="C2557" s="0" t="s">
        <v>7072</v>
      </c>
    </row>
    <row r="2558" customFormat="false" ht="15" hidden="false" customHeight="false" outlineLevel="0" collapsed="false">
      <c r="A2558" s="0" t="s">
        <v>8</v>
      </c>
      <c r="B2558" s="0" t="s">
        <v>3681</v>
      </c>
      <c r="C2558" s="0" t="s">
        <v>7070</v>
      </c>
      <c r="D2558" s="0" t="n">
        <v>1.9235</v>
      </c>
    </row>
    <row r="2559" customFormat="false" ht="15" hidden="false" customHeight="false" outlineLevel="0" collapsed="false">
      <c r="A2559" s="0" t="s">
        <v>8</v>
      </c>
      <c r="B2559" s="0" t="s">
        <v>3681</v>
      </c>
      <c r="C2559" s="0" t="s">
        <v>7071</v>
      </c>
    </row>
    <row r="2560" customFormat="false" ht="15" hidden="false" customHeight="false" outlineLevel="0" collapsed="false">
      <c r="A2560" s="0" t="s">
        <v>8</v>
      </c>
      <c r="B2560" s="0" t="s">
        <v>3681</v>
      </c>
      <c r="C2560" s="0" t="s">
        <v>7072</v>
      </c>
    </row>
    <row r="2561" customFormat="false" ht="15" hidden="false" customHeight="false" outlineLevel="0" collapsed="false">
      <c r="A2561" s="0" t="s">
        <v>8</v>
      </c>
      <c r="B2561" s="0" t="s">
        <v>3684</v>
      </c>
      <c r="C2561" s="0" t="s">
        <v>7070</v>
      </c>
      <c r="D2561" s="0" t="n">
        <v>4.9959</v>
      </c>
    </row>
    <row r="2562" customFormat="false" ht="15" hidden="false" customHeight="false" outlineLevel="0" collapsed="false">
      <c r="A2562" s="0" t="s">
        <v>8</v>
      </c>
      <c r="B2562" s="0" t="s">
        <v>3684</v>
      </c>
      <c r="C2562" s="0" t="s">
        <v>7071</v>
      </c>
    </row>
    <row r="2563" customFormat="false" ht="15" hidden="false" customHeight="false" outlineLevel="0" collapsed="false">
      <c r="A2563" s="0" t="s">
        <v>8</v>
      </c>
      <c r="B2563" s="0" t="s">
        <v>3684</v>
      </c>
      <c r="C2563" s="0" t="s">
        <v>7072</v>
      </c>
    </row>
    <row r="2564" customFormat="false" ht="15" hidden="false" customHeight="false" outlineLevel="0" collapsed="false">
      <c r="A2564" s="0" t="s">
        <v>8</v>
      </c>
      <c r="B2564" s="0" t="s">
        <v>3687</v>
      </c>
      <c r="C2564" s="0" t="s">
        <v>7070</v>
      </c>
      <c r="D2564" s="0" t="n">
        <v>0.822</v>
      </c>
    </row>
    <row r="2565" customFormat="false" ht="15" hidden="false" customHeight="false" outlineLevel="0" collapsed="false">
      <c r="A2565" s="0" t="s">
        <v>8</v>
      </c>
      <c r="B2565" s="0" t="s">
        <v>3687</v>
      </c>
      <c r="C2565" s="0" t="s">
        <v>7071</v>
      </c>
    </row>
    <row r="2566" customFormat="false" ht="15" hidden="false" customHeight="false" outlineLevel="0" collapsed="false">
      <c r="A2566" s="0" t="s">
        <v>8</v>
      </c>
      <c r="B2566" s="0" t="s">
        <v>3687</v>
      </c>
      <c r="C2566" s="0" t="s">
        <v>7072</v>
      </c>
    </row>
    <row r="2567" customFormat="false" ht="15" hidden="false" customHeight="false" outlineLevel="0" collapsed="false">
      <c r="A2567" s="0" t="s">
        <v>8</v>
      </c>
      <c r="B2567" s="0" t="s">
        <v>3691</v>
      </c>
      <c r="C2567" s="0" t="s">
        <v>7070</v>
      </c>
      <c r="D2567" s="0" t="n">
        <v>1.9512</v>
      </c>
    </row>
    <row r="2568" customFormat="false" ht="15" hidden="false" customHeight="false" outlineLevel="0" collapsed="false">
      <c r="A2568" s="0" t="s">
        <v>8</v>
      </c>
      <c r="B2568" s="0" t="s">
        <v>3691</v>
      </c>
      <c r="C2568" s="0" t="s">
        <v>7071</v>
      </c>
    </row>
    <row r="2569" customFormat="false" ht="15" hidden="false" customHeight="false" outlineLevel="0" collapsed="false">
      <c r="A2569" s="0" t="s">
        <v>8</v>
      </c>
      <c r="B2569" s="0" t="s">
        <v>3691</v>
      </c>
      <c r="C2569" s="0" t="s">
        <v>7072</v>
      </c>
    </row>
    <row r="2570" customFormat="false" ht="15" hidden="false" customHeight="false" outlineLevel="0" collapsed="false">
      <c r="A2570" s="0" t="s">
        <v>8</v>
      </c>
      <c r="B2570" s="0" t="s">
        <v>3694</v>
      </c>
      <c r="C2570" s="0" t="s">
        <v>7070</v>
      </c>
      <c r="D2570" s="0" t="n">
        <v>5.1218</v>
      </c>
    </row>
    <row r="2571" customFormat="false" ht="15" hidden="false" customHeight="false" outlineLevel="0" collapsed="false">
      <c r="A2571" s="0" t="s">
        <v>8</v>
      </c>
      <c r="B2571" s="0" t="s">
        <v>3694</v>
      </c>
      <c r="C2571" s="0" t="s">
        <v>7071</v>
      </c>
    </row>
    <row r="2572" customFormat="false" ht="15" hidden="false" customHeight="false" outlineLevel="0" collapsed="false">
      <c r="A2572" s="0" t="s">
        <v>8</v>
      </c>
      <c r="B2572" s="0" t="s">
        <v>3694</v>
      </c>
      <c r="C2572" s="0" t="s">
        <v>7072</v>
      </c>
    </row>
    <row r="2573" customFormat="false" ht="15" hidden="false" customHeight="false" outlineLevel="0" collapsed="false">
      <c r="A2573" s="0" t="s">
        <v>8</v>
      </c>
      <c r="B2573" s="0" t="s">
        <v>3697</v>
      </c>
      <c r="C2573" s="0" t="s">
        <v>7070</v>
      </c>
      <c r="D2573" s="0" t="n">
        <v>1.7166</v>
      </c>
    </row>
    <row r="2574" customFormat="false" ht="15" hidden="false" customHeight="false" outlineLevel="0" collapsed="false">
      <c r="A2574" s="0" t="s">
        <v>8</v>
      </c>
      <c r="B2574" s="0" t="s">
        <v>3697</v>
      </c>
      <c r="C2574" s="0" t="s">
        <v>7071</v>
      </c>
    </row>
    <row r="2575" customFormat="false" ht="15" hidden="false" customHeight="false" outlineLevel="0" collapsed="false">
      <c r="A2575" s="0" t="s">
        <v>8</v>
      </c>
      <c r="B2575" s="0" t="s">
        <v>3697</v>
      </c>
      <c r="C2575" s="0" t="s">
        <v>7072</v>
      </c>
    </row>
    <row r="2576" customFormat="false" ht="15" hidden="false" customHeight="false" outlineLevel="0" collapsed="false">
      <c r="A2576" s="0" t="s">
        <v>8</v>
      </c>
      <c r="B2576" s="0" t="s">
        <v>3700</v>
      </c>
      <c r="C2576" s="0" t="s">
        <v>7070</v>
      </c>
      <c r="D2576" s="0" t="n">
        <v>3.1862</v>
      </c>
    </row>
    <row r="2577" customFormat="false" ht="15" hidden="false" customHeight="false" outlineLevel="0" collapsed="false">
      <c r="A2577" s="0" t="s">
        <v>8</v>
      </c>
      <c r="B2577" s="0" t="s">
        <v>3700</v>
      </c>
      <c r="C2577" s="0" t="s">
        <v>7071</v>
      </c>
    </row>
    <row r="2578" customFormat="false" ht="15" hidden="false" customHeight="false" outlineLevel="0" collapsed="false">
      <c r="A2578" s="0" t="s">
        <v>8</v>
      </c>
      <c r="B2578" s="0" t="s">
        <v>3700</v>
      </c>
      <c r="C2578" s="0" t="s">
        <v>7072</v>
      </c>
    </row>
    <row r="2579" customFormat="false" ht="15" hidden="false" customHeight="false" outlineLevel="0" collapsed="false">
      <c r="A2579" s="0" t="s">
        <v>8</v>
      </c>
      <c r="B2579" s="0" t="s">
        <v>3703</v>
      </c>
      <c r="C2579" s="0" t="s">
        <v>7070</v>
      </c>
      <c r="D2579" s="0" t="n">
        <v>0.075</v>
      </c>
    </row>
    <row r="2580" customFormat="false" ht="15" hidden="false" customHeight="false" outlineLevel="0" collapsed="false">
      <c r="A2580" s="0" t="s">
        <v>8</v>
      </c>
      <c r="B2580" s="0" t="s">
        <v>3703</v>
      </c>
      <c r="C2580" s="0" t="s">
        <v>7071</v>
      </c>
    </row>
    <row r="2581" customFormat="false" ht="15" hidden="false" customHeight="false" outlineLevel="0" collapsed="false">
      <c r="A2581" s="0" t="s">
        <v>8</v>
      </c>
      <c r="B2581" s="0" t="s">
        <v>3703</v>
      </c>
      <c r="C2581" s="0" t="s">
        <v>7072</v>
      </c>
    </row>
    <row r="2582" customFormat="false" ht="15" hidden="false" customHeight="false" outlineLevel="0" collapsed="false">
      <c r="A2582" s="0" t="s">
        <v>8</v>
      </c>
      <c r="B2582" s="0" t="s">
        <v>3707</v>
      </c>
      <c r="C2582" s="0" t="s">
        <v>7070</v>
      </c>
      <c r="D2582" s="0" t="n">
        <v>0.1667</v>
      </c>
    </row>
    <row r="2583" customFormat="false" ht="15" hidden="false" customHeight="false" outlineLevel="0" collapsed="false">
      <c r="A2583" s="0" t="s">
        <v>8</v>
      </c>
      <c r="B2583" s="0" t="s">
        <v>3707</v>
      </c>
      <c r="C2583" s="0" t="s">
        <v>7071</v>
      </c>
    </row>
    <row r="2584" customFormat="false" ht="15" hidden="false" customHeight="false" outlineLevel="0" collapsed="false">
      <c r="A2584" s="0" t="s">
        <v>8</v>
      </c>
      <c r="B2584" s="0" t="s">
        <v>3707</v>
      </c>
      <c r="C2584" s="0" t="s">
        <v>7072</v>
      </c>
    </row>
    <row r="2585" customFormat="false" ht="15" hidden="false" customHeight="false" outlineLevel="0" collapsed="false">
      <c r="A2585" s="0" t="s">
        <v>8</v>
      </c>
      <c r="B2585" s="0" t="s">
        <v>3710</v>
      </c>
      <c r="C2585" s="0" t="s">
        <v>7070</v>
      </c>
      <c r="D2585" s="0" t="n">
        <v>0.3747</v>
      </c>
    </row>
    <row r="2586" customFormat="false" ht="15" hidden="false" customHeight="false" outlineLevel="0" collapsed="false">
      <c r="A2586" s="0" t="s">
        <v>8</v>
      </c>
      <c r="B2586" s="0" t="s">
        <v>3710</v>
      </c>
      <c r="C2586" s="0" t="s">
        <v>7071</v>
      </c>
    </row>
    <row r="2587" customFormat="false" ht="15" hidden="false" customHeight="false" outlineLevel="0" collapsed="false">
      <c r="A2587" s="0" t="s">
        <v>8</v>
      </c>
      <c r="B2587" s="0" t="s">
        <v>3710</v>
      </c>
      <c r="C2587" s="0" t="s">
        <v>7072</v>
      </c>
    </row>
    <row r="2588" customFormat="false" ht="15" hidden="false" customHeight="false" outlineLevel="0" collapsed="false">
      <c r="A2588" s="0" t="s">
        <v>8</v>
      </c>
      <c r="B2588" s="0" t="s">
        <v>3713</v>
      </c>
      <c r="C2588" s="0" t="s">
        <v>7070</v>
      </c>
      <c r="D2588" s="0" t="n">
        <v>0.1647</v>
      </c>
    </row>
    <row r="2589" customFormat="false" ht="15" hidden="false" customHeight="false" outlineLevel="0" collapsed="false">
      <c r="A2589" s="0" t="s">
        <v>8</v>
      </c>
      <c r="B2589" s="0" t="s">
        <v>3713</v>
      </c>
      <c r="C2589" s="0" t="s">
        <v>7071</v>
      </c>
    </row>
    <row r="2590" customFormat="false" ht="15" hidden="false" customHeight="false" outlineLevel="0" collapsed="false">
      <c r="A2590" s="0" t="s">
        <v>8</v>
      </c>
      <c r="B2590" s="0" t="s">
        <v>3713</v>
      </c>
      <c r="C2590" s="0" t="s">
        <v>7072</v>
      </c>
    </row>
    <row r="2591" customFormat="false" ht="15" hidden="false" customHeight="false" outlineLevel="0" collapsed="false">
      <c r="A2591" s="0" t="s">
        <v>8</v>
      </c>
      <c r="B2591" s="0" t="s">
        <v>3716</v>
      </c>
      <c r="C2591" s="0" t="s">
        <v>7070</v>
      </c>
      <c r="D2591" s="0" t="n">
        <v>0.2212</v>
      </c>
    </row>
    <row r="2592" customFormat="false" ht="15" hidden="false" customHeight="false" outlineLevel="0" collapsed="false">
      <c r="A2592" s="0" t="s">
        <v>8</v>
      </c>
      <c r="B2592" s="0" t="s">
        <v>3716</v>
      </c>
      <c r="C2592" s="0" t="s">
        <v>7071</v>
      </c>
    </row>
    <row r="2593" customFormat="false" ht="15" hidden="false" customHeight="false" outlineLevel="0" collapsed="false">
      <c r="A2593" s="0" t="s">
        <v>8</v>
      </c>
      <c r="B2593" s="0" t="s">
        <v>3716</v>
      </c>
      <c r="C2593" s="0" t="s">
        <v>7072</v>
      </c>
    </row>
    <row r="2594" customFormat="false" ht="15" hidden="false" customHeight="false" outlineLevel="0" collapsed="false">
      <c r="A2594" s="0" t="s">
        <v>8</v>
      </c>
      <c r="B2594" s="0" t="s">
        <v>3719</v>
      </c>
      <c r="C2594" s="0" t="s">
        <v>7070</v>
      </c>
      <c r="D2594" s="0" t="n">
        <v>0.0102</v>
      </c>
    </row>
    <row r="2595" customFormat="false" ht="15" hidden="false" customHeight="false" outlineLevel="0" collapsed="false">
      <c r="A2595" s="0" t="s">
        <v>8</v>
      </c>
      <c r="B2595" s="0" t="s">
        <v>3719</v>
      </c>
      <c r="C2595" s="0" t="s">
        <v>7071</v>
      </c>
    </row>
    <row r="2596" customFormat="false" ht="15" hidden="false" customHeight="false" outlineLevel="0" collapsed="false">
      <c r="A2596" s="0" t="s">
        <v>8</v>
      </c>
      <c r="B2596" s="0" t="s">
        <v>3719</v>
      </c>
      <c r="C2596" s="0" t="s">
        <v>7072</v>
      </c>
    </row>
    <row r="2597" customFormat="false" ht="15" hidden="false" customHeight="false" outlineLevel="0" collapsed="false">
      <c r="A2597" s="0" t="s">
        <v>8</v>
      </c>
      <c r="B2597" s="0" t="s">
        <v>3723</v>
      </c>
      <c r="C2597" s="0" t="s">
        <v>7070</v>
      </c>
      <c r="D2597" s="0" t="n">
        <v>0.055</v>
      </c>
    </row>
    <row r="2598" customFormat="false" ht="15" hidden="false" customHeight="false" outlineLevel="0" collapsed="false">
      <c r="A2598" s="0" t="s">
        <v>8</v>
      </c>
      <c r="B2598" s="0" t="s">
        <v>3723</v>
      </c>
      <c r="C2598" s="0" t="s">
        <v>7071</v>
      </c>
    </row>
    <row r="2599" customFormat="false" ht="15" hidden="false" customHeight="false" outlineLevel="0" collapsed="false">
      <c r="A2599" s="0" t="s">
        <v>8</v>
      </c>
      <c r="B2599" s="0" t="s">
        <v>3723</v>
      </c>
      <c r="C2599" s="0" t="s">
        <v>7072</v>
      </c>
    </row>
    <row r="2600" customFormat="false" ht="15" hidden="false" customHeight="false" outlineLevel="0" collapsed="false">
      <c r="A2600" s="0" t="s">
        <v>8</v>
      </c>
      <c r="B2600" s="0" t="s">
        <v>3726</v>
      </c>
      <c r="C2600" s="0" t="s">
        <v>7070</v>
      </c>
      <c r="D2600" s="0" t="n">
        <v>0.2358</v>
      </c>
    </row>
    <row r="2601" customFormat="false" ht="15" hidden="false" customHeight="false" outlineLevel="0" collapsed="false">
      <c r="A2601" s="0" t="s">
        <v>8</v>
      </c>
      <c r="B2601" s="0" t="s">
        <v>3726</v>
      </c>
      <c r="C2601" s="0" t="s">
        <v>7071</v>
      </c>
    </row>
    <row r="2602" customFormat="false" ht="15" hidden="false" customHeight="false" outlineLevel="0" collapsed="false">
      <c r="A2602" s="0" t="s">
        <v>8</v>
      </c>
      <c r="B2602" s="0" t="s">
        <v>3726</v>
      </c>
      <c r="C2602" s="0" t="s">
        <v>7072</v>
      </c>
    </row>
    <row r="2603" customFormat="false" ht="15" hidden="false" customHeight="false" outlineLevel="0" collapsed="false">
      <c r="A2603" s="0" t="s">
        <v>8</v>
      </c>
      <c r="B2603" s="0" t="s">
        <v>3729</v>
      </c>
      <c r="C2603" s="0" t="s">
        <v>7070</v>
      </c>
      <c r="D2603" s="0" t="n">
        <v>0.0422</v>
      </c>
    </row>
    <row r="2604" customFormat="false" ht="15" hidden="false" customHeight="false" outlineLevel="0" collapsed="false">
      <c r="A2604" s="0" t="s">
        <v>8</v>
      </c>
      <c r="B2604" s="0" t="s">
        <v>3729</v>
      </c>
      <c r="C2604" s="0" t="s">
        <v>7071</v>
      </c>
    </row>
    <row r="2605" customFormat="false" ht="15" hidden="false" customHeight="false" outlineLevel="0" collapsed="false">
      <c r="A2605" s="0" t="s">
        <v>8</v>
      </c>
      <c r="B2605" s="0" t="s">
        <v>3729</v>
      </c>
      <c r="C2605" s="0" t="s">
        <v>7072</v>
      </c>
    </row>
    <row r="2606" customFormat="false" ht="15" hidden="false" customHeight="false" outlineLevel="0" collapsed="false">
      <c r="A2606" s="0" t="s">
        <v>8</v>
      </c>
      <c r="B2606" s="0" t="s">
        <v>3732</v>
      </c>
      <c r="C2606" s="0" t="s">
        <v>7070</v>
      </c>
      <c r="D2606" s="0" t="n">
        <v>1.5885</v>
      </c>
    </row>
    <row r="2607" customFormat="false" ht="15" hidden="false" customHeight="false" outlineLevel="0" collapsed="false">
      <c r="A2607" s="0" t="s">
        <v>8</v>
      </c>
      <c r="B2607" s="0" t="s">
        <v>3732</v>
      </c>
      <c r="C2607" s="0" t="s">
        <v>7071</v>
      </c>
    </row>
    <row r="2608" customFormat="false" ht="15" hidden="false" customHeight="false" outlineLevel="0" collapsed="false">
      <c r="A2608" s="0" t="s">
        <v>8</v>
      </c>
      <c r="B2608" s="0" t="s">
        <v>3732</v>
      </c>
      <c r="C2608" s="0" t="s">
        <v>7072</v>
      </c>
    </row>
    <row r="2609" customFormat="false" ht="15" hidden="false" customHeight="false" outlineLevel="0" collapsed="false">
      <c r="A2609" s="0" t="s">
        <v>8</v>
      </c>
      <c r="B2609" s="0" t="s">
        <v>3735</v>
      </c>
      <c r="C2609" s="0" t="s">
        <v>7070</v>
      </c>
    </row>
    <row r="2610" customFormat="false" ht="15" hidden="false" customHeight="false" outlineLevel="0" collapsed="false">
      <c r="A2610" s="0" t="s">
        <v>8</v>
      </c>
      <c r="B2610" s="0" t="s">
        <v>3735</v>
      </c>
      <c r="C2610" s="0" t="s">
        <v>7071</v>
      </c>
    </row>
    <row r="2611" customFormat="false" ht="15" hidden="false" customHeight="false" outlineLevel="0" collapsed="false">
      <c r="A2611" s="0" t="s">
        <v>8</v>
      </c>
      <c r="B2611" s="0" t="s">
        <v>3735</v>
      </c>
      <c r="C2611" s="0" t="s">
        <v>7072</v>
      </c>
    </row>
    <row r="2612" customFormat="false" ht="15" hidden="false" customHeight="false" outlineLevel="0" collapsed="false">
      <c r="A2612" s="0" t="s">
        <v>8</v>
      </c>
      <c r="B2612" s="0" t="s">
        <v>3741</v>
      </c>
      <c r="C2612" s="0" t="s">
        <v>7070</v>
      </c>
      <c r="D2612" s="0" t="n">
        <v>0.0078</v>
      </c>
    </row>
    <row r="2613" customFormat="false" ht="15" hidden="false" customHeight="false" outlineLevel="0" collapsed="false">
      <c r="A2613" s="0" t="s">
        <v>8</v>
      </c>
      <c r="B2613" s="0" t="s">
        <v>3741</v>
      </c>
      <c r="C2613" s="0" t="s">
        <v>7071</v>
      </c>
    </row>
    <row r="2614" customFormat="false" ht="15" hidden="false" customHeight="false" outlineLevel="0" collapsed="false">
      <c r="A2614" s="0" t="s">
        <v>8</v>
      </c>
      <c r="B2614" s="0" t="s">
        <v>3741</v>
      </c>
      <c r="C2614" s="0" t="s">
        <v>7072</v>
      </c>
    </row>
    <row r="2615" customFormat="false" ht="15" hidden="false" customHeight="false" outlineLevel="0" collapsed="false">
      <c r="A2615" s="0" t="s">
        <v>8</v>
      </c>
      <c r="B2615" s="0" t="s">
        <v>3746</v>
      </c>
      <c r="C2615" s="0" t="s">
        <v>7070</v>
      </c>
      <c r="D2615" s="0" t="n">
        <v>0.0165</v>
      </c>
    </row>
    <row r="2616" customFormat="false" ht="15" hidden="false" customHeight="false" outlineLevel="0" collapsed="false">
      <c r="A2616" s="0" t="s">
        <v>8</v>
      </c>
      <c r="B2616" s="0" t="s">
        <v>3746</v>
      </c>
      <c r="C2616" s="0" t="s">
        <v>7071</v>
      </c>
    </row>
    <row r="2617" customFormat="false" ht="15" hidden="false" customHeight="false" outlineLevel="0" collapsed="false">
      <c r="A2617" s="0" t="s">
        <v>8</v>
      </c>
      <c r="B2617" s="0" t="s">
        <v>3746</v>
      </c>
      <c r="C2617" s="0" t="s">
        <v>7072</v>
      </c>
    </row>
    <row r="2618" customFormat="false" ht="15" hidden="false" customHeight="false" outlineLevel="0" collapsed="false">
      <c r="A2618" s="0" t="s">
        <v>8</v>
      </c>
      <c r="B2618" s="0" t="s">
        <v>3749</v>
      </c>
      <c r="C2618" s="0" t="s">
        <v>7070</v>
      </c>
      <c r="D2618" s="0" t="n">
        <v>0.0405</v>
      </c>
    </row>
    <row r="2619" customFormat="false" ht="15" hidden="false" customHeight="false" outlineLevel="0" collapsed="false">
      <c r="A2619" s="0" t="s">
        <v>8</v>
      </c>
      <c r="B2619" s="0" t="s">
        <v>3749</v>
      </c>
      <c r="C2619" s="0" t="s">
        <v>7071</v>
      </c>
    </row>
    <row r="2620" customFormat="false" ht="15" hidden="false" customHeight="false" outlineLevel="0" collapsed="false">
      <c r="A2620" s="0" t="s">
        <v>8</v>
      </c>
      <c r="B2620" s="0" t="s">
        <v>3749</v>
      </c>
      <c r="C2620" s="0" t="s">
        <v>7072</v>
      </c>
    </row>
    <row r="2621" customFormat="false" ht="15" hidden="false" customHeight="false" outlineLevel="0" collapsed="false">
      <c r="A2621" s="0" t="s">
        <v>8</v>
      </c>
      <c r="B2621" s="0" t="s">
        <v>3752</v>
      </c>
      <c r="C2621" s="0" t="s">
        <v>7070</v>
      </c>
      <c r="D2621" s="0" t="n">
        <v>0.0086</v>
      </c>
    </row>
    <row r="2622" customFormat="false" ht="15" hidden="false" customHeight="false" outlineLevel="0" collapsed="false">
      <c r="A2622" s="0" t="s">
        <v>8</v>
      </c>
      <c r="B2622" s="0" t="s">
        <v>3752</v>
      </c>
      <c r="C2622" s="0" t="s">
        <v>7071</v>
      </c>
    </row>
    <row r="2623" customFormat="false" ht="15" hidden="false" customHeight="false" outlineLevel="0" collapsed="false">
      <c r="A2623" s="0" t="s">
        <v>8</v>
      </c>
      <c r="B2623" s="0" t="s">
        <v>3752</v>
      </c>
      <c r="C2623" s="0" t="s">
        <v>7072</v>
      </c>
    </row>
    <row r="2624" customFormat="false" ht="15" hidden="false" customHeight="false" outlineLevel="0" collapsed="false">
      <c r="A2624" s="0" t="s">
        <v>8</v>
      </c>
      <c r="B2624" s="0" t="s">
        <v>3755</v>
      </c>
      <c r="C2624" s="0" t="s">
        <v>7070</v>
      </c>
      <c r="D2624" s="0" t="n">
        <v>0.3988</v>
      </c>
    </row>
    <row r="2625" customFormat="false" ht="15" hidden="false" customHeight="false" outlineLevel="0" collapsed="false">
      <c r="A2625" s="0" t="s">
        <v>8</v>
      </c>
      <c r="B2625" s="0" t="s">
        <v>3755</v>
      </c>
      <c r="C2625" s="0" t="s">
        <v>7071</v>
      </c>
    </row>
    <row r="2626" customFormat="false" ht="15" hidden="false" customHeight="false" outlineLevel="0" collapsed="false">
      <c r="A2626" s="0" t="s">
        <v>8</v>
      </c>
      <c r="B2626" s="0" t="s">
        <v>3755</v>
      </c>
      <c r="C2626" s="0" t="s">
        <v>7072</v>
      </c>
    </row>
    <row r="2627" customFormat="false" ht="15" hidden="false" customHeight="false" outlineLevel="0" collapsed="false">
      <c r="A2627" s="0" t="s">
        <v>8</v>
      </c>
      <c r="B2627" s="0" t="s">
        <v>3758</v>
      </c>
      <c r="C2627" s="0" t="s">
        <v>7070</v>
      </c>
      <c r="D2627" s="0" t="n">
        <v>6620</v>
      </c>
    </row>
    <row r="2628" customFormat="false" ht="15" hidden="false" customHeight="false" outlineLevel="0" collapsed="false">
      <c r="A2628" s="0" t="s">
        <v>8</v>
      </c>
      <c r="B2628" s="0" t="s">
        <v>3758</v>
      </c>
      <c r="C2628" s="0" t="s">
        <v>7071</v>
      </c>
    </row>
    <row r="2629" customFormat="false" ht="15" hidden="false" customHeight="false" outlineLevel="0" collapsed="false">
      <c r="A2629" s="0" t="s">
        <v>8</v>
      </c>
      <c r="B2629" s="0" t="s">
        <v>3758</v>
      </c>
      <c r="C2629" s="0" t="s">
        <v>7072</v>
      </c>
    </row>
    <row r="2630" customFormat="false" ht="15" hidden="false" customHeight="false" outlineLevel="0" collapsed="false">
      <c r="A2630" s="0" t="s">
        <v>8</v>
      </c>
      <c r="B2630" s="0" t="s">
        <v>3764</v>
      </c>
      <c r="C2630" s="0" t="s">
        <v>7070</v>
      </c>
      <c r="D2630" s="0" t="n">
        <v>0.3165</v>
      </c>
    </row>
    <row r="2631" customFormat="false" ht="15" hidden="false" customHeight="false" outlineLevel="0" collapsed="false">
      <c r="A2631" s="0" t="s">
        <v>8</v>
      </c>
      <c r="B2631" s="0" t="s">
        <v>3764</v>
      </c>
      <c r="C2631" s="0" t="s">
        <v>7071</v>
      </c>
    </row>
    <row r="2632" customFormat="false" ht="15" hidden="false" customHeight="false" outlineLevel="0" collapsed="false">
      <c r="A2632" s="0" t="s">
        <v>8</v>
      </c>
      <c r="B2632" s="0" t="s">
        <v>3764</v>
      </c>
      <c r="C2632" s="0" t="s">
        <v>7072</v>
      </c>
    </row>
    <row r="2633" customFormat="false" ht="15" hidden="false" customHeight="false" outlineLevel="0" collapsed="false">
      <c r="A2633" s="0" t="s">
        <v>8</v>
      </c>
      <c r="B2633" s="0" t="s">
        <v>3769</v>
      </c>
      <c r="C2633" s="0" t="s">
        <v>7070</v>
      </c>
      <c r="D2633" s="0" t="n">
        <v>5.0676</v>
      </c>
    </row>
    <row r="2634" customFormat="false" ht="15" hidden="false" customHeight="false" outlineLevel="0" collapsed="false">
      <c r="A2634" s="0" t="s">
        <v>8</v>
      </c>
      <c r="B2634" s="0" t="s">
        <v>3769</v>
      </c>
      <c r="C2634" s="0" t="s">
        <v>7071</v>
      </c>
    </row>
    <row r="2635" customFormat="false" ht="15" hidden="false" customHeight="false" outlineLevel="0" collapsed="false">
      <c r="A2635" s="0" t="s">
        <v>8</v>
      </c>
      <c r="B2635" s="0" t="s">
        <v>3769</v>
      </c>
      <c r="C2635" s="0" t="s">
        <v>7072</v>
      </c>
    </row>
    <row r="2636" customFormat="false" ht="15" hidden="false" customHeight="false" outlineLevel="0" collapsed="false">
      <c r="A2636" s="0" t="s">
        <v>8</v>
      </c>
      <c r="B2636" s="0" t="s">
        <v>3772</v>
      </c>
      <c r="C2636" s="0" t="s">
        <v>7070</v>
      </c>
      <c r="D2636" s="0" t="n">
        <v>1.2596</v>
      </c>
    </row>
    <row r="2637" customFormat="false" ht="15" hidden="false" customHeight="false" outlineLevel="0" collapsed="false">
      <c r="A2637" s="0" t="s">
        <v>8</v>
      </c>
      <c r="B2637" s="0" t="s">
        <v>3772</v>
      </c>
      <c r="C2637" s="0" t="s">
        <v>7071</v>
      </c>
    </row>
    <row r="2638" customFormat="false" ht="15" hidden="false" customHeight="false" outlineLevel="0" collapsed="false">
      <c r="A2638" s="0" t="s">
        <v>8</v>
      </c>
      <c r="B2638" s="0" t="s">
        <v>3772</v>
      </c>
      <c r="C2638" s="0" t="s">
        <v>7072</v>
      </c>
    </row>
    <row r="2639" customFormat="false" ht="15" hidden="false" customHeight="false" outlineLevel="0" collapsed="false">
      <c r="A2639" s="0" t="s">
        <v>8</v>
      </c>
      <c r="B2639" s="0" t="s">
        <v>3775</v>
      </c>
      <c r="C2639" s="0" t="s">
        <v>7070</v>
      </c>
      <c r="D2639" s="0" t="n">
        <v>0.9839</v>
      </c>
    </row>
    <row r="2640" customFormat="false" ht="15" hidden="false" customHeight="false" outlineLevel="0" collapsed="false">
      <c r="A2640" s="0" t="s">
        <v>8</v>
      </c>
      <c r="B2640" s="0" t="s">
        <v>3775</v>
      </c>
      <c r="C2640" s="0" t="s">
        <v>7071</v>
      </c>
    </row>
    <row r="2641" customFormat="false" ht="15" hidden="false" customHeight="false" outlineLevel="0" collapsed="false">
      <c r="A2641" s="0" t="s">
        <v>8</v>
      </c>
      <c r="B2641" s="0" t="s">
        <v>3775</v>
      </c>
      <c r="C2641" s="0" t="s">
        <v>7072</v>
      </c>
    </row>
    <row r="2642" customFormat="false" ht="15" hidden="false" customHeight="false" outlineLevel="0" collapsed="false">
      <c r="A2642" s="0" t="s">
        <v>8</v>
      </c>
      <c r="B2642" s="0" t="s">
        <v>3778</v>
      </c>
      <c r="C2642" s="0" t="s">
        <v>7070</v>
      </c>
      <c r="D2642" s="0" t="n">
        <v>0.1274</v>
      </c>
    </row>
    <row r="2643" customFormat="false" ht="15" hidden="false" customHeight="false" outlineLevel="0" collapsed="false">
      <c r="A2643" s="0" t="s">
        <v>8</v>
      </c>
      <c r="B2643" s="0" t="s">
        <v>3778</v>
      </c>
      <c r="C2643" s="0" t="s">
        <v>7071</v>
      </c>
    </row>
    <row r="2644" customFormat="false" ht="15" hidden="false" customHeight="false" outlineLevel="0" collapsed="false">
      <c r="A2644" s="0" t="s">
        <v>8</v>
      </c>
      <c r="B2644" s="0" t="s">
        <v>3778</v>
      </c>
      <c r="C2644" s="0" t="s">
        <v>7072</v>
      </c>
    </row>
    <row r="2645" customFormat="false" ht="15" hidden="false" customHeight="false" outlineLevel="0" collapsed="false">
      <c r="A2645" s="0" t="s">
        <v>8</v>
      </c>
      <c r="B2645" s="0" t="s">
        <v>3781</v>
      </c>
      <c r="C2645" s="0" t="s">
        <v>7070</v>
      </c>
      <c r="D2645" s="0" t="n">
        <v>0</v>
      </c>
    </row>
    <row r="2646" customFormat="false" ht="15" hidden="false" customHeight="false" outlineLevel="0" collapsed="false">
      <c r="A2646" s="0" t="s">
        <v>8</v>
      </c>
      <c r="B2646" s="0" t="s">
        <v>3781</v>
      </c>
      <c r="C2646" s="0" t="s">
        <v>7071</v>
      </c>
    </row>
    <row r="2647" customFormat="false" ht="15" hidden="false" customHeight="false" outlineLevel="0" collapsed="false">
      <c r="A2647" s="0" t="s">
        <v>8</v>
      </c>
      <c r="B2647" s="0" t="s">
        <v>3781</v>
      </c>
      <c r="C2647" s="0" t="s">
        <v>7072</v>
      </c>
    </row>
    <row r="2648" customFormat="false" ht="15" hidden="false" customHeight="false" outlineLevel="0" collapsed="false">
      <c r="A2648" s="0" t="s">
        <v>8</v>
      </c>
      <c r="B2648" s="0" t="s">
        <v>3785</v>
      </c>
      <c r="C2648" s="0" t="s">
        <v>7070</v>
      </c>
      <c r="D2648" s="0" t="n">
        <v>0.0181</v>
      </c>
    </row>
    <row r="2649" customFormat="false" ht="15" hidden="false" customHeight="false" outlineLevel="0" collapsed="false">
      <c r="A2649" s="0" t="s">
        <v>8</v>
      </c>
      <c r="B2649" s="0" t="s">
        <v>3785</v>
      </c>
      <c r="C2649" s="0" t="s">
        <v>7071</v>
      </c>
    </row>
    <row r="2650" customFormat="false" ht="15" hidden="false" customHeight="false" outlineLevel="0" collapsed="false">
      <c r="A2650" s="0" t="s">
        <v>8</v>
      </c>
      <c r="B2650" s="0" t="s">
        <v>3785</v>
      </c>
      <c r="C2650" s="0" t="s">
        <v>7072</v>
      </c>
    </row>
    <row r="2651" customFormat="false" ht="15" hidden="false" customHeight="false" outlineLevel="0" collapsed="false">
      <c r="A2651" s="0" t="s">
        <v>8</v>
      </c>
      <c r="B2651" s="0" t="s">
        <v>3788</v>
      </c>
      <c r="C2651" s="0" t="s">
        <v>7070</v>
      </c>
      <c r="D2651" s="0" t="n">
        <v>0.068</v>
      </c>
    </row>
    <row r="2652" customFormat="false" ht="15" hidden="false" customHeight="false" outlineLevel="0" collapsed="false">
      <c r="A2652" s="0" t="s">
        <v>8</v>
      </c>
      <c r="B2652" s="0" t="s">
        <v>3788</v>
      </c>
      <c r="C2652" s="0" t="s">
        <v>7071</v>
      </c>
    </row>
    <row r="2653" customFormat="false" ht="15" hidden="false" customHeight="false" outlineLevel="0" collapsed="false">
      <c r="A2653" s="0" t="s">
        <v>8</v>
      </c>
      <c r="B2653" s="0" t="s">
        <v>3788</v>
      </c>
      <c r="C2653" s="0" t="s">
        <v>7072</v>
      </c>
    </row>
    <row r="2654" customFormat="false" ht="15" hidden="false" customHeight="false" outlineLevel="0" collapsed="false">
      <c r="A2654" s="0" t="s">
        <v>8</v>
      </c>
      <c r="B2654" s="0" t="s">
        <v>3791</v>
      </c>
      <c r="C2654" s="0" t="s">
        <v>7070</v>
      </c>
      <c r="D2654" s="0" t="n">
        <v>0.0615</v>
      </c>
    </row>
    <row r="2655" customFormat="false" ht="15" hidden="false" customHeight="false" outlineLevel="0" collapsed="false">
      <c r="A2655" s="0" t="s">
        <v>8</v>
      </c>
      <c r="B2655" s="0" t="s">
        <v>3791</v>
      </c>
      <c r="C2655" s="0" t="s">
        <v>7071</v>
      </c>
    </row>
    <row r="2656" customFormat="false" ht="15" hidden="false" customHeight="false" outlineLevel="0" collapsed="false">
      <c r="A2656" s="0" t="s">
        <v>8</v>
      </c>
      <c r="B2656" s="0" t="s">
        <v>3791</v>
      </c>
      <c r="C2656" s="0" t="s">
        <v>7072</v>
      </c>
    </row>
    <row r="2657" customFormat="false" ht="15" hidden="false" customHeight="false" outlineLevel="0" collapsed="false">
      <c r="A2657" s="0" t="s">
        <v>8</v>
      </c>
      <c r="B2657" s="0" t="s">
        <v>3794</v>
      </c>
      <c r="C2657" s="0" t="s">
        <v>7070</v>
      </c>
      <c r="D2657" s="0" t="n">
        <v>0.1117</v>
      </c>
    </row>
    <row r="2658" customFormat="false" ht="15" hidden="false" customHeight="false" outlineLevel="0" collapsed="false">
      <c r="A2658" s="0" t="s">
        <v>8</v>
      </c>
      <c r="B2658" s="0" t="s">
        <v>3794</v>
      </c>
      <c r="C2658" s="0" t="s">
        <v>7071</v>
      </c>
    </row>
    <row r="2659" customFormat="false" ht="15" hidden="false" customHeight="false" outlineLevel="0" collapsed="false">
      <c r="A2659" s="0" t="s">
        <v>8</v>
      </c>
      <c r="B2659" s="0" t="s">
        <v>3794</v>
      </c>
      <c r="C2659" s="0" t="s">
        <v>7072</v>
      </c>
    </row>
    <row r="2660" customFormat="false" ht="15" hidden="false" customHeight="false" outlineLevel="0" collapsed="false">
      <c r="A2660" s="0" t="s">
        <v>8</v>
      </c>
      <c r="B2660" s="0" t="s">
        <v>3797</v>
      </c>
      <c r="C2660" s="0" t="s">
        <v>7070</v>
      </c>
      <c r="D2660" s="0" t="n">
        <v>0.3165</v>
      </c>
    </row>
    <row r="2661" customFormat="false" ht="15" hidden="false" customHeight="false" outlineLevel="0" collapsed="false">
      <c r="A2661" s="0" t="s">
        <v>8</v>
      </c>
      <c r="B2661" s="0" t="s">
        <v>3797</v>
      </c>
      <c r="C2661" s="0" t="s">
        <v>7071</v>
      </c>
    </row>
    <row r="2662" customFormat="false" ht="15" hidden="false" customHeight="false" outlineLevel="0" collapsed="false">
      <c r="A2662" s="0" t="s">
        <v>8</v>
      </c>
      <c r="B2662" s="0" t="s">
        <v>3797</v>
      </c>
      <c r="C2662" s="0" t="s">
        <v>7072</v>
      </c>
    </row>
    <row r="2663" customFormat="false" ht="15" hidden="false" customHeight="false" outlineLevel="0" collapsed="false">
      <c r="A2663" s="0" t="s">
        <v>8</v>
      </c>
      <c r="B2663" s="0" t="s">
        <v>3801</v>
      </c>
      <c r="C2663" s="0" t="s">
        <v>7070</v>
      </c>
      <c r="D2663" s="0" t="n">
        <v>5.0857</v>
      </c>
    </row>
    <row r="2664" customFormat="false" ht="15" hidden="false" customHeight="false" outlineLevel="0" collapsed="false">
      <c r="A2664" s="0" t="s">
        <v>8</v>
      </c>
      <c r="B2664" s="0" t="s">
        <v>3801</v>
      </c>
      <c r="C2664" s="0" t="s">
        <v>7071</v>
      </c>
    </row>
    <row r="2665" customFormat="false" ht="15" hidden="false" customHeight="false" outlineLevel="0" collapsed="false">
      <c r="A2665" s="0" t="s">
        <v>8</v>
      </c>
      <c r="B2665" s="0" t="s">
        <v>3801</v>
      </c>
      <c r="C2665" s="0" t="s">
        <v>7072</v>
      </c>
    </row>
    <row r="2666" customFormat="false" ht="15" hidden="false" customHeight="false" outlineLevel="0" collapsed="false">
      <c r="A2666" s="0" t="s">
        <v>8</v>
      </c>
      <c r="B2666" s="0" t="s">
        <v>3804</v>
      </c>
      <c r="C2666" s="0" t="s">
        <v>7070</v>
      </c>
      <c r="D2666" s="0" t="n">
        <v>1.3276</v>
      </c>
    </row>
    <row r="2667" customFormat="false" ht="15" hidden="false" customHeight="false" outlineLevel="0" collapsed="false">
      <c r="A2667" s="0" t="s">
        <v>8</v>
      </c>
      <c r="B2667" s="0" t="s">
        <v>3804</v>
      </c>
      <c r="C2667" s="0" t="s">
        <v>7071</v>
      </c>
    </row>
    <row r="2668" customFormat="false" ht="15" hidden="false" customHeight="false" outlineLevel="0" collapsed="false">
      <c r="A2668" s="0" t="s">
        <v>8</v>
      </c>
      <c r="B2668" s="0" t="s">
        <v>3804</v>
      </c>
      <c r="C2668" s="0" t="s">
        <v>7072</v>
      </c>
    </row>
    <row r="2669" customFormat="false" ht="15" hidden="false" customHeight="false" outlineLevel="0" collapsed="false">
      <c r="A2669" s="0" t="s">
        <v>8</v>
      </c>
      <c r="B2669" s="0" t="s">
        <v>3807</v>
      </c>
      <c r="C2669" s="0" t="s">
        <v>7070</v>
      </c>
      <c r="D2669" s="0" t="n">
        <v>1.0454</v>
      </c>
    </row>
    <row r="2670" customFormat="false" ht="15" hidden="false" customHeight="false" outlineLevel="0" collapsed="false">
      <c r="A2670" s="0" t="s">
        <v>8</v>
      </c>
      <c r="B2670" s="0" t="s">
        <v>3807</v>
      </c>
      <c r="C2670" s="0" t="s">
        <v>7071</v>
      </c>
    </row>
    <row r="2671" customFormat="false" ht="15" hidden="false" customHeight="false" outlineLevel="0" collapsed="false">
      <c r="A2671" s="0" t="s">
        <v>8</v>
      </c>
      <c r="B2671" s="0" t="s">
        <v>3807</v>
      </c>
      <c r="C2671" s="0" t="s">
        <v>7072</v>
      </c>
    </row>
    <row r="2672" customFormat="false" ht="15" hidden="false" customHeight="false" outlineLevel="0" collapsed="false">
      <c r="A2672" s="0" t="s">
        <v>8</v>
      </c>
      <c r="B2672" s="0" t="s">
        <v>3810</v>
      </c>
      <c r="C2672" s="0" t="s">
        <v>7070</v>
      </c>
      <c r="D2672" s="0" t="n">
        <v>0.2391</v>
      </c>
    </row>
    <row r="2673" customFormat="false" ht="15" hidden="false" customHeight="false" outlineLevel="0" collapsed="false">
      <c r="A2673" s="0" t="s">
        <v>8</v>
      </c>
      <c r="B2673" s="0" t="s">
        <v>3810</v>
      </c>
      <c r="C2673" s="0" t="s">
        <v>7071</v>
      </c>
    </row>
    <row r="2674" customFormat="false" ht="15" hidden="false" customHeight="false" outlineLevel="0" collapsed="false">
      <c r="A2674" s="0" t="s">
        <v>8</v>
      </c>
      <c r="B2674" s="0" t="s">
        <v>3810</v>
      </c>
      <c r="C2674" s="0" t="s">
        <v>7072</v>
      </c>
    </row>
    <row r="2675" customFormat="false" ht="15" hidden="false" customHeight="false" outlineLevel="0" collapsed="false">
      <c r="A2675" s="0" t="s">
        <v>8</v>
      </c>
      <c r="B2675" s="0" t="s">
        <v>3813</v>
      </c>
      <c r="C2675" s="0" t="s">
        <v>7070</v>
      </c>
      <c r="D2675" s="0" t="n">
        <v>0.3165</v>
      </c>
    </row>
    <row r="2676" customFormat="false" ht="15" hidden="false" customHeight="false" outlineLevel="0" collapsed="false">
      <c r="A2676" s="0" t="s">
        <v>8</v>
      </c>
      <c r="B2676" s="0" t="s">
        <v>3813</v>
      </c>
      <c r="C2676" s="0" t="s">
        <v>7071</v>
      </c>
    </row>
    <row r="2677" customFormat="false" ht="15" hidden="false" customHeight="false" outlineLevel="0" collapsed="false">
      <c r="A2677" s="0" t="s">
        <v>8</v>
      </c>
      <c r="B2677" s="0" t="s">
        <v>3813</v>
      </c>
      <c r="C2677" s="0" t="s">
        <v>7072</v>
      </c>
    </row>
    <row r="2678" customFormat="false" ht="15" hidden="false" customHeight="false" outlineLevel="0" collapsed="false">
      <c r="A2678" s="0" t="s">
        <v>8</v>
      </c>
      <c r="B2678" s="0" t="s">
        <v>3818</v>
      </c>
      <c r="C2678" s="0" t="s">
        <v>7070</v>
      </c>
      <c r="D2678" s="0" t="n">
        <v>5.0046</v>
      </c>
    </row>
    <row r="2679" customFormat="false" ht="15" hidden="false" customHeight="false" outlineLevel="0" collapsed="false">
      <c r="A2679" s="0" t="s">
        <v>8</v>
      </c>
      <c r="B2679" s="0" t="s">
        <v>3818</v>
      </c>
      <c r="C2679" s="0" t="s">
        <v>7071</v>
      </c>
    </row>
    <row r="2680" customFormat="false" ht="15" hidden="false" customHeight="false" outlineLevel="0" collapsed="false">
      <c r="A2680" s="0" t="s">
        <v>8</v>
      </c>
      <c r="B2680" s="0" t="s">
        <v>3818</v>
      </c>
      <c r="C2680" s="0" t="s">
        <v>7072</v>
      </c>
    </row>
    <row r="2681" customFormat="false" ht="15" hidden="false" customHeight="false" outlineLevel="0" collapsed="false">
      <c r="A2681" s="0" t="s">
        <v>8</v>
      </c>
      <c r="B2681" s="0" t="s">
        <v>3821</v>
      </c>
      <c r="C2681" s="0" t="s">
        <v>7070</v>
      </c>
      <c r="D2681" s="0" t="n">
        <v>1.176</v>
      </c>
    </row>
    <row r="2682" customFormat="false" ht="15" hidden="false" customHeight="false" outlineLevel="0" collapsed="false">
      <c r="A2682" s="0" t="s">
        <v>8</v>
      </c>
      <c r="B2682" s="0" t="s">
        <v>3821</v>
      </c>
      <c r="C2682" s="0" t="s">
        <v>7071</v>
      </c>
    </row>
    <row r="2683" customFormat="false" ht="15" hidden="false" customHeight="false" outlineLevel="0" collapsed="false">
      <c r="A2683" s="0" t="s">
        <v>8</v>
      </c>
      <c r="B2683" s="0" t="s">
        <v>3821</v>
      </c>
      <c r="C2683" s="0" t="s">
        <v>7072</v>
      </c>
    </row>
    <row r="2684" customFormat="false" ht="15" hidden="false" customHeight="false" outlineLevel="0" collapsed="false">
      <c r="A2684" s="0" t="s">
        <v>8</v>
      </c>
      <c r="B2684" s="0" t="s">
        <v>3824</v>
      </c>
      <c r="C2684" s="0" t="s">
        <v>7070</v>
      </c>
      <c r="D2684" s="0" t="n">
        <v>0.0529</v>
      </c>
    </row>
    <row r="2685" customFormat="false" ht="15" hidden="false" customHeight="false" outlineLevel="0" collapsed="false">
      <c r="A2685" s="0" t="s">
        <v>8</v>
      </c>
      <c r="B2685" s="0" t="s">
        <v>3824</v>
      </c>
      <c r="C2685" s="0" t="s">
        <v>7071</v>
      </c>
    </row>
    <row r="2686" customFormat="false" ht="15" hidden="false" customHeight="false" outlineLevel="0" collapsed="false">
      <c r="A2686" s="0" t="s">
        <v>8</v>
      </c>
      <c r="B2686" s="0" t="s">
        <v>3824</v>
      </c>
      <c r="C2686" s="0" t="s">
        <v>7072</v>
      </c>
    </row>
    <row r="2687" customFormat="false" ht="15" hidden="false" customHeight="false" outlineLevel="0" collapsed="false">
      <c r="A2687" s="0" t="s">
        <v>8</v>
      </c>
      <c r="B2687" s="0" t="s">
        <v>3827</v>
      </c>
      <c r="C2687" s="0" t="s">
        <v>7070</v>
      </c>
      <c r="D2687" s="0" t="n">
        <v>0.2394</v>
      </c>
    </row>
    <row r="2688" customFormat="false" ht="15" hidden="false" customHeight="false" outlineLevel="0" collapsed="false">
      <c r="A2688" s="0" t="s">
        <v>8</v>
      </c>
      <c r="B2688" s="0" t="s">
        <v>3827</v>
      </c>
      <c r="C2688" s="0" t="s">
        <v>7071</v>
      </c>
    </row>
    <row r="2689" customFormat="false" ht="15" hidden="false" customHeight="false" outlineLevel="0" collapsed="false">
      <c r="A2689" s="0" t="s">
        <v>8</v>
      </c>
      <c r="B2689" s="0" t="s">
        <v>3827</v>
      </c>
      <c r="C2689" s="0" t="s">
        <v>7072</v>
      </c>
    </row>
    <row r="2690" customFormat="false" ht="15" hidden="false" customHeight="false" outlineLevel="0" collapsed="false">
      <c r="A2690" s="0" t="s">
        <v>8</v>
      </c>
      <c r="B2690" s="0" t="s">
        <v>3831</v>
      </c>
      <c r="C2690" s="0" t="s">
        <v>7070</v>
      </c>
      <c r="D2690" s="0" t="n">
        <v>2.947</v>
      </c>
    </row>
    <row r="2691" customFormat="false" ht="15" hidden="false" customHeight="false" outlineLevel="0" collapsed="false">
      <c r="A2691" s="0" t="s">
        <v>8</v>
      </c>
      <c r="B2691" s="0" t="s">
        <v>3831</v>
      </c>
      <c r="C2691" s="0" t="s">
        <v>7071</v>
      </c>
    </row>
    <row r="2692" customFormat="false" ht="15" hidden="false" customHeight="false" outlineLevel="0" collapsed="false">
      <c r="A2692" s="0" t="s">
        <v>8</v>
      </c>
      <c r="B2692" s="0" t="s">
        <v>3831</v>
      </c>
      <c r="C2692" s="0" t="s">
        <v>7072</v>
      </c>
    </row>
    <row r="2693" customFormat="false" ht="15" hidden="false" customHeight="false" outlineLevel="0" collapsed="false">
      <c r="A2693" s="0" t="s">
        <v>8</v>
      </c>
      <c r="B2693" s="0" t="s">
        <v>3834</v>
      </c>
      <c r="C2693" s="0" t="s">
        <v>7070</v>
      </c>
      <c r="D2693" s="0" t="n">
        <v>3.3709</v>
      </c>
    </row>
    <row r="2694" customFormat="false" ht="15" hidden="false" customHeight="false" outlineLevel="0" collapsed="false">
      <c r="A2694" s="0" t="s">
        <v>8</v>
      </c>
      <c r="B2694" s="0" t="s">
        <v>3834</v>
      </c>
      <c r="C2694" s="0" t="s">
        <v>7071</v>
      </c>
    </row>
    <row r="2695" customFormat="false" ht="15" hidden="false" customHeight="false" outlineLevel="0" collapsed="false">
      <c r="A2695" s="0" t="s">
        <v>8</v>
      </c>
      <c r="B2695" s="0" t="s">
        <v>3834</v>
      </c>
      <c r="C2695" s="0" t="s">
        <v>7072</v>
      </c>
    </row>
    <row r="2696" customFormat="false" ht="15" hidden="false" customHeight="false" outlineLevel="0" collapsed="false">
      <c r="A2696" s="0" t="s">
        <v>8</v>
      </c>
      <c r="B2696" s="0" t="s">
        <v>3837</v>
      </c>
      <c r="C2696" s="0" t="s">
        <v>7070</v>
      </c>
      <c r="D2696" s="0" t="n">
        <v>0.344</v>
      </c>
    </row>
    <row r="2697" customFormat="false" ht="15" hidden="false" customHeight="false" outlineLevel="0" collapsed="false">
      <c r="A2697" s="0" t="s">
        <v>8</v>
      </c>
      <c r="B2697" s="0" t="s">
        <v>3837</v>
      </c>
      <c r="C2697" s="0" t="s">
        <v>7071</v>
      </c>
    </row>
    <row r="2698" customFormat="false" ht="15" hidden="false" customHeight="false" outlineLevel="0" collapsed="false">
      <c r="A2698" s="0" t="s">
        <v>8</v>
      </c>
      <c r="B2698" s="0" t="s">
        <v>3837</v>
      </c>
      <c r="C2698" s="0" t="s">
        <v>7072</v>
      </c>
    </row>
    <row r="2699" customFormat="false" ht="15" hidden="false" customHeight="false" outlineLevel="0" collapsed="false">
      <c r="A2699" s="0" t="s">
        <v>8</v>
      </c>
      <c r="B2699" s="0" t="s">
        <v>3840</v>
      </c>
      <c r="C2699" s="0" t="s">
        <v>7070</v>
      </c>
      <c r="D2699" s="0" t="n">
        <v>0.5559</v>
      </c>
    </row>
    <row r="2700" customFormat="false" ht="15" hidden="false" customHeight="false" outlineLevel="0" collapsed="false">
      <c r="A2700" s="0" t="s">
        <v>8</v>
      </c>
      <c r="B2700" s="0" t="s">
        <v>3840</v>
      </c>
      <c r="C2700" s="0" t="s">
        <v>7071</v>
      </c>
    </row>
    <row r="2701" customFormat="false" ht="15" hidden="false" customHeight="false" outlineLevel="0" collapsed="false">
      <c r="A2701" s="0" t="s">
        <v>8</v>
      </c>
      <c r="B2701" s="0" t="s">
        <v>3840</v>
      </c>
      <c r="C2701" s="0" t="s">
        <v>7072</v>
      </c>
    </row>
    <row r="2702" customFormat="false" ht="15" hidden="false" customHeight="false" outlineLevel="0" collapsed="false">
      <c r="A2702" s="0" t="s">
        <v>8</v>
      </c>
      <c r="B2702" s="0" t="s">
        <v>3844</v>
      </c>
      <c r="C2702" s="0" t="s">
        <v>7070</v>
      </c>
      <c r="D2702" s="0" t="n">
        <v>8.1428</v>
      </c>
    </row>
    <row r="2703" customFormat="false" ht="15" hidden="false" customHeight="false" outlineLevel="0" collapsed="false">
      <c r="A2703" s="0" t="s">
        <v>8</v>
      </c>
      <c r="B2703" s="0" t="s">
        <v>3844</v>
      </c>
      <c r="C2703" s="0" t="s">
        <v>7071</v>
      </c>
    </row>
    <row r="2704" customFormat="false" ht="15" hidden="false" customHeight="false" outlineLevel="0" collapsed="false">
      <c r="A2704" s="0" t="s">
        <v>8</v>
      </c>
      <c r="B2704" s="0" t="s">
        <v>3844</v>
      </c>
      <c r="C2704" s="0" t="s">
        <v>7072</v>
      </c>
    </row>
    <row r="2705" customFormat="false" ht="15" hidden="false" customHeight="false" outlineLevel="0" collapsed="false">
      <c r="A2705" s="0" t="s">
        <v>8</v>
      </c>
      <c r="B2705" s="0" t="s">
        <v>3847</v>
      </c>
      <c r="C2705" s="0" t="s">
        <v>7070</v>
      </c>
      <c r="D2705" s="0" t="n">
        <v>4.5555</v>
      </c>
    </row>
    <row r="2706" customFormat="false" ht="15" hidden="false" customHeight="false" outlineLevel="0" collapsed="false">
      <c r="A2706" s="0" t="s">
        <v>8</v>
      </c>
      <c r="B2706" s="0" t="s">
        <v>3847</v>
      </c>
      <c r="C2706" s="0" t="s">
        <v>7071</v>
      </c>
    </row>
    <row r="2707" customFormat="false" ht="15" hidden="false" customHeight="false" outlineLevel="0" collapsed="false">
      <c r="A2707" s="0" t="s">
        <v>8</v>
      </c>
      <c r="B2707" s="0" t="s">
        <v>3847</v>
      </c>
      <c r="C2707" s="0" t="s">
        <v>7072</v>
      </c>
    </row>
    <row r="2708" customFormat="false" ht="15" hidden="false" customHeight="false" outlineLevel="0" collapsed="false">
      <c r="A2708" s="0" t="s">
        <v>8</v>
      </c>
      <c r="B2708" s="0" t="s">
        <v>3850</v>
      </c>
      <c r="C2708" s="0" t="s">
        <v>7070</v>
      </c>
      <c r="D2708" s="0" t="n">
        <v>0.4249</v>
      </c>
    </row>
    <row r="2709" customFormat="false" ht="15" hidden="false" customHeight="false" outlineLevel="0" collapsed="false">
      <c r="A2709" s="0" t="s">
        <v>8</v>
      </c>
      <c r="B2709" s="0" t="s">
        <v>3850</v>
      </c>
      <c r="C2709" s="0" t="s">
        <v>7071</v>
      </c>
    </row>
    <row r="2710" customFormat="false" ht="15" hidden="false" customHeight="false" outlineLevel="0" collapsed="false">
      <c r="A2710" s="0" t="s">
        <v>8</v>
      </c>
      <c r="B2710" s="0" t="s">
        <v>3850</v>
      </c>
      <c r="C2710" s="0" t="s">
        <v>7072</v>
      </c>
    </row>
    <row r="2711" customFormat="false" ht="15" hidden="false" customHeight="false" outlineLevel="0" collapsed="false">
      <c r="A2711" s="0" t="s">
        <v>8</v>
      </c>
      <c r="B2711" s="0" t="s">
        <v>3853</v>
      </c>
      <c r="C2711" s="0" t="s">
        <v>7070</v>
      </c>
      <c r="D2711" s="0" t="n">
        <v>2.2464</v>
      </c>
    </row>
    <row r="2712" customFormat="false" ht="15" hidden="false" customHeight="false" outlineLevel="0" collapsed="false">
      <c r="A2712" s="0" t="s">
        <v>8</v>
      </c>
      <c r="B2712" s="0" t="s">
        <v>3853</v>
      </c>
      <c r="C2712" s="0" t="s">
        <v>7071</v>
      </c>
    </row>
    <row r="2713" customFormat="false" ht="15" hidden="false" customHeight="false" outlineLevel="0" collapsed="false">
      <c r="A2713" s="0" t="s">
        <v>8</v>
      </c>
      <c r="B2713" s="0" t="s">
        <v>3853</v>
      </c>
      <c r="C2713" s="0" t="s">
        <v>7072</v>
      </c>
    </row>
    <row r="2714" customFormat="false" ht="15" hidden="false" customHeight="false" outlineLevel="0" collapsed="false">
      <c r="A2714" s="0" t="s">
        <v>8</v>
      </c>
      <c r="B2714" s="0" t="s">
        <v>3857</v>
      </c>
      <c r="C2714" s="0" t="s">
        <v>7070</v>
      </c>
      <c r="D2714" s="0" t="n">
        <v>0.0001</v>
      </c>
    </row>
    <row r="2715" customFormat="false" ht="15" hidden="false" customHeight="false" outlineLevel="0" collapsed="false">
      <c r="A2715" s="0" t="s">
        <v>8</v>
      </c>
      <c r="B2715" s="0" t="s">
        <v>3857</v>
      </c>
      <c r="C2715" s="0" t="s">
        <v>7071</v>
      </c>
    </row>
    <row r="2716" customFormat="false" ht="15" hidden="false" customHeight="false" outlineLevel="0" collapsed="false">
      <c r="A2716" s="0" t="s">
        <v>8</v>
      </c>
      <c r="B2716" s="0" t="s">
        <v>3857</v>
      </c>
      <c r="C2716" s="0" t="s">
        <v>7072</v>
      </c>
    </row>
    <row r="2717" customFormat="false" ht="15" hidden="false" customHeight="false" outlineLevel="0" collapsed="false">
      <c r="A2717" s="0" t="s">
        <v>8</v>
      </c>
      <c r="B2717" s="0" t="s">
        <v>3861</v>
      </c>
      <c r="C2717" s="0" t="s">
        <v>7070</v>
      </c>
      <c r="D2717" s="0" t="n">
        <v>0</v>
      </c>
    </row>
    <row r="2718" customFormat="false" ht="15" hidden="false" customHeight="false" outlineLevel="0" collapsed="false">
      <c r="A2718" s="0" t="s">
        <v>8</v>
      </c>
      <c r="B2718" s="0" t="s">
        <v>3861</v>
      </c>
      <c r="C2718" s="0" t="s">
        <v>7071</v>
      </c>
    </row>
    <row r="2719" customFormat="false" ht="15" hidden="false" customHeight="false" outlineLevel="0" collapsed="false">
      <c r="A2719" s="0" t="s">
        <v>8</v>
      </c>
      <c r="B2719" s="0" t="s">
        <v>3861</v>
      </c>
      <c r="C2719" s="0" t="s">
        <v>7072</v>
      </c>
    </row>
    <row r="2720" customFormat="false" ht="15" hidden="false" customHeight="false" outlineLevel="0" collapsed="false">
      <c r="A2720" s="0" t="s">
        <v>8</v>
      </c>
      <c r="B2720" s="0" t="s">
        <v>3864</v>
      </c>
      <c r="C2720" s="0" t="s">
        <v>7070</v>
      </c>
      <c r="D2720" s="0" t="n">
        <v>1.146</v>
      </c>
    </row>
    <row r="2721" customFormat="false" ht="15" hidden="false" customHeight="false" outlineLevel="0" collapsed="false">
      <c r="A2721" s="0" t="s">
        <v>8</v>
      </c>
      <c r="B2721" s="0" t="s">
        <v>3864</v>
      </c>
      <c r="C2721" s="0" t="s">
        <v>7071</v>
      </c>
    </row>
    <row r="2722" customFormat="false" ht="15" hidden="false" customHeight="false" outlineLevel="0" collapsed="false">
      <c r="A2722" s="0" t="s">
        <v>8</v>
      </c>
      <c r="B2722" s="0" t="s">
        <v>3864</v>
      </c>
      <c r="C2722" s="0" t="s">
        <v>7072</v>
      </c>
    </row>
    <row r="2723" customFormat="false" ht="15" hidden="false" customHeight="false" outlineLevel="0" collapsed="false">
      <c r="A2723" s="0" t="s">
        <v>8</v>
      </c>
      <c r="B2723" s="0" t="s">
        <v>3867</v>
      </c>
      <c r="C2723" s="0" t="s">
        <v>7070</v>
      </c>
      <c r="D2723" s="0" t="n">
        <v>0</v>
      </c>
    </row>
    <row r="2724" customFormat="false" ht="15" hidden="false" customHeight="false" outlineLevel="0" collapsed="false">
      <c r="A2724" s="0" t="s">
        <v>8</v>
      </c>
      <c r="B2724" s="0" t="s">
        <v>3867</v>
      </c>
      <c r="C2724" s="0" t="s">
        <v>7071</v>
      </c>
    </row>
    <row r="2725" customFormat="false" ht="15" hidden="false" customHeight="false" outlineLevel="0" collapsed="false">
      <c r="A2725" s="0" t="s">
        <v>8</v>
      </c>
      <c r="B2725" s="0" t="s">
        <v>3867</v>
      </c>
      <c r="C2725" s="0" t="s">
        <v>7072</v>
      </c>
    </row>
    <row r="2726" customFormat="false" ht="15" hidden="false" customHeight="false" outlineLevel="0" collapsed="false">
      <c r="A2726" s="0" t="s">
        <v>8</v>
      </c>
      <c r="B2726" s="0" t="s">
        <v>3869</v>
      </c>
      <c r="C2726" s="0" t="s">
        <v>7070</v>
      </c>
      <c r="D2726" s="0" t="n">
        <v>0.0001</v>
      </c>
    </row>
    <row r="2727" customFormat="false" ht="15" hidden="false" customHeight="false" outlineLevel="0" collapsed="false">
      <c r="A2727" s="0" t="s">
        <v>8</v>
      </c>
      <c r="B2727" s="0" t="s">
        <v>3869</v>
      </c>
      <c r="C2727" s="0" t="s">
        <v>7071</v>
      </c>
    </row>
    <row r="2728" customFormat="false" ht="15" hidden="false" customHeight="false" outlineLevel="0" collapsed="false">
      <c r="A2728" s="0" t="s">
        <v>8</v>
      </c>
      <c r="B2728" s="0" t="s">
        <v>3869</v>
      </c>
      <c r="C2728" s="0" t="s">
        <v>7072</v>
      </c>
    </row>
    <row r="2729" customFormat="false" ht="15" hidden="false" customHeight="false" outlineLevel="0" collapsed="false">
      <c r="A2729" s="0" t="s">
        <v>8</v>
      </c>
      <c r="B2729" s="0" t="s">
        <v>3872</v>
      </c>
      <c r="C2729" s="0" t="s">
        <v>7070</v>
      </c>
      <c r="D2729" s="0" t="n">
        <v>0.4142</v>
      </c>
    </row>
    <row r="2730" customFormat="false" ht="15" hidden="false" customHeight="false" outlineLevel="0" collapsed="false">
      <c r="A2730" s="0" t="s">
        <v>8</v>
      </c>
      <c r="B2730" s="0" t="s">
        <v>3872</v>
      </c>
      <c r="C2730" s="0" t="s">
        <v>7071</v>
      </c>
    </row>
    <row r="2731" customFormat="false" ht="15" hidden="false" customHeight="false" outlineLevel="0" collapsed="false">
      <c r="A2731" s="0" t="s">
        <v>8</v>
      </c>
      <c r="B2731" s="0" t="s">
        <v>3872</v>
      </c>
      <c r="C2731" s="0" t="s">
        <v>7072</v>
      </c>
    </row>
    <row r="2732" customFormat="false" ht="15" hidden="false" customHeight="false" outlineLevel="0" collapsed="false">
      <c r="A2732" s="0" t="s">
        <v>8</v>
      </c>
      <c r="B2732" s="0" t="s">
        <v>3877</v>
      </c>
      <c r="C2732" s="0" t="s">
        <v>7070</v>
      </c>
      <c r="D2732" s="0" t="n">
        <v>7.8754</v>
      </c>
    </row>
    <row r="2733" customFormat="false" ht="15" hidden="false" customHeight="false" outlineLevel="0" collapsed="false">
      <c r="A2733" s="0" t="s">
        <v>8</v>
      </c>
      <c r="B2733" s="0" t="s">
        <v>3877</v>
      </c>
      <c r="C2733" s="0" t="s">
        <v>7071</v>
      </c>
    </row>
    <row r="2734" customFormat="false" ht="15" hidden="false" customHeight="false" outlineLevel="0" collapsed="false">
      <c r="A2734" s="0" t="s">
        <v>8</v>
      </c>
      <c r="B2734" s="0" t="s">
        <v>3877</v>
      </c>
      <c r="C2734" s="0" t="s">
        <v>7072</v>
      </c>
    </row>
    <row r="2735" customFormat="false" ht="15" hidden="false" customHeight="false" outlineLevel="0" collapsed="false">
      <c r="A2735" s="0" t="s">
        <v>8</v>
      </c>
      <c r="B2735" s="0" t="s">
        <v>3880</v>
      </c>
      <c r="C2735" s="0" t="s">
        <v>7070</v>
      </c>
      <c r="D2735" s="0" t="n">
        <v>8.6636</v>
      </c>
    </row>
    <row r="2736" customFormat="false" ht="15" hidden="false" customHeight="false" outlineLevel="0" collapsed="false">
      <c r="A2736" s="0" t="s">
        <v>8</v>
      </c>
      <c r="B2736" s="0" t="s">
        <v>3880</v>
      </c>
      <c r="C2736" s="0" t="s">
        <v>7071</v>
      </c>
    </row>
    <row r="2737" customFormat="false" ht="15" hidden="false" customHeight="false" outlineLevel="0" collapsed="false">
      <c r="A2737" s="0" t="s">
        <v>8</v>
      </c>
      <c r="B2737" s="0" t="s">
        <v>3880</v>
      </c>
      <c r="C2737" s="0" t="s">
        <v>7072</v>
      </c>
    </row>
    <row r="2738" customFormat="false" ht="15" hidden="false" customHeight="false" outlineLevel="0" collapsed="false">
      <c r="A2738" s="0" t="s">
        <v>8</v>
      </c>
      <c r="B2738" s="0" t="s">
        <v>3883</v>
      </c>
      <c r="C2738" s="0" t="s">
        <v>7070</v>
      </c>
      <c r="D2738" s="0" t="n">
        <v>7.7262</v>
      </c>
    </row>
    <row r="2739" customFormat="false" ht="15" hidden="false" customHeight="false" outlineLevel="0" collapsed="false">
      <c r="A2739" s="0" t="s">
        <v>8</v>
      </c>
      <c r="B2739" s="0" t="s">
        <v>3883</v>
      </c>
      <c r="C2739" s="0" t="s">
        <v>7071</v>
      </c>
    </row>
    <row r="2740" customFormat="false" ht="15" hidden="false" customHeight="false" outlineLevel="0" collapsed="false">
      <c r="A2740" s="0" t="s">
        <v>8</v>
      </c>
      <c r="B2740" s="0" t="s">
        <v>3883</v>
      </c>
      <c r="C2740" s="0" t="s">
        <v>7072</v>
      </c>
    </row>
    <row r="2741" customFormat="false" ht="15" hidden="false" customHeight="false" outlineLevel="0" collapsed="false">
      <c r="A2741" s="0" t="s">
        <v>8</v>
      </c>
      <c r="B2741" s="0" t="s">
        <v>3886</v>
      </c>
      <c r="C2741" s="0" t="s">
        <v>7070</v>
      </c>
      <c r="D2741" s="0" t="n">
        <v>0.2945</v>
      </c>
    </row>
    <row r="2742" customFormat="false" ht="15" hidden="false" customHeight="false" outlineLevel="0" collapsed="false">
      <c r="A2742" s="0" t="s">
        <v>8</v>
      </c>
      <c r="B2742" s="0" t="s">
        <v>3886</v>
      </c>
      <c r="C2742" s="0" t="s">
        <v>7071</v>
      </c>
    </row>
    <row r="2743" customFormat="false" ht="15" hidden="false" customHeight="false" outlineLevel="0" collapsed="false">
      <c r="A2743" s="0" t="s">
        <v>8</v>
      </c>
      <c r="B2743" s="0" t="s">
        <v>3886</v>
      </c>
      <c r="C2743" s="0" t="s">
        <v>7072</v>
      </c>
    </row>
    <row r="2744" customFormat="false" ht="15" hidden="false" customHeight="false" outlineLevel="0" collapsed="false">
      <c r="A2744" s="0" t="s">
        <v>8</v>
      </c>
      <c r="B2744" s="0" t="s">
        <v>3890</v>
      </c>
      <c r="C2744" s="0" t="s">
        <v>7070</v>
      </c>
      <c r="D2744" s="0" t="n">
        <v>5.1135</v>
      </c>
    </row>
    <row r="2745" customFormat="false" ht="15" hidden="false" customHeight="false" outlineLevel="0" collapsed="false">
      <c r="A2745" s="0" t="s">
        <v>8</v>
      </c>
      <c r="B2745" s="0" t="s">
        <v>3890</v>
      </c>
      <c r="C2745" s="0" t="s">
        <v>7071</v>
      </c>
    </row>
    <row r="2746" customFormat="false" ht="15" hidden="false" customHeight="false" outlineLevel="0" collapsed="false">
      <c r="A2746" s="0" t="s">
        <v>8</v>
      </c>
      <c r="B2746" s="0" t="s">
        <v>3890</v>
      </c>
      <c r="C2746" s="0" t="s">
        <v>7072</v>
      </c>
    </row>
    <row r="2747" customFormat="false" ht="15" hidden="false" customHeight="false" outlineLevel="0" collapsed="false">
      <c r="A2747" s="0" t="s">
        <v>8</v>
      </c>
      <c r="B2747" s="0" t="s">
        <v>3893</v>
      </c>
      <c r="C2747" s="0" t="s">
        <v>7070</v>
      </c>
      <c r="D2747" s="0" t="n">
        <v>2.2813</v>
      </c>
    </row>
    <row r="2748" customFormat="false" ht="15" hidden="false" customHeight="false" outlineLevel="0" collapsed="false">
      <c r="A2748" s="0" t="s">
        <v>8</v>
      </c>
      <c r="B2748" s="0" t="s">
        <v>3893</v>
      </c>
      <c r="C2748" s="0" t="s">
        <v>7071</v>
      </c>
    </row>
    <row r="2749" customFormat="false" ht="15" hidden="false" customHeight="false" outlineLevel="0" collapsed="false">
      <c r="A2749" s="0" t="s">
        <v>8</v>
      </c>
      <c r="B2749" s="0" t="s">
        <v>3893</v>
      </c>
      <c r="C2749" s="0" t="s">
        <v>7072</v>
      </c>
    </row>
    <row r="2750" customFormat="false" ht="15" hidden="false" customHeight="false" outlineLevel="0" collapsed="false">
      <c r="A2750" s="0" t="s">
        <v>8</v>
      </c>
      <c r="B2750" s="0" t="s">
        <v>3896</v>
      </c>
      <c r="C2750" s="0" t="s">
        <v>7070</v>
      </c>
      <c r="D2750" s="0" t="n">
        <v>2.0269</v>
      </c>
    </row>
    <row r="2751" customFormat="false" ht="15" hidden="false" customHeight="false" outlineLevel="0" collapsed="false">
      <c r="A2751" s="0" t="s">
        <v>8</v>
      </c>
      <c r="B2751" s="0" t="s">
        <v>3896</v>
      </c>
      <c r="C2751" s="0" t="s">
        <v>7071</v>
      </c>
    </row>
    <row r="2752" customFormat="false" ht="15" hidden="false" customHeight="false" outlineLevel="0" collapsed="false">
      <c r="A2752" s="0" t="s">
        <v>8</v>
      </c>
      <c r="B2752" s="0" t="s">
        <v>3896</v>
      </c>
      <c r="C2752" s="0" t="s">
        <v>7072</v>
      </c>
    </row>
    <row r="2753" customFormat="false" ht="15" hidden="false" customHeight="false" outlineLevel="0" collapsed="false">
      <c r="A2753" s="0" t="s">
        <v>8</v>
      </c>
      <c r="B2753" s="0" t="s">
        <v>3899</v>
      </c>
      <c r="C2753" s="0" t="s">
        <v>7070</v>
      </c>
      <c r="D2753" s="0" t="n">
        <v>0.1197</v>
      </c>
    </row>
    <row r="2754" customFormat="false" ht="15" hidden="false" customHeight="false" outlineLevel="0" collapsed="false">
      <c r="A2754" s="0" t="s">
        <v>8</v>
      </c>
      <c r="B2754" s="0" t="s">
        <v>3899</v>
      </c>
      <c r="C2754" s="0" t="s">
        <v>7071</v>
      </c>
    </row>
    <row r="2755" customFormat="false" ht="15" hidden="false" customHeight="false" outlineLevel="0" collapsed="false">
      <c r="A2755" s="0" t="s">
        <v>8</v>
      </c>
      <c r="B2755" s="0" t="s">
        <v>3899</v>
      </c>
      <c r="C2755" s="0" t="s">
        <v>7072</v>
      </c>
    </row>
    <row r="2756" customFormat="false" ht="15" hidden="false" customHeight="false" outlineLevel="0" collapsed="false">
      <c r="A2756" s="0" t="s">
        <v>8</v>
      </c>
      <c r="B2756" s="0" t="s">
        <v>3903</v>
      </c>
      <c r="C2756" s="0" t="s">
        <v>7070</v>
      </c>
      <c r="D2756" s="0" t="n">
        <v>2.5758</v>
      </c>
    </row>
    <row r="2757" customFormat="false" ht="15" hidden="false" customHeight="false" outlineLevel="0" collapsed="false">
      <c r="A2757" s="0" t="s">
        <v>8</v>
      </c>
      <c r="B2757" s="0" t="s">
        <v>3903</v>
      </c>
      <c r="C2757" s="0" t="s">
        <v>7071</v>
      </c>
    </row>
    <row r="2758" customFormat="false" ht="15" hidden="false" customHeight="false" outlineLevel="0" collapsed="false">
      <c r="A2758" s="0" t="s">
        <v>8</v>
      </c>
      <c r="B2758" s="0" t="s">
        <v>3903</v>
      </c>
      <c r="C2758" s="0" t="s">
        <v>7072</v>
      </c>
    </row>
    <row r="2759" customFormat="false" ht="15" hidden="false" customHeight="false" outlineLevel="0" collapsed="false">
      <c r="A2759" s="0" t="s">
        <v>8</v>
      </c>
      <c r="B2759" s="0" t="s">
        <v>3906</v>
      </c>
      <c r="C2759" s="0" t="s">
        <v>7070</v>
      </c>
      <c r="D2759" s="0" t="n">
        <v>6.2382</v>
      </c>
    </row>
    <row r="2760" customFormat="false" ht="15" hidden="false" customHeight="false" outlineLevel="0" collapsed="false">
      <c r="A2760" s="0" t="s">
        <v>8</v>
      </c>
      <c r="B2760" s="0" t="s">
        <v>3906</v>
      </c>
      <c r="C2760" s="0" t="s">
        <v>7071</v>
      </c>
    </row>
    <row r="2761" customFormat="false" ht="15" hidden="false" customHeight="false" outlineLevel="0" collapsed="false">
      <c r="A2761" s="0" t="s">
        <v>8</v>
      </c>
      <c r="B2761" s="0" t="s">
        <v>3906</v>
      </c>
      <c r="C2761" s="0" t="s">
        <v>7072</v>
      </c>
    </row>
    <row r="2762" customFormat="false" ht="15" hidden="false" customHeight="false" outlineLevel="0" collapsed="false">
      <c r="A2762" s="0" t="s">
        <v>8</v>
      </c>
      <c r="B2762" s="0" t="s">
        <v>3909</v>
      </c>
      <c r="C2762" s="0" t="s">
        <v>7070</v>
      </c>
      <c r="D2762" s="0" t="n">
        <v>5.553</v>
      </c>
    </row>
    <row r="2763" customFormat="false" ht="15" hidden="false" customHeight="false" outlineLevel="0" collapsed="false">
      <c r="A2763" s="0" t="s">
        <v>8</v>
      </c>
      <c r="B2763" s="0" t="s">
        <v>3909</v>
      </c>
      <c r="C2763" s="0" t="s">
        <v>7071</v>
      </c>
    </row>
    <row r="2764" customFormat="false" ht="15" hidden="false" customHeight="false" outlineLevel="0" collapsed="false">
      <c r="A2764" s="0" t="s">
        <v>8</v>
      </c>
      <c r="B2764" s="0" t="s">
        <v>3909</v>
      </c>
      <c r="C2764" s="0" t="s">
        <v>7072</v>
      </c>
    </row>
    <row r="2765" customFormat="false" ht="15" hidden="false" customHeight="false" outlineLevel="0" collapsed="false">
      <c r="A2765" s="0" t="s">
        <v>8</v>
      </c>
      <c r="B2765" s="0" t="s">
        <v>3912</v>
      </c>
      <c r="C2765" s="0" t="s">
        <v>7070</v>
      </c>
      <c r="D2765" s="0" t="n">
        <v>0</v>
      </c>
    </row>
    <row r="2766" customFormat="false" ht="15" hidden="false" customHeight="false" outlineLevel="0" collapsed="false">
      <c r="A2766" s="0" t="s">
        <v>8</v>
      </c>
      <c r="B2766" s="0" t="s">
        <v>3912</v>
      </c>
      <c r="C2766" s="0" t="s">
        <v>7071</v>
      </c>
    </row>
    <row r="2767" customFormat="false" ht="15" hidden="false" customHeight="false" outlineLevel="0" collapsed="false">
      <c r="A2767" s="0" t="s">
        <v>8</v>
      </c>
      <c r="B2767" s="0" t="s">
        <v>3912</v>
      </c>
      <c r="C2767" s="0" t="s">
        <v>7072</v>
      </c>
    </row>
    <row r="2768" customFormat="false" ht="15" hidden="false" customHeight="false" outlineLevel="0" collapsed="false">
      <c r="A2768" s="0" t="s">
        <v>8</v>
      </c>
      <c r="B2768" s="0" t="s">
        <v>3917</v>
      </c>
      <c r="C2768" s="0" t="s">
        <v>7070</v>
      </c>
      <c r="D2768" s="0" t="n">
        <v>0.8461</v>
      </c>
    </row>
    <row r="2769" customFormat="false" ht="15" hidden="false" customHeight="false" outlineLevel="0" collapsed="false">
      <c r="A2769" s="0" t="s">
        <v>8</v>
      </c>
      <c r="B2769" s="0" t="s">
        <v>3917</v>
      </c>
      <c r="C2769" s="0" t="s">
        <v>7071</v>
      </c>
    </row>
    <row r="2770" customFormat="false" ht="15" hidden="false" customHeight="false" outlineLevel="0" collapsed="false">
      <c r="A2770" s="0" t="s">
        <v>8</v>
      </c>
      <c r="B2770" s="0" t="s">
        <v>3917</v>
      </c>
      <c r="C2770" s="0" t="s">
        <v>7072</v>
      </c>
    </row>
    <row r="2771" customFormat="false" ht="15" hidden="false" customHeight="false" outlineLevel="0" collapsed="false">
      <c r="A2771" s="0" t="s">
        <v>8</v>
      </c>
      <c r="B2771" s="0" t="s">
        <v>3920</v>
      </c>
      <c r="C2771" s="0" t="s">
        <v>7070</v>
      </c>
      <c r="D2771" s="0" t="n">
        <v>4.8374</v>
      </c>
    </row>
    <row r="2772" customFormat="false" ht="15" hidden="false" customHeight="false" outlineLevel="0" collapsed="false">
      <c r="A2772" s="0" t="s">
        <v>8</v>
      </c>
      <c r="B2772" s="0" t="s">
        <v>3920</v>
      </c>
      <c r="C2772" s="0" t="s">
        <v>7071</v>
      </c>
    </row>
    <row r="2773" customFormat="false" ht="15" hidden="false" customHeight="false" outlineLevel="0" collapsed="false">
      <c r="A2773" s="0" t="s">
        <v>8</v>
      </c>
      <c r="B2773" s="0" t="s">
        <v>3920</v>
      </c>
      <c r="C2773" s="0" t="s">
        <v>7072</v>
      </c>
    </row>
    <row r="2774" customFormat="false" ht="15" hidden="false" customHeight="false" outlineLevel="0" collapsed="false">
      <c r="A2774" s="0" t="s">
        <v>8</v>
      </c>
      <c r="B2774" s="0" t="s">
        <v>3923</v>
      </c>
      <c r="C2774" s="0" t="s">
        <v>7070</v>
      </c>
      <c r="D2774" s="0" t="n">
        <v>4.0377</v>
      </c>
    </row>
    <row r="2775" customFormat="false" ht="15" hidden="false" customHeight="false" outlineLevel="0" collapsed="false">
      <c r="A2775" s="0" t="s">
        <v>8</v>
      </c>
      <c r="B2775" s="0" t="s">
        <v>3923</v>
      </c>
      <c r="C2775" s="0" t="s">
        <v>7071</v>
      </c>
    </row>
    <row r="2776" customFormat="false" ht="15" hidden="false" customHeight="false" outlineLevel="0" collapsed="false">
      <c r="A2776" s="0" t="s">
        <v>8</v>
      </c>
      <c r="B2776" s="0" t="s">
        <v>3923</v>
      </c>
      <c r="C2776" s="0" t="s">
        <v>7072</v>
      </c>
    </row>
    <row r="2777" customFormat="false" ht="15" hidden="false" customHeight="false" outlineLevel="0" collapsed="false">
      <c r="A2777" s="0" t="s">
        <v>8</v>
      </c>
      <c r="B2777" s="0" t="s">
        <v>3926</v>
      </c>
      <c r="C2777" s="0" t="s">
        <v>7070</v>
      </c>
      <c r="D2777" s="0" t="n">
        <v>0.1197</v>
      </c>
    </row>
    <row r="2778" customFormat="false" ht="15" hidden="false" customHeight="false" outlineLevel="0" collapsed="false">
      <c r="A2778" s="0" t="s">
        <v>8</v>
      </c>
      <c r="B2778" s="0" t="s">
        <v>3926</v>
      </c>
      <c r="C2778" s="0" t="s">
        <v>7071</v>
      </c>
    </row>
    <row r="2779" customFormat="false" ht="15" hidden="false" customHeight="false" outlineLevel="0" collapsed="false">
      <c r="A2779" s="0" t="s">
        <v>8</v>
      </c>
      <c r="B2779" s="0" t="s">
        <v>3926</v>
      </c>
      <c r="C2779" s="0" t="s">
        <v>7072</v>
      </c>
    </row>
    <row r="2780" customFormat="false" ht="15" hidden="false" customHeight="false" outlineLevel="0" collapsed="false">
      <c r="A2780" s="0" t="s">
        <v>8</v>
      </c>
      <c r="B2780" s="0" t="s">
        <v>3930</v>
      </c>
      <c r="C2780" s="0" t="s">
        <v>7070</v>
      </c>
      <c r="D2780" s="0" t="n">
        <v>1.7297</v>
      </c>
    </row>
    <row r="2781" customFormat="false" ht="15" hidden="false" customHeight="false" outlineLevel="0" collapsed="false">
      <c r="A2781" s="0" t="s">
        <v>8</v>
      </c>
      <c r="B2781" s="0" t="s">
        <v>3930</v>
      </c>
      <c r="C2781" s="0" t="s">
        <v>7071</v>
      </c>
    </row>
    <row r="2782" customFormat="false" ht="15" hidden="false" customHeight="false" outlineLevel="0" collapsed="false">
      <c r="A2782" s="0" t="s">
        <v>8</v>
      </c>
      <c r="B2782" s="0" t="s">
        <v>3930</v>
      </c>
      <c r="C2782" s="0" t="s">
        <v>7072</v>
      </c>
    </row>
    <row r="2783" customFormat="false" ht="15" hidden="false" customHeight="false" outlineLevel="0" collapsed="false">
      <c r="A2783" s="0" t="s">
        <v>8</v>
      </c>
      <c r="B2783" s="0" t="s">
        <v>3933</v>
      </c>
      <c r="C2783" s="0" t="s">
        <v>7070</v>
      </c>
      <c r="D2783" s="0" t="n">
        <v>1.4009</v>
      </c>
    </row>
    <row r="2784" customFormat="false" ht="15" hidden="false" customHeight="false" outlineLevel="0" collapsed="false">
      <c r="A2784" s="0" t="s">
        <v>8</v>
      </c>
      <c r="B2784" s="0" t="s">
        <v>3933</v>
      </c>
      <c r="C2784" s="0" t="s">
        <v>7071</v>
      </c>
    </row>
    <row r="2785" customFormat="false" ht="15" hidden="false" customHeight="false" outlineLevel="0" collapsed="false">
      <c r="A2785" s="0" t="s">
        <v>8</v>
      </c>
      <c r="B2785" s="0" t="s">
        <v>3933</v>
      </c>
      <c r="C2785" s="0" t="s">
        <v>7072</v>
      </c>
    </row>
    <row r="2786" customFormat="false" ht="15" hidden="false" customHeight="false" outlineLevel="0" collapsed="false">
      <c r="A2786" s="0" t="s">
        <v>8</v>
      </c>
      <c r="B2786" s="0" t="s">
        <v>3936</v>
      </c>
      <c r="C2786" s="0" t="s">
        <v>7070</v>
      </c>
      <c r="D2786" s="0" t="n">
        <v>1.5154</v>
      </c>
    </row>
    <row r="2787" customFormat="false" ht="15" hidden="false" customHeight="false" outlineLevel="0" collapsed="false">
      <c r="A2787" s="0" t="s">
        <v>8</v>
      </c>
      <c r="B2787" s="0" t="s">
        <v>3936</v>
      </c>
      <c r="C2787" s="0" t="s">
        <v>7071</v>
      </c>
    </row>
    <row r="2788" customFormat="false" ht="15" hidden="false" customHeight="false" outlineLevel="0" collapsed="false">
      <c r="A2788" s="0" t="s">
        <v>8</v>
      </c>
      <c r="B2788" s="0" t="s">
        <v>3936</v>
      </c>
      <c r="C2788" s="0" t="s">
        <v>7072</v>
      </c>
    </row>
    <row r="2789" customFormat="false" ht="15" hidden="false" customHeight="false" outlineLevel="0" collapsed="false">
      <c r="A2789" s="0" t="s">
        <v>8</v>
      </c>
      <c r="B2789" s="0" t="s">
        <v>3939</v>
      </c>
      <c r="C2789" s="0" t="s">
        <v>7070</v>
      </c>
      <c r="D2789" s="0" t="n">
        <v>0.1657</v>
      </c>
    </row>
    <row r="2790" customFormat="false" ht="15" hidden="false" customHeight="false" outlineLevel="0" collapsed="false">
      <c r="A2790" s="0" t="s">
        <v>8</v>
      </c>
      <c r="B2790" s="0" t="s">
        <v>3939</v>
      </c>
      <c r="C2790" s="0" t="s">
        <v>7071</v>
      </c>
    </row>
    <row r="2791" customFormat="false" ht="15" hidden="false" customHeight="false" outlineLevel="0" collapsed="false">
      <c r="A2791" s="0" t="s">
        <v>8</v>
      </c>
      <c r="B2791" s="0" t="s">
        <v>3939</v>
      </c>
      <c r="C2791" s="0" t="s">
        <v>7072</v>
      </c>
    </row>
    <row r="2792" customFormat="false" ht="15" hidden="false" customHeight="false" outlineLevel="0" collapsed="false">
      <c r="A2792" s="0" t="s">
        <v>8</v>
      </c>
      <c r="B2792" s="0" t="s">
        <v>3944</v>
      </c>
      <c r="C2792" s="0" t="s">
        <v>7070</v>
      </c>
      <c r="D2792" s="0" t="n">
        <v>0.6382</v>
      </c>
    </row>
    <row r="2793" customFormat="false" ht="15" hidden="false" customHeight="false" outlineLevel="0" collapsed="false">
      <c r="A2793" s="0" t="s">
        <v>8</v>
      </c>
      <c r="B2793" s="0" t="s">
        <v>3944</v>
      </c>
      <c r="C2793" s="0" t="s">
        <v>7071</v>
      </c>
    </row>
    <row r="2794" customFormat="false" ht="15" hidden="false" customHeight="false" outlineLevel="0" collapsed="false">
      <c r="A2794" s="0" t="s">
        <v>8</v>
      </c>
      <c r="B2794" s="0" t="s">
        <v>3944</v>
      </c>
      <c r="C2794" s="0" t="s">
        <v>7072</v>
      </c>
    </row>
    <row r="2795" customFormat="false" ht="15" hidden="false" customHeight="false" outlineLevel="0" collapsed="false">
      <c r="A2795" s="0" t="s">
        <v>8</v>
      </c>
      <c r="B2795" s="0" t="s">
        <v>3947</v>
      </c>
      <c r="C2795" s="0" t="s">
        <v>7070</v>
      </c>
      <c r="D2795" s="0" t="n">
        <v>2.7025</v>
      </c>
    </row>
    <row r="2796" customFormat="false" ht="15" hidden="false" customHeight="false" outlineLevel="0" collapsed="false">
      <c r="A2796" s="0" t="s">
        <v>8</v>
      </c>
      <c r="B2796" s="0" t="s">
        <v>3947</v>
      </c>
      <c r="C2796" s="0" t="s">
        <v>7071</v>
      </c>
    </row>
    <row r="2797" customFormat="false" ht="15" hidden="false" customHeight="false" outlineLevel="0" collapsed="false">
      <c r="A2797" s="0" t="s">
        <v>8</v>
      </c>
      <c r="B2797" s="0" t="s">
        <v>3947</v>
      </c>
      <c r="C2797" s="0" t="s">
        <v>7072</v>
      </c>
    </row>
    <row r="2798" customFormat="false" ht="15" hidden="false" customHeight="false" outlineLevel="0" collapsed="false">
      <c r="A2798" s="0" t="s">
        <v>8</v>
      </c>
      <c r="B2798" s="0" t="s">
        <v>3950</v>
      </c>
      <c r="C2798" s="0" t="s">
        <v>7070</v>
      </c>
      <c r="D2798" s="0" t="n">
        <v>1.3111</v>
      </c>
    </row>
    <row r="2799" customFormat="false" ht="15" hidden="false" customHeight="false" outlineLevel="0" collapsed="false">
      <c r="A2799" s="0" t="s">
        <v>8</v>
      </c>
      <c r="B2799" s="0" t="s">
        <v>3950</v>
      </c>
      <c r="C2799" s="0" t="s">
        <v>7071</v>
      </c>
    </row>
    <row r="2800" customFormat="false" ht="15" hidden="false" customHeight="false" outlineLevel="0" collapsed="false">
      <c r="A2800" s="0" t="s">
        <v>8</v>
      </c>
      <c r="B2800" s="0" t="s">
        <v>3950</v>
      </c>
      <c r="C2800" s="0" t="s">
        <v>7072</v>
      </c>
    </row>
    <row r="2801" customFormat="false" ht="15" hidden="false" customHeight="false" outlineLevel="0" collapsed="false">
      <c r="A2801" s="0" t="s">
        <v>8</v>
      </c>
      <c r="B2801" s="0" t="s">
        <v>3953</v>
      </c>
      <c r="C2801" s="0" t="s">
        <v>7070</v>
      </c>
      <c r="D2801" s="0" t="n">
        <v>1.3291</v>
      </c>
    </row>
    <row r="2802" customFormat="false" ht="15" hidden="false" customHeight="false" outlineLevel="0" collapsed="false">
      <c r="A2802" s="0" t="s">
        <v>8</v>
      </c>
      <c r="B2802" s="0" t="s">
        <v>3953</v>
      </c>
      <c r="C2802" s="0" t="s">
        <v>7071</v>
      </c>
    </row>
    <row r="2803" customFormat="false" ht="15" hidden="false" customHeight="false" outlineLevel="0" collapsed="false">
      <c r="A2803" s="0" t="s">
        <v>8</v>
      </c>
      <c r="B2803" s="0" t="s">
        <v>3953</v>
      </c>
      <c r="C2803" s="0" t="s">
        <v>7072</v>
      </c>
    </row>
    <row r="2804" customFormat="false" ht="15" hidden="false" customHeight="false" outlineLevel="0" collapsed="false">
      <c r="A2804" s="0" t="s">
        <v>8</v>
      </c>
      <c r="B2804" s="0" t="s">
        <v>3956</v>
      </c>
      <c r="C2804" s="0" t="s">
        <v>7070</v>
      </c>
      <c r="D2804" s="0" t="n">
        <v>0</v>
      </c>
    </row>
    <row r="2805" customFormat="false" ht="15" hidden="false" customHeight="false" outlineLevel="0" collapsed="false">
      <c r="A2805" s="0" t="s">
        <v>8</v>
      </c>
      <c r="B2805" s="0" t="s">
        <v>3956</v>
      </c>
      <c r="C2805" s="0" t="s">
        <v>7071</v>
      </c>
    </row>
    <row r="2806" customFormat="false" ht="15" hidden="false" customHeight="false" outlineLevel="0" collapsed="false">
      <c r="A2806" s="0" t="s">
        <v>8</v>
      </c>
      <c r="B2806" s="0" t="s">
        <v>3956</v>
      </c>
      <c r="C2806" s="0" t="s">
        <v>7072</v>
      </c>
    </row>
    <row r="2807" customFormat="false" ht="15" hidden="false" customHeight="false" outlineLevel="0" collapsed="false">
      <c r="A2807" s="0" t="s">
        <v>8</v>
      </c>
      <c r="B2807" s="0" t="s">
        <v>3960</v>
      </c>
      <c r="C2807" s="0" t="s">
        <v>7070</v>
      </c>
      <c r="D2807" s="0" t="n">
        <v>0.0354</v>
      </c>
    </row>
    <row r="2808" customFormat="false" ht="15" hidden="false" customHeight="false" outlineLevel="0" collapsed="false">
      <c r="A2808" s="0" t="s">
        <v>8</v>
      </c>
      <c r="B2808" s="0" t="s">
        <v>3960</v>
      </c>
      <c r="C2808" s="0" t="s">
        <v>7071</v>
      </c>
    </row>
    <row r="2809" customFormat="false" ht="15" hidden="false" customHeight="false" outlineLevel="0" collapsed="false">
      <c r="A2809" s="0" t="s">
        <v>8</v>
      </c>
      <c r="B2809" s="0" t="s">
        <v>3960</v>
      </c>
      <c r="C2809" s="0" t="s">
        <v>7072</v>
      </c>
    </row>
    <row r="2810" customFormat="false" ht="15" hidden="false" customHeight="false" outlineLevel="0" collapsed="false">
      <c r="A2810" s="0" t="s">
        <v>8</v>
      </c>
      <c r="B2810" s="0" t="s">
        <v>3963</v>
      </c>
      <c r="C2810" s="0" t="s">
        <v>7070</v>
      </c>
      <c r="D2810" s="0" t="n">
        <v>1.3344</v>
      </c>
    </row>
    <row r="2811" customFormat="false" ht="15" hidden="false" customHeight="false" outlineLevel="0" collapsed="false">
      <c r="A2811" s="0" t="s">
        <v>8</v>
      </c>
      <c r="B2811" s="0" t="s">
        <v>3963</v>
      </c>
      <c r="C2811" s="0" t="s">
        <v>7071</v>
      </c>
    </row>
    <row r="2812" customFormat="false" ht="15" hidden="false" customHeight="false" outlineLevel="0" collapsed="false">
      <c r="A2812" s="0" t="s">
        <v>8</v>
      </c>
      <c r="B2812" s="0" t="s">
        <v>3963</v>
      </c>
      <c r="C2812" s="0" t="s">
        <v>7072</v>
      </c>
    </row>
    <row r="2813" customFormat="false" ht="15" hidden="false" customHeight="false" outlineLevel="0" collapsed="false">
      <c r="A2813" s="0" t="s">
        <v>8</v>
      </c>
      <c r="B2813" s="0" t="s">
        <v>3966</v>
      </c>
      <c r="C2813" s="0" t="s">
        <v>7070</v>
      </c>
      <c r="D2813" s="0" t="n">
        <v>0.5303</v>
      </c>
    </row>
    <row r="2814" customFormat="false" ht="15" hidden="false" customHeight="false" outlineLevel="0" collapsed="false">
      <c r="A2814" s="0" t="s">
        <v>8</v>
      </c>
      <c r="B2814" s="0" t="s">
        <v>3966</v>
      </c>
      <c r="C2814" s="0" t="s">
        <v>7071</v>
      </c>
    </row>
    <row r="2815" customFormat="false" ht="15" hidden="false" customHeight="false" outlineLevel="0" collapsed="false">
      <c r="A2815" s="0" t="s">
        <v>8</v>
      </c>
      <c r="B2815" s="0" t="s">
        <v>3966</v>
      </c>
      <c r="C2815" s="0" t="s">
        <v>7072</v>
      </c>
    </row>
    <row r="2816" customFormat="false" ht="15" hidden="false" customHeight="false" outlineLevel="0" collapsed="false">
      <c r="A2816" s="0" t="s">
        <v>8</v>
      </c>
      <c r="B2816" s="0" t="s">
        <v>3969</v>
      </c>
      <c r="C2816" s="0" t="s">
        <v>7070</v>
      </c>
      <c r="D2816" s="0" t="n">
        <v>0.7997</v>
      </c>
    </row>
    <row r="2817" customFormat="false" ht="15" hidden="false" customHeight="false" outlineLevel="0" collapsed="false">
      <c r="A2817" s="0" t="s">
        <v>8</v>
      </c>
      <c r="B2817" s="0" t="s">
        <v>3969</v>
      </c>
      <c r="C2817" s="0" t="s">
        <v>7071</v>
      </c>
    </row>
    <row r="2818" customFormat="false" ht="15" hidden="false" customHeight="false" outlineLevel="0" collapsed="false">
      <c r="A2818" s="0" t="s">
        <v>8</v>
      </c>
      <c r="B2818" s="0" t="s">
        <v>3969</v>
      </c>
      <c r="C2818" s="0" t="s">
        <v>7072</v>
      </c>
    </row>
    <row r="2819" customFormat="false" ht="15" hidden="false" customHeight="false" outlineLevel="0" collapsed="false">
      <c r="A2819" s="0" t="s">
        <v>8</v>
      </c>
      <c r="B2819" s="0" t="s">
        <v>3972</v>
      </c>
      <c r="C2819" s="0" t="s">
        <v>7070</v>
      </c>
      <c r="D2819" s="0" t="n">
        <v>0.046</v>
      </c>
    </row>
    <row r="2820" customFormat="false" ht="15" hidden="false" customHeight="false" outlineLevel="0" collapsed="false">
      <c r="A2820" s="0" t="s">
        <v>8</v>
      </c>
      <c r="B2820" s="0" t="s">
        <v>3972</v>
      </c>
      <c r="C2820" s="0" t="s">
        <v>7071</v>
      </c>
    </row>
    <row r="2821" customFormat="false" ht="15" hidden="false" customHeight="false" outlineLevel="0" collapsed="false">
      <c r="A2821" s="0" t="s">
        <v>8</v>
      </c>
      <c r="B2821" s="0" t="s">
        <v>3972</v>
      </c>
      <c r="C2821" s="0" t="s">
        <v>7072</v>
      </c>
    </row>
    <row r="2822" customFormat="false" ht="15" hidden="false" customHeight="false" outlineLevel="0" collapsed="false">
      <c r="A2822" s="0" t="s">
        <v>8</v>
      </c>
      <c r="B2822" s="0" t="s">
        <v>3976</v>
      </c>
      <c r="C2822" s="0" t="s">
        <v>7070</v>
      </c>
      <c r="D2822" s="0" t="n">
        <v>0.1875</v>
      </c>
    </row>
    <row r="2823" customFormat="false" ht="15" hidden="false" customHeight="false" outlineLevel="0" collapsed="false">
      <c r="A2823" s="0" t="s">
        <v>8</v>
      </c>
      <c r="B2823" s="0" t="s">
        <v>3976</v>
      </c>
      <c r="C2823" s="0" t="s">
        <v>7071</v>
      </c>
    </row>
    <row r="2824" customFormat="false" ht="15" hidden="false" customHeight="false" outlineLevel="0" collapsed="false">
      <c r="A2824" s="0" t="s">
        <v>8</v>
      </c>
      <c r="B2824" s="0" t="s">
        <v>3976</v>
      </c>
      <c r="C2824" s="0" t="s">
        <v>7072</v>
      </c>
    </row>
    <row r="2825" customFormat="false" ht="15" hidden="false" customHeight="false" outlineLevel="0" collapsed="false">
      <c r="A2825" s="0" t="s">
        <v>8</v>
      </c>
      <c r="B2825" s="0" t="s">
        <v>3979</v>
      </c>
      <c r="C2825" s="0" t="s">
        <v>7070</v>
      </c>
      <c r="D2825" s="0" t="n">
        <v>0.8895</v>
      </c>
    </row>
    <row r="2826" customFormat="false" ht="15" hidden="false" customHeight="false" outlineLevel="0" collapsed="false">
      <c r="A2826" s="0" t="s">
        <v>8</v>
      </c>
      <c r="B2826" s="0" t="s">
        <v>3979</v>
      </c>
      <c r="C2826" s="0" t="s">
        <v>7071</v>
      </c>
    </row>
    <row r="2827" customFormat="false" ht="15" hidden="false" customHeight="false" outlineLevel="0" collapsed="false">
      <c r="A2827" s="0" t="s">
        <v>8</v>
      </c>
      <c r="B2827" s="0" t="s">
        <v>3979</v>
      </c>
      <c r="C2827" s="0" t="s">
        <v>7072</v>
      </c>
    </row>
    <row r="2828" customFormat="false" ht="15" hidden="false" customHeight="false" outlineLevel="0" collapsed="false">
      <c r="A2828" s="0" t="s">
        <v>8</v>
      </c>
      <c r="B2828" s="0" t="s">
        <v>3982</v>
      </c>
      <c r="C2828" s="0" t="s">
        <v>7070</v>
      </c>
      <c r="D2828" s="0" t="n">
        <v>0.307</v>
      </c>
    </row>
    <row r="2829" customFormat="false" ht="15" hidden="false" customHeight="false" outlineLevel="0" collapsed="false">
      <c r="A2829" s="0" t="s">
        <v>8</v>
      </c>
      <c r="B2829" s="0" t="s">
        <v>3982</v>
      </c>
      <c r="C2829" s="0" t="s">
        <v>7071</v>
      </c>
    </row>
    <row r="2830" customFormat="false" ht="15" hidden="false" customHeight="false" outlineLevel="0" collapsed="false">
      <c r="A2830" s="0" t="s">
        <v>8</v>
      </c>
      <c r="B2830" s="0" t="s">
        <v>3982</v>
      </c>
      <c r="C2830" s="0" t="s">
        <v>7072</v>
      </c>
    </row>
    <row r="2831" customFormat="false" ht="15" hidden="false" customHeight="false" outlineLevel="0" collapsed="false">
      <c r="A2831" s="0" t="s">
        <v>8</v>
      </c>
      <c r="B2831" s="0" t="s">
        <v>3985</v>
      </c>
      <c r="C2831" s="0" t="s">
        <v>7070</v>
      </c>
      <c r="D2831" s="0" t="n">
        <v>1.912</v>
      </c>
    </row>
    <row r="2832" customFormat="false" ht="15" hidden="false" customHeight="false" outlineLevel="0" collapsed="false">
      <c r="A2832" s="0" t="s">
        <v>8</v>
      </c>
      <c r="B2832" s="0" t="s">
        <v>3985</v>
      </c>
      <c r="C2832" s="0" t="s">
        <v>7071</v>
      </c>
    </row>
    <row r="2833" customFormat="false" ht="15" hidden="false" customHeight="false" outlineLevel="0" collapsed="false">
      <c r="A2833" s="0" t="s">
        <v>8</v>
      </c>
      <c r="B2833" s="0" t="s">
        <v>3985</v>
      </c>
      <c r="C2833" s="0" t="s">
        <v>7072</v>
      </c>
    </row>
    <row r="2834" customFormat="false" ht="15" hidden="false" customHeight="false" outlineLevel="0" collapsed="false">
      <c r="A2834" s="0" t="s">
        <v>8</v>
      </c>
      <c r="B2834" s="0" t="s">
        <v>3990</v>
      </c>
      <c r="C2834" s="0" t="s">
        <v>7070</v>
      </c>
      <c r="D2834" s="0" t="n">
        <v>24.6304</v>
      </c>
    </row>
    <row r="2835" customFormat="false" ht="15" hidden="false" customHeight="false" outlineLevel="0" collapsed="false">
      <c r="A2835" s="0" t="s">
        <v>8</v>
      </c>
      <c r="B2835" s="0" t="s">
        <v>3990</v>
      </c>
      <c r="C2835" s="0" t="s">
        <v>7071</v>
      </c>
    </row>
    <row r="2836" customFormat="false" ht="15" hidden="false" customHeight="false" outlineLevel="0" collapsed="false">
      <c r="A2836" s="0" t="s">
        <v>8</v>
      </c>
      <c r="B2836" s="0" t="s">
        <v>3990</v>
      </c>
      <c r="C2836" s="0" t="s">
        <v>7072</v>
      </c>
    </row>
    <row r="2837" customFormat="false" ht="15" hidden="false" customHeight="false" outlineLevel="0" collapsed="false">
      <c r="A2837" s="0" t="s">
        <v>8</v>
      </c>
      <c r="B2837" s="0" t="s">
        <v>3993</v>
      </c>
      <c r="C2837" s="0" t="s">
        <v>7070</v>
      </c>
      <c r="D2837" s="0" t="n">
        <v>33.1207</v>
      </c>
    </row>
    <row r="2838" customFormat="false" ht="15" hidden="false" customHeight="false" outlineLevel="0" collapsed="false">
      <c r="A2838" s="0" t="s">
        <v>8</v>
      </c>
      <c r="B2838" s="0" t="s">
        <v>3993</v>
      </c>
      <c r="C2838" s="0" t="s">
        <v>7071</v>
      </c>
    </row>
    <row r="2839" customFormat="false" ht="15" hidden="false" customHeight="false" outlineLevel="0" collapsed="false">
      <c r="A2839" s="0" t="s">
        <v>8</v>
      </c>
      <c r="B2839" s="0" t="s">
        <v>3993</v>
      </c>
      <c r="C2839" s="0" t="s">
        <v>7072</v>
      </c>
    </row>
    <row r="2840" customFormat="false" ht="15" hidden="false" customHeight="false" outlineLevel="0" collapsed="false">
      <c r="A2840" s="0" t="s">
        <v>8</v>
      </c>
      <c r="B2840" s="0" t="s">
        <v>3996</v>
      </c>
      <c r="C2840" s="0" t="s">
        <v>7070</v>
      </c>
      <c r="D2840" s="0" t="n">
        <v>8.1634</v>
      </c>
    </row>
    <row r="2841" customFormat="false" ht="15" hidden="false" customHeight="false" outlineLevel="0" collapsed="false">
      <c r="A2841" s="0" t="s">
        <v>8</v>
      </c>
      <c r="B2841" s="0" t="s">
        <v>3996</v>
      </c>
      <c r="C2841" s="0" t="s">
        <v>7071</v>
      </c>
    </row>
    <row r="2842" customFormat="false" ht="15" hidden="false" customHeight="false" outlineLevel="0" collapsed="false">
      <c r="A2842" s="0" t="s">
        <v>8</v>
      </c>
      <c r="B2842" s="0" t="s">
        <v>3996</v>
      </c>
      <c r="C2842" s="0" t="s">
        <v>7072</v>
      </c>
    </row>
    <row r="2843" customFormat="false" ht="15" hidden="false" customHeight="false" outlineLevel="0" collapsed="false">
      <c r="A2843" s="0" t="s">
        <v>8</v>
      </c>
      <c r="B2843" s="0" t="s">
        <v>3999</v>
      </c>
      <c r="C2843" s="0" t="s">
        <v>7070</v>
      </c>
      <c r="D2843" s="0" t="n">
        <v>21.6511</v>
      </c>
    </row>
    <row r="2844" customFormat="false" ht="15" hidden="false" customHeight="false" outlineLevel="0" collapsed="false">
      <c r="A2844" s="0" t="s">
        <v>8</v>
      </c>
      <c r="B2844" s="0" t="s">
        <v>3999</v>
      </c>
      <c r="C2844" s="0" t="s">
        <v>7071</v>
      </c>
    </row>
    <row r="2845" customFormat="false" ht="15" hidden="false" customHeight="false" outlineLevel="0" collapsed="false">
      <c r="A2845" s="0" t="s">
        <v>8</v>
      </c>
      <c r="B2845" s="0" t="s">
        <v>3999</v>
      </c>
      <c r="C2845" s="0" t="s">
        <v>7072</v>
      </c>
    </row>
    <row r="2846" customFormat="false" ht="15" hidden="false" customHeight="false" outlineLevel="0" collapsed="false">
      <c r="A2846" s="0" t="s">
        <v>8</v>
      </c>
      <c r="B2846" s="0" t="s">
        <v>4002</v>
      </c>
      <c r="C2846" s="0" t="s">
        <v>7070</v>
      </c>
      <c r="D2846" s="0" t="n">
        <v>-0.6825</v>
      </c>
    </row>
    <row r="2847" customFormat="false" ht="15" hidden="false" customHeight="false" outlineLevel="0" collapsed="false">
      <c r="A2847" s="0" t="s">
        <v>8</v>
      </c>
      <c r="B2847" s="0" t="s">
        <v>4002</v>
      </c>
      <c r="C2847" s="0" t="s">
        <v>7071</v>
      </c>
    </row>
    <row r="2848" customFormat="false" ht="15" hidden="false" customHeight="false" outlineLevel="0" collapsed="false">
      <c r="A2848" s="0" t="s">
        <v>8</v>
      </c>
      <c r="B2848" s="0" t="s">
        <v>4002</v>
      </c>
      <c r="C2848" s="0" t="s">
        <v>7072</v>
      </c>
    </row>
    <row r="2849" customFormat="false" ht="15" hidden="false" customHeight="false" outlineLevel="0" collapsed="false">
      <c r="A2849" s="0" t="s">
        <v>8</v>
      </c>
      <c r="B2849" s="0" t="s">
        <v>4005</v>
      </c>
      <c r="C2849" s="0" t="s">
        <v>7070</v>
      </c>
      <c r="D2849" s="0" t="n">
        <v>-6.4802</v>
      </c>
    </row>
    <row r="2850" customFormat="false" ht="15" hidden="false" customHeight="false" outlineLevel="0" collapsed="false">
      <c r="A2850" s="0" t="s">
        <v>8</v>
      </c>
      <c r="B2850" s="0" t="s">
        <v>4005</v>
      </c>
      <c r="C2850" s="0" t="s">
        <v>7071</v>
      </c>
    </row>
    <row r="2851" customFormat="false" ht="15" hidden="false" customHeight="false" outlineLevel="0" collapsed="false">
      <c r="A2851" s="0" t="s">
        <v>8</v>
      </c>
      <c r="B2851" s="0" t="s">
        <v>4005</v>
      </c>
      <c r="C2851" s="0" t="s">
        <v>7072</v>
      </c>
    </row>
    <row r="2852" customFormat="false" ht="15" hidden="false" customHeight="false" outlineLevel="0" collapsed="false">
      <c r="A2852" s="0" t="s">
        <v>8</v>
      </c>
      <c r="B2852" s="0" t="s">
        <v>4008</v>
      </c>
      <c r="C2852" s="0" t="s">
        <v>7070</v>
      </c>
      <c r="D2852" s="0" t="n">
        <v>-22.4492</v>
      </c>
    </row>
    <row r="2853" customFormat="false" ht="15" hidden="false" customHeight="false" outlineLevel="0" collapsed="false">
      <c r="A2853" s="0" t="s">
        <v>8</v>
      </c>
      <c r="B2853" s="0" t="s">
        <v>4008</v>
      </c>
      <c r="C2853" s="0" t="s">
        <v>7071</v>
      </c>
    </row>
    <row r="2854" customFormat="false" ht="15" hidden="false" customHeight="false" outlineLevel="0" collapsed="false">
      <c r="A2854" s="0" t="s">
        <v>8</v>
      </c>
      <c r="B2854" s="0" t="s">
        <v>4008</v>
      </c>
      <c r="C2854" s="0" t="s">
        <v>7072</v>
      </c>
    </row>
    <row r="2855" customFormat="false" ht="15" hidden="false" customHeight="false" outlineLevel="0" collapsed="false">
      <c r="A2855" s="0" t="s">
        <v>8</v>
      </c>
      <c r="B2855" s="0" t="s">
        <v>4011</v>
      </c>
      <c r="C2855" s="0" t="s">
        <v>7070</v>
      </c>
      <c r="D2855" s="0" t="n">
        <v>-9.9468</v>
      </c>
    </row>
    <row r="2856" customFormat="false" ht="15" hidden="false" customHeight="false" outlineLevel="0" collapsed="false">
      <c r="A2856" s="0" t="s">
        <v>8</v>
      </c>
      <c r="B2856" s="0" t="s">
        <v>4011</v>
      </c>
      <c r="C2856" s="0" t="s">
        <v>7071</v>
      </c>
    </row>
    <row r="2857" customFormat="false" ht="15" hidden="false" customHeight="false" outlineLevel="0" collapsed="false">
      <c r="A2857" s="0" t="s">
        <v>8</v>
      </c>
      <c r="B2857" s="0" t="s">
        <v>4011</v>
      </c>
      <c r="C2857" s="0" t="s">
        <v>7072</v>
      </c>
    </row>
    <row r="2858" customFormat="false" ht="15" hidden="false" customHeight="false" outlineLevel="0" collapsed="false">
      <c r="A2858" s="0" t="s">
        <v>8</v>
      </c>
      <c r="B2858" s="0" t="s">
        <v>4014</v>
      </c>
      <c r="C2858" s="0" t="s">
        <v>7070</v>
      </c>
      <c r="D2858" s="0" t="n">
        <v>-13.2715</v>
      </c>
    </row>
    <row r="2859" customFormat="false" ht="15" hidden="false" customHeight="false" outlineLevel="0" collapsed="false">
      <c r="A2859" s="0" t="s">
        <v>8</v>
      </c>
      <c r="B2859" s="0" t="s">
        <v>4014</v>
      </c>
      <c r="C2859" s="0" t="s">
        <v>7071</v>
      </c>
    </row>
    <row r="2860" customFormat="false" ht="15" hidden="false" customHeight="false" outlineLevel="0" collapsed="false">
      <c r="A2860" s="0" t="s">
        <v>8</v>
      </c>
      <c r="B2860" s="0" t="s">
        <v>4014</v>
      </c>
      <c r="C2860" s="0" t="s">
        <v>7072</v>
      </c>
    </row>
    <row r="2861" customFormat="false" ht="15" hidden="false" customHeight="false" outlineLevel="0" collapsed="false">
      <c r="A2861" s="0" t="s">
        <v>8</v>
      </c>
      <c r="B2861" s="0" t="s">
        <v>4017</v>
      </c>
      <c r="C2861" s="0" t="s">
        <v>7070</v>
      </c>
      <c r="D2861" s="0" t="n">
        <v>0.3292</v>
      </c>
    </row>
    <row r="2862" customFormat="false" ht="15" hidden="false" customHeight="false" outlineLevel="0" collapsed="false">
      <c r="A2862" s="0" t="s">
        <v>8</v>
      </c>
      <c r="B2862" s="0" t="s">
        <v>4017</v>
      </c>
      <c r="C2862" s="0" t="s">
        <v>7071</v>
      </c>
    </row>
    <row r="2863" customFormat="false" ht="15" hidden="false" customHeight="false" outlineLevel="0" collapsed="false">
      <c r="A2863" s="0" t="s">
        <v>8</v>
      </c>
      <c r="B2863" s="0" t="s">
        <v>4017</v>
      </c>
      <c r="C2863" s="0" t="s">
        <v>7072</v>
      </c>
    </row>
    <row r="2864" customFormat="false" ht="15" hidden="false" customHeight="false" outlineLevel="0" collapsed="false">
      <c r="A2864" s="0" t="s">
        <v>8</v>
      </c>
      <c r="B2864" s="0" t="s">
        <v>4020</v>
      </c>
      <c r="C2864" s="0" t="s">
        <v>7070</v>
      </c>
      <c r="D2864" s="0" t="n">
        <v>-7.8496</v>
      </c>
    </row>
    <row r="2865" customFormat="false" ht="15" hidden="false" customHeight="false" outlineLevel="0" collapsed="false">
      <c r="A2865" s="0" t="s">
        <v>8</v>
      </c>
      <c r="B2865" s="0" t="s">
        <v>4020</v>
      </c>
      <c r="C2865" s="0" t="s">
        <v>7071</v>
      </c>
    </row>
    <row r="2866" customFormat="false" ht="15" hidden="false" customHeight="false" outlineLevel="0" collapsed="false">
      <c r="A2866" s="0" t="s">
        <v>8</v>
      </c>
      <c r="B2866" s="0" t="s">
        <v>4020</v>
      </c>
      <c r="C2866" s="0" t="s">
        <v>7072</v>
      </c>
    </row>
    <row r="2867" customFormat="false" ht="15" hidden="false" customHeight="false" outlineLevel="0" collapsed="false">
      <c r="A2867" s="0" t="s">
        <v>8</v>
      </c>
      <c r="B2867" s="0" t="s">
        <v>4023</v>
      </c>
      <c r="C2867" s="0" t="s">
        <v>7070</v>
      </c>
      <c r="D2867" s="0" t="n">
        <v>-0.4856</v>
      </c>
    </row>
    <row r="2868" customFormat="false" ht="15" hidden="false" customHeight="false" outlineLevel="0" collapsed="false">
      <c r="A2868" s="0" t="s">
        <v>8</v>
      </c>
      <c r="B2868" s="0" t="s">
        <v>4023</v>
      </c>
      <c r="C2868" s="0" t="s">
        <v>7071</v>
      </c>
    </row>
    <row r="2869" customFormat="false" ht="15" hidden="false" customHeight="false" outlineLevel="0" collapsed="false">
      <c r="A2869" s="0" t="s">
        <v>8</v>
      </c>
      <c r="B2869" s="0" t="s">
        <v>4023</v>
      </c>
      <c r="C2869" s="0" t="s">
        <v>7072</v>
      </c>
    </row>
    <row r="2870" customFormat="false" ht="15" hidden="false" customHeight="false" outlineLevel="0" collapsed="false">
      <c r="A2870" s="0" t="s">
        <v>8</v>
      </c>
      <c r="B2870" s="0" t="s">
        <v>4026</v>
      </c>
      <c r="C2870" s="0" t="s">
        <v>7070</v>
      </c>
      <c r="D2870" s="0" t="n">
        <v>-1.3878</v>
      </c>
    </row>
    <row r="2871" customFormat="false" ht="15" hidden="false" customHeight="false" outlineLevel="0" collapsed="false">
      <c r="A2871" s="0" t="s">
        <v>8</v>
      </c>
      <c r="B2871" s="0" t="s">
        <v>4026</v>
      </c>
      <c r="C2871" s="0" t="s">
        <v>7071</v>
      </c>
    </row>
    <row r="2872" customFormat="false" ht="15" hidden="false" customHeight="false" outlineLevel="0" collapsed="false">
      <c r="A2872" s="0" t="s">
        <v>8</v>
      </c>
      <c r="B2872" s="0" t="s">
        <v>4026</v>
      </c>
      <c r="C2872" s="0" t="s">
        <v>7072</v>
      </c>
    </row>
    <row r="2873" customFormat="false" ht="15" hidden="false" customHeight="false" outlineLevel="0" collapsed="false">
      <c r="A2873" s="0" t="s">
        <v>8</v>
      </c>
      <c r="B2873" s="0" t="s">
        <v>4029</v>
      </c>
      <c r="C2873" s="0" t="s">
        <v>7070</v>
      </c>
      <c r="D2873" s="0" t="n">
        <v>-5.5637</v>
      </c>
    </row>
    <row r="2874" customFormat="false" ht="15" hidden="false" customHeight="false" outlineLevel="0" collapsed="false">
      <c r="A2874" s="0" t="s">
        <v>8</v>
      </c>
      <c r="B2874" s="0" t="s">
        <v>4029</v>
      </c>
      <c r="C2874" s="0" t="s">
        <v>7071</v>
      </c>
    </row>
    <row r="2875" customFormat="false" ht="15" hidden="false" customHeight="false" outlineLevel="0" collapsed="false">
      <c r="A2875" s="0" t="s">
        <v>8</v>
      </c>
      <c r="B2875" s="0" t="s">
        <v>4029</v>
      </c>
      <c r="C2875" s="0" t="s">
        <v>7072</v>
      </c>
    </row>
    <row r="2876" customFormat="false" ht="15" hidden="false" customHeight="false" outlineLevel="0" collapsed="false">
      <c r="A2876" s="0" t="s">
        <v>8</v>
      </c>
      <c r="B2876" s="0" t="s">
        <v>4032</v>
      </c>
      <c r="C2876" s="0" t="s">
        <v>7070</v>
      </c>
      <c r="D2876" s="0" t="n">
        <v>2.1893</v>
      </c>
    </row>
    <row r="2877" customFormat="false" ht="15" hidden="false" customHeight="false" outlineLevel="0" collapsed="false">
      <c r="A2877" s="0" t="s">
        <v>8</v>
      </c>
      <c r="B2877" s="0" t="s">
        <v>4032</v>
      </c>
      <c r="C2877" s="0" t="s">
        <v>7071</v>
      </c>
    </row>
    <row r="2878" customFormat="false" ht="15" hidden="false" customHeight="false" outlineLevel="0" collapsed="false">
      <c r="A2878" s="0" t="s">
        <v>8</v>
      </c>
      <c r="B2878" s="0" t="s">
        <v>4032</v>
      </c>
      <c r="C2878" s="0" t="s">
        <v>7072</v>
      </c>
    </row>
    <row r="2879" customFormat="false" ht="15" hidden="false" customHeight="false" outlineLevel="0" collapsed="false">
      <c r="A2879" s="0" t="s">
        <v>8</v>
      </c>
      <c r="B2879" s="0" t="s">
        <v>4035</v>
      </c>
      <c r="C2879" s="0" t="s">
        <v>7070</v>
      </c>
      <c r="D2879" s="0" t="n">
        <v>12.4917</v>
      </c>
    </row>
    <row r="2880" customFormat="false" ht="15" hidden="false" customHeight="false" outlineLevel="0" collapsed="false">
      <c r="A2880" s="0" t="s">
        <v>8</v>
      </c>
      <c r="B2880" s="0" t="s">
        <v>4035</v>
      </c>
      <c r="C2880" s="0" t="s">
        <v>7071</v>
      </c>
    </row>
    <row r="2881" customFormat="false" ht="15" hidden="false" customHeight="false" outlineLevel="0" collapsed="false">
      <c r="A2881" s="0" t="s">
        <v>8</v>
      </c>
      <c r="B2881" s="0" t="s">
        <v>4035</v>
      </c>
      <c r="C2881" s="0" t="s">
        <v>7072</v>
      </c>
    </row>
    <row r="2882" customFormat="false" ht="15" hidden="false" customHeight="false" outlineLevel="0" collapsed="false">
      <c r="A2882" s="0" t="s">
        <v>8</v>
      </c>
      <c r="B2882" s="0" t="s">
        <v>4038</v>
      </c>
      <c r="C2882" s="0" t="s">
        <v>7070</v>
      </c>
      <c r="D2882" s="0" t="n">
        <v>22.6816</v>
      </c>
    </row>
    <row r="2883" customFormat="false" ht="15" hidden="false" customHeight="false" outlineLevel="0" collapsed="false">
      <c r="A2883" s="0" t="s">
        <v>8</v>
      </c>
      <c r="B2883" s="0" t="s">
        <v>4038</v>
      </c>
      <c r="C2883" s="0" t="s">
        <v>7071</v>
      </c>
    </row>
    <row r="2884" customFormat="false" ht="15" hidden="false" customHeight="false" outlineLevel="0" collapsed="false">
      <c r="A2884" s="0" t="s">
        <v>8</v>
      </c>
      <c r="B2884" s="0" t="s">
        <v>4038</v>
      </c>
      <c r="C2884" s="0" t="s">
        <v>7072</v>
      </c>
    </row>
    <row r="2885" customFormat="false" ht="15" hidden="false" customHeight="false" outlineLevel="0" collapsed="false">
      <c r="A2885" s="0" t="s">
        <v>8</v>
      </c>
      <c r="B2885" s="0" t="s">
        <v>4041</v>
      </c>
      <c r="C2885" s="0" t="s">
        <v>7070</v>
      </c>
      <c r="D2885" s="0" t="n">
        <v>9.3207</v>
      </c>
    </row>
    <row r="2886" customFormat="false" ht="15" hidden="false" customHeight="false" outlineLevel="0" collapsed="false">
      <c r="A2886" s="0" t="s">
        <v>8</v>
      </c>
      <c r="B2886" s="0" t="s">
        <v>4041</v>
      </c>
      <c r="C2886" s="0" t="s">
        <v>7071</v>
      </c>
    </row>
    <row r="2887" customFormat="false" ht="15" hidden="false" customHeight="false" outlineLevel="0" collapsed="false">
      <c r="A2887" s="0" t="s">
        <v>8</v>
      </c>
      <c r="B2887" s="0" t="s">
        <v>4041</v>
      </c>
      <c r="C2887" s="0" t="s">
        <v>7072</v>
      </c>
    </row>
    <row r="2888" customFormat="false" ht="15" hidden="false" customHeight="false" outlineLevel="0" collapsed="false">
      <c r="A2888" s="0" t="s">
        <v>8</v>
      </c>
      <c r="B2888" s="0" t="s">
        <v>4044</v>
      </c>
      <c r="C2888" s="0" t="s">
        <v>7070</v>
      </c>
      <c r="D2888" s="0" t="n">
        <v>25.5197</v>
      </c>
    </row>
    <row r="2889" customFormat="false" ht="15" hidden="false" customHeight="false" outlineLevel="0" collapsed="false">
      <c r="A2889" s="0" t="s">
        <v>8</v>
      </c>
      <c r="B2889" s="0" t="s">
        <v>4044</v>
      </c>
      <c r="C2889" s="0" t="s">
        <v>7071</v>
      </c>
    </row>
    <row r="2890" customFormat="false" ht="15" hidden="false" customHeight="false" outlineLevel="0" collapsed="false">
      <c r="A2890" s="0" t="s">
        <v>8</v>
      </c>
      <c r="B2890" s="0" t="s">
        <v>4044</v>
      </c>
      <c r="C2890" s="0" t="s">
        <v>7072</v>
      </c>
    </row>
    <row r="2891" customFormat="false" ht="15" hidden="false" customHeight="false" outlineLevel="0" collapsed="false">
      <c r="A2891" s="0" t="s">
        <v>8</v>
      </c>
      <c r="B2891" s="0" t="s">
        <v>4047</v>
      </c>
      <c r="C2891" s="0" t="s">
        <v>7070</v>
      </c>
      <c r="D2891" s="0" t="n">
        <v>2.08</v>
      </c>
    </row>
    <row r="2892" customFormat="false" ht="15" hidden="false" customHeight="false" outlineLevel="0" collapsed="false">
      <c r="A2892" s="0" t="s">
        <v>8</v>
      </c>
      <c r="B2892" s="0" t="s">
        <v>4047</v>
      </c>
      <c r="C2892" s="0" t="s">
        <v>7071</v>
      </c>
    </row>
    <row r="2893" customFormat="false" ht="15" hidden="false" customHeight="false" outlineLevel="0" collapsed="false">
      <c r="A2893" s="0" t="s">
        <v>8</v>
      </c>
      <c r="B2893" s="0" t="s">
        <v>4047</v>
      </c>
      <c r="C2893" s="0" t="s">
        <v>7072</v>
      </c>
    </row>
    <row r="2894" customFormat="false" ht="15" hidden="false" customHeight="false" outlineLevel="0" collapsed="false">
      <c r="A2894" s="0" t="s">
        <v>8</v>
      </c>
      <c r="B2894" s="0" t="s">
        <v>4051</v>
      </c>
      <c r="C2894" s="0" t="s">
        <v>7070</v>
      </c>
      <c r="D2894" s="0" t="n">
        <v>24.1904</v>
      </c>
    </row>
    <row r="2895" customFormat="false" ht="15" hidden="false" customHeight="false" outlineLevel="0" collapsed="false">
      <c r="A2895" s="0" t="s">
        <v>8</v>
      </c>
      <c r="B2895" s="0" t="s">
        <v>4051</v>
      </c>
      <c r="C2895" s="0" t="s">
        <v>7071</v>
      </c>
    </row>
    <row r="2896" customFormat="false" ht="15" hidden="false" customHeight="false" outlineLevel="0" collapsed="false">
      <c r="A2896" s="0" t="s">
        <v>8</v>
      </c>
      <c r="B2896" s="0" t="s">
        <v>4051</v>
      </c>
      <c r="C2896" s="0" t="s">
        <v>7072</v>
      </c>
    </row>
    <row r="2897" customFormat="false" ht="15" hidden="false" customHeight="false" outlineLevel="0" collapsed="false">
      <c r="A2897" s="0" t="s">
        <v>8</v>
      </c>
      <c r="B2897" s="0" t="s">
        <v>4054</v>
      </c>
      <c r="C2897" s="0" t="s">
        <v>7070</v>
      </c>
      <c r="D2897" s="0" t="n">
        <v>30.1959</v>
      </c>
    </row>
    <row r="2898" customFormat="false" ht="15" hidden="false" customHeight="false" outlineLevel="0" collapsed="false">
      <c r="A2898" s="0" t="s">
        <v>8</v>
      </c>
      <c r="B2898" s="0" t="s">
        <v>4054</v>
      </c>
      <c r="C2898" s="0" t="s">
        <v>7071</v>
      </c>
    </row>
    <row r="2899" customFormat="false" ht="15" hidden="false" customHeight="false" outlineLevel="0" collapsed="false">
      <c r="A2899" s="0" t="s">
        <v>8</v>
      </c>
      <c r="B2899" s="0" t="s">
        <v>4054</v>
      </c>
      <c r="C2899" s="0" t="s">
        <v>7072</v>
      </c>
    </row>
    <row r="2900" customFormat="false" ht="15" hidden="false" customHeight="false" outlineLevel="0" collapsed="false">
      <c r="A2900" s="0" t="s">
        <v>8</v>
      </c>
      <c r="B2900" s="0" t="s">
        <v>4057</v>
      </c>
      <c r="C2900" s="0" t="s">
        <v>7070</v>
      </c>
      <c r="D2900" s="0" t="n">
        <v>8.9319</v>
      </c>
    </row>
    <row r="2901" customFormat="false" ht="15" hidden="false" customHeight="false" outlineLevel="0" collapsed="false">
      <c r="A2901" s="0" t="s">
        <v>8</v>
      </c>
      <c r="B2901" s="0" t="s">
        <v>4057</v>
      </c>
      <c r="C2901" s="0" t="s">
        <v>7071</v>
      </c>
    </row>
    <row r="2902" customFormat="false" ht="15" hidden="false" customHeight="false" outlineLevel="0" collapsed="false">
      <c r="A2902" s="0" t="s">
        <v>8</v>
      </c>
      <c r="B2902" s="0" t="s">
        <v>4057</v>
      </c>
      <c r="C2902" s="0" t="s">
        <v>7072</v>
      </c>
    </row>
    <row r="2903" customFormat="false" ht="15" hidden="false" customHeight="false" outlineLevel="0" collapsed="false">
      <c r="A2903" s="0" t="s">
        <v>8</v>
      </c>
      <c r="B2903" s="0" t="s">
        <v>4060</v>
      </c>
      <c r="C2903" s="0" t="s">
        <v>7070</v>
      </c>
      <c r="D2903" s="0" t="n">
        <v>16.25</v>
      </c>
    </row>
    <row r="2904" customFormat="false" ht="15" hidden="false" customHeight="false" outlineLevel="0" collapsed="false">
      <c r="A2904" s="0" t="s">
        <v>8</v>
      </c>
      <c r="B2904" s="0" t="s">
        <v>4060</v>
      </c>
      <c r="C2904" s="0" t="s">
        <v>7071</v>
      </c>
    </row>
    <row r="2905" customFormat="false" ht="15" hidden="false" customHeight="false" outlineLevel="0" collapsed="false">
      <c r="A2905" s="0" t="s">
        <v>8</v>
      </c>
      <c r="B2905" s="0" t="s">
        <v>4060</v>
      </c>
      <c r="C2905" s="0" t="s">
        <v>7072</v>
      </c>
    </row>
    <row r="2906" customFormat="false" ht="15" hidden="false" customHeight="false" outlineLevel="0" collapsed="false">
      <c r="A2906" s="0" t="s">
        <v>8</v>
      </c>
      <c r="B2906" s="0" t="s">
        <v>4063</v>
      </c>
      <c r="C2906" s="0" t="s">
        <v>7070</v>
      </c>
      <c r="D2906" s="0" t="n">
        <v>0</v>
      </c>
    </row>
    <row r="2907" customFormat="false" ht="15" hidden="false" customHeight="false" outlineLevel="0" collapsed="false">
      <c r="A2907" s="0" t="s">
        <v>8</v>
      </c>
      <c r="B2907" s="0" t="s">
        <v>4063</v>
      </c>
      <c r="C2907" s="0" t="s">
        <v>7071</v>
      </c>
    </row>
    <row r="2908" customFormat="false" ht="15" hidden="false" customHeight="false" outlineLevel="0" collapsed="false">
      <c r="A2908" s="0" t="s">
        <v>8</v>
      </c>
      <c r="B2908" s="0" t="s">
        <v>4063</v>
      </c>
      <c r="C2908" s="0" t="s">
        <v>7072</v>
      </c>
    </row>
    <row r="2909" customFormat="false" ht="15" hidden="false" customHeight="false" outlineLevel="0" collapsed="false">
      <c r="A2909" s="0" t="s">
        <v>8</v>
      </c>
      <c r="B2909" s="0" t="s">
        <v>4067</v>
      </c>
      <c r="C2909" s="0" t="s">
        <v>7070</v>
      </c>
      <c r="D2909" s="0" t="n">
        <v>0</v>
      </c>
    </row>
    <row r="2910" customFormat="false" ht="15" hidden="false" customHeight="false" outlineLevel="0" collapsed="false">
      <c r="A2910" s="0" t="s">
        <v>8</v>
      </c>
      <c r="B2910" s="0" t="s">
        <v>4067</v>
      </c>
      <c r="C2910" s="0" t="s">
        <v>7071</v>
      </c>
    </row>
    <row r="2911" customFormat="false" ht="15" hidden="false" customHeight="false" outlineLevel="0" collapsed="false">
      <c r="A2911" s="0" t="s">
        <v>8</v>
      </c>
      <c r="B2911" s="0" t="s">
        <v>4067</v>
      </c>
      <c r="C2911" s="0" t="s">
        <v>7072</v>
      </c>
    </row>
    <row r="2912" customFormat="false" ht="15" hidden="false" customHeight="false" outlineLevel="0" collapsed="false">
      <c r="A2912" s="0" t="s">
        <v>8</v>
      </c>
      <c r="B2912" s="0" t="s">
        <v>4069</v>
      </c>
      <c r="C2912" s="0" t="s">
        <v>7070</v>
      </c>
      <c r="D2912" s="0" t="n">
        <v>1.3</v>
      </c>
    </row>
    <row r="2913" customFormat="false" ht="15" hidden="false" customHeight="false" outlineLevel="0" collapsed="false">
      <c r="A2913" s="0" t="s">
        <v>8</v>
      </c>
      <c r="B2913" s="0" t="s">
        <v>4069</v>
      </c>
      <c r="C2913" s="0" t="s">
        <v>7071</v>
      </c>
    </row>
    <row r="2914" customFormat="false" ht="15" hidden="false" customHeight="false" outlineLevel="0" collapsed="false">
      <c r="A2914" s="0" t="s">
        <v>8</v>
      </c>
      <c r="B2914" s="0" t="s">
        <v>4069</v>
      </c>
      <c r="C2914" s="0" t="s">
        <v>7072</v>
      </c>
    </row>
    <row r="2915" customFormat="false" ht="15" hidden="false" customHeight="false" outlineLevel="0" collapsed="false">
      <c r="A2915" s="0" t="s">
        <v>8</v>
      </c>
      <c r="B2915" s="0" t="s">
        <v>4072</v>
      </c>
      <c r="C2915" s="0" t="s">
        <v>7070</v>
      </c>
      <c r="D2915" s="0" t="n">
        <v>0</v>
      </c>
    </row>
    <row r="2916" customFormat="false" ht="15" hidden="false" customHeight="false" outlineLevel="0" collapsed="false">
      <c r="A2916" s="0" t="s">
        <v>8</v>
      </c>
      <c r="B2916" s="0" t="s">
        <v>4072</v>
      </c>
      <c r="C2916" s="0" t="s">
        <v>7071</v>
      </c>
    </row>
    <row r="2917" customFormat="false" ht="15" hidden="false" customHeight="false" outlineLevel="0" collapsed="false">
      <c r="A2917" s="0" t="s">
        <v>8</v>
      </c>
      <c r="B2917" s="0" t="s">
        <v>4072</v>
      </c>
      <c r="C2917" s="0" t="s">
        <v>7072</v>
      </c>
    </row>
    <row r="2918" customFormat="false" ht="15" hidden="false" customHeight="false" outlineLevel="0" collapsed="false">
      <c r="A2918" s="0" t="s">
        <v>8</v>
      </c>
      <c r="B2918" s="0" t="s">
        <v>4074</v>
      </c>
      <c r="C2918" s="0" t="s">
        <v>7070</v>
      </c>
      <c r="D2918" s="0" t="n">
        <v>7</v>
      </c>
    </row>
    <row r="2919" customFormat="false" ht="15" hidden="false" customHeight="false" outlineLevel="0" collapsed="false">
      <c r="A2919" s="0" t="s">
        <v>8</v>
      </c>
      <c r="B2919" s="0" t="s">
        <v>4074</v>
      </c>
      <c r="C2919" s="0" t="s">
        <v>7071</v>
      </c>
    </row>
    <row r="2920" customFormat="false" ht="15" hidden="false" customHeight="false" outlineLevel="0" collapsed="false">
      <c r="A2920" s="0" t="s">
        <v>8</v>
      </c>
      <c r="B2920" s="0" t="s">
        <v>4074</v>
      </c>
      <c r="C2920" s="0" t="s">
        <v>7072</v>
      </c>
    </row>
    <row r="2921" customFormat="false" ht="15" hidden="false" customHeight="false" outlineLevel="0" collapsed="false">
      <c r="A2921" s="0" t="s">
        <v>8</v>
      </c>
      <c r="B2921" s="0" t="s">
        <v>4077</v>
      </c>
      <c r="C2921" s="0" t="s">
        <v>7070</v>
      </c>
      <c r="D2921" s="0" t="n">
        <v>0.001</v>
      </c>
    </row>
    <row r="2922" customFormat="false" ht="15" hidden="false" customHeight="false" outlineLevel="0" collapsed="false">
      <c r="A2922" s="0" t="s">
        <v>8</v>
      </c>
      <c r="B2922" s="0" t="s">
        <v>4077</v>
      </c>
      <c r="C2922" s="0" t="s">
        <v>7071</v>
      </c>
    </row>
    <row r="2923" customFormat="false" ht="15" hidden="false" customHeight="false" outlineLevel="0" collapsed="false">
      <c r="A2923" s="0" t="s">
        <v>8</v>
      </c>
      <c r="B2923" s="0" t="s">
        <v>4077</v>
      </c>
      <c r="C2923" s="0" t="s">
        <v>7072</v>
      </c>
    </row>
    <row r="2924" customFormat="false" ht="15" hidden="false" customHeight="false" outlineLevel="0" collapsed="false">
      <c r="A2924" s="0" t="s">
        <v>8</v>
      </c>
      <c r="B2924" s="0" t="s">
        <v>4082</v>
      </c>
      <c r="C2924" s="0" t="s">
        <v>7070</v>
      </c>
      <c r="D2924" s="0" t="n">
        <v>0.0022</v>
      </c>
    </row>
    <row r="2925" customFormat="false" ht="15" hidden="false" customHeight="false" outlineLevel="0" collapsed="false">
      <c r="A2925" s="0" t="s">
        <v>8</v>
      </c>
      <c r="B2925" s="0" t="s">
        <v>4082</v>
      </c>
      <c r="C2925" s="0" t="s">
        <v>7071</v>
      </c>
    </row>
    <row r="2926" customFormat="false" ht="15" hidden="false" customHeight="false" outlineLevel="0" collapsed="false">
      <c r="A2926" s="0" t="s">
        <v>8</v>
      </c>
      <c r="B2926" s="0" t="s">
        <v>4082</v>
      </c>
      <c r="C2926" s="0" t="s">
        <v>7072</v>
      </c>
    </row>
    <row r="2927" customFormat="false" ht="15" hidden="false" customHeight="false" outlineLevel="0" collapsed="false">
      <c r="A2927" s="0" t="s">
        <v>8</v>
      </c>
      <c r="B2927" s="0" t="s">
        <v>4085</v>
      </c>
      <c r="C2927" s="0" t="s">
        <v>7070</v>
      </c>
      <c r="D2927" s="0" t="n">
        <v>0.0106</v>
      </c>
    </row>
    <row r="2928" customFormat="false" ht="15" hidden="false" customHeight="false" outlineLevel="0" collapsed="false">
      <c r="A2928" s="0" t="s">
        <v>8</v>
      </c>
      <c r="B2928" s="0" t="s">
        <v>4085</v>
      </c>
      <c r="C2928" s="0" t="s">
        <v>7071</v>
      </c>
    </row>
    <row r="2929" customFormat="false" ht="15" hidden="false" customHeight="false" outlineLevel="0" collapsed="false">
      <c r="A2929" s="0" t="s">
        <v>8</v>
      </c>
      <c r="B2929" s="0" t="s">
        <v>4085</v>
      </c>
      <c r="C2929" s="0" t="s">
        <v>7072</v>
      </c>
    </row>
    <row r="2930" customFormat="false" ht="15" hidden="false" customHeight="false" outlineLevel="0" collapsed="false">
      <c r="A2930" s="0" t="s">
        <v>8</v>
      </c>
      <c r="B2930" s="0" t="s">
        <v>4088</v>
      </c>
      <c r="C2930" s="0" t="s">
        <v>7070</v>
      </c>
      <c r="D2930" s="0" t="n">
        <v>0.0415</v>
      </c>
    </row>
    <row r="2931" customFormat="false" ht="15" hidden="false" customHeight="false" outlineLevel="0" collapsed="false">
      <c r="A2931" s="0" t="s">
        <v>8</v>
      </c>
      <c r="B2931" s="0" t="s">
        <v>4088</v>
      </c>
      <c r="C2931" s="0" t="s">
        <v>7071</v>
      </c>
    </row>
    <row r="2932" customFormat="false" ht="15" hidden="false" customHeight="false" outlineLevel="0" collapsed="false">
      <c r="A2932" s="0" t="s">
        <v>8</v>
      </c>
      <c r="B2932" s="0" t="s">
        <v>4088</v>
      </c>
      <c r="C2932" s="0" t="s">
        <v>7072</v>
      </c>
    </row>
    <row r="2933" customFormat="false" ht="15" hidden="false" customHeight="false" outlineLevel="0" collapsed="false">
      <c r="A2933" s="0" t="s">
        <v>8</v>
      </c>
      <c r="B2933" s="0" t="s">
        <v>4091</v>
      </c>
      <c r="C2933" s="0" t="s">
        <v>7070</v>
      </c>
      <c r="D2933" s="0" t="n">
        <v>0</v>
      </c>
    </row>
    <row r="2934" customFormat="false" ht="15" hidden="false" customHeight="false" outlineLevel="0" collapsed="false">
      <c r="A2934" s="0" t="s">
        <v>8</v>
      </c>
      <c r="B2934" s="0" t="s">
        <v>4091</v>
      </c>
      <c r="C2934" s="0" t="s">
        <v>7071</v>
      </c>
    </row>
    <row r="2935" customFormat="false" ht="15" hidden="false" customHeight="false" outlineLevel="0" collapsed="false">
      <c r="A2935" s="0" t="s">
        <v>8</v>
      </c>
      <c r="B2935" s="0" t="s">
        <v>4091</v>
      </c>
      <c r="C2935" s="0" t="s">
        <v>7072</v>
      </c>
    </row>
    <row r="2936" customFormat="false" ht="15" hidden="false" customHeight="false" outlineLevel="0" collapsed="false">
      <c r="A2936" s="0" t="s">
        <v>8</v>
      </c>
      <c r="B2936" s="0" t="s">
        <v>4095</v>
      </c>
      <c r="C2936" s="0" t="s">
        <v>7070</v>
      </c>
      <c r="D2936" s="0" t="n">
        <v>0</v>
      </c>
    </row>
    <row r="2937" customFormat="false" ht="15" hidden="false" customHeight="false" outlineLevel="0" collapsed="false">
      <c r="A2937" s="0" t="s">
        <v>8</v>
      </c>
      <c r="B2937" s="0" t="s">
        <v>4095</v>
      </c>
      <c r="C2937" s="0" t="s">
        <v>7071</v>
      </c>
    </row>
    <row r="2938" customFormat="false" ht="15" hidden="false" customHeight="false" outlineLevel="0" collapsed="false">
      <c r="A2938" s="0" t="s">
        <v>8</v>
      </c>
      <c r="B2938" s="0" t="s">
        <v>4095</v>
      </c>
      <c r="C2938" s="0" t="s">
        <v>7072</v>
      </c>
    </row>
    <row r="2939" customFormat="false" ht="15" hidden="false" customHeight="false" outlineLevel="0" collapsed="false">
      <c r="A2939" s="0" t="s">
        <v>8</v>
      </c>
      <c r="B2939" s="0" t="s">
        <v>4097</v>
      </c>
      <c r="C2939" s="0" t="s">
        <v>7070</v>
      </c>
      <c r="D2939" s="0" t="n">
        <v>1.3725</v>
      </c>
    </row>
    <row r="2940" customFormat="false" ht="15" hidden="false" customHeight="false" outlineLevel="0" collapsed="false">
      <c r="A2940" s="0" t="s">
        <v>8</v>
      </c>
      <c r="B2940" s="0" t="s">
        <v>4097</v>
      </c>
      <c r="C2940" s="0" t="s">
        <v>7071</v>
      </c>
    </row>
    <row r="2941" customFormat="false" ht="15" hidden="false" customHeight="false" outlineLevel="0" collapsed="false">
      <c r="A2941" s="0" t="s">
        <v>8</v>
      </c>
      <c r="B2941" s="0" t="s">
        <v>4097</v>
      </c>
      <c r="C2941" s="0" t="s">
        <v>7072</v>
      </c>
    </row>
    <row r="2942" customFormat="false" ht="15" hidden="false" customHeight="false" outlineLevel="0" collapsed="false">
      <c r="A2942" s="0" t="s">
        <v>8</v>
      </c>
      <c r="B2942" s="0" t="s">
        <v>4100</v>
      </c>
      <c r="C2942" s="0" t="s">
        <v>7070</v>
      </c>
      <c r="D2942" s="0" t="n">
        <v>1.3721</v>
      </c>
    </row>
    <row r="2943" customFormat="false" ht="15" hidden="false" customHeight="false" outlineLevel="0" collapsed="false">
      <c r="A2943" s="0" t="s">
        <v>8</v>
      </c>
      <c r="B2943" s="0" t="s">
        <v>4100</v>
      </c>
      <c r="C2943" s="0" t="s">
        <v>7071</v>
      </c>
    </row>
    <row r="2944" customFormat="false" ht="15" hidden="false" customHeight="false" outlineLevel="0" collapsed="false">
      <c r="A2944" s="0" t="s">
        <v>8</v>
      </c>
      <c r="B2944" s="0" t="s">
        <v>4100</v>
      </c>
      <c r="C2944" s="0" t="s">
        <v>7072</v>
      </c>
    </row>
    <row r="2945" customFormat="false" ht="15" hidden="false" customHeight="false" outlineLevel="0" collapsed="false">
      <c r="A2945" s="0" t="s">
        <v>8</v>
      </c>
      <c r="B2945" s="0" t="s">
        <v>4103</v>
      </c>
      <c r="C2945" s="0" t="s">
        <v>7070</v>
      </c>
      <c r="D2945" s="0" t="n">
        <v>2.6837</v>
      </c>
    </row>
    <row r="2946" customFormat="false" ht="15" hidden="false" customHeight="false" outlineLevel="0" collapsed="false">
      <c r="A2946" s="0" t="s">
        <v>8</v>
      </c>
      <c r="B2946" s="0" t="s">
        <v>4103</v>
      </c>
      <c r="C2946" s="0" t="s">
        <v>7071</v>
      </c>
    </row>
    <row r="2947" customFormat="false" ht="15" hidden="false" customHeight="false" outlineLevel="0" collapsed="false">
      <c r="A2947" s="0" t="s">
        <v>8</v>
      </c>
      <c r="B2947" s="0" t="s">
        <v>4103</v>
      </c>
      <c r="C2947" s="0" t="s">
        <v>7072</v>
      </c>
    </row>
    <row r="2948" customFormat="false" ht="15" hidden="false" customHeight="false" outlineLevel="0" collapsed="false">
      <c r="A2948" s="0" t="s">
        <v>8</v>
      </c>
      <c r="B2948" s="0" t="s">
        <v>4106</v>
      </c>
      <c r="C2948" s="0" t="s">
        <v>7070</v>
      </c>
      <c r="D2948" s="0" t="n">
        <v>2.65</v>
      </c>
    </row>
    <row r="2949" customFormat="false" ht="15" hidden="false" customHeight="false" outlineLevel="0" collapsed="false">
      <c r="A2949" s="0" t="s">
        <v>8</v>
      </c>
      <c r="B2949" s="0" t="s">
        <v>4106</v>
      </c>
      <c r="C2949" s="0" t="s">
        <v>7071</v>
      </c>
    </row>
    <row r="2950" customFormat="false" ht="15" hidden="false" customHeight="false" outlineLevel="0" collapsed="false">
      <c r="A2950" s="0" t="s">
        <v>8</v>
      </c>
      <c r="B2950" s="0" t="s">
        <v>4106</v>
      </c>
      <c r="C2950" s="0" t="s">
        <v>7072</v>
      </c>
    </row>
    <row r="2951" customFormat="false" ht="15" hidden="false" customHeight="false" outlineLevel="0" collapsed="false">
      <c r="A2951" s="0" t="s">
        <v>8</v>
      </c>
      <c r="B2951" s="0" t="s">
        <v>4110</v>
      </c>
      <c r="C2951" s="0" t="s">
        <v>7070</v>
      </c>
    </row>
    <row r="2952" customFormat="false" ht="15" hidden="false" customHeight="false" outlineLevel="0" collapsed="false">
      <c r="A2952" s="0" t="s">
        <v>8</v>
      </c>
      <c r="B2952" s="0" t="s">
        <v>4110</v>
      </c>
      <c r="C2952" s="0" t="s">
        <v>7071</v>
      </c>
      <c r="D2952" s="0" t="n">
        <v>2.11</v>
      </c>
    </row>
    <row r="2953" customFormat="false" ht="15" hidden="false" customHeight="false" outlineLevel="0" collapsed="false">
      <c r="A2953" s="0" t="s">
        <v>8</v>
      </c>
      <c r="B2953" s="0" t="s">
        <v>4110</v>
      </c>
      <c r="C2953" s="0" t="s">
        <v>7072</v>
      </c>
      <c r="D2953" s="0" t="n">
        <v>2.2</v>
      </c>
    </row>
    <row r="2954" customFormat="false" ht="15" hidden="false" customHeight="false" outlineLevel="0" collapsed="false">
      <c r="A2954" s="0" t="s">
        <v>8</v>
      </c>
      <c r="B2954" s="0" t="s">
        <v>4115</v>
      </c>
      <c r="C2954" s="0" t="s">
        <v>7070</v>
      </c>
      <c r="D2954" s="0" t="n">
        <v>61.305</v>
      </c>
    </row>
    <row r="2955" customFormat="false" ht="15" hidden="false" customHeight="false" outlineLevel="0" collapsed="false">
      <c r="A2955" s="0" t="s">
        <v>8</v>
      </c>
      <c r="B2955" s="0" t="s">
        <v>4115</v>
      </c>
      <c r="C2955" s="0" t="s">
        <v>7071</v>
      </c>
    </row>
    <row r="2956" customFormat="false" ht="15" hidden="false" customHeight="false" outlineLevel="0" collapsed="false">
      <c r="A2956" s="0" t="s">
        <v>8</v>
      </c>
      <c r="B2956" s="0" t="s">
        <v>4115</v>
      </c>
      <c r="C2956" s="0" t="s">
        <v>7072</v>
      </c>
    </row>
    <row r="2957" customFormat="false" ht="15" hidden="false" customHeight="false" outlineLevel="0" collapsed="false">
      <c r="A2957" s="0" t="s">
        <v>8</v>
      </c>
      <c r="B2957" s="0" t="s">
        <v>4120</v>
      </c>
      <c r="C2957" s="0" t="s">
        <v>7070</v>
      </c>
      <c r="D2957" s="0" t="n">
        <v>12</v>
      </c>
    </row>
    <row r="2958" customFormat="false" ht="15" hidden="false" customHeight="false" outlineLevel="0" collapsed="false">
      <c r="A2958" s="0" t="s">
        <v>8</v>
      </c>
      <c r="B2958" s="0" t="s">
        <v>4120</v>
      </c>
      <c r="C2958" s="0" t="s">
        <v>7071</v>
      </c>
    </row>
    <row r="2959" customFormat="false" ht="15" hidden="false" customHeight="false" outlineLevel="0" collapsed="false">
      <c r="A2959" s="0" t="s">
        <v>8</v>
      </c>
      <c r="B2959" s="0" t="s">
        <v>4120</v>
      </c>
      <c r="C2959" s="0" t="s">
        <v>7072</v>
      </c>
    </row>
    <row r="2960" customFormat="false" ht="15" hidden="false" customHeight="false" outlineLevel="0" collapsed="false">
      <c r="A2960" s="0" t="s">
        <v>8</v>
      </c>
      <c r="B2960" s="0" t="s">
        <v>4126</v>
      </c>
      <c r="C2960" s="0" t="s">
        <v>7070</v>
      </c>
      <c r="D2960" s="0" t="n">
        <v>0.0005</v>
      </c>
    </row>
    <row r="2961" customFormat="false" ht="15" hidden="false" customHeight="false" outlineLevel="0" collapsed="false">
      <c r="A2961" s="0" t="s">
        <v>8</v>
      </c>
      <c r="B2961" s="0" t="s">
        <v>4126</v>
      </c>
      <c r="C2961" s="0" t="s">
        <v>7071</v>
      </c>
    </row>
    <row r="2962" customFormat="false" ht="15" hidden="false" customHeight="false" outlineLevel="0" collapsed="false">
      <c r="A2962" s="0" t="s">
        <v>8</v>
      </c>
      <c r="B2962" s="0" t="s">
        <v>4126</v>
      </c>
      <c r="C2962" s="0" t="s">
        <v>7072</v>
      </c>
    </row>
    <row r="2963" customFormat="false" ht="15" hidden="false" customHeight="false" outlineLevel="0" collapsed="false">
      <c r="A2963" s="0" t="s">
        <v>8</v>
      </c>
      <c r="B2963" s="0" t="s">
        <v>4132</v>
      </c>
      <c r="C2963" s="0" t="s">
        <v>7070</v>
      </c>
      <c r="D2963" s="0" t="n">
        <v>0.0021</v>
      </c>
    </row>
    <row r="2964" customFormat="false" ht="15" hidden="false" customHeight="false" outlineLevel="0" collapsed="false">
      <c r="A2964" s="0" t="s">
        <v>8</v>
      </c>
      <c r="B2964" s="0" t="s">
        <v>4132</v>
      </c>
      <c r="C2964" s="0" t="s">
        <v>7071</v>
      </c>
    </row>
    <row r="2965" customFormat="false" ht="15" hidden="false" customHeight="false" outlineLevel="0" collapsed="false">
      <c r="A2965" s="0" t="s">
        <v>8</v>
      </c>
      <c r="B2965" s="0" t="s">
        <v>4132</v>
      </c>
      <c r="C2965" s="0" t="s">
        <v>7072</v>
      </c>
    </row>
    <row r="2966" customFormat="false" ht="15" hidden="false" customHeight="false" outlineLevel="0" collapsed="false">
      <c r="A2966" s="0" t="s">
        <v>8</v>
      </c>
      <c r="B2966" s="0" t="s">
        <v>4136</v>
      </c>
      <c r="C2966" s="0" t="s">
        <v>7070</v>
      </c>
      <c r="D2966" s="0" t="n">
        <v>0.2</v>
      </c>
    </row>
    <row r="2967" customFormat="false" ht="15" hidden="false" customHeight="false" outlineLevel="0" collapsed="false">
      <c r="A2967" s="0" t="s">
        <v>8</v>
      </c>
      <c r="B2967" s="0" t="s">
        <v>4136</v>
      </c>
      <c r="C2967" s="0" t="s">
        <v>7071</v>
      </c>
    </row>
    <row r="2968" customFormat="false" ht="15" hidden="false" customHeight="false" outlineLevel="0" collapsed="false">
      <c r="A2968" s="0" t="s">
        <v>8</v>
      </c>
      <c r="B2968" s="0" t="s">
        <v>4136</v>
      </c>
      <c r="C2968" s="0" t="s">
        <v>7072</v>
      </c>
    </row>
    <row r="2969" customFormat="false" ht="15" hidden="false" customHeight="false" outlineLevel="0" collapsed="false">
      <c r="A2969" s="0" t="s">
        <v>8</v>
      </c>
      <c r="B2969" s="0" t="s">
        <v>4139</v>
      </c>
      <c r="C2969" s="0" t="s">
        <v>7070</v>
      </c>
      <c r="D2969" s="0" t="n">
        <v>4.6</v>
      </c>
    </row>
    <row r="2970" customFormat="false" ht="15" hidden="false" customHeight="false" outlineLevel="0" collapsed="false">
      <c r="A2970" s="0" t="s">
        <v>8</v>
      </c>
      <c r="B2970" s="0" t="s">
        <v>4139</v>
      </c>
      <c r="C2970" s="0" t="s">
        <v>7071</v>
      </c>
    </row>
    <row r="2971" customFormat="false" ht="15" hidden="false" customHeight="false" outlineLevel="0" collapsed="false">
      <c r="A2971" s="0" t="s">
        <v>8</v>
      </c>
      <c r="B2971" s="0" t="s">
        <v>4139</v>
      </c>
      <c r="C2971" s="0" t="s">
        <v>7072</v>
      </c>
    </row>
    <row r="2972" customFormat="false" ht="15" hidden="false" customHeight="false" outlineLevel="0" collapsed="false">
      <c r="A2972" s="0" t="s">
        <v>8</v>
      </c>
      <c r="B2972" s="0" t="s">
        <v>4142</v>
      </c>
      <c r="C2972" s="0" t="s">
        <v>7070</v>
      </c>
      <c r="D2972" s="0" t="n">
        <v>4.2</v>
      </c>
    </row>
    <row r="2973" customFormat="false" ht="15" hidden="false" customHeight="false" outlineLevel="0" collapsed="false">
      <c r="A2973" s="0" t="s">
        <v>8</v>
      </c>
      <c r="B2973" s="0" t="s">
        <v>4142</v>
      </c>
      <c r="C2973" s="0" t="s">
        <v>7071</v>
      </c>
    </row>
    <row r="2974" customFormat="false" ht="15" hidden="false" customHeight="false" outlineLevel="0" collapsed="false">
      <c r="A2974" s="0" t="s">
        <v>8</v>
      </c>
      <c r="B2974" s="0" t="s">
        <v>4142</v>
      </c>
      <c r="C2974" s="0" t="s">
        <v>7072</v>
      </c>
    </row>
    <row r="2975" customFormat="false" ht="15" hidden="false" customHeight="false" outlineLevel="0" collapsed="false">
      <c r="A2975" s="0" t="s">
        <v>8</v>
      </c>
      <c r="B2975" s="0" t="s">
        <v>4147</v>
      </c>
      <c r="C2975" s="0" t="s">
        <v>7070</v>
      </c>
      <c r="D2975" s="0" t="n">
        <v>48</v>
      </c>
    </row>
    <row r="2976" customFormat="false" ht="15" hidden="false" customHeight="false" outlineLevel="0" collapsed="false">
      <c r="A2976" s="0" t="s">
        <v>8</v>
      </c>
      <c r="B2976" s="0" t="s">
        <v>4147</v>
      </c>
      <c r="C2976" s="0" t="s">
        <v>7071</v>
      </c>
    </row>
    <row r="2977" customFormat="false" ht="15" hidden="false" customHeight="false" outlineLevel="0" collapsed="false">
      <c r="A2977" s="0" t="s">
        <v>8</v>
      </c>
      <c r="B2977" s="0" t="s">
        <v>4147</v>
      </c>
      <c r="C2977" s="0" t="s">
        <v>7072</v>
      </c>
    </row>
    <row r="2978" customFormat="false" ht="15" hidden="false" customHeight="false" outlineLevel="0" collapsed="false">
      <c r="A2978" s="0" t="s">
        <v>8</v>
      </c>
      <c r="B2978" s="0" t="s">
        <v>4152</v>
      </c>
      <c r="C2978" s="0" t="s">
        <v>7070</v>
      </c>
      <c r="D2978" s="0" t="n">
        <v>0</v>
      </c>
    </row>
    <row r="2979" customFormat="false" ht="15" hidden="false" customHeight="false" outlineLevel="0" collapsed="false">
      <c r="A2979" s="0" t="s">
        <v>8</v>
      </c>
      <c r="B2979" s="0" t="s">
        <v>4152</v>
      </c>
      <c r="C2979" s="0" t="s">
        <v>7071</v>
      </c>
    </row>
    <row r="2980" customFormat="false" ht="15" hidden="false" customHeight="false" outlineLevel="0" collapsed="false">
      <c r="A2980" s="0" t="s">
        <v>8</v>
      </c>
      <c r="B2980" s="0" t="s">
        <v>4152</v>
      </c>
      <c r="C2980" s="0" t="s">
        <v>7072</v>
      </c>
    </row>
    <row r="2981" customFormat="false" ht="15" hidden="false" customHeight="false" outlineLevel="0" collapsed="false">
      <c r="A2981" s="0" t="s">
        <v>8</v>
      </c>
      <c r="B2981" s="0" t="s">
        <v>4156</v>
      </c>
      <c r="C2981" s="0" t="s">
        <v>7070</v>
      </c>
      <c r="D2981" s="0" t="n">
        <v>48</v>
      </c>
    </row>
    <row r="2982" customFormat="false" ht="15" hidden="false" customHeight="false" outlineLevel="0" collapsed="false">
      <c r="A2982" s="0" t="s">
        <v>8</v>
      </c>
      <c r="B2982" s="0" t="s">
        <v>4156</v>
      </c>
      <c r="C2982" s="0" t="s">
        <v>7071</v>
      </c>
    </row>
    <row r="2983" customFormat="false" ht="15" hidden="false" customHeight="false" outlineLevel="0" collapsed="false">
      <c r="A2983" s="0" t="s">
        <v>8</v>
      </c>
      <c r="B2983" s="0" t="s">
        <v>4156</v>
      </c>
      <c r="C2983" s="0" t="s">
        <v>7072</v>
      </c>
    </row>
    <row r="2984" customFormat="false" ht="15" hidden="false" customHeight="false" outlineLevel="0" collapsed="false">
      <c r="A2984" s="0" t="s">
        <v>8</v>
      </c>
      <c r="B2984" s="0" t="s">
        <v>4159</v>
      </c>
      <c r="C2984" s="0" t="s">
        <v>7070</v>
      </c>
      <c r="D2984" s="0" t="n">
        <v>2873</v>
      </c>
    </row>
    <row r="2985" customFormat="false" ht="15" hidden="false" customHeight="false" outlineLevel="0" collapsed="false">
      <c r="A2985" s="0" t="s">
        <v>8</v>
      </c>
      <c r="B2985" s="0" t="s">
        <v>4159</v>
      </c>
      <c r="C2985" s="0" t="s">
        <v>7071</v>
      </c>
    </row>
    <row r="2986" customFormat="false" ht="15" hidden="false" customHeight="false" outlineLevel="0" collapsed="false">
      <c r="A2986" s="0" t="s">
        <v>8</v>
      </c>
      <c r="B2986" s="0" t="s">
        <v>4159</v>
      </c>
      <c r="C2986" s="0" t="s">
        <v>7072</v>
      </c>
    </row>
    <row r="2987" customFormat="false" ht="15" hidden="false" customHeight="false" outlineLevel="0" collapsed="false">
      <c r="A2987" s="0" t="s">
        <v>8</v>
      </c>
      <c r="B2987" s="0" t="s">
        <v>4162</v>
      </c>
      <c r="C2987" s="0" t="s">
        <v>7070</v>
      </c>
      <c r="D2987" s="0" t="n">
        <v>2812</v>
      </c>
    </row>
    <row r="2988" customFormat="false" ht="15" hidden="false" customHeight="false" outlineLevel="0" collapsed="false">
      <c r="A2988" s="0" t="s">
        <v>8</v>
      </c>
      <c r="B2988" s="0" t="s">
        <v>4162</v>
      </c>
      <c r="C2988" s="0" t="s">
        <v>7071</v>
      </c>
    </row>
    <row r="2989" customFormat="false" ht="15" hidden="false" customHeight="false" outlineLevel="0" collapsed="false">
      <c r="A2989" s="0" t="s">
        <v>8</v>
      </c>
      <c r="B2989" s="0" t="s">
        <v>4162</v>
      </c>
      <c r="C2989" s="0" t="s">
        <v>7072</v>
      </c>
    </row>
    <row r="2990" customFormat="false" ht="15" hidden="false" customHeight="false" outlineLevel="0" collapsed="false">
      <c r="A2990" s="0" t="s">
        <v>8</v>
      </c>
      <c r="B2990" s="0" t="s">
        <v>4164</v>
      </c>
      <c r="C2990" s="0" t="s">
        <v>7070</v>
      </c>
      <c r="D2990" s="0" t="n">
        <v>61</v>
      </c>
    </row>
    <row r="2991" customFormat="false" ht="15" hidden="false" customHeight="false" outlineLevel="0" collapsed="false">
      <c r="A2991" s="0" t="s">
        <v>8</v>
      </c>
      <c r="B2991" s="0" t="s">
        <v>4164</v>
      </c>
      <c r="C2991" s="0" t="s">
        <v>7071</v>
      </c>
    </row>
    <row r="2992" customFormat="false" ht="15" hidden="false" customHeight="false" outlineLevel="0" collapsed="false">
      <c r="A2992" s="0" t="s">
        <v>8</v>
      </c>
      <c r="B2992" s="0" t="s">
        <v>4164</v>
      </c>
      <c r="C2992" s="0" t="s">
        <v>7072</v>
      </c>
    </row>
    <row r="2993" customFormat="false" ht="15" hidden="false" customHeight="false" outlineLevel="0" collapsed="false">
      <c r="A2993" s="0" t="s">
        <v>8</v>
      </c>
      <c r="B2993" s="0" t="s">
        <v>4166</v>
      </c>
      <c r="C2993" s="0" t="s">
        <v>7070</v>
      </c>
      <c r="D2993" s="0" t="n">
        <v>5580</v>
      </c>
    </row>
    <row r="2994" customFormat="false" ht="15" hidden="false" customHeight="false" outlineLevel="0" collapsed="false">
      <c r="A2994" s="0" t="s">
        <v>8</v>
      </c>
      <c r="B2994" s="0" t="s">
        <v>4166</v>
      </c>
      <c r="C2994" s="0" t="s">
        <v>7071</v>
      </c>
    </row>
    <row r="2995" customFormat="false" ht="15" hidden="false" customHeight="false" outlineLevel="0" collapsed="false">
      <c r="A2995" s="0" t="s">
        <v>8</v>
      </c>
      <c r="B2995" s="0" t="s">
        <v>4166</v>
      </c>
      <c r="C2995" s="0" t="s">
        <v>7072</v>
      </c>
    </row>
    <row r="2996" customFormat="false" ht="15" hidden="false" customHeight="false" outlineLevel="0" collapsed="false">
      <c r="A2996" s="0" t="s">
        <v>8</v>
      </c>
      <c r="B2996" s="0" t="s">
        <v>4169</v>
      </c>
      <c r="C2996" s="0" t="s">
        <v>7070</v>
      </c>
      <c r="D2996" s="0" t="n">
        <v>5457</v>
      </c>
    </row>
    <row r="2997" customFormat="false" ht="15" hidden="false" customHeight="false" outlineLevel="0" collapsed="false">
      <c r="A2997" s="0" t="s">
        <v>8</v>
      </c>
      <c r="B2997" s="0" t="s">
        <v>4169</v>
      </c>
      <c r="C2997" s="0" t="s">
        <v>7071</v>
      </c>
    </row>
    <row r="2998" customFormat="false" ht="15" hidden="false" customHeight="false" outlineLevel="0" collapsed="false">
      <c r="A2998" s="0" t="s">
        <v>8</v>
      </c>
      <c r="B2998" s="0" t="s">
        <v>4169</v>
      </c>
      <c r="C2998" s="0" t="s">
        <v>7072</v>
      </c>
    </row>
    <row r="2999" customFormat="false" ht="15" hidden="false" customHeight="false" outlineLevel="0" collapsed="false">
      <c r="A2999" s="0" t="s">
        <v>8</v>
      </c>
      <c r="B2999" s="0" t="s">
        <v>4171</v>
      </c>
      <c r="C2999" s="0" t="s">
        <v>7070</v>
      </c>
      <c r="D2999" s="0" t="n">
        <v>123</v>
      </c>
    </row>
    <row r="3000" customFormat="false" ht="15" hidden="false" customHeight="false" outlineLevel="0" collapsed="false">
      <c r="A3000" s="0" t="s">
        <v>8</v>
      </c>
      <c r="B3000" s="0" t="s">
        <v>4171</v>
      </c>
      <c r="C3000" s="0" t="s">
        <v>7071</v>
      </c>
    </row>
    <row r="3001" customFormat="false" ht="15" hidden="false" customHeight="false" outlineLevel="0" collapsed="false">
      <c r="A3001" s="0" t="s">
        <v>8</v>
      </c>
      <c r="B3001" s="0" t="s">
        <v>4171</v>
      </c>
      <c r="C3001" s="0" t="s">
        <v>7072</v>
      </c>
    </row>
    <row r="3002" customFormat="false" ht="15" hidden="false" customHeight="false" outlineLevel="0" collapsed="false">
      <c r="A3002" s="0" t="s">
        <v>8</v>
      </c>
      <c r="B3002" s="0" t="s">
        <v>4173</v>
      </c>
      <c r="C3002" s="0" t="s">
        <v>7070</v>
      </c>
      <c r="D3002" s="0" t="n">
        <v>3156</v>
      </c>
    </row>
    <row r="3003" customFormat="false" ht="15" hidden="false" customHeight="false" outlineLevel="0" collapsed="false">
      <c r="A3003" s="0" t="s">
        <v>8</v>
      </c>
      <c r="B3003" s="0" t="s">
        <v>4173</v>
      </c>
      <c r="C3003" s="0" t="s">
        <v>7071</v>
      </c>
    </row>
    <row r="3004" customFormat="false" ht="15" hidden="false" customHeight="false" outlineLevel="0" collapsed="false">
      <c r="A3004" s="0" t="s">
        <v>8</v>
      </c>
      <c r="B3004" s="0" t="s">
        <v>4173</v>
      </c>
      <c r="C3004" s="0" t="s">
        <v>7072</v>
      </c>
    </row>
    <row r="3005" customFormat="false" ht="15" hidden="false" customHeight="false" outlineLevel="0" collapsed="false">
      <c r="A3005" s="0" t="s">
        <v>8</v>
      </c>
      <c r="B3005" s="0" t="s">
        <v>4176</v>
      </c>
      <c r="C3005" s="0" t="s">
        <v>7070</v>
      </c>
      <c r="D3005" s="0" t="n">
        <v>3061</v>
      </c>
    </row>
    <row r="3006" customFormat="false" ht="15" hidden="false" customHeight="false" outlineLevel="0" collapsed="false">
      <c r="A3006" s="0" t="s">
        <v>8</v>
      </c>
      <c r="B3006" s="0" t="s">
        <v>4176</v>
      </c>
      <c r="C3006" s="0" t="s">
        <v>7071</v>
      </c>
    </row>
    <row r="3007" customFormat="false" ht="15" hidden="false" customHeight="false" outlineLevel="0" collapsed="false">
      <c r="A3007" s="0" t="s">
        <v>8</v>
      </c>
      <c r="B3007" s="0" t="s">
        <v>4176</v>
      </c>
      <c r="C3007" s="0" t="s">
        <v>7072</v>
      </c>
    </row>
    <row r="3008" customFormat="false" ht="15" hidden="false" customHeight="false" outlineLevel="0" collapsed="false">
      <c r="A3008" s="0" t="s">
        <v>8</v>
      </c>
      <c r="B3008" s="0" t="s">
        <v>4178</v>
      </c>
      <c r="C3008" s="0" t="s">
        <v>7070</v>
      </c>
      <c r="D3008" s="0" t="n">
        <v>95</v>
      </c>
    </row>
    <row r="3009" customFormat="false" ht="15" hidden="false" customHeight="false" outlineLevel="0" collapsed="false">
      <c r="A3009" s="0" t="s">
        <v>8</v>
      </c>
      <c r="B3009" s="0" t="s">
        <v>4178</v>
      </c>
      <c r="C3009" s="0" t="s">
        <v>7071</v>
      </c>
    </row>
    <row r="3010" customFormat="false" ht="15" hidden="false" customHeight="false" outlineLevel="0" collapsed="false">
      <c r="A3010" s="0" t="s">
        <v>8</v>
      </c>
      <c r="B3010" s="0" t="s">
        <v>4178</v>
      </c>
      <c r="C3010" s="0" t="s">
        <v>7072</v>
      </c>
    </row>
    <row r="3011" customFormat="false" ht="15" hidden="false" customHeight="false" outlineLevel="0" collapsed="false">
      <c r="A3011" s="0" t="s">
        <v>8</v>
      </c>
      <c r="B3011" s="0" t="s">
        <v>4180</v>
      </c>
      <c r="C3011" s="0" t="s">
        <v>7070</v>
      </c>
      <c r="D3011" s="0" t="n">
        <v>45</v>
      </c>
    </row>
    <row r="3012" customFormat="false" ht="15" hidden="false" customHeight="false" outlineLevel="0" collapsed="false">
      <c r="A3012" s="0" t="s">
        <v>8</v>
      </c>
      <c r="B3012" s="0" t="s">
        <v>4180</v>
      </c>
      <c r="C3012" s="0" t="s">
        <v>7071</v>
      </c>
    </row>
    <row r="3013" customFormat="false" ht="15" hidden="false" customHeight="false" outlineLevel="0" collapsed="false">
      <c r="A3013" s="0" t="s">
        <v>8</v>
      </c>
      <c r="B3013" s="0" t="s">
        <v>4180</v>
      </c>
      <c r="C3013" s="0" t="s">
        <v>7072</v>
      </c>
    </row>
    <row r="3014" customFormat="false" ht="15" hidden="false" customHeight="false" outlineLevel="0" collapsed="false">
      <c r="A3014" s="0" t="s">
        <v>8</v>
      </c>
      <c r="B3014" s="0" t="s">
        <v>4186</v>
      </c>
      <c r="C3014" s="0" t="s">
        <v>7070</v>
      </c>
      <c r="D3014" s="0" t="n">
        <v>100</v>
      </c>
    </row>
    <row r="3015" customFormat="false" ht="15" hidden="false" customHeight="false" outlineLevel="0" collapsed="false">
      <c r="A3015" s="0" t="s">
        <v>8</v>
      </c>
      <c r="B3015" s="0" t="s">
        <v>4186</v>
      </c>
      <c r="C3015" s="0" t="s">
        <v>7071</v>
      </c>
    </row>
    <row r="3016" customFormat="false" ht="15" hidden="false" customHeight="false" outlineLevel="0" collapsed="false">
      <c r="A3016" s="0" t="s">
        <v>8</v>
      </c>
      <c r="B3016" s="0" t="s">
        <v>4186</v>
      </c>
      <c r="C3016" s="0" t="s">
        <v>7072</v>
      </c>
    </row>
    <row r="3017" customFormat="false" ht="15" hidden="false" customHeight="false" outlineLevel="0" collapsed="false">
      <c r="A3017" s="0" t="s">
        <v>8</v>
      </c>
      <c r="B3017" s="0" t="s">
        <v>4191</v>
      </c>
      <c r="C3017" s="0" t="s">
        <v>7070</v>
      </c>
      <c r="D3017" s="0" t="n">
        <v>60</v>
      </c>
    </row>
    <row r="3018" customFormat="false" ht="15" hidden="false" customHeight="false" outlineLevel="0" collapsed="false">
      <c r="A3018" s="0" t="s">
        <v>8</v>
      </c>
      <c r="B3018" s="0" t="s">
        <v>4191</v>
      </c>
      <c r="C3018" s="0" t="s">
        <v>7071</v>
      </c>
    </row>
    <row r="3019" customFormat="false" ht="15" hidden="false" customHeight="false" outlineLevel="0" collapsed="false">
      <c r="A3019" s="0" t="s">
        <v>8</v>
      </c>
      <c r="B3019" s="0" t="s">
        <v>4191</v>
      </c>
      <c r="C3019" s="0" t="s">
        <v>7072</v>
      </c>
    </row>
    <row r="3020" customFormat="false" ht="15" hidden="false" customHeight="false" outlineLevel="0" collapsed="false">
      <c r="A3020" s="0" t="s">
        <v>8</v>
      </c>
      <c r="B3020" s="0" t="s">
        <v>4198</v>
      </c>
      <c r="C3020" s="0" t="s">
        <v>7070</v>
      </c>
      <c r="D3020" s="0" t="n">
        <v>0.7653</v>
      </c>
    </row>
    <row r="3021" customFormat="false" ht="15" hidden="false" customHeight="false" outlineLevel="0" collapsed="false">
      <c r="A3021" s="0" t="s">
        <v>8</v>
      </c>
      <c r="B3021" s="0" t="s">
        <v>4198</v>
      </c>
      <c r="C3021" s="0" t="s">
        <v>7071</v>
      </c>
    </row>
    <row r="3022" customFormat="false" ht="15" hidden="false" customHeight="false" outlineLevel="0" collapsed="false">
      <c r="A3022" s="0" t="s">
        <v>8</v>
      </c>
      <c r="B3022" s="0" t="s">
        <v>4198</v>
      </c>
      <c r="C3022" s="0" t="s">
        <v>7072</v>
      </c>
    </row>
    <row r="3023" customFormat="false" ht="15" hidden="false" customHeight="false" outlineLevel="0" collapsed="false">
      <c r="A3023" s="0" t="s">
        <v>8</v>
      </c>
      <c r="B3023" s="0" t="s">
        <v>4202</v>
      </c>
      <c r="C3023" s="0" t="s">
        <v>7070</v>
      </c>
      <c r="D3023" s="0" t="n">
        <v>1.4219</v>
      </c>
    </row>
    <row r="3024" customFormat="false" ht="15" hidden="false" customHeight="false" outlineLevel="0" collapsed="false">
      <c r="A3024" s="0" t="s">
        <v>8</v>
      </c>
      <c r="B3024" s="0" t="s">
        <v>4202</v>
      </c>
      <c r="C3024" s="0" t="s">
        <v>7071</v>
      </c>
    </row>
    <row r="3025" customFormat="false" ht="15" hidden="false" customHeight="false" outlineLevel="0" collapsed="false">
      <c r="A3025" s="0" t="s">
        <v>8</v>
      </c>
      <c r="B3025" s="0" t="s">
        <v>4202</v>
      </c>
      <c r="C3025" s="0" t="s">
        <v>7072</v>
      </c>
    </row>
    <row r="3026" customFormat="false" ht="15" hidden="false" customHeight="false" outlineLevel="0" collapsed="false">
      <c r="A3026" s="0" t="s">
        <v>8</v>
      </c>
      <c r="B3026" s="0" t="s">
        <v>4205</v>
      </c>
      <c r="C3026" s="0" t="s">
        <v>7070</v>
      </c>
      <c r="D3026" s="0" t="n">
        <v>0.7663</v>
      </c>
    </row>
    <row r="3027" customFormat="false" ht="15" hidden="false" customHeight="false" outlineLevel="0" collapsed="false">
      <c r="A3027" s="0" t="s">
        <v>8</v>
      </c>
      <c r="B3027" s="0" t="s">
        <v>4205</v>
      </c>
      <c r="C3027" s="0" t="s">
        <v>7071</v>
      </c>
    </row>
    <row r="3028" customFormat="false" ht="15" hidden="false" customHeight="false" outlineLevel="0" collapsed="false">
      <c r="A3028" s="0" t="s">
        <v>8</v>
      </c>
      <c r="B3028" s="0" t="s">
        <v>4205</v>
      </c>
      <c r="C3028" s="0" t="s">
        <v>7072</v>
      </c>
    </row>
    <row r="3029" customFormat="false" ht="15" hidden="false" customHeight="false" outlineLevel="0" collapsed="false">
      <c r="A3029" s="0" t="s">
        <v>8</v>
      </c>
      <c r="B3029" s="0" t="s">
        <v>4208</v>
      </c>
      <c r="C3029" s="0" t="s">
        <v>7070</v>
      </c>
      <c r="D3029" s="0" t="n">
        <v>0.3182</v>
      </c>
    </row>
    <row r="3030" customFormat="false" ht="15" hidden="false" customHeight="false" outlineLevel="0" collapsed="false">
      <c r="A3030" s="0" t="s">
        <v>8</v>
      </c>
      <c r="B3030" s="0" t="s">
        <v>4208</v>
      </c>
      <c r="C3030" s="0" t="s">
        <v>7071</v>
      </c>
    </row>
    <row r="3031" customFormat="false" ht="15" hidden="false" customHeight="false" outlineLevel="0" collapsed="false">
      <c r="A3031" s="0" t="s">
        <v>8</v>
      </c>
      <c r="B3031" s="0" t="s">
        <v>4208</v>
      </c>
      <c r="C3031" s="0" t="s">
        <v>7072</v>
      </c>
    </row>
    <row r="3032" customFormat="false" ht="15" hidden="false" customHeight="false" outlineLevel="0" collapsed="false">
      <c r="A3032" s="0" t="s">
        <v>8</v>
      </c>
      <c r="B3032" s="0" t="s">
        <v>4211</v>
      </c>
      <c r="C3032" s="0" t="s">
        <v>7070</v>
      </c>
      <c r="D3032" s="0" t="n">
        <v>0.2098</v>
      </c>
    </row>
    <row r="3033" customFormat="false" ht="15" hidden="false" customHeight="false" outlineLevel="0" collapsed="false">
      <c r="A3033" s="0" t="s">
        <v>8</v>
      </c>
      <c r="B3033" s="0" t="s">
        <v>4211</v>
      </c>
      <c r="C3033" s="0" t="s">
        <v>7071</v>
      </c>
    </row>
    <row r="3034" customFormat="false" ht="15" hidden="false" customHeight="false" outlineLevel="0" collapsed="false">
      <c r="A3034" s="0" t="s">
        <v>8</v>
      </c>
      <c r="B3034" s="0" t="s">
        <v>4211</v>
      </c>
      <c r="C3034" s="0" t="s">
        <v>7072</v>
      </c>
    </row>
    <row r="3035" customFormat="false" ht="15" hidden="false" customHeight="false" outlineLevel="0" collapsed="false">
      <c r="A3035" s="0" t="s">
        <v>8</v>
      </c>
      <c r="B3035" s="0" t="s">
        <v>4216</v>
      </c>
      <c r="C3035" s="0" t="s">
        <v>7070</v>
      </c>
      <c r="D3035" s="0" t="n">
        <v>0.5947</v>
      </c>
    </row>
    <row r="3036" customFormat="false" ht="15" hidden="false" customHeight="false" outlineLevel="0" collapsed="false">
      <c r="A3036" s="0" t="s">
        <v>8</v>
      </c>
      <c r="B3036" s="0" t="s">
        <v>4216</v>
      </c>
      <c r="C3036" s="0" t="s">
        <v>7071</v>
      </c>
    </row>
    <row r="3037" customFormat="false" ht="15" hidden="false" customHeight="false" outlineLevel="0" collapsed="false">
      <c r="A3037" s="0" t="s">
        <v>8</v>
      </c>
      <c r="B3037" s="0" t="s">
        <v>4216</v>
      </c>
      <c r="C3037" s="0" t="s">
        <v>7072</v>
      </c>
    </row>
    <row r="3038" customFormat="false" ht="15" hidden="false" customHeight="false" outlineLevel="0" collapsed="false">
      <c r="A3038" s="0" t="s">
        <v>8</v>
      </c>
      <c r="B3038" s="0" t="s">
        <v>4220</v>
      </c>
      <c r="C3038" s="0" t="s">
        <v>7070</v>
      </c>
      <c r="D3038" s="0" t="n">
        <v>74.9</v>
      </c>
    </row>
    <row r="3039" customFormat="false" ht="15" hidden="false" customHeight="false" outlineLevel="0" collapsed="false">
      <c r="A3039" s="0" t="s">
        <v>8</v>
      </c>
      <c r="B3039" s="0" t="s">
        <v>4220</v>
      </c>
      <c r="C3039" s="0" t="s">
        <v>7071</v>
      </c>
    </row>
    <row r="3040" customFormat="false" ht="15" hidden="false" customHeight="false" outlineLevel="0" collapsed="false">
      <c r="A3040" s="0" t="s">
        <v>8</v>
      </c>
      <c r="B3040" s="0" t="s">
        <v>4220</v>
      </c>
      <c r="C3040" s="0" t="s">
        <v>7072</v>
      </c>
    </row>
    <row r="3041" customFormat="false" ht="15" hidden="false" customHeight="false" outlineLevel="0" collapsed="false">
      <c r="A3041" s="0" t="s">
        <v>8</v>
      </c>
      <c r="B3041" s="0" t="s">
        <v>4225</v>
      </c>
      <c r="C3041" s="0" t="s">
        <v>7070</v>
      </c>
      <c r="D3041" s="0" t="n">
        <v>75.3</v>
      </c>
    </row>
    <row r="3042" customFormat="false" ht="15" hidden="false" customHeight="false" outlineLevel="0" collapsed="false">
      <c r="A3042" s="0" t="s">
        <v>8</v>
      </c>
      <c r="B3042" s="0" t="s">
        <v>4225</v>
      </c>
      <c r="C3042" s="0" t="s">
        <v>7071</v>
      </c>
    </row>
    <row r="3043" customFormat="false" ht="15" hidden="false" customHeight="false" outlineLevel="0" collapsed="false">
      <c r="A3043" s="0" t="s">
        <v>8</v>
      </c>
      <c r="B3043" s="0" t="s">
        <v>4225</v>
      </c>
      <c r="C3043" s="0" t="s">
        <v>7072</v>
      </c>
    </row>
    <row r="3044" customFormat="false" ht="15" hidden="false" customHeight="false" outlineLevel="0" collapsed="false">
      <c r="A3044" s="0" t="s">
        <v>8</v>
      </c>
      <c r="B3044" s="0" t="s">
        <v>4227</v>
      </c>
      <c r="C3044" s="0" t="s">
        <v>7070</v>
      </c>
      <c r="D3044" s="0" t="n">
        <v>50.9</v>
      </c>
    </row>
    <row r="3045" customFormat="false" ht="15" hidden="false" customHeight="false" outlineLevel="0" collapsed="false">
      <c r="A3045" s="0" t="s">
        <v>8</v>
      </c>
      <c r="B3045" s="0" t="s">
        <v>4227</v>
      </c>
      <c r="C3045" s="0" t="s">
        <v>7071</v>
      </c>
    </row>
    <row r="3046" customFormat="false" ht="15" hidden="false" customHeight="false" outlineLevel="0" collapsed="false">
      <c r="A3046" s="0" t="s">
        <v>8</v>
      </c>
      <c r="B3046" s="0" t="s">
        <v>4227</v>
      </c>
      <c r="C3046" s="0" t="s">
        <v>7072</v>
      </c>
    </row>
    <row r="3047" customFormat="false" ht="15" hidden="false" customHeight="false" outlineLevel="0" collapsed="false">
      <c r="A3047" s="0" t="s">
        <v>8</v>
      </c>
      <c r="B3047" s="0" t="s">
        <v>4229</v>
      </c>
      <c r="C3047" s="0" t="s">
        <v>7070</v>
      </c>
      <c r="D3047" s="0" t="n">
        <v>39</v>
      </c>
    </row>
    <row r="3048" customFormat="false" ht="15" hidden="false" customHeight="false" outlineLevel="0" collapsed="false">
      <c r="A3048" s="0" t="s">
        <v>8</v>
      </c>
      <c r="B3048" s="0" t="s">
        <v>4229</v>
      </c>
      <c r="C3048" s="0" t="s">
        <v>7071</v>
      </c>
    </row>
    <row r="3049" customFormat="false" ht="15" hidden="false" customHeight="false" outlineLevel="0" collapsed="false">
      <c r="A3049" s="0" t="s">
        <v>8</v>
      </c>
      <c r="B3049" s="0" t="s">
        <v>4229</v>
      </c>
      <c r="C3049" s="0" t="s">
        <v>7072</v>
      </c>
    </row>
    <row r="3050" customFormat="false" ht="15" hidden="false" customHeight="false" outlineLevel="0" collapsed="false">
      <c r="A3050" s="0" t="s">
        <v>8</v>
      </c>
      <c r="B3050" s="0" t="s">
        <v>4231</v>
      </c>
      <c r="C3050" s="0" t="s">
        <v>7070</v>
      </c>
    </row>
    <row r="3051" customFormat="false" ht="15" hidden="false" customHeight="false" outlineLevel="0" collapsed="false">
      <c r="A3051" s="0" t="s">
        <v>8</v>
      </c>
      <c r="B3051" s="0" t="s">
        <v>4231</v>
      </c>
      <c r="C3051" s="0" t="s">
        <v>7071</v>
      </c>
    </row>
    <row r="3052" customFormat="false" ht="15" hidden="false" customHeight="false" outlineLevel="0" collapsed="false">
      <c r="A3052" s="0" t="s">
        <v>8</v>
      </c>
      <c r="B3052" s="0" t="s">
        <v>4231</v>
      </c>
      <c r="C3052" s="0" t="s">
        <v>7072</v>
      </c>
    </row>
    <row r="3053" customFormat="false" ht="15" hidden="false" customHeight="false" outlineLevel="0" collapsed="false">
      <c r="A3053" s="0" t="s">
        <v>8</v>
      </c>
      <c r="B3053" s="0" t="s">
        <v>4236</v>
      </c>
      <c r="C3053" s="0" t="s">
        <v>7070</v>
      </c>
      <c r="D3053" s="0" t="n">
        <v>0</v>
      </c>
    </row>
    <row r="3054" customFormat="false" ht="15" hidden="false" customHeight="false" outlineLevel="0" collapsed="false">
      <c r="A3054" s="0" t="s">
        <v>8</v>
      </c>
      <c r="B3054" s="0" t="s">
        <v>4236</v>
      </c>
      <c r="C3054" s="0" t="s">
        <v>7071</v>
      </c>
    </row>
    <row r="3055" customFormat="false" ht="15" hidden="false" customHeight="false" outlineLevel="0" collapsed="false">
      <c r="A3055" s="0" t="s">
        <v>8</v>
      </c>
      <c r="B3055" s="0" t="s">
        <v>4236</v>
      </c>
      <c r="C3055" s="0" t="s">
        <v>7072</v>
      </c>
    </row>
    <row r="3056" customFormat="false" ht="15" hidden="false" customHeight="false" outlineLevel="0" collapsed="false">
      <c r="A3056" s="0" t="s">
        <v>8</v>
      </c>
      <c r="B3056" s="0" t="s">
        <v>4241</v>
      </c>
      <c r="C3056" s="0" t="s">
        <v>7070</v>
      </c>
      <c r="D3056" s="0" t="n">
        <v>0</v>
      </c>
    </row>
    <row r="3057" customFormat="false" ht="15" hidden="false" customHeight="false" outlineLevel="0" collapsed="false">
      <c r="A3057" s="0" t="s">
        <v>8</v>
      </c>
      <c r="B3057" s="0" t="s">
        <v>4241</v>
      </c>
      <c r="C3057" s="0" t="s">
        <v>7071</v>
      </c>
    </row>
    <row r="3058" customFormat="false" ht="15" hidden="false" customHeight="false" outlineLevel="0" collapsed="false">
      <c r="A3058" s="0" t="s">
        <v>8</v>
      </c>
      <c r="B3058" s="0" t="s">
        <v>4241</v>
      </c>
      <c r="C3058" s="0" t="s">
        <v>7072</v>
      </c>
    </row>
    <row r="3059" customFormat="false" ht="15" hidden="false" customHeight="false" outlineLevel="0" collapsed="false">
      <c r="A3059" s="0" t="s">
        <v>8</v>
      </c>
      <c r="B3059" s="0" t="s">
        <v>4243</v>
      </c>
      <c r="C3059" s="0" t="s">
        <v>7070</v>
      </c>
      <c r="D3059" s="0" t="n">
        <v>0.3786</v>
      </c>
    </row>
    <row r="3060" customFormat="false" ht="15" hidden="false" customHeight="false" outlineLevel="0" collapsed="false">
      <c r="A3060" s="0" t="s">
        <v>8</v>
      </c>
      <c r="B3060" s="0" t="s">
        <v>4243</v>
      </c>
      <c r="C3060" s="0" t="s">
        <v>7071</v>
      </c>
    </row>
    <row r="3061" customFormat="false" ht="15" hidden="false" customHeight="false" outlineLevel="0" collapsed="false">
      <c r="A3061" s="0" t="s">
        <v>8</v>
      </c>
      <c r="B3061" s="0" t="s">
        <v>4243</v>
      </c>
      <c r="C3061" s="0" t="s">
        <v>7072</v>
      </c>
    </row>
    <row r="3062" customFormat="false" ht="15" hidden="false" customHeight="false" outlineLevel="0" collapsed="false">
      <c r="A3062" s="0" t="s">
        <v>8</v>
      </c>
      <c r="B3062" s="0" t="s">
        <v>4246</v>
      </c>
      <c r="C3062" s="0" t="s">
        <v>7070</v>
      </c>
      <c r="D3062" s="0" t="n">
        <v>0</v>
      </c>
    </row>
    <row r="3063" customFormat="false" ht="15" hidden="false" customHeight="false" outlineLevel="0" collapsed="false">
      <c r="A3063" s="0" t="s">
        <v>8</v>
      </c>
      <c r="B3063" s="0" t="s">
        <v>4246</v>
      </c>
      <c r="C3063" s="0" t="s">
        <v>7071</v>
      </c>
    </row>
    <row r="3064" customFormat="false" ht="15" hidden="false" customHeight="false" outlineLevel="0" collapsed="false">
      <c r="A3064" s="0" t="s">
        <v>8</v>
      </c>
      <c r="B3064" s="0" t="s">
        <v>4246</v>
      </c>
      <c r="C3064" s="0" t="s">
        <v>7072</v>
      </c>
    </row>
    <row r="3065" customFormat="false" ht="15" hidden="false" customHeight="false" outlineLevel="0" collapsed="false">
      <c r="A3065" s="0" t="s">
        <v>8</v>
      </c>
      <c r="B3065" s="0" t="s">
        <v>4248</v>
      </c>
      <c r="C3065" s="0" t="s">
        <v>7070</v>
      </c>
      <c r="D3065" s="0" t="n">
        <v>0.2972</v>
      </c>
    </row>
    <row r="3066" customFormat="false" ht="15" hidden="false" customHeight="false" outlineLevel="0" collapsed="false">
      <c r="A3066" s="0" t="s">
        <v>8</v>
      </c>
      <c r="B3066" s="0" t="s">
        <v>4248</v>
      </c>
      <c r="C3066" s="0" t="s">
        <v>7071</v>
      </c>
    </row>
    <row r="3067" customFormat="false" ht="15" hidden="false" customHeight="false" outlineLevel="0" collapsed="false">
      <c r="A3067" s="0" t="s">
        <v>8</v>
      </c>
      <c r="B3067" s="0" t="s">
        <v>4248</v>
      </c>
      <c r="C3067" s="0" t="s">
        <v>7072</v>
      </c>
    </row>
    <row r="3068" customFormat="false" ht="15" hidden="false" customHeight="false" outlineLevel="0" collapsed="false">
      <c r="A3068" s="0" t="s">
        <v>8</v>
      </c>
      <c r="B3068" s="0" t="s">
        <v>4251</v>
      </c>
      <c r="C3068" s="0" t="s">
        <v>7070</v>
      </c>
      <c r="D3068" s="0" t="n">
        <v>4173.4</v>
      </c>
    </row>
    <row r="3069" customFormat="false" ht="15" hidden="false" customHeight="false" outlineLevel="0" collapsed="false">
      <c r="A3069" s="0" t="s">
        <v>8</v>
      </c>
      <c r="B3069" s="0" t="s">
        <v>4251</v>
      </c>
      <c r="C3069" s="0" t="s">
        <v>7071</v>
      </c>
    </row>
    <row r="3070" customFormat="false" ht="15" hidden="false" customHeight="false" outlineLevel="0" collapsed="false">
      <c r="A3070" s="0" t="s">
        <v>8</v>
      </c>
      <c r="B3070" s="0" t="s">
        <v>4251</v>
      </c>
      <c r="C3070" s="0" t="s">
        <v>7072</v>
      </c>
    </row>
    <row r="3071" customFormat="false" ht="15" hidden="false" customHeight="false" outlineLevel="0" collapsed="false">
      <c r="A3071" s="0" t="s">
        <v>8</v>
      </c>
      <c r="B3071" s="0" t="s">
        <v>4257</v>
      </c>
      <c r="C3071" s="0" t="s">
        <v>7070</v>
      </c>
      <c r="D3071" s="0" t="n">
        <v>70</v>
      </c>
    </row>
    <row r="3072" customFormat="false" ht="15" hidden="false" customHeight="false" outlineLevel="0" collapsed="false">
      <c r="A3072" s="0" t="s">
        <v>8</v>
      </c>
      <c r="B3072" s="0" t="s">
        <v>4257</v>
      </c>
      <c r="C3072" s="0" t="s">
        <v>7071</v>
      </c>
    </row>
    <row r="3073" customFormat="false" ht="15" hidden="false" customHeight="false" outlineLevel="0" collapsed="false">
      <c r="A3073" s="0" t="s">
        <v>8</v>
      </c>
      <c r="B3073" s="0" t="s">
        <v>4257</v>
      </c>
      <c r="C3073" s="0" t="s">
        <v>7072</v>
      </c>
    </row>
    <row r="3074" customFormat="false" ht="15" hidden="false" customHeight="false" outlineLevel="0" collapsed="false">
      <c r="A3074" s="0" t="s">
        <v>8</v>
      </c>
      <c r="B3074" s="0" t="s">
        <v>4264</v>
      </c>
      <c r="C3074" s="0" t="s">
        <v>7070</v>
      </c>
      <c r="D3074" s="0" t="n">
        <v>60</v>
      </c>
    </row>
    <row r="3075" customFormat="false" ht="15" hidden="false" customHeight="false" outlineLevel="0" collapsed="false">
      <c r="A3075" s="0" t="s">
        <v>8</v>
      </c>
      <c r="B3075" s="0" t="s">
        <v>4264</v>
      </c>
      <c r="C3075" s="0" t="s">
        <v>7071</v>
      </c>
    </row>
    <row r="3076" customFormat="false" ht="15" hidden="false" customHeight="false" outlineLevel="0" collapsed="false">
      <c r="A3076" s="0" t="s">
        <v>8</v>
      </c>
      <c r="B3076" s="0" t="s">
        <v>4264</v>
      </c>
      <c r="C3076" s="0" t="s">
        <v>7072</v>
      </c>
    </row>
    <row r="3077" customFormat="false" ht="15" hidden="false" customHeight="false" outlineLevel="0" collapsed="false">
      <c r="A3077" s="0" t="s">
        <v>8</v>
      </c>
      <c r="B3077" s="0" t="s">
        <v>4268</v>
      </c>
      <c r="C3077" s="0" t="s">
        <v>7070</v>
      </c>
      <c r="D3077" s="0" t="n">
        <v>10</v>
      </c>
    </row>
    <row r="3078" customFormat="false" ht="15" hidden="false" customHeight="false" outlineLevel="0" collapsed="false">
      <c r="A3078" s="0" t="s">
        <v>8</v>
      </c>
      <c r="B3078" s="0" t="s">
        <v>4268</v>
      </c>
      <c r="C3078" s="0" t="s">
        <v>7071</v>
      </c>
    </row>
    <row r="3079" customFormat="false" ht="15" hidden="false" customHeight="false" outlineLevel="0" collapsed="false">
      <c r="A3079" s="0" t="s">
        <v>8</v>
      </c>
      <c r="B3079" s="0" t="s">
        <v>4268</v>
      </c>
      <c r="C3079" s="0" t="s">
        <v>7072</v>
      </c>
    </row>
    <row r="3080" customFormat="false" ht="15" hidden="false" customHeight="false" outlineLevel="0" collapsed="false">
      <c r="A3080" s="0" t="s">
        <v>8</v>
      </c>
      <c r="B3080" s="0" t="s">
        <v>4272</v>
      </c>
      <c r="C3080" s="0" t="s">
        <v>7070</v>
      </c>
      <c r="D3080" s="0" t="n">
        <v>10</v>
      </c>
    </row>
    <row r="3081" customFormat="false" ht="15" hidden="false" customHeight="false" outlineLevel="0" collapsed="false">
      <c r="A3081" s="0" t="s">
        <v>8</v>
      </c>
      <c r="B3081" s="0" t="s">
        <v>4272</v>
      </c>
      <c r="C3081" s="0" t="s">
        <v>7071</v>
      </c>
    </row>
    <row r="3082" customFormat="false" ht="15" hidden="false" customHeight="false" outlineLevel="0" collapsed="false">
      <c r="A3082" s="0" t="s">
        <v>8</v>
      </c>
      <c r="B3082" s="0" t="s">
        <v>4272</v>
      </c>
      <c r="C3082" s="0" t="s">
        <v>7072</v>
      </c>
    </row>
    <row r="3083" customFormat="false" ht="15" hidden="false" customHeight="false" outlineLevel="0" collapsed="false">
      <c r="A3083" s="0" t="s">
        <v>8</v>
      </c>
      <c r="B3083" s="0" t="s">
        <v>4276</v>
      </c>
      <c r="C3083" s="0" t="s">
        <v>7070</v>
      </c>
      <c r="D3083" s="0" t="n">
        <v>10</v>
      </c>
    </row>
    <row r="3084" customFormat="false" ht="15" hidden="false" customHeight="false" outlineLevel="0" collapsed="false">
      <c r="A3084" s="0" t="s">
        <v>8</v>
      </c>
      <c r="B3084" s="0" t="s">
        <v>4276</v>
      </c>
      <c r="C3084" s="0" t="s">
        <v>7071</v>
      </c>
    </row>
    <row r="3085" customFormat="false" ht="15" hidden="false" customHeight="false" outlineLevel="0" collapsed="false">
      <c r="A3085" s="0" t="s">
        <v>8</v>
      </c>
      <c r="B3085" s="0" t="s">
        <v>4276</v>
      </c>
      <c r="C3085" s="0" t="s">
        <v>7072</v>
      </c>
    </row>
    <row r="3086" customFormat="false" ht="15" hidden="false" customHeight="false" outlineLevel="0" collapsed="false">
      <c r="A3086" s="0" t="s">
        <v>8</v>
      </c>
      <c r="B3086" s="0" t="s">
        <v>4280</v>
      </c>
      <c r="C3086" s="0" t="s">
        <v>7070</v>
      </c>
      <c r="D3086" s="0" t="n">
        <v>10</v>
      </c>
    </row>
    <row r="3087" customFormat="false" ht="15" hidden="false" customHeight="false" outlineLevel="0" collapsed="false">
      <c r="A3087" s="0" t="s">
        <v>8</v>
      </c>
      <c r="B3087" s="0" t="s">
        <v>4280</v>
      </c>
      <c r="C3087" s="0" t="s">
        <v>7071</v>
      </c>
    </row>
    <row r="3088" customFormat="false" ht="15" hidden="false" customHeight="false" outlineLevel="0" collapsed="false">
      <c r="A3088" s="0" t="s">
        <v>8</v>
      </c>
      <c r="B3088" s="0" t="s">
        <v>4280</v>
      </c>
      <c r="C3088" s="0" t="s">
        <v>7072</v>
      </c>
    </row>
    <row r="3089" customFormat="false" ht="15" hidden="false" customHeight="false" outlineLevel="0" collapsed="false">
      <c r="A3089" s="0" t="s">
        <v>8</v>
      </c>
      <c r="B3089" s="0" t="s">
        <v>4284</v>
      </c>
      <c r="C3089" s="0" t="s">
        <v>7070</v>
      </c>
      <c r="D3089" s="0" t="n">
        <v>632.6</v>
      </c>
    </row>
    <row r="3090" customFormat="false" ht="15" hidden="false" customHeight="false" outlineLevel="0" collapsed="false">
      <c r="A3090" s="0" t="s">
        <v>8</v>
      </c>
      <c r="B3090" s="0" t="s">
        <v>4284</v>
      </c>
      <c r="C3090" s="0" t="s">
        <v>7071</v>
      </c>
    </row>
    <row r="3091" customFormat="false" ht="15" hidden="false" customHeight="false" outlineLevel="0" collapsed="false">
      <c r="A3091" s="0" t="s">
        <v>8</v>
      </c>
      <c r="B3091" s="0" t="s">
        <v>4284</v>
      </c>
      <c r="C3091" s="0" t="s">
        <v>7072</v>
      </c>
    </row>
    <row r="3092" customFormat="false" ht="15" hidden="false" customHeight="false" outlineLevel="0" collapsed="false">
      <c r="A3092" s="0" t="s">
        <v>8</v>
      </c>
      <c r="B3092" s="0" t="s">
        <v>4289</v>
      </c>
      <c r="C3092" s="0" t="s">
        <v>7070</v>
      </c>
      <c r="D3092" s="0" t="n">
        <v>158.5</v>
      </c>
    </row>
    <row r="3093" customFormat="false" ht="15" hidden="false" customHeight="false" outlineLevel="0" collapsed="false">
      <c r="A3093" s="0" t="s">
        <v>8</v>
      </c>
      <c r="B3093" s="0" t="s">
        <v>4289</v>
      </c>
      <c r="C3093" s="0" t="s">
        <v>7071</v>
      </c>
    </row>
    <row r="3094" customFormat="false" ht="15" hidden="false" customHeight="false" outlineLevel="0" collapsed="false">
      <c r="A3094" s="0" t="s">
        <v>8</v>
      </c>
      <c r="B3094" s="0" t="s">
        <v>4289</v>
      </c>
      <c r="C3094" s="0" t="s">
        <v>7072</v>
      </c>
    </row>
    <row r="3095" customFormat="false" ht="15" hidden="false" customHeight="false" outlineLevel="0" collapsed="false">
      <c r="A3095" s="0" t="s">
        <v>8</v>
      </c>
      <c r="B3095" s="0" t="s">
        <v>4294</v>
      </c>
      <c r="C3095" s="0" t="s">
        <v>7070</v>
      </c>
      <c r="D3095" s="0" t="n">
        <v>27.3</v>
      </c>
    </row>
    <row r="3096" customFormat="false" ht="15" hidden="false" customHeight="false" outlineLevel="0" collapsed="false">
      <c r="A3096" s="0" t="s">
        <v>8</v>
      </c>
      <c r="B3096" s="0" t="s">
        <v>4294</v>
      </c>
      <c r="C3096" s="0" t="s">
        <v>7071</v>
      </c>
      <c r="D3096" s="0" t="n">
        <v>27.3</v>
      </c>
    </row>
    <row r="3097" customFormat="false" ht="15" hidden="false" customHeight="false" outlineLevel="0" collapsed="false">
      <c r="A3097" s="0" t="s">
        <v>8</v>
      </c>
      <c r="B3097" s="0" t="s">
        <v>4294</v>
      </c>
      <c r="C3097" s="0" t="s">
        <v>7072</v>
      </c>
      <c r="D3097" s="0" t="n">
        <v>38.9</v>
      </c>
    </row>
    <row r="3098" customFormat="false" ht="15" hidden="false" customHeight="false" outlineLevel="0" collapsed="false">
      <c r="A3098" s="0" t="s">
        <v>8</v>
      </c>
      <c r="B3098" s="0" t="s">
        <v>4300</v>
      </c>
      <c r="C3098" s="0" t="s">
        <v>7070</v>
      </c>
      <c r="D3098" s="0" t="n">
        <v>0.029</v>
      </c>
    </row>
    <row r="3099" customFormat="false" ht="15" hidden="false" customHeight="false" outlineLevel="0" collapsed="false">
      <c r="A3099" s="0" t="s">
        <v>8</v>
      </c>
      <c r="B3099" s="0" t="s">
        <v>4300</v>
      </c>
      <c r="C3099" s="0" t="s">
        <v>7071</v>
      </c>
    </row>
    <row r="3100" customFormat="false" ht="15" hidden="false" customHeight="false" outlineLevel="0" collapsed="false">
      <c r="A3100" s="0" t="s">
        <v>8</v>
      </c>
      <c r="B3100" s="0" t="s">
        <v>4300</v>
      </c>
      <c r="C3100" s="0" t="s">
        <v>7072</v>
      </c>
    </row>
    <row r="3101" customFormat="false" ht="15" hidden="false" customHeight="false" outlineLevel="0" collapsed="false">
      <c r="A3101" s="0" t="s">
        <v>8</v>
      </c>
      <c r="B3101" s="0" t="s">
        <v>4305</v>
      </c>
      <c r="C3101" s="0" t="s">
        <v>7070</v>
      </c>
      <c r="D3101" s="0" t="n">
        <v>0.112</v>
      </c>
    </row>
    <row r="3102" customFormat="false" ht="15" hidden="false" customHeight="false" outlineLevel="0" collapsed="false">
      <c r="A3102" s="0" t="s">
        <v>8</v>
      </c>
      <c r="B3102" s="0" t="s">
        <v>4305</v>
      </c>
      <c r="C3102" s="0" t="s">
        <v>7071</v>
      </c>
    </row>
    <row r="3103" customFormat="false" ht="15" hidden="false" customHeight="false" outlineLevel="0" collapsed="false">
      <c r="A3103" s="0" t="s">
        <v>8</v>
      </c>
      <c r="B3103" s="0" t="s">
        <v>4305</v>
      </c>
      <c r="C3103" s="0" t="s">
        <v>7072</v>
      </c>
    </row>
    <row r="3104" customFormat="false" ht="15" hidden="false" customHeight="false" outlineLevel="0" collapsed="false">
      <c r="A3104" s="0" t="s">
        <v>8</v>
      </c>
      <c r="B3104" s="0" t="s">
        <v>4308</v>
      </c>
      <c r="C3104" s="0" t="s">
        <v>7070</v>
      </c>
      <c r="D3104" s="0" t="n">
        <v>0.363</v>
      </c>
    </row>
    <row r="3105" customFormat="false" ht="15" hidden="false" customHeight="false" outlineLevel="0" collapsed="false">
      <c r="A3105" s="0" t="s">
        <v>8</v>
      </c>
      <c r="B3105" s="0" t="s">
        <v>4308</v>
      </c>
      <c r="C3105" s="0" t="s">
        <v>7071</v>
      </c>
    </row>
    <row r="3106" customFormat="false" ht="15" hidden="false" customHeight="false" outlineLevel="0" collapsed="false">
      <c r="A3106" s="0" t="s">
        <v>8</v>
      </c>
      <c r="B3106" s="0" t="s">
        <v>4308</v>
      </c>
      <c r="C3106" s="0" t="s">
        <v>7072</v>
      </c>
    </row>
    <row r="3107" customFormat="false" ht="15" hidden="false" customHeight="false" outlineLevel="0" collapsed="false">
      <c r="A3107" s="0" t="s">
        <v>8</v>
      </c>
      <c r="B3107" s="0" t="s">
        <v>4311</v>
      </c>
      <c r="C3107" s="0" t="s">
        <v>7070</v>
      </c>
      <c r="D3107" s="0" t="n">
        <v>0.057</v>
      </c>
    </row>
    <row r="3108" customFormat="false" ht="15" hidden="false" customHeight="false" outlineLevel="0" collapsed="false">
      <c r="A3108" s="0" t="s">
        <v>8</v>
      </c>
      <c r="B3108" s="0" t="s">
        <v>4311</v>
      </c>
      <c r="C3108" s="0" t="s">
        <v>7071</v>
      </c>
    </row>
    <row r="3109" customFormat="false" ht="15" hidden="false" customHeight="false" outlineLevel="0" collapsed="false">
      <c r="A3109" s="0" t="s">
        <v>8</v>
      </c>
      <c r="B3109" s="0" t="s">
        <v>4311</v>
      </c>
      <c r="C3109" s="0" t="s">
        <v>7072</v>
      </c>
    </row>
    <row r="3110" customFormat="false" ht="15" hidden="false" customHeight="false" outlineLevel="0" collapsed="false">
      <c r="A3110" s="0" t="s">
        <v>8</v>
      </c>
      <c r="B3110" s="0" t="s">
        <v>4314</v>
      </c>
      <c r="C3110" s="0" t="s">
        <v>7070</v>
      </c>
      <c r="D3110" s="0" t="n">
        <v>0.1031</v>
      </c>
    </row>
    <row r="3111" customFormat="false" ht="15" hidden="false" customHeight="false" outlineLevel="0" collapsed="false">
      <c r="A3111" s="0" t="s">
        <v>8</v>
      </c>
      <c r="B3111" s="0" t="s">
        <v>4314</v>
      </c>
      <c r="C3111" s="0" t="s">
        <v>7071</v>
      </c>
    </row>
    <row r="3112" customFormat="false" ht="15" hidden="false" customHeight="false" outlineLevel="0" collapsed="false">
      <c r="A3112" s="0" t="s">
        <v>8</v>
      </c>
      <c r="B3112" s="0" t="s">
        <v>4314</v>
      </c>
      <c r="C3112" s="0" t="s">
        <v>7072</v>
      </c>
    </row>
    <row r="3113" customFormat="false" ht="15" hidden="false" customHeight="false" outlineLevel="0" collapsed="false">
      <c r="A3113" s="0" t="s">
        <v>8</v>
      </c>
      <c r="B3113" s="0" t="s">
        <v>4318</v>
      </c>
      <c r="C3113" s="0" t="s">
        <v>7070</v>
      </c>
      <c r="D3113" s="0" t="n">
        <v>0.2974</v>
      </c>
    </row>
    <row r="3114" customFormat="false" ht="15" hidden="false" customHeight="false" outlineLevel="0" collapsed="false">
      <c r="A3114" s="0" t="s">
        <v>8</v>
      </c>
      <c r="B3114" s="0" t="s">
        <v>4318</v>
      </c>
      <c r="C3114" s="0" t="s">
        <v>7071</v>
      </c>
    </row>
    <row r="3115" customFormat="false" ht="15" hidden="false" customHeight="false" outlineLevel="0" collapsed="false">
      <c r="A3115" s="0" t="s">
        <v>8</v>
      </c>
      <c r="B3115" s="0" t="s">
        <v>4318</v>
      </c>
      <c r="C3115" s="0" t="s">
        <v>7072</v>
      </c>
    </row>
    <row r="3116" customFormat="false" ht="15" hidden="false" customHeight="false" outlineLevel="0" collapsed="false">
      <c r="A3116" s="0" t="s">
        <v>8</v>
      </c>
      <c r="B3116" s="0" t="s">
        <v>4321</v>
      </c>
      <c r="C3116" s="0" t="s">
        <v>7070</v>
      </c>
      <c r="D3116" s="0" t="n">
        <v>0.3475</v>
      </c>
    </row>
    <row r="3117" customFormat="false" ht="15" hidden="false" customHeight="false" outlineLevel="0" collapsed="false">
      <c r="A3117" s="0" t="s">
        <v>8</v>
      </c>
      <c r="B3117" s="0" t="s">
        <v>4321</v>
      </c>
      <c r="C3117" s="0" t="s">
        <v>7071</v>
      </c>
    </row>
    <row r="3118" customFormat="false" ht="15" hidden="false" customHeight="false" outlineLevel="0" collapsed="false">
      <c r="A3118" s="0" t="s">
        <v>8</v>
      </c>
      <c r="B3118" s="0" t="s">
        <v>4321</v>
      </c>
      <c r="C3118" s="0" t="s">
        <v>7072</v>
      </c>
    </row>
    <row r="3119" customFormat="false" ht="15" hidden="false" customHeight="false" outlineLevel="0" collapsed="false">
      <c r="A3119" s="0" t="s">
        <v>8</v>
      </c>
      <c r="B3119" s="0" t="s">
        <v>4324</v>
      </c>
      <c r="C3119" s="0" t="s">
        <v>7070</v>
      </c>
      <c r="D3119" s="0" t="n">
        <v>0.362</v>
      </c>
    </row>
    <row r="3120" customFormat="false" ht="15" hidden="false" customHeight="false" outlineLevel="0" collapsed="false">
      <c r="A3120" s="0" t="s">
        <v>8</v>
      </c>
      <c r="B3120" s="0" t="s">
        <v>4324</v>
      </c>
      <c r="C3120" s="0" t="s">
        <v>7071</v>
      </c>
    </row>
    <row r="3121" customFormat="false" ht="15" hidden="false" customHeight="false" outlineLevel="0" collapsed="false">
      <c r="A3121" s="0" t="s">
        <v>8</v>
      </c>
      <c r="B3121" s="0" t="s">
        <v>4324</v>
      </c>
      <c r="C3121" s="0" t="s">
        <v>7072</v>
      </c>
    </row>
    <row r="3122" customFormat="false" ht="15" hidden="false" customHeight="false" outlineLevel="0" collapsed="false">
      <c r="A3122" s="0" t="s">
        <v>8</v>
      </c>
      <c r="B3122" s="0" t="s">
        <v>4327</v>
      </c>
      <c r="C3122" s="0" t="s">
        <v>7070</v>
      </c>
      <c r="D3122" s="0" t="n">
        <v>0.098</v>
      </c>
    </row>
    <row r="3123" customFormat="false" ht="15" hidden="false" customHeight="false" outlineLevel="0" collapsed="false">
      <c r="A3123" s="0" t="s">
        <v>8</v>
      </c>
      <c r="B3123" s="0" t="s">
        <v>4327</v>
      </c>
      <c r="C3123" s="0" t="s">
        <v>7071</v>
      </c>
    </row>
    <row r="3124" customFormat="false" ht="15" hidden="false" customHeight="false" outlineLevel="0" collapsed="false">
      <c r="A3124" s="0" t="s">
        <v>8</v>
      </c>
      <c r="B3124" s="0" t="s">
        <v>4327</v>
      </c>
      <c r="C3124" s="0" t="s">
        <v>7072</v>
      </c>
    </row>
    <row r="3125" customFormat="false" ht="15" hidden="false" customHeight="false" outlineLevel="0" collapsed="false">
      <c r="A3125" s="0" t="s">
        <v>8</v>
      </c>
      <c r="B3125" s="0" t="s">
        <v>4332</v>
      </c>
      <c r="C3125" s="0" t="s">
        <v>7070</v>
      </c>
      <c r="D3125" s="0" t="n">
        <v>0.306</v>
      </c>
    </row>
    <row r="3126" customFormat="false" ht="15" hidden="false" customHeight="false" outlineLevel="0" collapsed="false">
      <c r="A3126" s="0" t="s">
        <v>8</v>
      </c>
      <c r="B3126" s="0" t="s">
        <v>4332</v>
      </c>
      <c r="C3126" s="0" t="s">
        <v>7071</v>
      </c>
    </row>
    <row r="3127" customFormat="false" ht="15" hidden="false" customHeight="false" outlineLevel="0" collapsed="false">
      <c r="A3127" s="0" t="s">
        <v>8</v>
      </c>
      <c r="B3127" s="0" t="s">
        <v>4332</v>
      </c>
      <c r="C3127" s="0" t="s">
        <v>7072</v>
      </c>
    </row>
    <row r="3128" customFormat="false" ht="15" hidden="false" customHeight="false" outlineLevel="0" collapsed="false">
      <c r="A3128" s="0" t="s">
        <v>8</v>
      </c>
      <c r="B3128" s="0" t="s">
        <v>4335</v>
      </c>
      <c r="C3128" s="0" t="s">
        <v>7070</v>
      </c>
      <c r="D3128" s="0" t="n">
        <v>0.413</v>
      </c>
    </row>
    <row r="3129" customFormat="false" ht="15" hidden="false" customHeight="false" outlineLevel="0" collapsed="false">
      <c r="A3129" s="0" t="s">
        <v>8</v>
      </c>
      <c r="B3129" s="0" t="s">
        <v>4335</v>
      </c>
      <c r="C3129" s="0" t="s">
        <v>7071</v>
      </c>
    </row>
    <row r="3130" customFormat="false" ht="15" hidden="false" customHeight="false" outlineLevel="0" collapsed="false">
      <c r="A3130" s="0" t="s">
        <v>8</v>
      </c>
      <c r="B3130" s="0" t="s">
        <v>4335</v>
      </c>
      <c r="C3130" s="0" t="s">
        <v>7072</v>
      </c>
    </row>
    <row r="3131" customFormat="false" ht="15" hidden="false" customHeight="false" outlineLevel="0" collapsed="false">
      <c r="A3131" s="0" t="s">
        <v>8</v>
      </c>
      <c r="B3131" s="0" t="s">
        <v>4338</v>
      </c>
      <c r="C3131" s="0" t="s">
        <v>7070</v>
      </c>
      <c r="D3131" s="0" t="n">
        <v>0.072</v>
      </c>
    </row>
    <row r="3132" customFormat="false" ht="15" hidden="false" customHeight="false" outlineLevel="0" collapsed="false">
      <c r="A3132" s="0" t="s">
        <v>8</v>
      </c>
      <c r="B3132" s="0" t="s">
        <v>4338</v>
      </c>
      <c r="C3132" s="0" t="s">
        <v>7071</v>
      </c>
    </row>
    <row r="3133" customFormat="false" ht="15" hidden="false" customHeight="false" outlineLevel="0" collapsed="false">
      <c r="A3133" s="0" t="s">
        <v>8</v>
      </c>
      <c r="B3133" s="0" t="s">
        <v>4338</v>
      </c>
      <c r="C3133" s="0" t="s">
        <v>7072</v>
      </c>
    </row>
    <row r="3134" customFormat="false" ht="15" hidden="false" customHeight="false" outlineLevel="0" collapsed="false">
      <c r="A3134" s="0" t="s">
        <v>8</v>
      </c>
      <c r="B3134" s="0" t="s">
        <v>4341</v>
      </c>
      <c r="C3134" s="0" t="s">
        <v>7070</v>
      </c>
      <c r="D3134" s="0" t="n">
        <v>0.0143</v>
      </c>
    </row>
    <row r="3135" customFormat="false" ht="15" hidden="false" customHeight="false" outlineLevel="0" collapsed="false">
      <c r="A3135" s="0" t="s">
        <v>8</v>
      </c>
      <c r="B3135" s="0" t="s">
        <v>4341</v>
      </c>
      <c r="C3135" s="0" t="s">
        <v>7071</v>
      </c>
    </row>
    <row r="3136" customFormat="false" ht="15" hidden="false" customHeight="false" outlineLevel="0" collapsed="false">
      <c r="A3136" s="0" t="s">
        <v>8</v>
      </c>
      <c r="B3136" s="0" t="s">
        <v>4341</v>
      </c>
      <c r="C3136" s="0" t="s">
        <v>7072</v>
      </c>
    </row>
    <row r="3137" customFormat="false" ht="15" hidden="false" customHeight="false" outlineLevel="0" collapsed="false">
      <c r="A3137" s="0" t="s">
        <v>8</v>
      </c>
      <c r="B3137" s="0" t="s">
        <v>4346</v>
      </c>
      <c r="C3137" s="0" t="s">
        <v>7070</v>
      </c>
      <c r="D3137" s="0" t="n">
        <v>0.1124</v>
      </c>
    </row>
    <row r="3138" customFormat="false" ht="15" hidden="false" customHeight="false" outlineLevel="0" collapsed="false">
      <c r="A3138" s="0" t="s">
        <v>8</v>
      </c>
      <c r="B3138" s="0" t="s">
        <v>4346</v>
      </c>
      <c r="C3138" s="0" t="s">
        <v>7071</v>
      </c>
    </row>
    <row r="3139" customFormat="false" ht="15" hidden="false" customHeight="false" outlineLevel="0" collapsed="false">
      <c r="A3139" s="0" t="s">
        <v>8</v>
      </c>
      <c r="B3139" s="0" t="s">
        <v>4346</v>
      </c>
      <c r="C3139" s="0" t="s">
        <v>7072</v>
      </c>
    </row>
    <row r="3140" customFormat="false" ht="15" hidden="false" customHeight="false" outlineLevel="0" collapsed="false">
      <c r="A3140" s="0" t="s">
        <v>8</v>
      </c>
      <c r="B3140" s="0" t="s">
        <v>4349</v>
      </c>
      <c r="C3140" s="0" t="s">
        <v>7070</v>
      </c>
      <c r="D3140" s="0" t="n">
        <v>0.1341</v>
      </c>
    </row>
    <row r="3141" customFormat="false" ht="15" hidden="false" customHeight="false" outlineLevel="0" collapsed="false">
      <c r="A3141" s="0" t="s">
        <v>8</v>
      </c>
      <c r="B3141" s="0" t="s">
        <v>4349</v>
      </c>
      <c r="C3141" s="0" t="s">
        <v>7071</v>
      </c>
    </row>
    <row r="3142" customFormat="false" ht="15" hidden="false" customHeight="false" outlineLevel="0" collapsed="false">
      <c r="A3142" s="0" t="s">
        <v>8</v>
      </c>
      <c r="B3142" s="0" t="s">
        <v>4349</v>
      </c>
      <c r="C3142" s="0" t="s">
        <v>7072</v>
      </c>
    </row>
    <row r="3143" customFormat="false" ht="15" hidden="false" customHeight="false" outlineLevel="0" collapsed="false">
      <c r="A3143" s="0" t="s">
        <v>8</v>
      </c>
      <c r="B3143" s="0" t="s">
        <v>4352</v>
      </c>
      <c r="C3143" s="0" t="s">
        <v>7070</v>
      </c>
      <c r="D3143" s="0" t="n">
        <v>0.0416</v>
      </c>
    </row>
    <row r="3144" customFormat="false" ht="15" hidden="false" customHeight="false" outlineLevel="0" collapsed="false">
      <c r="A3144" s="0" t="s">
        <v>8</v>
      </c>
      <c r="B3144" s="0" t="s">
        <v>4352</v>
      </c>
      <c r="C3144" s="0" t="s">
        <v>7071</v>
      </c>
    </row>
    <row r="3145" customFormat="false" ht="15" hidden="false" customHeight="false" outlineLevel="0" collapsed="false">
      <c r="A3145" s="0" t="s">
        <v>8</v>
      </c>
      <c r="B3145" s="0" t="s">
        <v>4352</v>
      </c>
      <c r="C3145" s="0" t="s">
        <v>7072</v>
      </c>
    </row>
    <row r="3146" customFormat="false" ht="15" hidden="false" customHeight="false" outlineLevel="0" collapsed="false">
      <c r="A3146" s="0" t="s">
        <v>8</v>
      </c>
      <c r="B3146" s="0" t="s">
        <v>4355</v>
      </c>
      <c r="C3146" s="0" t="s">
        <v>7070</v>
      </c>
      <c r="D3146" s="0" t="n">
        <v>0.0461</v>
      </c>
    </row>
    <row r="3147" customFormat="false" ht="15" hidden="false" customHeight="false" outlineLevel="0" collapsed="false">
      <c r="A3147" s="0" t="s">
        <v>8</v>
      </c>
      <c r="B3147" s="0" t="s">
        <v>4355</v>
      </c>
      <c r="C3147" s="0" t="s">
        <v>7071</v>
      </c>
    </row>
    <row r="3148" customFormat="false" ht="15" hidden="false" customHeight="false" outlineLevel="0" collapsed="false">
      <c r="A3148" s="0" t="s">
        <v>8</v>
      </c>
      <c r="B3148" s="0" t="s">
        <v>4355</v>
      </c>
      <c r="C3148" s="0" t="s">
        <v>7072</v>
      </c>
    </row>
    <row r="3149" customFormat="false" ht="15" hidden="false" customHeight="false" outlineLevel="0" collapsed="false">
      <c r="A3149" s="0" t="s">
        <v>8</v>
      </c>
      <c r="B3149" s="0" t="s">
        <v>4358</v>
      </c>
      <c r="C3149" s="0" t="s">
        <v>7070</v>
      </c>
    </row>
    <row r="3150" customFormat="false" ht="15" hidden="false" customHeight="false" outlineLevel="0" collapsed="false">
      <c r="A3150" s="0" t="s">
        <v>8</v>
      </c>
      <c r="B3150" s="0" t="s">
        <v>4358</v>
      </c>
      <c r="C3150" s="0" t="s">
        <v>7071</v>
      </c>
    </row>
    <row r="3151" customFormat="false" ht="15" hidden="false" customHeight="false" outlineLevel="0" collapsed="false">
      <c r="A3151" s="0" t="s">
        <v>8</v>
      </c>
      <c r="B3151" s="0" t="s">
        <v>4358</v>
      </c>
      <c r="C3151" s="0" t="s">
        <v>7072</v>
      </c>
    </row>
    <row r="3152" customFormat="false" ht="15" hidden="false" customHeight="false" outlineLevel="0" collapsed="false">
      <c r="A3152" s="0" t="s">
        <v>8</v>
      </c>
      <c r="B3152" s="0" t="s">
        <v>4363</v>
      </c>
      <c r="C3152" s="0" t="s">
        <v>7070</v>
      </c>
      <c r="D3152" s="0" t="n">
        <v>0</v>
      </c>
    </row>
    <row r="3153" customFormat="false" ht="15" hidden="false" customHeight="false" outlineLevel="0" collapsed="false">
      <c r="A3153" s="0" t="s">
        <v>8</v>
      </c>
      <c r="B3153" s="0" t="s">
        <v>4363</v>
      </c>
      <c r="C3153" s="0" t="s">
        <v>7071</v>
      </c>
    </row>
    <row r="3154" customFormat="false" ht="15" hidden="false" customHeight="false" outlineLevel="0" collapsed="false">
      <c r="A3154" s="0" t="s">
        <v>8</v>
      </c>
      <c r="B3154" s="0" t="s">
        <v>4363</v>
      </c>
      <c r="C3154" s="0" t="s">
        <v>7072</v>
      </c>
    </row>
    <row r="3155" customFormat="false" ht="15" hidden="false" customHeight="false" outlineLevel="0" collapsed="false">
      <c r="A3155" s="0" t="s">
        <v>8</v>
      </c>
      <c r="B3155" s="0" t="s">
        <v>4369</v>
      </c>
      <c r="C3155" s="0" t="s">
        <v>7070</v>
      </c>
      <c r="D3155" s="0" t="n">
        <v>40</v>
      </c>
    </row>
    <row r="3156" customFormat="false" ht="15" hidden="false" customHeight="false" outlineLevel="0" collapsed="false">
      <c r="A3156" s="0" t="s">
        <v>8</v>
      </c>
      <c r="B3156" s="0" t="s">
        <v>4369</v>
      </c>
      <c r="C3156" s="0" t="s">
        <v>7071</v>
      </c>
    </row>
    <row r="3157" customFormat="false" ht="15" hidden="false" customHeight="false" outlineLevel="0" collapsed="false">
      <c r="A3157" s="0" t="s">
        <v>8</v>
      </c>
      <c r="B3157" s="0" t="s">
        <v>4369</v>
      </c>
      <c r="C3157" s="0" t="s">
        <v>7072</v>
      </c>
    </row>
    <row r="3158" customFormat="false" ht="15" hidden="false" customHeight="false" outlineLevel="0" collapsed="false">
      <c r="A3158" s="0" t="s">
        <v>8</v>
      </c>
      <c r="B3158" s="0" t="s">
        <v>4375</v>
      </c>
      <c r="C3158" s="0" t="s">
        <v>7070</v>
      </c>
      <c r="D3158" s="0" t="n">
        <v>2.0269</v>
      </c>
    </row>
    <row r="3159" customFormat="false" ht="15" hidden="false" customHeight="false" outlineLevel="0" collapsed="false">
      <c r="A3159" s="0" t="s">
        <v>8</v>
      </c>
      <c r="B3159" s="0" t="s">
        <v>4375</v>
      </c>
      <c r="C3159" s="0" t="s">
        <v>7071</v>
      </c>
    </row>
    <row r="3160" customFormat="false" ht="15" hidden="false" customHeight="false" outlineLevel="0" collapsed="false">
      <c r="A3160" s="0" t="s">
        <v>8</v>
      </c>
      <c r="B3160" s="0" t="s">
        <v>4375</v>
      </c>
      <c r="C3160" s="0" t="s">
        <v>7072</v>
      </c>
    </row>
    <row r="3161" customFormat="false" ht="15" hidden="false" customHeight="false" outlineLevel="0" collapsed="false">
      <c r="A3161" s="0" t="s">
        <v>8</v>
      </c>
      <c r="B3161" s="0" t="s">
        <v>4379</v>
      </c>
      <c r="C3161" s="0" t="s">
        <v>7070</v>
      </c>
      <c r="D3161" s="0" t="n">
        <v>25000</v>
      </c>
    </row>
    <row r="3162" customFormat="false" ht="15" hidden="false" customHeight="false" outlineLevel="0" collapsed="false">
      <c r="A3162" s="0" t="s">
        <v>8</v>
      </c>
      <c r="B3162" s="0" t="s">
        <v>4379</v>
      </c>
      <c r="C3162" s="0" t="s">
        <v>7071</v>
      </c>
    </row>
    <row r="3163" customFormat="false" ht="15" hidden="false" customHeight="false" outlineLevel="0" collapsed="false">
      <c r="A3163" s="0" t="s">
        <v>8</v>
      </c>
      <c r="B3163" s="0" t="s">
        <v>4379</v>
      </c>
      <c r="C3163" s="0" t="s">
        <v>7072</v>
      </c>
    </row>
    <row r="3164" customFormat="false" ht="15" hidden="false" customHeight="false" outlineLevel="0" collapsed="false">
      <c r="A3164" s="0" t="s">
        <v>14</v>
      </c>
      <c r="B3164" s="0" t="s">
        <v>4732</v>
      </c>
      <c r="C3164" s="0" t="s">
        <v>7072</v>
      </c>
      <c r="D3164" s="0" t="n">
        <v>2025</v>
      </c>
    </row>
    <row r="3165" customFormat="false" ht="15" hidden="false" customHeight="false" outlineLevel="0" collapsed="false">
      <c r="A3165" s="0" t="s">
        <v>14</v>
      </c>
      <c r="B3165" s="0" t="s">
        <v>4732</v>
      </c>
      <c r="C3165" s="0" t="s">
        <v>7073</v>
      </c>
      <c r="D3165" s="0" t="n">
        <v>2025</v>
      </c>
    </row>
    <row r="3166" customFormat="false" ht="15" hidden="false" customHeight="false" outlineLevel="0" collapsed="false">
      <c r="A3166" s="0" t="s">
        <v>14</v>
      </c>
      <c r="B3166" s="0" t="s">
        <v>4732</v>
      </c>
      <c r="C3166" s="0" t="s">
        <v>7074</v>
      </c>
      <c r="D3166" s="0" t="n">
        <v>2025</v>
      </c>
    </row>
    <row r="3167" customFormat="false" ht="15" hidden="false" customHeight="false" outlineLevel="0" collapsed="false">
      <c r="A3167" s="0" t="s">
        <v>14</v>
      </c>
      <c r="B3167" s="0" t="s">
        <v>4739</v>
      </c>
      <c r="C3167" s="0" t="s">
        <v>7072</v>
      </c>
      <c r="D3167" s="0" t="n">
        <v>2026</v>
      </c>
    </row>
    <row r="3168" customFormat="false" ht="15" hidden="false" customHeight="false" outlineLevel="0" collapsed="false">
      <c r="A3168" s="0" t="s">
        <v>14</v>
      </c>
      <c r="B3168" s="0" t="s">
        <v>4739</v>
      </c>
      <c r="C3168" s="0" t="s">
        <v>7073</v>
      </c>
      <c r="D3168" s="0" t="n">
        <v>2026</v>
      </c>
    </row>
    <row r="3169" customFormat="false" ht="15" hidden="false" customHeight="false" outlineLevel="0" collapsed="false">
      <c r="A3169" s="0" t="s">
        <v>14</v>
      </c>
      <c r="B3169" s="0" t="s">
        <v>4739</v>
      </c>
      <c r="C3169" s="0" t="s">
        <v>7074</v>
      </c>
      <c r="D3169" s="0" t="n">
        <v>2026</v>
      </c>
    </row>
    <row r="3170" customFormat="false" ht="15" hidden="false" customHeight="false" outlineLevel="0" collapsed="false">
      <c r="A3170" s="0" t="s">
        <v>14</v>
      </c>
      <c r="B3170" s="0" t="s">
        <v>4743</v>
      </c>
      <c r="C3170" s="0" t="s">
        <v>7072</v>
      </c>
      <c r="D3170" s="0" t="n">
        <v>2027</v>
      </c>
    </row>
    <row r="3171" customFormat="false" ht="15" hidden="false" customHeight="false" outlineLevel="0" collapsed="false">
      <c r="A3171" s="0" t="s">
        <v>14</v>
      </c>
      <c r="B3171" s="0" t="s">
        <v>4743</v>
      </c>
      <c r="C3171" s="0" t="s">
        <v>7073</v>
      </c>
      <c r="D3171" s="0" t="n">
        <v>2027</v>
      </c>
    </row>
    <row r="3172" customFormat="false" ht="15" hidden="false" customHeight="false" outlineLevel="0" collapsed="false">
      <c r="A3172" s="0" t="s">
        <v>14</v>
      </c>
      <c r="B3172" s="0" t="s">
        <v>4743</v>
      </c>
      <c r="C3172" s="0" t="s">
        <v>7074</v>
      </c>
      <c r="D3172" s="0" t="n">
        <v>2027</v>
      </c>
    </row>
    <row r="3173" customFormat="false" ht="15" hidden="false" customHeight="false" outlineLevel="0" collapsed="false">
      <c r="A3173" s="0" t="s">
        <v>14</v>
      </c>
      <c r="B3173" s="0" t="s">
        <v>4746</v>
      </c>
      <c r="C3173" s="0" t="s">
        <v>7072</v>
      </c>
      <c r="D3173" s="0" t="n">
        <v>2028</v>
      </c>
    </row>
    <row r="3174" customFormat="false" ht="15" hidden="false" customHeight="false" outlineLevel="0" collapsed="false">
      <c r="A3174" s="0" t="s">
        <v>14</v>
      </c>
      <c r="B3174" s="0" t="s">
        <v>4746</v>
      </c>
      <c r="C3174" s="0" t="s">
        <v>7073</v>
      </c>
      <c r="D3174" s="0" t="n">
        <v>2028</v>
      </c>
    </row>
    <row r="3175" customFormat="false" ht="15" hidden="false" customHeight="false" outlineLevel="0" collapsed="false">
      <c r="A3175" s="0" t="s">
        <v>14</v>
      </c>
      <c r="B3175" s="0" t="s">
        <v>4746</v>
      </c>
      <c r="C3175" s="0" t="s">
        <v>7074</v>
      </c>
      <c r="D3175" s="0" t="n">
        <v>2028</v>
      </c>
    </row>
    <row r="3176" customFormat="false" ht="15" hidden="false" customHeight="false" outlineLevel="0" collapsed="false">
      <c r="A3176" s="0" t="s">
        <v>14</v>
      </c>
      <c r="B3176" s="0" t="s">
        <v>4749</v>
      </c>
      <c r="C3176" s="0" t="s">
        <v>7072</v>
      </c>
      <c r="D3176" s="0" t="n">
        <v>2029</v>
      </c>
    </row>
    <row r="3177" customFormat="false" ht="15" hidden="false" customHeight="false" outlineLevel="0" collapsed="false">
      <c r="A3177" s="0" t="s">
        <v>14</v>
      </c>
      <c r="B3177" s="0" t="s">
        <v>4749</v>
      </c>
      <c r="C3177" s="0" t="s">
        <v>7073</v>
      </c>
      <c r="D3177" s="0" t="n">
        <v>2029</v>
      </c>
    </row>
    <row r="3178" customFormat="false" ht="15" hidden="false" customHeight="false" outlineLevel="0" collapsed="false">
      <c r="A3178" s="0" t="s">
        <v>14</v>
      </c>
      <c r="B3178" s="0" t="s">
        <v>4749</v>
      </c>
      <c r="C3178" s="0" t="s">
        <v>7074</v>
      </c>
      <c r="D3178" s="0" t="n">
        <v>2029</v>
      </c>
    </row>
    <row r="3179" customFormat="false" ht="15" hidden="false" customHeight="false" outlineLevel="0" collapsed="false">
      <c r="A3179" s="0" t="s">
        <v>14</v>
      </c>
      <c r="B3179" s="0" t="s">
        <v>4752</v>
      </c>
      <c r="C3179" s="0" t="s">
        <v>7072</v>
      </c>
      <c r="D3179" s="0" t="n">
        <v>2030</v>
      </c>
    </row>
    <row r="3180" customFormat="false" ht="15" hidden="false" customHeight="false" outlineLevel="0" collapsed="false">
      <c r="A3180" s="0" t="s">
        <v>14</v>
      </c>
      <c r="B3180" s="0" t="s">
        <v>4752</v>
      </c>
      <c r="C3180" s="0" t="s">
        <v>7073</v>
      </c>
      <c r="D3180" s="0" t="n">
        <v>2030</v>
      </c>
    </row>
    <row r="3181" customFormat="false" ht="15" hidden="false" customHeight="false" outlineLevel="0" collapsed="false">
      <c r="A3181" s="0" t="s">
        <v>14</v>
      </c>
      <c r="B3181" s="0" t="s">
        <v>4752</v>
      </c>
      <c r="C3181" s="0" t="s">
        <v>7074</v>
      </c>
      <c r="D3181" s="0" t="n">
        <v>2030</v>
      </c>
    </row>
    <row r="3182" customFormat="false" ht="15" hidden="false" customHeight="false" outlineLevel="0" collapsed="false">
      <c r="A3182" s="0" t="s">
        <v>14</v>
      </c>
      <c r="B3182" s="0" t="s">
        <v>4755</v>
      </c>
      <c r="C3182" s="0" t="s">
        <v>7072</v>
      </c>
      <c r="D3182" s="0" t="n">
        <v>365</v>
      </c>
    </row>
    <row r="3183" customFormat="false" ht="15" hidden="false" customHeight="false" outlineLevel="0" collapsed="false">
      <c r="A3183" s="0" t="s">
        <v>14</v>
      </c>
      <c r="B3183" s="0" t="s">
        <v>4755</v>
      </c>
      <c r="C3183" s="0" t="s">
        <v>7073</v>
      </c>
      <c r="D3183" s="0" t="n">
        <v>365</v>
      </c>
    </row>
    <row r="3184" customFormat="false" ht="15" hidden="false" customHeight="false" outlineLevel="0" collapsed="false">
      <c r="A3184" s="0" t="s">
        <v>14</v>
      </c>
      <c r="B3184" s="0" t="s">
        <v>4755</v>
      </c>
      <c r="C3184" s="0" t="s">
        <v>7074</v>
      </c>
      <c r="D3184" s="0" t="n">
        <v>365</v>
      </c>
    </row>
    <row r="3185" customFormat="false" ht="15" hidden="false" customHeight="false" outlineLevel="0" collapsed="false">
      <c r="A3185" s="0" t="s">
        <v>14</v>
      </c>
      <c r="B3185" s="0" t="s">
        <v>4760</v>
      </c>
      <c r="C3185" s="0" t="s">
        <v>7072</v>
      </c>
      <c r="D3185" s="0" t="n">
        <v>181</v>
      </c>
    </row>
    <row r="3186" customFormat="false" ht="15" hidden="false" customHeight="false" outlineLevel="0" collapsed="false">
      <c r="A3186" s="0" t="s">
        <v>14</v>
      </c>
      <c r="B3186" s="0" t="s">
        <v>4760</v>
      </c>
      <c r="C3186" s="0" t="s">
        <v>7073</v>
      </c>
      <c r="D3186" s="0" t="n">
        <v>181</v>
      </c>
    </row>
    <row r="3187" customFormat="false" ht="15" hidden="false" customHeight="false" outlineLevel="0" collapsed="false">
      <c r="A3187" s="0" t="s">
        <v>14</v>
      </c>
      <c r="B3187" s="0" t="s">
        <v>4760</v>
      </c>
      <c r="C3187" s="0" t="s">
        <v>7074</v>
      </c>
      <c r="D3187" s="0" t="n">
        <v>181</v>
      </c>
    </row>
    <row r="3188" customFormat="false" ht="15" hidden="false" customHeight="false" outlineLevel="0" collapsed="false">
      <c r="A3188" s="0" t="s">
        <v>14</v>
      </c>
      <c r="B3188" s="0" t="s">
        <v>4764</v>
      </c>
      <c r="C3188" s="0" t="s">
        <v>7072</v>
      </c>
      <c r="D3188" s="0" t="n">
        <v>184</v>
      </c>
    </row>
    <row r="3189" customFormat="false" ht="15" hidden="false" customHeight="false" outlineLevel="0" collapsed="false">
      <c r="A3189" s="0" t="s">
        <v>14</v>
      </c>
      <c r="B3189" s="0" t="s">
        <v>4764</v>
      </c>
      <c r="C3189" s="0" t="s">
        <v>7073</v>
      </c>
      <c r="D3189" s="0" t="n">
        <v>184</v>
      </c>
    </row>
    <row r="3190" customFormat="false" ht="15" hidden="false" customHeight="false" outlineLevel="0" collapsed="false">
      <c r="A3190" s="0" t="s">
        <v>14</v>
      </c>
      <c r="B3190" s="0" t="s">
        <v>4764</v>
      </c>
      <c r="C3190" s="0" t="s">
        <v>7074</v>
      </c>
      <c r="D3190" s="0" t="n">
        <v>184</v>
      </c>
    </row>
    <row r="3191" customFormat="false" ht="15" hidden="false" customHeight="false" outlineLevel="0" collapsed="false">
      <c r="A3191" s="0" t="s">
        <v>14</v>
      </c>
      <c r="B3191" s="0" t="s">
        <v>4769</v>
      </c>
      <c r="C3191" s="0" t="s">
        <v>7072</v>
      </c>
      <c r="D3191" s="0" t="n">
        <v>12</v>
      </c>
    </row>
    <row r="3192" customFormat="false" ht="15" hidden="false" customHeight="false" outlineLevel="0" collapsed="false">
      <c r="A3192" s="0" t="s">
        <v>14</v>
      </c>
      <c r="B3192" s="0" t="s">
        <v>4769</v>
      </c>
      <c r="C3192" s="0" t="s">
        <v>7073</v>
      </c>
      <c r="D3192" s="0" t="n">
        <v>12</v>
      </c>
    </row>
    <row r="3193" customFormat="false" ht="15" hidden="false" customHeight="false" outlineLevel="0" collapsed="false">
      <c r="A3193" s="0" t="s">
        <v>14</v>
      </c>
      <c r="B3193" s="0" t="s">
        <v>4769</v>
      </c>
      <c r="C3193" s="0" t="s">
        <v>7074</v>
      </c>
      <c r="D3193" s="0" t="n">
        <v>12</v>
      </c>
    </row>
    <row r="3194" customFormat="false" ht="15" hidden="false" customHeight="false" outlineLevel="0" collapsed="false">
      <c r="A3194" s="0" t="s">
        <v>14</v>
      </c>
      <c r="B3194" s="0" t="s">
        <v>4773</v>
      </c>
      <c r="C3194" s="0" t="s">
        <v>7072</v>
      </c>
      <c r="D3194" s="0" t="n">
        <v>6</v>
      </c>
    </row>
    <row r="3195" customFormat="false" ht="15" hidden="false" customHeight="false" outlineLevel="0" collapsed="false">
      <c r="A3195" s="0" t="s">
        <v>14</v>
      </c>
      <c r="B3195" s="0" t="s">
        <v>4773</v>
      </c>
      <c r="C3195" s="0" t="s">
        <v>7073</v>
      </c>
      <c r="D3195" s="0" t="n">
        <v>6</v>
      </c>
    </row>
    <row r="3196" customFormat="false" ht="15" hidden="false" customHeight="false" outlineLevel="0" collapsed="false">
      <c r="A3196" s="0" t="s">
        <v>14</v>
      </c>
      <c r="B3196" s="0" t="s">
        <v>4773</v>
      </c>
      <c r="C3196" s="0" t="s">
        <v>7074</v>
      </c>
      <c r="D3196" s="0" t="n">
        <v>6</v>
      </c>
    </row>
    <row r="3197" customFormat="false" ht="15" hidden="false" customHeight="false" outlineLevel="0" collapsed="false">
      <c r="A3197" s="0" t="s">
        <v>14</v>
      </c>
      <c r="B3197" s="0" t="s">
        <v>4776</v>
      </c>
      <c r="C3197" s="0" t="s">
        <v>7072</v>
      </c>
      <c r="D3197" s="0" t="n">
        <v>3</v>
      </c>
    </row>
    <row r="3198" customFormat="false" ht="15" hidden="false" customHeight="false" outlineLevel="0" collapsed="false">
      <c r="A3198" s="0" t="s">
        <v>14</v>
      </c>
      <c r="B3198" s="0" t="s">
        <v>4776</v>
      </c>
      <c r="C3198" s="0" t="s">
        <v>7073</v>
      </c>
      <c r="D3198" s="0" t="n">
        <v>3</v>
      </c>
    </row>
    <row r="3199" customFormat="false" ht="15" hidden="false" customHeight="false" outlineLevel="0" collapsed="false">
      <c r="A3199" s="0" t="s">
        <v>14</v>
      </c>
      <c r="B3199" s="0" t="s">
        <v>4776</v>
      </c>
      <c r="C3199" s="0" t="s">
        <v>7074</v>
      </c>
      <c r="D3199" s="0" t="n">
        <v>3</v>
      </c>
    </row>
    <row r="3200" customFormat="false" ht="15" hidden="false" customHeight="false" outlineLevel="0" collapsed="false">
      <c r="A3200" s="0" t="s">
        <v>14</v>
      </c>
      <c r="B3200" s="0" t="s">
        <v>4780</v>
      </c>
      <c r="C3200" s="0" t="s">
        <v>7072</v>
      </c>
      <c r="D3200" s="0" t="n">
        <v>2</v>
      </c>
    </row>
    <row r="3201" customFormat="false" ht="15" hidden="false" customHeight="false" outlineLevel="0" collapsed="false">
      <c r="A3201" s="0" t="s">
        <v>14</v>
      </c>
      <c r="B3201" s="0" t="s">
        <v>4780</v>
      </c>
      <c r="C3201" s="0" t="s">
        <v>7073</v>
      </c>
      <c r="D3201" s="0" t="n">
        <v>2</v>
      </c>
    </row>
    <row r="3202" customFormat="false" ht="15" hidden="false" customHeight="false" outlineLevel="0" collapsed="false">
      <c r="A3202" s="0" t="s">
        <v>14</v>
      </c>
      <c r="B3202" s="0" t="s">
        <v>4780</v>
      </c>
      <c r="C3202" s="0" t="s">
        <v>7074</v>
      </c>
      <c r="D3202" s="0" t="n">
        <v>2</v>
      </c>
    </row>
    <row r="3203" customFormat="false" ht="15" hidden="false" customHeight="false" outlineLevel="0" collapsed="false">
      <c r="A3203" s="0" t="s">
        <v>14</v>
      </c>
      <c r="B3203" s="0" t="s">
        <v>4784</v>
      </c>
      <c r="C3203" s="0" t="s">
        <v>7072</v>
      </c>
      <c r="D3203" s="0" t="n">
        <v>100</v>
      </c>
    </row>
    <row r="3204" customFormat="false" ht="15" hidden="false" customHeight="false" outlineLevel="0" collapsed="false">
      <c r="A3204" s="0" t="s">
        <v>14</v>
      </c>
      <c r="B3204" s="0" t="s">
        <v>4784</v>
      </c>
      <c r="C3204" s="0" t="s">
        <v>7073</v>
      </c>
      <c r="D3204" s="0" t="n">
        <v>100</v>
      </c>
    </row>
    <row r="3205" customFormat="false" ht="15" hidden="false" customHeight="false" outlineLevel="0" collapsed="false">
      <c r="A3205" s="0" t="s">
        <v>14</v>
      </c>
      <c r="B3205" s="0" t="s">
        <v>4784</v>
      </c>
      <c r="C3205" s="0" t="s">
        <v>7074</v>
      </c>
      <c r="D3205" s="0" t="n">
        <v>100</v>
      </c>
    </row>
    <row r="3206" customFormat="false" ht="15" hidden="false" customHeight="false" outlineLevel="0" collapsed="false">
      <c r="A3206" s="0" t="s">
        <v>14</v>
      </c>
      <c r="B3206" s="0" t="s">
        <v>4789</v>
      </c>
      <c r="C3206" s="0" t="s">
        <v>7072</v>
      </c>
      <c r="D3206" s="0" t="n">
        <v>100</v>
      </c>
    </row>
    <row r="3207" customFormat="false" ht="15" hidden="false" customHeight="false" outlineLevel="0" collapsed="false">
      <c r="A3207" s="0" t="s">
        <v>14</v>
      </c>
      <c r="B3207" s="0" t="s">
        <v>4789</v>
      </c>
      <c r="C3207" s="0" t="s">
        <v>7073</v>
      </c>
      <c r="D3207" s="0" t="n">
        <v>100</v>
      </c>
    </row>
    <row r="3208" customFormat="false" ht="15" hidden="false" customHeight="false" outlineLevel="0" collapsed="false">
      <c r="A3208" s="0" t="s">
        <v>14</v>
      </c>
      <c r="B3208" s="0" t="s">
        <v>4789</v>
      </c>
      <c r="C3208" s="0" t="s">
        <v>7074</v>
      </c>
      <c r="D3208" s="0" t="n">
        <v>100</v>
      </c>
    </row>
    <row r="3209" customFormat="false" ht="15" hidden="false" customHeight="false" outlineLevel="0" collapsed="false">
      <c r="A3209" s="0" t="s">
        <v>14</v>
      </c>
      <c r="B3209" s="0" t="s">
        <v>4793</v>
      </c>
      <c r="C3209" s="0" t="s">
        <v>7072</v>
      </c>
      <c r="D3209" s="0" t="n">
        <v>100</v>
      </c>
    </row>
    <row r="3210" customFormat="false" ht="15" hidden="false" customHeight="false" outlineLevel="0" collapsed="false">
      <c r="A3210" s="0" t="s">
        <v>14</v>
      </c>
      <c r="B3210" s="0" t="s">
        <v>4793</v>
      </c>
      <c r="C3210" s="0" t="s">
        <v>7073</v>
      </c>
      <c r="D3210" s="0" t="n">
        <v>100</v>
      </c>
    </row>
    <row r="3211" customFormat="false" ht="15" hidden="false" customHeight="false" outlineLevel="0" collapsed="false">
      <c r="A3211" s="0" t="s">
        <v>14</v>
      </c>
      <c r="B3211" s="0" t="s">
        <v>4793</v>
      </c>
      <c r="C3211" s="0" t="s">
        <v>7074</v>
      </c>
      <c r="D3211" s="0" t="n">
        <v>100</v>
      </c>
    </row>
    <row r="3212" customFormat="false" ht="15" hidden="false" customHeight="false" outlineLevel="0" collapsed="false">
      <c r="A3212" s="0" t="s">
        <v>14</v>
      </c>
      <c r="B3212" s="0" t="s">
        <v>4797</v>
      </c>
      <c r="C3212" s="0" t="s">
        <v>7072</v>
      </c>
      <c r="D3212" s="0" t="n">
        <v>10000</v>
      </c>
    </row>
    <row r="3213" customFormat="false" ht="15" hidden="false" customHeight="false" outlineLevel="0" collapsed="false">
      <c r="A3213" s="0" t="s">
        <v>14</v>
      </c>
      <c r="B3213" s="0" t="s">
        <v>4797</v>
      </c>
      <c r="C3213" s="0" t="s">
        <v>7073</v>
      </c>
      <c r="D3213" s="0" t="n">
        <v>10000</v>
      </c>
    </row>
    <row r="3214" customFormat="false" ht="15" hidden="false" customHeight="false" outlineLevel="0" collapsed="false">
      <c r="A3214" s="0" t="s">
        <v>14</v>
      </c>
      <c r="B3214" s="0" t="s">
        <v>4797</v>
      </c>
      <c r="C3214" s="0" t="s">
        <v>7074</v>
      </c>
      <c r="D3214" s="0" t="n">
        <v>10000</v>
      </c>
    </row>
    <row r="3215" customFormat="false" ht="15" hidden="false" customHeight="false" outlineLevel="0" collapsed="false">
      <c r="A3215" s="0" t="s">
        <v>14</v>
      </c>
      <c r="B3215" s="0" t="s">
        <v>4801</v>
      </c>
      <c r="C3215" s="0" t="s">
        <v>7072</v>
      </c>
      <c r="D3215" s="0" t="n">
        <v>1000</v>
      </c>
    </row>
    <row r="3216" customFormat="false" ht="15" hidden="false" customHeight="false" outlineLevel="0" collapsed="false">
      <c r="A3216" s="0" t="s">
        <v>14</v>
      </c>
      <c r="B3216" s="0" t="s">
        <v>4801</v>
      </c>
      <c r="C3216" s="0" t="s">
        <v>7073</v>
      </c>
      <c r="D3216" s="0" t="n">
        <v>1000</v>
      </c>
    </row>
    <row r="3217" customFormat="false" ht="15" hidden="false" customHeight="false" outlineLevel="0" collapsed="false">
      <c r="A3217" s="0" t="s">
        <v>14</v>
      </c>
      <c r="B3217" s="0" t="s">
        <v>4801</v>
      </c>
      <c r="C3217" s="0" t="s">
        <v>7074</v>
      </c>
      <c r="D3217" s="0" t="n">
        <v>1000</v>
      </c>
    </row>
    <row r="3218" customFormat="false" ht="15" hidden="false" customHeight="false" outlineLevel="0" collapsed="false">
      <c r="A3218" s="0" t="s">
        <v>14</v>
      </c>
      <c r="B3218" s="0" t="s">
        <v>4805</v>
      </c>
      <c r="C3218" s="0" t="s">
        <v>7072</v>
      </c>
      <c r="D3218" s="0" t="n">
        <v>1000</v>
      </c>
    </row>
    <row r="3219" customFormat="false" ht="15" hidden="false" customHeight="false" outlineLevel="0" collapsed="false">
      <c r="A3219" s="0" t="s">
        <v>14</v>
      </c>
      <c r="B3219" s="0" t="s">
        <v>4805</v>
      </c>
      <c r="C3219" s="0" t="s">
        <v>7073</v>
      </c>
      <c r="D3219" s="0" t="n">
        <v>1000</v>
      </c>
    </row>
    <row r="3220" customFormat="false" ht="15" hidden="false" customHeight="false" outlineLevel="0" collapsed="false">
      <c r="A3220" s="0" t="s">
        <v>14</v>
      </c>
      <c r="B3220" s="0" t="s">
        <v>4805</v>
      </c>
      <c r="C3220" s="0" t="s">
        <v>7074</v>
      </c>
      <c r="D3220" s="0" t="n">
        <v>1000</v>
      </c>
    </row>
    <row r="3221" customFormat="false" ht="15" hidden="false" customHeight="false" outlineLevel="0" collapsed="false">
      <c r="A3221" s="0" t="s">
        <v>14</v>
      </c>
      <c r="B3221" s="0" t="s">
        <v>4808</v>
      </c>
      <c r="C3221" s="0" t="s">
        <v>7072</v>
      </c>
      <c r="D3221" s="0" t="n">
        <v>100</v>
      </c>
    </row>
    <row r="3222" customFormat="false" ht="15" hidden="false" customHeight="false" outlineLevel="0" collapsed="false">
      <c r="A3222" s="0" t="s">
        <v>14</v>
      </c>
      <c r="B3222" s="0" t="s">
        <v>4808</v>
      </c>
      <c r="C3222" s="0" t="s">
        <v>7073</v>
      </c>
      <c r="D3222" s="0" t="n">
        <v>100</v>
      </c>
    </row>
    <row r="3223" customFormat="false" ht="15" hidden="false" customHeight="false" outlineLevel="0" collapsed="false">
      <c r="A3223" s="0" t="s">
        <v>14</v>
      </c>
      <c r="B3223" s="0" t="s">
        <v>4808</v>
      </c>
      <c r="C3223" s="0" t="s">
        <v>7074</v>
      </c>
      <c r="D3223" s="0" t="n">
        <v>100</v>
      </c>
    </row>
    <row r="3224" customFormat="false" ht="15" hidden="false" customHeight="false" outlineLevel="0" collapsed="false">
      <c r="A3224" s="0" t="s">
        <v>14</v>
      </c>
      <c r="B3224" s="0" t="s">
        <v>4812</v>
      </c>
      <c r="C3224" s="0" t="s">
        <v>7072</v>
      </c>
      <c r="D3224" s="0" t="n">
        <v>10</v>
      </c>
    </row>
    <row r="3225" customFormat="false" ht="15" hidden="false" customHeight="false" outlineLevel="0" collapsed="false">
      <c r="A3225" s="0" t="s">
        <v>14</v>
      </c>
      <c r="B3225" s="0" t="s">
        <v>4812</v>
      </c>
      <c r="C3225" s="0" t="s">
        <v>7073</v>
      </c>
      <c r="D3225" s="0" t="n">
        <v>10</v>
      </c>
    </row>
    <row r="3226" customFormat="false" ht="15" hidden="false" customHeight="false" outlineLevel="0" collapsed="false">
      <c r="A3226" s="0" t="s">
        <v>14</v>
      </c>
      <c r="B3226" s="0" t="s">
        <v>4812</v>
      </c>
      <c r="C3226" s="0" t="s">
        <v>7074</v>
      </c>
      <c r="D3226" s="0" t="n">
        <v>10</v>
      </c>
    </row>
    <row r="3227" customFormat="false" ht="15" hidden="false" customHeight="false" outlineLevel="0" collapsed="false">
      <c r="A3227" s="0" t="s">
        <v>14</v>
      </c>
      <c r="B3227" s="0" t="s">
        <v>4816</v>
      </c>
      <c r="C3227" s="0" t="s">
        <v>7072</v>
      </c>
      <c r="D3227" s="0" t="n">
        <v>4.8</v>
      </c>
    </row>
    <row r="3228" customFormat="false" ht="15" hidden="false" customHeight="false" outlineLevel="0" collapsed="false">
      <c r="A3228" s="0" t="s">
        <v>14</v>
      </c>
      <c r="B3228" s="0" t="s">
        <v>4816</v>
      </c>
      <c r="C3228" s="0" t="s">
        <v>7073</v>
      </c>
      <c r="D3228" s="0" t="n">
        <v>4.8</v>
      </c>
    </row>
    <row r="3229" customFormat="false" ht="15" hidden="false" customHeight="false" outlineLevel="0" collapsed="false">
      <c r="A3229" s="0" t="s">
        <v>14</v>
      </c>
      <c r="B3229" s="0" t="s">
        <v>4816</v>
      </c>
      <c r="C3229" s="0" t="s">
        <v>7074</v>
      </c>
      <c r="D3229" s="0" t="n">
        <v>4.8</v>
      </c>
    </row>
    <row r="3230" customFormat="false" ht="15" hidden="false" customHeight="false" outlineLevel="0" collapsed="false">
      <c r="A3230" s="0" t="s">
        <v>14</v>
      </c>
      <c r="B3230" s="0" t="s">
        <v>4821</v>
      </c>
      <c r="C3230" s="0" t="s">
        <v>7072</v>
      </c>
      <c r="D3230" s="0" t="n">
        <v>6.7399</v>
      </c>
    </row>
    <row r="3231" customFormat="false" ht="15" hidden="false" customHeight="false" outlineLevel="0" collapsed="false">
      <c r="A3231" s="0" t="s">
        <v>14</v>
      </c>
      <c r="B3231" s="0" t="s">
        <v>4821</v>
      </c>
      <c r="C3231" s="0" t="s">
        <v>7073</v>
      </c>
      <c r="D3231" s="0" t="n">
        <v>6.4029</v>
      </c>
    </row>
    <row r="3232" customFormat="false" ht="15" hidden="false" customHeight="false" outlineLevel="0" collapsed="false">
      <c r="A3232" s="0" t="s">
        <v>14</v>
      </c>
      <c r="B3232" s="0" t="s">
        <v>4821</v>
      </c>
      <c r="C3232" s="0" t="s">
        <v>7074</v>
      </c>
      <c r="D3232" s="0" t="n">
        <v>7.0769</v>
      </c>
    </row>
    <row r="3233" customFormat="false" ht="15" hidden="false" customHeight="false" outlineLevel="0" collapsed="false">
      <c r="A3233" s="0" t="s">
        <v>14</v>
      </c>
      <c r="B3233" s="0" t="s">
        <v>4827</v>
      </c>
      <c r="C3233" s="0" t="s">
        <v>7072</v>
      </c>
      <c r="D3233" s="0" t="n">
        <v>0.85923</v>
      </c>
    </row>
    <row r="3234" customFormat="false" ht="15" hidden="false" customHeight="false" outlineLevel="0" collapsed="false">
      <c r="A3234" s="0" t="s">
        <v>14</v>
      </c>
      <c r="B3234" s="0" t="s">
        <v>4827</v>
      </c>
      <c r="C3234" s="0" t="s">
        <v>7073</v>
      </c>
      <c r="D3234" s="0" t="n">
        <v>0.81627</v>
      </c>
    </row>
    <row r="3235" customFormat="false" ht="15" hidden="false" customHeight="false" outlineLevel="0" collapsed="false">
      <c r="A3235" s="0" t="s">
        <v>14</v>
      </c>
      <c r="B3235" s="0" t="s">
        <v>4827</v>
      </c>
      <c r="C3235" s="0" t="s">
        <v>7074</v>
      </c>
      <c r="D3235" s="0" t="n">
        <v>0.90219</v>
      </c>
    </row>
    <row r="3236" customFormat="false" ht="15" hidden="false" customHeight="false" outlineLevel="0" collapsed="false">
      <c r="A3236" s="0" t="s">
        <v>14</v>
      </c>
      <c r="B3236" s="0" t="s">
        <v>4832</v>
      </c>
      <c r="C3236" s="0" t="s">
        <v>7072</v>
      </c>
      <c r="D3236" s="0" t="n">
        <v>0.6</v>
      </c>
    </row>
    <row r="3237" customFormat="false" ht="15" hidden="false" customHeight="false" outlineLevel="0" collapsed="false">
      <c r="A3237" s="0" t="s">
        <v>14</v>
      </c>
      <c r="B3237" s="0" t="s">
        <v>4832</v>
      </c>
      <c r="C3237" s="0" t="s">
        <v>7073</v>
      </c>
      <c r="D3237" s="0" t="n">
        <v>0.3</v>
      </c>
    </row>
    <row r="3238" customFormat="false" ht="15" hidden="false" customHeight="false" outlineLevel="0" collapsed="false">
      <c r="A3238" s="0" t="s">
        <v>14</v>
      </c>
      <c r="B3238" s="0" t="s">
        <v>4832</v>
      </c>
      <c r="C3238" s="0" t="s">
        <v>7074</v>
      </c>
      <c r="D3238" s="0" t="n">
        <v>0.9</v>
      </c>
    </row>
    <row r="3239" customFormat="false" ht="15" hidden="false" customHeight="false" outlineLevel="0" collapsed="false">
      <c r="A3239" s="0" t="s">
        <v>14</v>
      </c>
      <c r="B3239" s="0" t="s">
        <v>4838</v>
      </c>
      <c r="C3239" s="0" t="s">
        <v>7072</v>
      </c>
      <c r="D3239" s="0" t="n">
        <v>42</v>
      </c>
    </row>
    <row r="3240" customFormat="false" ht="15" hidden="false" customHeight="false" outlineLevel="0" collapsed="false">
      <c r="A3240" s="0" t="s">
        <v>14</v>
      </c>
      <c r="B3240" s="0" t="s">
        <v>4838</v>
      </c>
      <c r="C3240" s="0" t="s">
        <v>7073</v>
      </c>
      <c r="D3240" s="0" t="n">
        <v>42</v>
      </c>
    </row>
    <row r="3241" customFormat="false" ht="15" hidden="false" customHeight="false" outlineLevel="0" collapsed="false">
      <c r="A3241" s="0" t="s">
        <v>14</v>
      </c>
      <c r="B3241" s="0" t="s">
        <v>4838</v>
      </c>
      <c r="C3241" s="0" t="s">
        <v>7074</v>
      </c>
      <c r="D3241" s="0" t="n">
        <v>42</v>
      </c>
    </row>
    <row r="3242" customFormat="false" ht="15" hidden="false" customHeight="false" outlineLevel="0" collapsed="false">
      <c r="A3242" s="0" t="s">
        <v>14</v>
      </c>
      <c r="B3242" s="0" t="s">
        <v>4843</v>
      </c>
      <c r="C3242" s="0" t="s">
        <v>7072</v>
      </c>
      <c r="D3242" s="0" t="n">
        <v>54</v>
      </c>
    </row>
    <row r="3243" customFormat="false" ht="15" hidden="false" customHeight="false" outlineLevel="0" collapsed="false">
      <c r="A3243" s="0" t="s">
        <v>14</v>
      </c>
      <c r="B3243" s="0" t="s">
        <v>4843</v>
      </c>
      <c r="C3243" s="0" t="s">
        <v>7073</v>
      </c>
      <c r="D3243" s="0" t="n">
        <v>54</v>
      </c>
    </row>
    <row r="3244" customFormat="false" ht="15" hidden="false" customHeight="false" outlineLevel="0" collapsed="false">
      <c r="A3244" s="0" t="s">
        <v>14</v>
      </c>
      <c r="B3244" s="0" t="s">
        <v>4843</v>
      </c>
      <c r="C3244" s="0" t="s">
        <v>7074</v>
      </c>
      <c r="D3244" s="0" t="n">
        <v>54</v>
      </c>
    </row>
    <row r="3245" customFormat="false" ht="15" hidden="false" customHeight="false" outlineLevel="0" collapsed="false">
      <c r="A3245" s="0" t="s">
        <v>14</v>
      </c>
      <c r="B3245" s="0" t="s">
        <v>4847</v>
      </c>
      <c r="C3245" s="0" t="s">
        <v>7072</v>
      </c>
      <c r="D3245" s="0" t="n">
        <v>128</v>
      </c>
    </row>
    <row r="3246" customFormat="false" ht="15" hidden="false" customHeight="false" outlineLevel="0" collapsed="false">
      <c r="A3246" s="0" t="s">
        <v>14</v>
      </c>
      <c r="B3246" s="0" t="s">
        <v>4847</v>
      </c>
      <c r="C3246" s="0" t="s">
        <v>7073</v>
      </c>
      <c r="D3246" s="0" t="n">
        <v>128</v>
      </c>
    </row>
    <row r="3247" customFormat="false" ht="15" hidden="false" customHeight="false" outlineLevel="0" collapsed="false">
      <c r="A3247" s="0" t="s">
        <v>14</v>
      </c>
      <c r="B3247" s="0" t="s">
        <v>4847</v>
      </c>
      <c r="C3247" s="0" t="s">
        <v>7074</v>
      </c>
      <c r="D3247" s="0" t="n">
        <v>128</v>
      </c>
    </row>
    <row r="3248" customFormat="false" ht="15" hidden="false" customHeight="false" outlineLevel="0" collapsed="false">
      <c r="A3248" s="0" t="s">
        <v>14</v>
      </c>
      <c r="B3248" s="0" t="s">
        <v>4851</v>
      </c>
      <c r="C3248" s="0" t="s">
        <v>7072</v>
      </c>
      <c r="D3248" s="0" t="n">
        <v>0.15</v>
      </c>
    </row>
    <row r="3249" customFormat="false" ht="15" hidden="false" customHeight="false" outlineLevel="0" collapsed="false">
      <c r="A3249" s="0" t="s">
        <v>14</v>
      </c>
      <c r="B3249" s="0" t="s">
        <v>4851</v>
      </c>
      <c r="C3249" s="0" t="s">
        <v>7073</v>
      </c>
      <c r="D3249" s="0" t="n">
        <v>0.05</v>
      </c>
    </row>
    <row r="3250" customFormat="false" ht="15" hidden="false" customHeight="false" outlineLevel="0" collapsed="false">
      <c r="A3250" s="0" t="s">
        <v>14</v>
      </c>
      <c r="B3250" s="0" t="s">
        <v>4851</v>
      </c>
      <c r="C3250" s="0" t="s">
        <v>7074</v>
      </c>
      <c r="D3250" s="0" t="n">
        <v>0.3</v>
      </c>
    </row>
    <row r="3251" customFormat="false" ht="15" hidden="false" customHeight="false" outlineLevel="0" collapsed="false">
      <c r="A3251" s="0" t="s">
        <v>14</v>
      </c>
      <c r="B3251" s="0" t="s">
        <v>4856</v>
      </c>
      <c r="C3251" s="0" t="s">
        <v>7072</v>
      </c>
      <c r="D3251" s="0" t="n">
        <v>0.5</v>
      </c>
    </row>
    <row r="3252" customFormat="false" ht="15" hidden="false" customHeight="false" outlineLevel="0" collapsed="false">
      <c r="A3252" s="0" t="s">
        <v>14</v>
      </c>
      <c r="B3252" s="0" t="s">
        <v>4856</v>
      </c>
      <c r="C3252" s="0" t="s">
        <v>7073</v>
      </c>
      <c r="D3252" s="0" t="n">
        <v>0.3</v>
      </c>
    </row>
    <row r="3253" customFormat="false" ht="15" hidden="false" customHeight="false" outlineLevel="0" collapsed="false">
      <c r="A3253" s="0" t="s">
        <v>14</v>
      </c>
      <c r="B3253" s="0" t="s">
        <v>4856</v>
      </c>
      <c r="C3253" s="0" t="s">
        <v>7074</v>
      </c>
      <c r="D3253" s="0" t="n">
        <v>0.75</v>
      </c>
    </row>
    <row r="3254" customFormat="false" ht="15" hidden="false" customHeight="false" outlineLevel="0" collapsed="false">
      <c r="A3254" s="0" t="s">
        <v>14</v>
      </c>
      <c r="B3254" s="0" t="s">
        <v>4861</v>
      </c>
      <c r="C3254" s="0" t="s">
        <v>7072</v>
      </c>
      <c r="D3254" s="0" t="n">
        <v>0.25</v>
      </c>
    </row>
    <row r="3255" customFormat="false" ht="15" hidden="false" customHeight="false" outlineLevel="0" collapsed="false">
      <c r="A3255" s="0" t="s">
        <v>14</v>
      </c>
      <c r="B3255" s="0" t="s">
        <v>4861</v>
      </c>
      <c r="C3255" s="0" t="s">
        <v>7073</v>
      </c>
      <c r="D3255" s="0" t="n">
        <v>0.1</v>
      </c>
    </row>
    <row r="3256" customFormat="false" ht="15" hidden="false" customHeight="false" outlineLevel="0" collapsed="false">
      <c r="A3256" s="0" t="s">
        <v>14</v>
      </c>
      <c r="B3256" s="0" t="s">
        <v>4861</v>
      </c>
      <c r="C3256" s="0" t="s">
        <v>7074</v>
      </c>
      <c r="D3256" s="0" t="n">
        <v>0.4</v>
      </c>
    </row>
    <row r="3257" customFormat="false" ht="15" hidden="false" customHeight="false" outlineLevel="0" collapsed="false">
      <c r="A3257" s="0" t="s">
        <v>14</v>
      </c>
      <c r="B3257" s="0" t="s">
        <v>4866</v>
      </c>
      <c r="C3257" s="0" t="s">
        <v>7072</v>
      </c>
      <c r="D3257" s="0" t="n">
        <v>0.6</v>
      </c>
    </row>
    <row r="3258" customFormat="false" ht="15" hidden="false" customHeight="false" outlineLevel="0" collapsed="false">
      <c r="A3258" s="0" t="s">
        <v>14</v>
      </c>
      <c r="B3258" s="0" t="s">
        <v>4866</v>
      </c>
      <c r="C3258" s="0" t="s">
        <v>7073</v>
      </c>
      <c r="D3258" s="0" t="n">
        <v>0.4</v>
      </c>
    </row>
    <row r="3259" customFormat="false" ht="15" hidden="false" customHeight="false" outlineLevel="0" collapsed="false">
      <c r="A3259" s="0" t="s">
        <v>14</v>
      </c>
      <c r="B3259" s="0" t="s">
        <v>4866</v>
      </c>
      <c r="C3259" s="0" t="s">
        <v>7074</v>
      </c>
      <c r="D3259" s="0" t="n">
        <v>0.8</v>
      </c>
    </row>
    <row r="3260" customFormat="false" ht="15" hidden="false" customHeight="false" outlineLevel="0" collapsed="false">
      <c r="A3260" s="0" t="s">
        <v>14</v>
      </c>
      <c r="B3260" s="0" t="s">
        <v>4871</v>
      </c>
      <c r="C3260" s="0" t="s">
        <v>7072</v>
      </c>
      <c r="D3260" s="0" t="n">
        <v>0.7</v>
      </c>
    </row>
    <row r="3261" customFormat="false" ht="15" hidden="false" customHeight="false" outlineLevel="0" collapsed="false">
      <c r="A3261" s="0" t="s">
        <v>14</v>
      </c>
      <c r="B3261" s="0" t="s">
        <v>4871</v>
      </c>
      <c r="C3261" s="0" t="s">
        <v>7073</v>
      </c>
      <c r="D3261" s="0" t="n">
        <v>0.5</v>
      </c>
    </row>
    <row r="3262" customFormat="false" ht="15" hidden="false" customHeight="false" outlineLevel="0" collapsed="false">
      <c r="A3262" s="0" t="s">
        <v>14</v>
      </c>
      <c r="B3262" s="0" t="s">
        <v>4871</v>
      </c>
      <c r="C3262" s="0" t="s">
        <v>7074</v>
      </c>
      <c r="D3262" s="0" t="n">
        <v>0.85</v>
      </c>
    </row>
    <row r="3263" customFormat="false" ht="15" hidden="false" customHeight="false" outlineLevel="0" collapsed="false">
      <c r="A3263" s="0" t="s">
        <v>14</v>
      </c>
      <c r="B3263" s="0" t="s">
        <v>4875</v>
      </c>
      <c r="C3263" s="0" t="s">
        <v>7072</v>
      </c>
      <c r="D3263" s="0" t="n">
        <v>0.7</v>
      </c>
    </row>
    <row r="3264" customFormat="false" ht="15" hidden="false" customHeight="false" outlineLevel="0" collapsed="false">
      <c r="A3264" s="0" t="s">
        <v>14</v>
      </c>
      <c r="B3264" s="0" t="s">
        <v>4875</v>
      </c>
      <c r="C3264" s="0" t="s">
        <v>7073</v>
      </c>
      <c r="D3264" s="0" t="n">
        <v>0.5</v>
      </c>
    </row>
    <row r="3265" customFormat="false" ht="15" hidden="false" customHeight="false" outlineLevel="0" collapsed="false">
      <c r="A3265" s="0" t="s">
        <v>14</v>
      </c>
      <c r="B3265" s="0" t="s">
        <v>4875</v>
      </c>
      <c r="C3265" s="0" t="s">
        <v>7074</v>
      </c>
      <c r="D3265" s="0" t="n">
        <v>0.85</v>
      </c>
    </row>
    <row r="3266" customFormat="false" ht="15" hidden="false" customHeight="false" outlineLevel="0" collapsed="false">
      <c r="A3266" s="0" t="s">
        <v>14</v>
      </c>
      <c r="B3266" s="0" t="s">
        <v>4879</v>
      </c>
      <c r="C3266" s="0" t="s">
        <v>7072</v>
      </c>
      <c r="D3266" s="0" t="n">
        <v>-0.2</v>
      </c>
    </row>
    <row r="3267" customFormat="false" ht="15" hidden="false" customHeight="false" outlineLevel="0" collapsed="false">
      <c r="A3267" s="0" t="s">
        <v>14</v>
      </c>
      <c r="B3267" s="0" t="s">
        <v>4879</v>
      </c>
      <c r="C3267" s="0" t="s">
        <v>7073</v>
      </c>
      <c r="D3267" s="0" t="n">
        <v>-0.4</v>
      </c>
    </row>
    <row r="3268" customFormat="false" ht="15" hidden="false" customHeight="false" outlineLevel="0" collapsed="false">
      <c r="A3268" s="0" t="s">
        <v>14</v>
      </c>
      <c r="B3268" s="0" t="s">
        <v>4879</v>
      </c>
      <c r="C3268" s="0" t="s">
        <v>7074</v>
      </c>
      <c r="D3268" s="0" t="n">
        <v>0.2</v>
      </c>
    </row>
    <row r="3269" customFormat="false" ht="15" hidden="false" customHeight="false" outlineLevel="0" collapsed="false">
      <c r="A3269" s="0" t="s">
        <v>14</v>
      </c>
      <c r="B3269" s="0" t="s">
        <v>4885</v>
      </c>
      <c r="C3269" s="0" t="s">
        <v>7072</v>
      </c>
      <c r="D3269" s="0" t="n">
        <v>-0.2</v>
      </c>
    </row>
    <row r="3270" customFormat="false" ht="15" hidden="false" customHeight="false" outlineLevel="0" collapsed="false">
      <c r="A3270" s="0" t="s">
        <v>14</v>
      </c>
      <c r="B3270" s="0" t="s">
        <v>4885</v>
      </c>
      <c r="C3270" s="0" t="s">
        <v>7073</v>
      </c>
      <c r="D3270" s="0" t="n">
        <v>-0.4</v>
      </c>
    </row>
    <row r="3271" customFormat="false" ht="15" hidden="false" customHeight="false" outlineLevel="0" collapsed="false">
      <c r="A3271" s="0" t="s">
        <v>14</v>
      </c>
      <c r="B3271" s="0" t="s">
        <v>4885</v>
      </c>
      <c r="C3271" s="0" t="s">
        <v>7074</v>
      </c>
      <c r="D3271" s="0" t="n">
        <v>0.2</v>
      </c>
    </row>
    <row r="3272" customFormat="false" ht="15" hidden="false" customHeight="false" outlineLevel="0" collapsed="false">
      <c r="A3272" s="0" t="s">
        <v>14</v>
      </c>
      <c r="B3272" s="0" t="s">
        <v>4889</v>
      </c>
      <c r="C3272" s="0" t="s">
        <v>7072</v>
      </c>
      <c r="D3272" s="0" t="n">
        <v>20</v>
      </c>
    </row>
    <row r="3273" customFormat="false" ht="15" hidden="false" customHeight="false" outlineLevel="0" collapsed="false">
      <c r="A3273" s="0" t="s">
        <v>14</v>
      </c>
      <c r="B3273" s="0" t="s">
        <v>4889</v>
      </c>
      <c r="C3273" s="0" t="s">
        <v>7073</v>
      </c>
      <c r="D3273" s="0" t="n">
        <v>5</v>
      </c>
    </row>
    <row r="3274" customFormat="false" ht="15" hidden="false" customHeight="false" outlineLevel="0" collapsed="false">
      <c r="A3274" s="0" t="s">
        <v>14</v>
      </c>
      <c r="B3274" s="0" t="s">
        <v>4889</v>
      </c>
      <c r="C3274" s="0" t="s">
        <v>7074</v>
      </c>
      <c r="D3274" s="0" t="n">
        <v>50</v>
      </c>
    </row>
    <row r="3275" customFormat="false" ht="15" hidden="false" customHeight="false" outlineLevel="0" collapsed="false">
      <c r="A3275" s="0" t="s">
        <v>14</v>
      </c>
      <c r="B3275" s="0" t="s">
        <v>4895</v>
      </c>
      <c r="C3275" s="0" t="s">
        <v>7072</v>
      </c>
      <c r="D3275" s="0" t="n">
        <v>2.24</v>
      </c>
    </row>
    <row r="3276" customFormat="false" ht="15" hidden="false" customHeight="false" outlineLevel="0" collapsed="false">
      <c r="A3276" s="0" t="s">
        <v>14</v>
      </c>
      <c r="B3276" s="0" t="s">
        <v>4895</v>
      </c>
      <c r="C3276" s="0" t="s">
        <v>7073</v>
      </c>
      <c r="D3276" s="0" t="n">
        <v>1.3</v>
      </c>
    </row>
    <row r="3277" customFormat="false" ht="15" hidden="false" customHeight="false" outlineLevel="0" collapsed="false">
      <c r="A3277" s="0" t="s">
        <v>14</v>
      </c>
      <c r="B3277" s="0" t="s">
        <v>4895</v>
      </c>
      <c r="C3277" s="0" t="s">
        <v>7074</v>
      </c>
      <c r="D3277" s="0" t="n">
        <v>3</v>
      </c>
    </row>
    <row r="3278" customFormat="false" ht="15" hidden="false" customHeight="false" outlineLevel="0" collapsed="false">
      <c r="A3278" s="0" t="s">
        <v>14</v>
      </c>
      <c r="B3278" s="0" t="s">
        <v>4901</v>
      </c>
      <c r="C3278" s="0" t="s">
        <v>7072</v>
      </c>
      <c r="D3278" s="0" t="n">
        <v>0.1</v>
      </c>
    </row>
    <row r="3279" customFormat="false" ht="15" hidden="false" customHeight="false" outlineLevel="0" collapsed="false">
      <c r="A3279" s="0" t="s">
        <v>14</v>
      </c>
      <c r="B3279" s="0" t="s">
        <v>4901</v>
      </c>
      <c r="C3279" s="0" t="s">
        <v>7073</v>
      </c>
      <c r="D3279" s="0" t="n">
        <v>0</v>
      </c>
    </row>
    <row r="3280" customFormat="false" ht="15" hidden="false" customHeight="false" outlineLevel="0" collapsed="false">
      <c r="A3280" s="0" t="s">
        <v>14</v>
      </c>
      <c r="B3280" s="0" t="s">
        <v>4901</v>
      </c>
      <c r="C3280" s="0" t="s">
        <v>7074</v>
      </c>
      <c r="D3280" s="0" t="n">
        <v>0.3</v>
      </c>
    </row>
    <row r="3281" customFormat="false" ht="15" hidden="false" customHeight="false" outlineLevel="0" collapsed="false">
      <c r="A3281" s="0" t="s">
        <v>14</v>
      </c>
      <c r="B3281" s="0" t="s">
        <v>4906</v>
      </c>
      <c r="C3281" s="0" t="s">
        <v>7072</v>
      </c>
      <c r="D3281" s="0" t="n">
        <v>0.8</v>
      </c>
    </row>
    <row r="3282" customFormat="false" ht="15" hidden="false" customHeight="false" outlineLevel="0" collapsed="false">
      <c r="A3282" s="0" t="s">
        <v>14</v>
      </c>
      <c r="B3282" s="0" t="s">
        <v>4906</v>
      </c>
      <c r="C3282" s="0" t="s">
        <v>7073</v>
      </c>
      <c r="D3282" s="0" t="n">
        <v>0.4</v>
      </c>
    </row>
    <row r="3283" customFormat="false" ht="15" hidden="false" customHeight="false" outlineLevel="0" collapsed="false">
      <c r="A3283" s="0" t="s">
        <v>14</v>
      </c>
      <c r="B3283" s="0" t="s">
        <v>4906</v>
      </c>
      <c r="C3283" s="0" t="s">
        <v>7074</v>
      </c>
      <c r="D3283" s="0" t="n">
        <v>1.6</v>
      </c>
    </row>
    <row r="3284" customFormat="false" ht="15" hidden="false" customHeight="false" outlineLevel="0" collapsed="false">
      <c r="A3284" s="0" t="s">
        <v>14</v>
      </c>
      <c r="B3284" s="0" t="s">
        <v>4911</v>
      </c>
      <c r="C3284" s="0" t="s">
        <v>7072</v>
      </c>
      <c r="D3284" s="0" t="n">
        <v>0.5</v>
      </c>
    </row>
    <row r="3285" customFormat="false" ht="15" hidden="false" customHeight="false" outlineLevel="0" collapsed="false">
      <c r="A3285" s="0" t="s">
        <v>14</v>
      </c>
      <c r="B3285" s="0" t="s">
        <v>4911</v>
      </c>
      <c r="C3285" s="0" t="s">
        <v>7073</v>
      </c>
      <c r="D3285" s="0" t="n">
        <v>0.25</v>
      </c>
    </row>
    <row r="3286" customFormat="false" ht="15" hidden="false" customHeight="false" outlineLevel="0" collapsed="false">
      <c r="A3286" s="0" t="s">
        <v>14</v>
      </c>
      <c r="B3286" s="0" t="s">
        <v>4911</v>
      </c>
      <c r="C3286" s="0" t="s">
        <v>7074</v>
      </c>
      <c r="D3286" s="0" t="n">
        <v>1</v>
      </c>
    </row>
    <row r="3287" customFormat="false" ht="15" hidden="false" customHeight="false" outlineLevel="0" collapsed="false">
      <c r="A3287" s="0" t="s">
        <v>14</v>
      </c>
      <c r="B3287" s="0" t="s">
        <v>4914</v>
      </c>
      <c r="C3287" s="0" t="s">
        <v>7072</v>
      </c>
      <c r="D3287" s="0" t="n">
        <v>0.35</v>
      </c>
    </row>
    <row r="3288" customFormat="false" ht="15" hidden="false" customHeight="false" outlineLevel="0" collapsed="false">
      <c r="A3288" s="0" t="s">
        <v>14</v>
      </c>
      <c r="B3288" s="0" t="s">
        <v>4914</v>
      </c>
      <c r="C3288" s="0" t="s">
        <v>7073</v>
      </c>
      <c r="D3288" s="0" t="n">
        <v>0.175</v>
      </c>
    </row>
    <row r="3289" customFormat="false" ht="15" hidden="false" customHeight="false" outlineLevel="0" collapsed="false">
      <c r="A3289" s="0" t="s">
        <v>14</v>
      </c>
      <c r="B3289" s="0" t="s">
        <v>4914</v>
      </c>
      <c r="C3289" s="0" t="s">
        <v>7074</v>
      </c>
      <c r="D3289" s="0" t="n">
        <v>0.7</v>
      </c>
    </row>
    <row r="3290" customFormat="false" ht="15" hidden="false" customHeight="false" outlineLevel="0" collapsed="false">
      <c r="A3290" s="0" t="s">
        <v>14</v>
      </c>
      <c r="B3290" s="0" t="s">
        <v>4917</v>
      </c>
      <c r="C3290" s="0" t="s">
        <v>7072</v>
      </c>
      <c r="D3290" s="0" t="n">
        <v>0.25</v>
      </c>
    </row>
    <row r="3291" customFormat="false" ht="15" hidden="false" customHeight="false" outlineLevel="0" collapsed="false">
      <c r="A3291" s="0" t="s">
        <v>14</v>
      </c>
      <c r="B3291" s="0" t="s">
        <v>4917</v>
      </c>
      <c r="C3291" s="0" t="s">
        <v>7073</v>
      </c>
      <c r="D3291" s="0" t="n">
        <v>0.125</v>
      </c>
    </row>
    <row r="3292" customFormat="false" ht="15" hidden="false" customHeight="false" outlineLevel="0" collapsed="false">
      <c r="A3292" s="0" t="s">
        <v>14</v>
      </c>
      <c r="B3292" s="0" t="s">
        <v>4917</v>
      </c>
      <c r="C3292" s="0" t="s">
        <v>7074</v>
      </c>
      <c r="D3292" s="0" t="n">
        <v>0.5</v>
      </c>
    </row>
    <row r="3293" customFormat="false" ht="15" hidden="false" customHeight="false" outlineLevel="0" collapsed="false">
      <c r="A3293" s="0" t="s">
        <v>14</v>
      </c>
      <c r="B3293" s="0" t="s">
        <v>4920</v>
      </c>
      <c r="C3293" s="0" t="s">
        <v>7072</v>
      </c>
      <c r="D3293" s="0" t="n">
        <v>0.15</v>
      </c>
    </row>
    <row r="3294" customFormat="false" ht="15" hidden="false" customHeight="false" outlineLevel="0" collapsed="false">
      <c r="A3294" s="0" t="s">
        <v>14</v>
      </c>
      <c r="B3294" s="0" t="s">
        <v>4920</v>
      </c>
      <c r="C3294" s="0" t="s">
        <v>7073</v>
      </c>
      <c r="D3294" s="0" t="n">
        <v>0.05</v>
      </c>
    </row>
    <row r="3295" customFormat="false" ht="15" hidden="false" customHeight="false" outlineLevel="0" collapsed="false">
      <c r="A3295" s="0" t="s">
        <v>14</v>
      </c>
      <c r="B3295" s="0" t="s">
        <v>4920</v>
      </c>
      <c r="C3295" s="0" t="s">
        <v>7074</v>
      </c>
      <c r="D3295" s="0" t="n">
        <v>0.25</v>
      </c>
    </row>
    <row r="3296" customFormat="false" ht="15" hidden="false" customHeight="false" outlineLevel="0" collapsed="false">
      <c r="A3296" s="0" t="s">
        <v>14</v>
      </c>
      <c r="B3296" s="0" t="s">
        <v>4925</v>
      </c>
      <c r="C3296" s="0" t="s">
        <v>7072</v>
      </c>
      <c r="D3296" s="0" t="n">
        <v>-0.7</v>
      </c>
    </row>
    <row r="3297" customFormat="false" ht="15" hidden="false" customHeight="false" outlineLevel="0" collapsed="false">
      <c r="A3297" s="0" t="s">
        <v>14</v>
      </c>
      <c r="B3297" s="0" t="s">
        <v>4925</v>
      </c>
      <c r="C3297" s="0" t="s">
        <v>7073</v>
      </c>
      <c r="D3297" s="0" t="n">
        <v>-1.05</v>
      </c>
    </row>
    <row r="3298" customFormat="false" ht="15" hidden="false" customHeight="false" outlineLevel="0" collapsed="false">
      <c r="A3298" s="0" t="s">
        <v>14</v>
      </c>
      <c r="B3298" s="0" t="s">
        <v>4925</v>
      </c>
      <c r="C3298" s="0" t="s">
        <v>7074</v>
      </c>
      <c r="D3298" s="0" t="n">
        <v>-0.35</v>
      </c>
    </row>
    <row r="3299" customFormat="false" ht="15" hidden="false" customHeight="false" outlineLevel="0" collapsed="false">
      <c r="A3299" s="0" t="s">
        <v>14</v>
      </c>
      <c r="B3299" s="0" t="s">
        <v>4931</v>
      </c>
      <c r="C3299" s="0" t="s">
        <v>7072</v>
      </c>
      <c r="D3299" s="0" t="n">
        <v>-0.3</v>
      </c>
    </row>
    <row r="3300" customFormat="false" ht="15" hidden="false" customHeight="false" outlineLevel="0" collapsed="false">
      <c r="A3300" s="0" t="s">
        <v>14</v>
      </c>
      <c r="B3300" s="0" t="s">
        <v>4931</v>
      </c>
      <c r="C3300" s="0" t="s">
        <v>7073</v>
      </c>
      <c r="D3300" s="0" t="n">
        <v>-0.45</v>
      </c>
    </row>
    <row r="3301" customFormat="false" ht="15" hidden="false" customHeight="false" outlineLevel="0" collapsed="false">
      <c r="A3301" s="0" t="s">
        <v>14</v>
      </c>
      <c r="B3301" s="0" t="s">
        <v>4931</v>
      </c>
      <c r="C3301" s="0" t="s">
        <v>7074</v>
      </c>
      <c r="D3301" s="0" t="n">
        <v>-0.15</v>
      </c>
    </row>
    <row r="3302" customFormat="false" ht="15" hidden="false" customHeight="false" outlineLevel="0" collapsed="false">
      <c r="A3302" s="0" t="s">
        <v>14</v>
      </c>
      <c r="B3302" s="0" t="s">
        <v>4935</v>
      </c>
      <c r="C3302" s="0" t="s">
        <v>7072</v>
      </c>
      <c r="D3302" s="0" t="n">
        <v>0.3</v>
      </c>
    </row>
    <row r="3303" customFormat="false" ht="15" hidden="false" customHeight="false" outlineLevel="0" collapsed="false">
      <c r="A3303" s="0" t="s">
        <v>14</v>
      </c>
      <c r="B3303" s="0" t="s">
        <v>4935</v>
      </c>
      <c r="C3303" s="0" t="s">
        <v>7073</v>
      </c>
      <c r="D3303" s="0" t="n">
        <v>0.1</v>
      </c>
    </row>
    <row r="3304" customFormat="false" ht="15" hidden="false" customHeight="false" outlineLevel="0" collapsed="false">
      <c r="A3304" s="0" t="s">
        <v>14</v>
      </c>
      <c r="B3304" s="0" t="s">
        <v>4935</v>
      </c>
      <c r="C3304" s="0" t="s">
        <v>7074</v>
      </c>
      <c r="D3304" s="0" t="n">
        <v>1</v>
      </c>
    </row>
    <row r="3305" customFormat="false" ht="15" hidden="false" customHeight="false" outlineLevel="0" collapsed="false">
      <c r="A3305" s="0" t="s">
        <v>14</v>
      </c>
      <c r="B3305" s="0" t="s">
        <v>4940</v>
      </c>
      <c r="C3305" s="0" t="s">
        <v>7072</v>
      </c>
      <c r="D3305" s="0" t="n">
        <v>1</v>
      </c>
    </row>
    <row r="3306" customFormat="false" ht="15" hidden="false" customHeight="false" outlineLevel="0" collapsed="false">
      <c r="A3306" s="0" t="s">
        <v>14</v>
      </c>
      <c r="B3306" s="0" t="s">
        <v>4940</v>
      </c>
      <c r="C3306" s="0" t="s">
        <v>7073</v>
      </c>
      <c r="D3306" s="0" t="n">
        <v>0.7</v>
      </c>
    </row>
    <row r="3307" customFormat="false" ht="15" hidden="false" customHeight="false" outlineLevel="0" collapsed="false">
      <c r="A3307" s="0" t="s">
        <v>14</v>
      </c>
      <c r="B3307" s="0" t="s">
        <v>4940</v>
      </c>
      <c r="C3307" s="0" t="s">
        <v>7074</v>
      </c>
      <c r="D3307" s="0" t="n">
        <v>1.5</v>
      </c>
    </row>
    <row r="3308" customFormat="false" ht="15" hidden="false" customHeight="false" outlineLevel="0" collapsed="false">
      <c r="A3308" s="0" t="s">
        <v>14</v>
      </c>
      <c r="B3308" s="0" t="s">
        <v>4945</v>
      </c>
      <c r="C3308" s="0" t="s">
        <v>7072</v>
      </c>
      <c r="D3308" s="0" t="n">
        <v>0.15</v>
      </c>
    </row>
    <row r="3309" customFormat="false" ht="15" hidden="false" customHeight="false" outlineLevel="0" collapsed="false">
      <c r="A3309" s="0" t="s">
        <v>14</v>
      </c>
      <c r="B3309" s="0" t="s">
        <v>4945</v>
      </c>
      <c r="C3309" s="0" t="s">
        <v>7073</v>
      </c>
      <c r="D3309" s="0" t="n">
        <v>0.05</v>
      </c>
    </row>
    <row r="3310" customFormat="false" ht="15" hidden="false" customHeight="false" outlineLevel="0" collapsed="false">
      <c r="A3310" s="0" t="s">
        <v>14</v>
      </c>
      <c r="B3310" s="0" t="s">
        <v>4945</v>
      </c>
      <c r="C3310" s="0" t="s">
        <v>7074</v>
      </c>
      <c r="D3310" s="0" t="n">
        <v>0.3</v>
      </c>
    </row>
    <row r="3311" customFormat="false" ht="15" hidden="false" customHeight="false" outlineLevel="0" collapsed="false">
      <c r="A3311" s="0" t="s">
        <v>14</v>
      </c>
      <c r="B3311" s="0" t="s">
        <v>4950</v>
      </c>
      <c r="C3311" s="0" t="s">
        <v>7072</v>
      </c>
      <c r="D3311" s="0" t="n">
        <v>0.5</v>
      </c>
    </row>
    <row r="3312" customFormat="false" ht="15" hidden="false" customHeight="false" outlineLevel="0" collapsed="false">
      <c r="A3312" s="0" t="s">
        <v>14</v>
      </c>
      <c r="B3312" s="0" t="s">
        <v>4950</v>
      </c>
      <c r="C3312" s="0" t="s">
        <v>7073</v>
      </c>
      <c r="D3312" s="0" t="n">
        <v>0</v>
      </c>
    </row>
    <row r="3313" customFormat="false" ht="15" hidden="false" customHeight="false" outlineLevel="0" collapsed="false">
      <c r="A3313" s="0" t="s">
        <v>14</v>
      </c>
      <c r="B3313" s="0" t="s">
        <v>4950</v>
      </c>
      <c r="C3313" s="0" t="s">
        <v>7074</v>
      </c>
      <c r="D3313" s="0" t="n">
        <v>1.5</v>
      </c>
    </row>
    <row r="3314" customFormat="false" ht="15" hidden="false" customHeight="false" outlineLevel="0" collapsed="false">
      <c r="A3314" s="0" t="s">
        <v>14</v>
      </c>
      <c r="B3314" s="0" t="s">
        <v>4955</v>
      </c>
      <c r="C3314" s="0" t="s">
        <v>7072</v>
      </c>
      <c r="D3314" s="0" t="n">
        <v>0.5</v>
      </c>
    </row>
    <row r="3315" customFormat="false" ht="15" hidden="false" customHeight="false" outlineLevel="0" collapsed="false">
      <c r="A3315" s="0" t="s">
        <v>14</v>
      </c>
      <c r="B3315" s="0" t="s">
        <v>4955</v>
      </c>
      <c r="C3315" s="0" t="s">
        <v>7073</v>
      </c>
      <c r="D3315" s="0" t="n">
        <v>0.2</v>
      </c>
    </row>
    <row r="3316" customFormat="false" ht="15" hidden="false" customHeight="false" outlineLevel="0" collapsed="false">
      <c r="A3316" s="0" t="s">
        <v>14</v>
      </c>
      <c r="B3316" s="0" t="s">
        <v>4955</v>
      </c>
      <c r="C3316" s="0" t="s">
        <v>7074</v>
      </c>
      <c r="D3316" s="0" t="n">
        <v>1</v>
      </c>
    </row>
    <row r="3317" customFormat="false" ht="15" hidden="false" customHeight="false" outlineLevel="0" collapsed="false">
      <c r="A3317" s="0" t="s">
        <v>14</v>
      </c>
      <c r="B3317" s="0" t="s">
        <v>4960</v>
      </c>
      <c r="C3317" s="0" t="s">
        <v>7072</v>
      </c>
      <c r="D3317" s="0" t="n">
        <v>0.3</v>
      </c>
    </row>
    <row r="3318" customFormat="false" ht="15" hidden="false" customHeight="false" outlineLevel="0" collapsed="false">
      <c r="A3318" s="0" t="s">
        <v>14</v>
      </c>
      <c r="B3318" s="0" t="s">
        <v>4960</v>
      </c>
      <c r="C3318" s="0" t="s">
        <v>7073</v>
      </c>
      <c r="D3318" s="0" t="n">
        <v>0.1</v>
      </c>
    </row>
    <row r="3319" customFormat="false" ht="15" hidden="false" customHeight="false" outlineLevel="0" collapsed="false">
      <c r="A3319" s="0" t="s">
        <v>14</v>
      </c>
      <c r="B3319" s="0" t="s">
        <v>4960</v>
      </c>
      <c r="C3319" s="0" t="s">
        <v>7074</v>
      </c>
      <c r="D3319" s="0" t="n">
        <v>0.6</v>
      </c>
    </row>
    <row r="3320" customFormat="false" ht="15" hidden="false" customHeight="false" outlineLevel="0" collapsed="false">
      <c r="A3320" s="0" t="s">
        <v>14</v>
      </c>
      <c r="B3320" s="0" t="s">
        <v>4963</v>
      </c>
      <c r="C3320" s="0" t="s">
        <v>7072</v>
      </c>
      <c r="D3320" s="0" t="n">
        <v>0.2</v>
      </c>
    </row>
    <row r="3321" customFormat="false" ht="15" hidden="false" customHeight="false" outlineLevel="0" collapsed="false">
      <c r="A3321" s="0" t="s">
        <v>14</v>
      </c>
      <c r="B3321" s="0" t="s">
        <v>4963</v>
      </c>
      <c r="C3321" s="0" t="s">
        <v>7073</v>
      </c>
      <c r="D3321" s="0" t="n">
        <v>0.05</v>
      </c>
    </row>
    <row r="3322" customFormat="false" ht="15" hidden="false" customHeight="false" outlineLevel="0" collapsed="false">
      <c r="A3322" s="0" t="s">
        <v>14</v>
      </c>
      <c r="B3322" s="0" t="s">
        <v>4963</v>
      </c>
      <c r="C3322" s="0" t="s">
        <v>7074</v>
      </c>
      <c r="D3322" s="0" t="n">
        <v>0.4</v>
      </c>
    </row>
    <row r="3323" customFormat="false" ht="15" hidden="false" customHeight="false" outlineLevel="0" collapsed="false">
      <c r="A3323" s="0" t="s">
        <v>14</v>
      </c>
      <c r="B3323" s="0" t="s">
        <v>4966</v>
      </c>
      <c r="C3323" s="0" t="s">
        <v>7072</v>
      </c>
      <c r="D3323" s="0" t="n">
        <v>0.15</v>
      </c>
    </row>
    <row r="3324" customFormat="false" ht="15" hidden="false" customHeight="false" outlineLevel="0" collapsed="false">
      <c r="A3324" s="0" t="s">
        <v>14</v>
      </c>
      <c r="B3324" s="0" t="s">
        <v>4966</v>
      </c>
      <c r="C3324" s="0" t="s">
        <v>7073</v>
      </c>
      <c r="D3324" s="0" t="n">
        <v>0</v>
      </c>
    </row>
    <row r="3325" customFormat="false" ht="15" hidden="false" customHeight="false" outlineLevel="0" collapsed="false">
      <c r="A3325" s="0" t="s">
        <v>14</v>
      </c>
      <c r="B3325" s="0" t="s">
        <v>4966</v>
      </c>
      <c r="C3325" s="0" t="s">
        <v>7074</v>
      </c>
      <c r="D3325" s="0" t="n">
        <v>0.3</v>
      </c>
    </row>
    <row r="3326" customFormat="false" ht="15" hidden="false" customHeight="false" outlineLevel="0" collapsed="false">
      <c r="A3326" s="0" t="s">
        <v>14</v>
      </c>
      <c r="B3326" s="0" t="s">
        <v>4968</v>
      </c>
      <c r="C3326" s="0" t="s">
        <v>7072</v>
      </c>
      <c r="D3326" s="0" t="n">
        <v>0.6</v>
      </c>
    </row>
    <row r="3327" customFormat="false" ht="15" hidden="false" customHeight="false" outlineLevel="0" collapsed="false">
      <c r="A3327" s="0" t="s">
        <v>14</v>
      </c>
      <c r="B3327" s="0" t="s">
        <v>4968</v>
      </c>
      <c r="C3327" s="0" t="s">
        <v>7073</v>
      </c>
      <c r="D3327" s="0" t="n">
        <v>0.4</v>
      </c>
    </row>
    <row r="3328" customFormat="false" ht="15" hidden="false" customHeight="false" outlineLevel="0" collapsed="false">
      <c r="A3328" s="0" t="s">
        <v>14</v>
      </c>
      <c r="B3328" s="0" t="s">
        <v>4968</v>
      </c>
      <c r="C3328" s="0" t="s">
        <v>7074</v>
      </c>
      <c r="D3328" s="0" t="n">
        <v>0.8</v>
      </c>
    </row>
    <row r="3329" customFormat="false" ht="15" hidden="false" customHeight="false" outlineLevel="0" collapsed="false">
      <c r="A3329" s="0" t="s">
        <v>14</v>
      </c>
      <c r="B3329" s="0" t="s">
        <v>4972</v>
      </c>
      <c r="C3329" s="0" t="s">
        <v>7072</v>
      </c>
      <c r="D3329" s="0" t="n">
        <v>0.3</v>
      </c>
    </row>
    <row r="3330" customFormat="false" ht="15" hidden="false" customHeight="false" outlineLevel="0" collapsed="false">
      <c r="A3330" s="0" t="s">
        <v>14</v>
      </c>
      <c r="B3330" s="0" t="s">
        <v>4972</v>
      </c>
      <c r="C3330" s="0" t="s">
        <v>7073</v>
      </c>
      <c r="D3330" s="0" t="n">
        <v>0.15</v>
      </c>
    </row>
    <row r="3331" customFormat="false" ht="15" hidden="false" customHeight="false" outlineLevel="0" collapsed="false">
      <c r="A3331" s="0" t="s">
        <v>14</v>
      </c>
      <c r="B3331" s="0" t="s">
        <v>4972</v>
      </c>
      <c r="C3331" s="0" t="s">
        <v>7074</v>
      </c>
      <c r="D3331" s="0" t="n">
        <v>0.45</v>
      </c>
    </row>
    <row r="3332" customFormat="false" ht="15" hidden="false" customHeight="false" outlineLevel="0" collapsed="false">
      <c r="A3332" s="0" t="s">
        <v>14</v>
      </c>
      <c r="B3332" s="0" t="s">
        <v>4977</v>
      </c>
      <c r="C3332" s="0" t="s">
        <v>7072</v>
      </c>
      <c r="D3332" s="0" t="n">
        <v>0.3</v>
      </c>
    </row>
    <row r="3333" customFormat="false" ht="15" hidden="false" customHeight="false" outlineLevel="0" collapsed="false">
      <c r="A3333" s="0" t="s">
        <v>14</v>
      </c>
      <c r="B3333" s="0" t="s">
        <v>4977</v>
      </c>
      <c r="C3333" s="0" t="s">
        <v>7073</v>
      </c>
      <c r="D3333" s="0" t="n">
        <v>0.1</v>
      </c>
    </row>
    <row r="3334" customFormat="false" ht="15" hidden="false" customHeight="false" outlineLevel="0" collapsed="false">
      <c r="A3334" s="0" t="s">
        <v>14</v>
      </c>
      <c r="B3334" s="0" t="s">
        <v>4977</v>
      </c>
      <c r="C3334" s="0" t="s">
        <v>7074</v>
      </c>
      <c r="D3334" s="0" t="n">
        <v>0.5</v>
      </c>
    </row>
    <row r="3335" customFormat="false" ht="15" hidden="false" customHeight="false" outlineLevel="0" collapsed="false">
      <c r="A3335" s="0" t="s">
        <v>14</v>
      </c>
      <c r="B3335" s="0" t="s">
        <v>4982</v>
      </c>
      <c r="C3335" s="0" t="s">
        <v>7072</v>
      </c>
      <c r="D3335" s="0" t="n">
        <v>0.2</v>
      </c>
    </row>
    <row r="3336" customFormat="false" ht="15" hidden="false" customHeight="false" outlineLevel="0" collapsed="false">
      <c r="A3336" s="0" t="s">
        <v>14</v>
      </c>
      <c r="B3336" s="0" t="s">
        <v>4982</v>
      </c>
      <c r="C3336" s="0" t="s">
        <v>7073</v>
      </c>
      <c r="D3336" s="0" t="n">
        <v>0.1</v>
      </c>
    </row>
    <row r="3337" customFormat="false" ht="15" hidden="false" customHeight="false" outlineLevel="0" collapsed="false">
      <c r="A3337" s="0" t="s">
        <v>14</v>
      </c>
      <c r="B3337" s="0" t="s">
        <v>4982</v>
      </c>
      <c r="C3337" s="0" t="s">
        <v>7074</v>
      </c>
      <c r="D3337" s="0" t="n">
        <v>0.3</v>
      </c>
    </row>
    <row r="3338" customFormat="false" ht="15" hidden="false" customHeight="false" outlineLevel="0" collapsed="false">
      <c r="A3338" s="0" t="s">
        <v>14</v>
      </c>
      <c r="B3338" s="0" t="s">
        <v>4987</v>
      </c>
      <c r="C3338" s="0" t="s">
        <v>7072</v>
      </c>
      <c r="D3338" s="0" t="n">
        <v>0</v>
      </c>
    </row>
    <row r="3339" customFormat="false" ht="15" hidden="false" customHeight="false" outlineLevel="0" collapsed="false">
      <c r="A3339" s="0" t="s">
        <v>14</v>
      </c>
      <c r="B3339" s="0" t="s">
        <v>4987</v>
      </c>
      <c r="C3339" s="0" t="s">
        <v>7073</v>
      </c>
      <c r="D3339" s="0" t="n">
        <v>-0.2</v>
      </c>
    </row>
    <row r="3340" customFormat="false" ht="15" hidden="false" customHeight="false" outlineLevel="0" collapsed="false">
      <c r="A3340" s="0" t="s">
        <v>14</v>
      </c>
      <c r="B3340" s="0" t="s">
        <v>4987</v>
      </c>
      <c r="C3340" s="0" t="s">
        <v>7074</v>
      </c>
      <c r="D3340" s="0" t="n">
        <v>0.2</v>
      </c>
    </row>
    <row r="3341" customFormat="false" ht="15" hidden="false" customHeight="false" outlineLevel="0" collapsed="false">
      <c r="A3341" s="0" t="s">
        <v>14</v>
      </c>
      <c r="B3341" s="0" t="s">
        <v>4992</v>
      </c>
      <c r="C3341" s="0" t="s">
        <v>7072</v>
      </c>
      <c r="D3341" s="0" t="n">
        <v>0.15</v>
      </c>
    </row>
    <row r="3342" customFormat="false" ht="15" hidden="false" customHeight="false" outlineLevel="0" collapsed="false">
      <c r="A3342" s="0" t="s">
        <v>14</v>
      </c>
      <c r="B3342" s="0" t="s">
        <v>4992</v>
      </c>
      <c r="C3342" s="0" t="s">
        <v>7073</v>
      </c>
      <c r="D3342" s="0" t="n">
        <v>0.05</v>
      </c>
    </row>
    <row r="3343" customFormat="false" ht="15" hidden="false" customHeight="false" outlineLevel="0" collapsed="false">
      <c r="A3343" s="0" t="s">
        <v>14</v>
      </c>
      <c r="B3343" s="0" t="s">
        <v>4992</v>
      </c>
      <c r="C3343" s="0" t="s">
        <v>7074</v>
      </c>
      <c r="D3343" s="0" t="n">
        <v>0.4</v>
      </c>
    </row>
    <row r="3344" customFormat="false" ht="15" hidden="false" customHeight="false" outlineLevel="0" collapsed="false">
      <c r="A3344" s="0" t="s">
        <v>14</v>
      </c>
      <c r="B3344" s="0" t="s">
        <v>4996</v>
      </c>
      <c r="C3344" s="0" t="s">
        <v>7072</v>
      </c>
      <c r="D3344" s="0" t="n">
        <v>17.5</v>
      </c>
    </row>
    <row r="3345" customFormat="false" ht="15" hidden="false" customHeight="false" outlineLevel="0" collapsed="false">
      <c r="A3345" s="0" t="s">
        <v>14</v>
      </c>
      <c r="B3345" s="0" t="s">
        <v>4996</v>
      </c>
      <c r="C3345" s="0" t="s">
        <v>7073</v>
      </c>
      <c r="D3345" s="0" t="n">
        <v>15</v>
      </c>
    </row>
    <row r="3346" customFormat="false" ht="15" hidden="false" customHeight="false" outlineLevel="0" collapsed="false">
      <c r="A3346" s="0" t="s">
        <v>14</v>
      </c>
      <c r="B3346" s="0" t="s">
        <v>4996</v>
      </c>
      <c r="C3346" s="0" t="s">
        <v>7074</v>
      </c>
      <c r="D3346" s="0" t="n">
        <v>20</v>
      </c>
    </row>
    <row r="3347" customFormat="false" ht="15" hidden="false" customHeight="false" outlineLevel="0" collapsed="false">
      <c r="A3347" s="0" t="s">
        <v>14</v>
      </c>
      <c r="B3347" s="0" t="s">
        <v>5001</v>
      </c>
      <c r="C3347" s="0" t="s">
        <v>7072</v>
      </c>
      <c r="D3347" s="0" t="n">
        <v>20</v>
      </c>
    </row>
    <row r="3348" customFormat="false" ht="15" hidden="false" customHeight="false" outlineLevel="0" collapsed="false">
      <c r="A3348" s="0" t="s">
        <v>14</v>
      </c>
      <c r="B3348" s="0" t="s">
        <v>5001</v>
      </c>
      <c r="C3348" s="0" t="s">
        <v>7073</v>
      </c>
      <c r="D3348" s="0" t="n">
        <v>10</v>
      </c>
    </row>
    <row r="3349" customFormat="false" ht="15" hidden="false" customHeight="false" outlineLevel="0" collapsed="false">
      <c r="A3349" s="0" t="s">
        <v>14</v>
      </c>
      <c r="B3349" s="0" t="s">
        <v>5001</v>
      </c>
      <c r="C3349" s="0" t="s">
        <v>7074</v>
      </c>
      <c r="D3349" s="0" t="n">
        <v>40</v>
      </c>
    </row>
    <row r="3350" customFormat="false" ht="15" hidden="false" customHeight="false" outlineLevel="0" collapsed="false">
      <c r="A3350" s="0" t="s">
        <v>14</v>
      </c>
      <c r="B3350" s="0" t="s">
        <v>5007</v>
      </c>
      <c r="C3350" s="0" t="s">
        <v>7072</v>
      </c>
      <c r="D3350" s="0" t="n">
        <v>0.9</v>
      </c>
    </row>
    <row r="3351" customFormat="false" ht="15" hidden="false" customHeight="false" outlineLevel="0" collapsed="false">
      <c r="A3351" s="0" t="s">
        <v>14</v>
      </c>
      <c r="B3351" s="0" t="s">
        <v>5007</v>
      </c>
      <c r="C3351" s="0" t="s">
        <v>7073</v>
      </c>
      <c r="D3351" s="0" t="n">
        <v>0.7</v>
      </c>
    </row>
    <row r="3352" customFormat="false" ht="15" hidden="false" customHeight="false" outlineLevel="0" collapsed="false">
      <c r="A3352" s="0" t="s">
        <v>14</v>
      </c>
      <c r="B3352" s="0" t="s">
        <v>5007</v>
      </c>
      <c r="C3352" s="0" t="s">
        <v>7074</v>
      </c>
      <c r="D3352" s="0" t="n">
        <v>1</v>
      </c>
    </row>
    <row r="3353" customFormat="false" ht="15" hidden="false" customHeight="false" outlineLevel="0" collapsed="false">
      <c r="A3353" s="0" t="s">
        <v>14</v>
      </c>
      <c r="B3353" s="0" t="s">
        <v>5012</v>
      </c>
      <c r="C3353" s="0" t="s">
        <v>7072</v>
      </c>
      <c r="D3353" s="0" t="n">
        <v>10</v>
      </c>
    </row>
    <row r="3354" customFormat="false" ht="15" hidden="false" customHeight="false" outlineLevel="0" collapsed="false">
      <c r="A3354" s="0" t="s">
        <v>14</v>
      </c>
      <c r="B3354" s="0" t="s">
        <v>5012</v>
      </c>
      <c r="C3354" s="0" t="s">
        <v>7073</v>
      </c>
      <c r="D3354" s="0" t="n">
        <v>3</v>
      </c>
    </row>
    <row r="3355" customFormat="false" ht="15" hidden="false" customHeight="false" outlineLevel="0" collapsed="false">
      <c r="A3355" s="0" t="s">
        <v>14</v>
      </c>
      <c r="B3355" s="0" t="s">
        <v>5012</v>
      </c>
      <c r="C3355" s="0" t="s">
        <v>7074</v>
      </c>
      <c r="D3355" s="0" t="n">
        <v>30</v>
      </c>
    </row>
    <row r="3356" customFormat="false" ht="15" hidden="false" customHeight="false" outlineLevel="0" collapsed="false">
      <c r="A3356" s="0" t="s">
        <v>14</v>
      </c>
      <c r="B3356" s="0" t="s">
        <v>5018</v>
      </c>
      <c r="C3356" s="0" t="s">
        <v>7072</v>
      </c>
      <c r="D3356" s="0" t="n">
        <v>0.1</v>
      </c>
    </row>
    <row r="3357" customFormat="false" ht="15" hidden="false" customHeight="false" outlineLevel="0" collapsed="false">
      <c r="A3357" s="0" t="s">
        <v>14</v>
      </c>
      <c r="B3357" s="0" t="s">
        <v>5018</v>
      </c>
      <c r="C3357" s="0" t="s">
        <v>7073</v>
      </c>
      <c r="D3357" s="0" t="n">
        <v>-0.2</v>
      </c>
    </row>
    <row r="3358" customFormat="false" ht="15" hidden="false" customHeight="false" outlineLevel="0" collapsed="false">
      <c r="A3358" s="0" t="s">
        <v>14</v>
      </c>
      <c r="B3358" s="0" t="s">
        <v>5018</v>
      </c>
      <c r="C3358" s="0" t="s">
        <v>7074</v>
      </c>
      <c r="D3358" s="0" t="n">
        <v>0.5</v>
      </c>
    </row>
    <row r="3359" customFormat="false" ht="15" hidden="false" customHeight="false" outlineLevel="0" collapsed="false">
      <c r="A3359" s="0" t="s">
        <v>14</v>
      </c>
      <c r="B3359" s="0" t="s">
        <v>5024</v>
      </c>
      <c r="C3359" s="0" t="s">
        <v>7072</v>
      </c>
      <c r="D3359" s="0" t="n">
        <v>1</v>
      </c>
    </row>
    <row r="3360" customFormat="false" ht="15" hidden="false" customHeight="false" outlineLevel="0" collapsed="false">
      <c r="A3360" s="0" t="s">
        <v>14</v>
      </c>
      <c r="B3360" s="0" t="s">
        <v>5024</v>
      </c>
      <c r="C3360" s="0" t="s">
        <v>7073</v>
      </c>
      <c r="D3360" s="0" t="n">
        <v>0.3</v>
      </c>
    </row>
    <row r="3361" customFormat="false" ht="15" hidden="false" customHeight="false" outlineLevel="0" collapsed="false">
      <c r="A3361" s="0" t="s">
        <v>14</v>
      </c>
      <c r="B3361" s="0" t="s">
        <v>5024</v>
      </c>
      <c r="C3361" s="0" t="s">
        <v>7074</v>
      </c>
      <c r="D3361" s="0" t="n">
        <v>3</v>
      </c>
    </row>
    <row r="3362" customFormat="false" ht="15" hidden="false" customHeight="false" outlineLevel="0" collapsed="false">
      <c r="A3362" s="0" t="s">
        <v>14</v>
      </c>
      <c r="B3362" s="0" t="s">
        <v>5030</v>
      </c>
      <c r="C3362" s="0" t="s">
        <v>7072</v>
      </c>
      <c r="D3362" s="0" t="n">
        <v>3</v>
      </c>
    </row>
    <row r="3363" customFormat="false" ht="15" hidden="false" customHeight="false" outlineLevel="0" collapsed="false">
      <c r="A3363" s="0" t="s">
        <v>14</v>
      </c>
      <c r="B3363" s="0" t="s">
        <v>5030</v>
      </c>
      <c r="C3363" s="0" t="s">
        <v>7073</v>
      </c>
      <c r="D3363" s="0" t="n">
        <v>1</v>
      </c>
    </row>
    <row r="3364" customFormat="false" ht="15" hidden="false" customHeight="false" outlineLevel="0" collapsed="false">
      <c r="A3364" s="0" t="s">
        <v>14</v>
      </c>
      <c r="B3364" s="0" t="s">
        <v>5030</v>
      </c>
      <c r="C3364" s="0" t="s">
        <v>7074</v>
      </c>
      <c r="D3364" s="0" t="n">
        <v>10</v>
      </c>
    </row>
    <row r="3365" customFormat="false" ht="15" hidden="false" customHeight="false" outlineLevel="0" collapsed="false">
      <c r="A3365" s="0" t="s">
        <v>14</v>
      </c>
      <c r="B3365" s="0" t="s">
        <v>5035</v>
      </c>
      <c r="C3365" s="0" t="s">
        <v>7072</v>
      </c>
      <c r="D3365" s="0" t="n">
        <v>0.3</v>
      </c>
    </row>
    <row r="3366" customFormat="false" ht="15" hidden="false" customHeight="false" outlineLevel="0" collapsed="false">
      <c r="A3366" s="0" t="s">
        <v>14</v>
      </c>
      <c r="B3366" s="0" t="s">
        <v>5035</v>
      </c>
      <c r="C3366" s="0" t="s">
        <v>7073</v>
      </c>
      <c r="D3366" s="0" t="n">
        <v>0.1</v>
      </c>
    </row>
    <row r="3367" customFormat="false" ht="15" hidden="false" customHeight="false" outlineLevel="0" collapsed="false">
      <c r="A3367" s="0" t="s">
        <v>14</v>
      </c>
      <c r="B3367" s="0" t="s">
        <v>5035</v>
      </c>
      <c r="C3367" s="0" t="s">
        <v>7074</v>
      </c>
      <c r="D3367" s="0" t="n">
        <v>0.6</v>
      </c>
    </row>
    <row r="3368" customFormat="false" ht="15" hidden="false" customHeight="false" outlineLevel="0" collapsed="false">
      <c r="A3368" s="0" t="s">
        <v>14</v>
      </c>
      <c r="B3368" s="0" t="s">
        <v>5039</v>
      </c>
      <c r="C3368" s="0" t="s">
        <v>7072</v>
      </c>
      <c r="D3368" s="0" t="n">
        <v>0</v>
      </c>
    </row>
    <row r="3369" customFormat="false" ht="15" hidden="false" customHeight="false" outlineLevel="0" collapsed="false">
      <c r="A3369" s="0" t="s">
        <v>14</v>
      </c>
      <c r="B3369" s="0" t="s">
        <v>5039</v>
      </c>
      <c r="C3369" s="0" t="s">
        <v>7073</v>
      </c>
      <c r="D3369" s="0" t="n">
        <v>0</v>
      </c>
    </row>
    <row r="3370" customFormat="false" ht="15" hidden="false" customHeight="false" outlineLevel="0" collapsed="false">
      <c r="A3370" s="0" t="s">
        <v>14</v>
      </c>
      <c r="B3370" s="0" t="s">
        <v>5039</v>
      </c>
      <c r="C3370" s="0" t="s">
        <v>7074</v>
      </c>
      <c r="D3370" s="0" t="n">
        <v>1</v>
      </c>
    </row>
    <row r="3371" customFormat="false" ht="15" hidden="false" customHeight="false" outlineLevel="0" collapsed="false">
      <c r="A3371" s="0" t="s">
        <v>14</v>
      </c>
      <c r="B3371" s="0" t="s">
        <v>5044</v>
      </c>
      <c r="C3371" s="0" t="s">
        <v>7072</v>
      </c>
      <c r="D3371" s="0" t="n">
        <v>0</v>
      </c>
    </row>
    <row r="3372" customFormat="false" ht="15" hidden="false" customHeight="false" outlineLevel="0" collapsed="false">
      <c r="A3372" s="0" t="s">
        <v>14</v>
      </c>
      <c r="B3372" s="0" t="s">
        <v>5044</v>
      </c>
      <c r="C3372" s="0" t="s">
        <v>7073</v>
      </c>
      <c r="D3372" s="0" t="n">
        <v>-0.2</v>
      </c>
    </row>
    <row r="3373" customFormat="false" ht="15" hidden="false" customHeight="false" outlineLevel="0" collapsed="false">
      <c r="A3373" s="0" t="s">
        <v>14</v>
      </c>
      <c r="B3373" s="0" t="s">
        <v>5044</v>
      </c>
      <c r="C3373" s="0" t="s">
        <v>7074</v>
      </c>
      <c r="D3373" s="0" t="n">
        <v>0.2</v>
      </c>
    </row>
    <row r="3374" customFormat="false" ht="15" hidden="false" customHeight="false" outlineLevel="0" collapsed="false">
      <c r="A3374" s="0" t="s">
        <v>14</v>
      </c>
      <c r="B3374" s="0" t="s">
        <v>5049</v>
      </c>
      <c r="C3374" s="0" t="s">
        <v>7072</v>
      </c>
      <c r="D3374" s="0" t="n">
        <v>0</v>
      </c>
    </row>
    <row r="3375" customFormat="false" ht="15" hidden="false" customHeight="false" outlineLevel="0" collapsed="false">
      <c r="A3375" s="0" t="s">
        <v>14</v>
      </c>
      <c r="B3375" s="0" t="s">
        <v>5049</v>
      </c>
      <c r="C3375" s="0" t="s">
        <v>7073</v>
      </c>
      <c r="D3375" s="0" t="n">
        <v>0</v>
      </c>
    </row>
    <row r="3376" customFormat="false" ht="15" hidden="false" customHeight="false" outlineLevel="0" collapsed="false">
      <c r="A3376" s="0" t="s">
        <v>14</v>
      </c>
      <c r="B3376" s="0" t="s">
        <v>5049</v>
      </c>
      <c r="C3376" s="0" t="s">
        <v>7074</v>
      </c>
      <c r="D3376" s="0" t="n">
        <v>0</v>
      </c>
    </row>
    <row r="3377" customFormat="false" ht="15" hidden="false" customHeight="false" outlineLevel="0" collapsed="false">
      <c r="A3377" s="0" t="s">
        <v>14</v>
      </c>
      <c r="B3377" s="0" t="s">
        <v>5055</v>
      </c>
      <c r="C3377" s="0" t="s">
        <v>7072</v>
      </c>
      <c r="D3377" s="0" t="n">
        <v>0.25</v>
      </c>
    </row>
    <row r="3378" customFormat="false" ht="15" hidden="false" customHeight="false" outlineLevel="0" collapsed="false">
      <c r="A3378" s="0" t="s">
        <v>14</v>
      </c>
      <c r="B3378" s="0" t="s">
        <v>5055</v>
      </c>
      <c r="C3378" s="0" t="s">
        <v>7073</v>
      </c>
      <c r="D3378" s="0" t="n">
        <v>0.25</v>
      </c>
    </row>
    <row r="3379" customFormat="false" ht="15" hidden="false" customHeight="false" outlineLevel="0" collapsed="false">
      <c r="A3379" s="0" t="s">
        <v>14</v>
      </c>
      <c r="B3379" s="0" t="s">
        <v>5055</v>
      </c>
      <c r="C3379" s="0" t="s">
        <v>7074</v>
      </c>
      <c r="D3379" s="0" t="n">
        <v>0.25</v>
      </c>
    </row>
    <row r="3380" customFormat="false" ht="15" hidden="false" customHeight="false" outlineLevel="0" collapsed="false">
      <c r="A3380" s="0" t="s">
        <v>14</v>
      </c>
      <c r="B3380" s="0" t="s">
        <v>5060</v>
      </c>
      <c r="C3380" s="0" t="s">
        <v>7072</v>
      </c>
      <c r="D3380" s="0" t="n">
        <v>1000000</v>
      </c>
    </row>
    <row r="3381" customFormat="false" ht="15" hidden="false" customHeight="false" outlineLevel="0" collapsed="false">
      <c r="A3381" s="0" t="s">
        <v>14</v>
      </c>
      <c r="B3381" s="0" t="s">
        <v>5060</v>
      </c>
      <c r="C3381" s="0" t="s">
        <v>7073</v>
      </c>
      <c r="D3381" s="0" t="n">
        <v>1000000</v>
      </c>
    </row>
    <row r="3382" customFormat="false" ht="15" hidden="false" customHeight="false" outlineLevel="0" collapsed="false">
      <c r="A3382" s="0" t="s">
        <v>14</v>
      </c>
      <c r="B3382" s="0" t="s">
        <v>5060</v>
      </c>
      <c r="C3382" s="0" t="s">
        <v>7074</v>
      </c>
      <c r="D3382" s="0" t="n">
        <v>1000000</v>
      </c>
    </row>
    <row r="3383" customFormat="false" ht="15" hidden="false" customHeight="false" outlineLevel="0" collapsed="false">
      <c r="A3383" s="0" t="s">
        <v>14</v>
      </c>
      <c r="B3383" s="0" t="s">
        <v>5064</v>
      </c>
      <c r="C3383" s="0" t="s">
        <v>7072</v>
      </c>
      <c r="D3383" s="0" t="n">
        <v>1000000</v>
      </c>
    </row>
    <row r="3384" customFormat="false" ht="15" hidden="false" customHeight="false" outlineLevel="0" collapsed="false">
      <c r="A3384" s="0" t="s">
        <v>14</v>
      </c>
      <c r="B3384" s="0" t="s">
        <v>5064</v>
      </c>
      <c r="C3384" s="0" t="s">
        <v>7073</v>
      </c>
      <c r="D3384" s="0" t="n">
        <v>1000000</v>
      </c>
    </row>
    <row r="3385" customFormat="false" ht="15" hidden="false" customHeight="false" outlineLevel="0" collapsed="false">
      <c r="A3385" s="0" t="s">
        <v>14</v>
      </c>
      <c r="B3385" s="0" t="s">
        <v>5064</v>
      </c>
      <c r="C3385" s="0" t="s">
        <v>7074</v>
      </c>
      <c r="D3385" s="0" t="n">
        <v>1000000</v>
      </c>
    </row>
    <row r="3386" customFormat="false" ht="15" hidden="false" customHeight="false" outlineLevel="0" collapsed="false">
      <c r="A3386" s="0" t="s">
        <v>14</v>
      </c>
      <c r="B3386" s="0" t="s">
        <v>5068</v>
      </c>
      <c r="C3386" s="0" t="s">
        <v>7072</v>
      </c>
      <c r="D3386" s="0" t="n">
        <v>8760</v>
      </c>
    </row>
    <row r="3387" customFormat="false" ht="15" hidden="false" customHeight="false" outlineLevel="0" collapsed="false">
      <c r="A3387" s="0" t="s">
        <v>14</v>
      </c>
      <c r="B3387" s="0" t="s">
        <v>5068</v>
      </c>
      <c r="C3387" s="0" t="s">
        <v>7073</v>
      </c>
      <c r="D3387" s="0" t="n">
        <v>8760</v>
      </c>
    </row>
    <row r="3388" customFormat="false" ht="15" hidden="false" customHeight="false" outlineLevel="0" collapsed="false">
      <c r="A3388" s="0" t="s">
        <v>14</v>
      </c>
      <c r="B3388" s="0" t="s">
        <v>5068</v>
      </c>
      <c r="C3388" s="0" t="s">
        <v>7074</v>
      </c>
      <c r="D3388" s="0" t="n">
        <v>8760</v>
      </c>
    </row>
    <row r="3389" customFormat="false" ht="15" hidden="false" customHeight="false" outlineLevel="0" collapsed="false">
      <c r="A3389" s="0" t="s">
        <v>14</v>
      </c>
      <c r="B3389" s="0" t="s">
        <v>5073</v>
      </c>
      <c r="C3389" s="0" t="s">
        <v>7072</v>
      </c>
      <c r="D3389" s="0" t="n">
        <v>100000000</v>
      </c>
    </row>
    <row r="3390" customFormat="false" ht="15" hidden="false" customHeight="false" outlineLevel="0" collapsed="false">
      <c r="A3390" s="0" t="s">
        <v>14</v>
      </c>
      <c r="B3390" s="0" t="s">
        <v>5073</v>
      </c>
      <c r="C3390" s="0" t="s">
        <v>7073</v>
      </c>
      <c r="D3390" s="0" t="n">
        <v>100000000</v>
      </c>
    </row>
    <row r="3391" customFormat="false" ht="15" hidden="false" customHeight="false" outlineLevel="0" collapsed="false">
      <c r="A3391" s="0" t="s">
        <v>14</v>
      </c>
      <c r="B3391" s="0" t="s">
        <v>5073</v>
      </c>
      <c r="C3391" s="0" t="s">
        <v>7074</v>
      </c>
      <c r="D3391" s="0" t="n">
        <v>100000000</v>
      </c>
    </row>
    <row r="3392" customFormat="false" ht="15" hidden="false" customHeight="false" outlineLevel="0" collapsed="false">
      <c r="A3392" s="0" t="s">
        <v>14</v>
      </c>
      <c r="B3392" s="0" t="s">
        <v>5076</v>
      </c>
      <c r="C3392" s="0" t="s">
        <v>7072</v>
      </c>
      <c r="D3392" s="0" t="n">
        <v>1000000000</v>
      </c>
    </row>
    <row r="3393" customFormat="false" ht="15" hidden="false" customHeight="false" outlineLevel="0" collapsed="false">
      <c r="A3393" s="0" t="s">
        <v>14</v>
      </c>
      <c r="B3393" s="0" t="s">
        <v>5076</v>
      </c>
      <c r="C3393" s="0" t="s">
        <v>7073</v>
      </c>
      <c r="D3393" s="0" t="n">
        <v>1000000000</v>
      </c>
    </row>
    <row r="3394" customFormat="false" ht="15" hidden="false" customHeight="false" outlineLevel="0" collapsed="false">
      <c r="A3394" s="0" t="s">
        <v>14</v>
      </c>
      <c r="B3394" s="0" t="s">
        <v>5076</v>
      </c>
      <c r="C3394" s="0" t="s">
        <v>7074</v>
      </c>
      <c r="D3394" s="0" t="n">
        <v>1000000000</v>
      </c>
    </row>
    <row r="3395" customFormat="false" ht="15" hidden="false" customHeight="false" outlineLevel="0" collapsed="false">
      <c r="A3395" s="0" t="s">
        <v>14</v>
      </c>
      <c r="B3395" s="0" t="s">
        <v>5080</v>
      </c>
      <c r="C3395" s="0" t="s">
        <v>7072</v>
      </c>
      <c r="D3395" s="0" t="n">
        <v>0.1</v>
      </c>
    </row>
    <row r="3396" customFormat="false" ht="15" hidden="false" customHeight="false" outlineLevel="0" collapsed="false">
      <c r="A3396" s="0" t="s">
        <v>14</v>
      </c>
      <c r="B3396" s="0" t="s">
        <v>5080</v>
      </c>
      <c r="C3396" s="0" t="s">
        <v>7073</v>
      </c>
      <c r="D3396" s="0" t="n">
        <v>0.1</v>
      </c>
    </row>
    <row r="3397" customFormat="false" ht="15" hidden="false" customHeight="false" outlineLevel="0" collapsed="false">
      <c r="A3397" s="0" t="s">
        <v>14</v>
      </c>
      <c r="B3397" s="0" t="s">
        <v>5080</v>
      </c>
      <c r="C3397" s="0" t="s">
        <v>7074</v>
      </c>
      <c r="D3397" s="0" t="n">
        <v>0.1</v>
      </c>
    </row>
    <row r="3398" customFormat="false" ht="15" hidden="false" customHeight="false" outlineLevel="0" collapsed="false">
      <c r="A3398" s="0" t="s">
        <v>14</v>
      </c>
      <c r="B3398" s="0" t="s">
        <v>5084</v>
      </c>
      <c r="C3398" s="0" t="s">
        <v>7072</v>
      </c>
      <c r="D3398" s="0" t="n">
        <v>1</v>
      </c>
    </row>
    <row r="3399" customFormat="false" ht="15" hidden="false" customHeight="false" outlineLevel="0" collapsed="false">
      <c r="A3399" s="0" t="s">
        <v>14</v>
      </c>
      <c r="B3399" s="0" t="s">
        <v>5084</v>
      </c>
      <c r="C3399" s="0" t="s">
        <v>7073</v>
      </c>
      <c r="D3399" s="0" t="n">
        <v>1</v>
      </c>
    </row>
    <row r="3400" customFormat="false" ht="15" hidden="false" customHeight="false" outlineLevel="0" collapsed="false">
      <c r="A3400" s="0" t="s">
        <v>14</v>
      </c>
      <c r="B3400" s="0" t="s">
        <v>5084</v>
      </c>
      <c r="C3400" s="0" t="s">
        <v>7074</v>
      </c>
      <c r="D3400" s="0" t="n">
        <v>1</v>
      </c>
    </row>
    <row r="3401" customFormat="false" ht="15" hidden="false" customHeight="false" outlineLevel="0" collapsed="false">
      <c r="A3401" s="0" t="s">
        <v>14</v>
      </c>
      <c r="B3401" s="0" t="s">
        <v>5088</v>
      </c>
      <c r="C3401" s="0" t="s">
        <v>7072</v>
      </c>
      <c r="D3401" s="0" t="n">
        <v>0.5</v>
      </c>
    </row>
    <row r="3402" customFormat="false" ht="15" hidden="false" customHeight="false" outlineLevel="0" collapsed="false">
      <c r="A3402" s="0" t="s">
        <v>14</v>
      </c>
      <c r="B3402" s="0" t="s">
        <v>5088</v>
      </c>
      <c r="C3402" s="0" t="s">
        <v>7073</v>
      </c>
      <c r="D3402" s="0" t="n">
        <v>0.5</v>
      </c>
    </row>
    <row r="3403" customFormat="false" ht="15" hidden="false" customHeight="false" outlineLevel="0" collapsed="false">
      <c r="A3403" s="0" t="s">
        <v>14</v>
      </c>
      <c r="B3403" s="0" t="s">
        <v>5088</v>
      </c>
      <c r="C3403" s="0" t="s">
        <v>7074</v>
      </c>
      <c r="D3403" s="0" t="n">
        <v>0.5</v>
      </c>
    </row>
    <row r="3404" customFormat="false" ht="15" hidden="false" customHeight="false" outlineLevel="0" collapsed="false">
      <c r="A3404" s="0" t="s">
        <v>14</v>
      </c>
      <c r="B3404" s="0" t="s">
        <v>5092</v>
      </c>
      <c r="C3404" s="0" t="s">
        <v>7072</v>
      </c>
      <c r="D3404" s="0" t="n">
        <v>0.34</v>
      </c>
    </row>
    <row r="3405" customFormat="false" ht="15" hidden="false" customHeight="false" outlineLevel="0" collapsed="false">
      <c r="A3405" s="0" t="s">
        <v>14</v>
      </c>
      <c r="B3405" s="0" t="s">
        <v>5092</v>
      </c>
      <c r="C3405" s="0" t="s">
        <v>7073</v>
      </c>
      <c r="D3405" s="0" t="n">
        <v>0.26</v>
      </c>
    </row>
    <row r="3406" customFormat="false" ht="15" hidden="false" customHeight="false" outlineLevel="0" collapsed="false">
      <c r="A3406" s="0" t="s">
        <v>14</v>
      </c>
      <c r="B3406" s="0" t="s">
        <v>5092</v>
      </c>
      <c r="C3406" s="0" t="s">
        <v>7074</v>
      </c>
      <c r="D3406" s="0" t="n">
        <v>0.42</v>
      </c>
    </row>
    <row r="3407" customFormat="false" ht="15" hidden="false" customHeight="false" outlineLevel="0" collapsed="false">
      <c r="A3407" s="0" t="s">
        <v>14</v>
      </c>
      <c r="B3407" s="0" t="s">
        <v>5096</v>
      </c>
      <c r="C3407" s="0" t="s">
        <v>7072</v>
      </c>
      <c r="D3407" s="0" t="n">
        <v>0.6</v>
      </c>
    </row>
    <row r="3408" customFormat="false" ht="15" hidden="false" customHeight="false" outlineLevel="0" collapsed="false">
      <c r="A3408" s="0" t="s">
        <v>14</v>
      </c>
      <c r="B3408" s="0" t="s">
        <v>5096</v>
      </c>
      <c r="C3408" s="0" t="s">
        <v>7073</v>
      </c>
      <c r="D3408" s="0" t="n">
        <v>0.4</v>
      </c>
    </row>
    <row r="3409" customFormat="false" ht="15" hidden="false" customHeight="false" outlineLevel="0" collapsed="false">
      <c r="A3409" s="0" t="s">
        <v>14</v>
      </c>
      <c r="B3409" s="0" t="s">
        <v>5096</v>
      </c>
      <c r="C3409" s="0" t="s">
        <v>7074</v>
      </c>
      <c r="D3409" s="0" t="n">
        <v>0.9</v>
      </c>
    </row>
    <row r="3410" customFormat="false" ht="15" hidden="false" customHeight="false" outlineLevel="0" collapsed="false">
      <c r="A3410" s="0" t="s">
        <v>14</v>
      </c>
      <c r="B3410" s="0" t="s">
        <v>5101</v>
      </c>
      <c r="C3410" s="0" t="s">
        <v>7072</v>
      </c>
      <c r="D3410" s="0" t="n">
        <v>0.3</v>
      </c>
    </row>
    <row r="3411" customFormat="false" ht="15" hidden="false" customHeight="false" outlineLevel="0" collapsed="false">
      <c r="A3411" s="0" t="s">
        <v>14</v>
      </c>
      <c r="B3411" s="0" t="s">
        <v>5101</v>
      </c>
      <c r="C3411" s="0" t="s">
        <v>7073</v>
      </c>
      <c r="D3411" s="0" t="n">
        <v>0.1</v>
      </c>
    </row>
    <row r="3412" customFormat="false" ht="15" hidden="false" customHeight="false" outlineLevel="0" collapsed="false">
      <c r="A3412" s="0" t="s">
        <v>14</v>
      </c>
      <c r="B3412" s="0" t="s">
        <v>5101</v>
      </c>
      <c r="C3412" s="0" t="s">
        <v>7074</v>
      </c>
      <c r="D3412" s="0" t="n">
        <v>0.5</v>
      </c>
    </row>
    <row r="3413" customFormat="false" ht="15" hidden="false" customHeight="false" outlineLevel="0" collapsed="false">
      <c r="A3413" s="0" t="s">
        <v>14</v>
      </c>
      <c r="B3413" s="0" t="s">
        <v>5105</v>
      </c>
      <c r="C3413" s="0" t="s">
        <v>7072</v>
      </c>
      <c r="D3413" s="0" t="n">
        <v>0.6</v>
      </c>
    </row>
    <row r="3414" customFormat="false" ht="15" hidden="false" customHeight="false" outlineLevel="0" collapsed="false">
      <c r="A3414" s="0" t="s">
        <v>14</v>
      </c>
      <c r="B3414" s="0" t="s">
        <v>5105</v>
      </c>
      <c r="C3414" s="0" t="s">
        <v>7073</v>
      </c>
      <c r="D3414" s="0" t="n">
        <v>0.4</v>
      </c>
    </row>
    <row r="3415" customFormat="false" ht="15" hidden="false" customHeight="false" outlineLevel="0" collapsed="false">
      <c r="A3415" s="0" t="s">
        <v>14</v>
      </c>
      <c r="B3415" s="0" t="s">
        <v>5105</v>
      </c>
      <c r="C3415" s="0" t="s">
        <v>7074</v>
      </c>
      <c r="D3415" s="0" t="n">
        <v>0.8</v>
      </c>
    </row>
    <row r="3416" customFormat="false" ht="15" hidden="false" customHeight="false" outlineLevel="0" collapsed="false">
      <c r="A3416" s="0" t="s">
        <v>14</v>
      </c>
      <c r="B3416" s="0" t="s">
        <v>5108</v>
      </c>
      <c r="C3416" s="0" t="s">
        <v>7072</v>
      </c>
      <c r="D3416" s="0" t="n">
        <v>0.75</v>
      </c>
    </row>
    <row r="3417" customFormat="false" ht="15" hidden="false" customHeight="false" outlineLevel="0" collapsed="false">
      <c r="A3417" s="0" t="s">
        <v>14</v>
      </c>
      <c r="B3417" s="0" t="s">
        <v>5108</v>
      </c>
      <c r="C3417" s="0" t="s">
        <v>7073</v>
      </c>
      <c r="D3417" s="0" t="n">
        <v>0.5</v>
      </c>
    </row>
    <row r="3418" customFormat="false" ht="15" hidden="false" customHeight="false" outlineLevel="0" collapsed="false">
      <c r="A3418" s="0" t="s">
        <v>14</v>
      </c>
      <c r="B3418" s="0" t="s">
        <v>5108</v>
      </c>
      <c r="C3418" s="0" t="s">
        <v>7074</v>
      </c>
      <c r="D3418" s="0" t="n">
        <v>0.9</v>
      </c>
    </row>
    <row r="3419" customFormat="false" ht="15" hidden="false" customHeight="false" outlineLevel="0" collapsed="false">
      <c r="A3419" s="0" t="s">
        <v>14</v>
      </c>
      <c r="B3419" s="0" t="s">
        <v>5112</v>
      </c>
      <c r="C3419" s="0" t="s">
        <v>7072</v>
      </c>
      <c r="D3419" s="0" t="n">
        <v>0.85</v>
      </c>
    </row>
    <row r="3420" customFormat="false" ht="15" hidden="false" customHeight="false" outlineLevel="0" collapsed="false">
      <c r="A3420" s="0" t="s">
        <v>14</v>
      </c>
      <c r="B3420" s="0" t="s">
        <v>5112</v>
      </c>
      <c r="C3420" s="0" t="s">
        <v>7073</v>
      </c>
      <c r="D3420" s="0" t="n">
        <v>0.6</v>
      </c>
    </row>
    <row r="3421" customFormat="false" ht="15" hidden="false" customHeight="false" outlineLevel="0" collapsed="false">
      <c r="A3421" s="0" t="s">
        <v>14</v>
      </c>
      <c r="B3421" s="0" t="s">
        <v>5112</v>
      </c>
      <c r="C3421" s="0" t="s">
        <v>7074</v>
      </c>
      <c r="D3421" s="0" t="n">
        <v>0.95</v>
      </c>
    </row>
    <row r="3422" customFormat="false" ht="15" hidden="false" customHeight="false" outlineLevel="0" collapsed="false">
      <c r="A3422" s="0" t="s">
        <v>14</v>
      </c>
      <c r="B3422" s="0" t="s">
        <v>5115</v>
      </c>
      <c r="C3422" s="0" t="s">
        <v>7072</v>
      </c>
      <c r="D3422" s="0" t="n">
        <v>0.9</v>
      </c>
    </row>
    <row r="3423" customFormat="false" ht="15" hidden="false" customHeight="false" outlineLevel="0" collapsed="false">
      <c r="A3423" s="0" t="s">
        <v>14</v>
      </c>
      <c r="B3423" s="0" t="s">
        <v>5115</v>
      </c>
      <c r="C3423" s="0" t="s">
        <v>7073</v>
      </c>
      <c r="D3423" s="0" t="n">
        <v>0.7</v>
      </c>
    </row>
    <row r="3424" customFormat="false" ht="15" hidden="false" customHeight="false" outlineLevel="0" collapsed="false">
      <c r="A3424" s="0" t="s">
        <v>14</v>
      </c>
      <c r="B3424" s="0" t="s">
        <v>5115</v>
      </c>
      <c r="C3424" s="0" t="s">
        <v>7074</v>
      </c>
      <c r="D3424" s="0" t="n">
        <v>1</v>
      </c>
    </row>
    <row r="3425" customFormat="false" ht="15" hidden="false" customHeight="false" outlineLevel="0" collapsed="false">
      <c r="A3425" s="0" t="s">
        <v>14</v>
      </c>
      <c r="B3425" s="0" t="s">
        <v>5117</v>
      </c>
      <c r="C3425" s="0" t="s">
        <v>7072</v>
      </c>
      <c r="D3425" s="0" t="n">
        <v>0.95</v>
      </c>
    </row>
    <row r="3426" customFormat="false" ht="15" hidden="false" customHeight="false" outlineLevel="0" collapsed="false">
      <c r="A3426" s="0" t="s">
        <v>14</v>
      </c>
      <c r="B3426" s="0" t="s">
        <v>5117</v>
      </c>
      <c r="C3426" s="0" t="s">
        <v>7073</v>
      </c>
      <c r="D3426" s="0" t="n">
        <v>0.75</v>
      </c>
    </row>
    <row r="3427" customFormat="false" ht="15" hidden="false" customHeight="false" outlineLevel="0" collapsed="false">
      <c r="A3427" s="0" t="s">
        <v>14</v>
      </c>
      <c r="B3427" s="0" t="s">
        <v>5117</v>
      </c>
      <c r="C3427" s="0" t="s">
        <v>7074</v>
      </c>
      <c r="D3427" s="0" t="n">
        <v>1</v>
      </c>
    </row>
    <row r="3428" customFormat="false" ht="15" hidden="false" customHeight="false" outlineLevel="0" collapsed="false">
      <c r="A3428" s="0" t="s">
        <v>14</v>
      </c>
      <c r="B3428" s="0" t="s">
        <v>5120</v>
      </c>
      <c r="C3428" s="0" t="s">
        <v>7072</v>
      </c>
      <c r="D3428" s="0" t="n">
        <v>0.2</v>
      </c>
    </row>
    <row r="3429" customFormat="false" ht="15" hidden="false" customHeight="false" outlineLevel="0" collapsed="false">
      <c r="A3429" s="0" t="s">
        <v>14</v>
      </c>
      <c r="B3429" s="0" t="s">
        <v>5120</v>
      </c>
      <c r="C3429" s="0" t="s">
        <v>7073</v>
      </c>
      <c r="D3429" s="0" t="n">
        <v>0.1</v>
      </c>
    </row>
    <row r="3430" customFormat="false" ht="15" hidden="false" customHeight="false" outlineLevel="0" collapsed="false">
      <c r="A3430" s="0" t="s">
        <v>14</v>
      </c>
      <c r="B3430" s="0" t="s">
        <v>5120</v>
      </c>
      <c r="C3430" s="0" t="s">
        <v>7074</v>
      </c>
      <c r="D3430" s="0" t="n">
        <v>0.4</v>
      </c>
    </row>
    <row r="3431" customFormat="false" ht="15" hidden="false" customHeight="false" outlineLevel="0" collapsed="false">
      <c r="A3431" s="0" t="s">
        <v>14</v>
      </c>
      <c r="B3431" s="0" t="s">
        <v>5124</v>
      </c>
      <c r="C3431" s="0" t="s">
        <v>7072</v>
      </c>
      <c r="D3431" s="0" t="n">
        <v>0.15</v>
      </c>
    </row>
    <row r="3432" customFormat="false" ht="15" hidden="false" customHeight="false" outlineLevel="0" collapsed="false">
      <c r="A3432" s="0" t="s">
        <v>14</v>
      </c>
      <c r="B3432" s="0" t="s">
        <v>5124</v>
      </c>
      <c r="C3432" s="0" t="s">
        <v>7073</v>
      </c>
      <c r="D3432" s="0" t="n">
        <v>0.05</v>
      </c>
    </row>
    <row r="3433" customFormat="false" ht="15" hidden="false" customHeight="false" outlineLevel="0" collapsed="false">
      <c r="A3433" s="0" t="s">
        <v>14</v>
      </c>
      <c r="B3433" s="0" t="s">
        <v>5124</v>
      </c>
      <c r="C3433" s="0" t="s">
        <v>7074</v>
      </c>
      <c r="D3433" s="0" t="n">
        <v>0.3</v>
      </c>
    </row>
    <row r="3434" customFormat="false" ht="15" hidden="false" customHeight="false" outlineLevel="0" collapsed="false">
      <c r="A3434" s="0" t="s">
        <v>14</v>
      </c>
      <c r="B3434" s="0" t="s">
        <v>5127</v>
      </c>
      <c r="C3434" s="0" t="s">
        <v>7072</v>
      </c>
      <c r="D3434" s="0" t="n">
        <v>0.1</v>
      </c>
    </row>
    <row r="3435" customFormat="false" ht="15" hidden="false" customHeight="false" outlineLevel="0" collapsed="false">
      <c r="A3435" s="0" t="s">
        <v>14</v>
      </c>
      <c r="B3435" s="0" t="s">
        <v>5127</v>
      </c>
      <c r="C3435" s="0" t="s">
        <v>7073</v>
      </c>
      <c r="D3435" s="0" t="n">
        <v>0</v>
      </c>
    </row>
    <row r="3436" customFormat="false" ht="15" hidden="false" customHeight="false" outlineLevel="0" collapsed="false">
      <c r="A3436" s="0" t="s">
        <v>14</v>
      </c>
      <c r="B3436" s="0" t="s">
        <v>5127</v>
      </c>
      <c r="C3436" s="0" t="s">
        <v>7074</v>
      </c>
      <c r="D3436" s="0" t="n">
        <v>0.2</v>
      </c>
    </row>
    <row r="3437" customFormat="false" ht="15" hidden="false" customHeight="false" outlineLevel="0" collapsed="false">
      <c r="A3437" s="0" t="s">
        <v>14</v>
      </c>
      <c r="B3437" s="0" t="s">
        <v>5130</v>
      </c>
      <c r="C3437" s="0" t="s">
        <v>7072</v>
      </c>
      <c r="D3437" s="0" t="n">
        <v>0.05</v>
      </c>
    </row>
    <row r="3438" customFormat="false" ht="15" hidden="false" customHeight="false" outlineLevel="0" collapsed="false">
      <c r="A3438" s="0" t="s">
        <v>14</v>
      </c>
      <c r="B3438" s="0" t="s">
        <v>5130</v>
      </c>
      <c r="C3438" s="0" t="s">
        <v>7073</v>
      </c>
      <c r="D3438" s="0" t="n">
        <v>0</v>
      </c>
    </row>
    <row r="3439" customFormat="false" ht="15" hidden="false" customHeight="false" outlineLevel="0" collapsed="false">
      <c r="A3439" s="0" t="s">
        <v>14</v>
      </c>
      <c r="B3439" s="0" t="s">
        <v>5130</v>
      </c>
      <c r="C3439" s="0" t="s">
        <v>7074</v>
      </c>
      <c r="D3439" s="0" t="n">
        <v>0.15</v>
      </c>
    </row>
    <row r="3440" customFormat="false" ht="15" hidden="false" customHeight="false" outlineLevel="0" collapsed="false">
      <c r="A3440" s="0" t="s">
        <v>14</v>
      </c>
      <c r="B3440" s="0" t="s">
        <v>5133</v>
      </c>
      <c r="C3440" s="0" t="s">
        <v>7072</v>
      </c>
      <c r="D3440" s="0" t="n">
        <v>0.05</v>
      </c>
    </row>
    <row r="3441" customFormat="false" ht="15" hidden="false" customHeight="false" outlineLevel="0" collapsed="false">
      <c r="A3441" s="0" t="s">
        <v>14</v>
      </c>
      <c r="B3441" s="0" t="s">
        <v>5133</v>
      </c>
      <c r="C3441" s="0" t="s">
        <v>7073</v>
      </c>
      <c r="D3441" s="0" t="n">
        <v>0</v>
      </c>
    </row>
    <row r="3442" customFormat="false" ht="15" hidden="false" customHeight="false" outlineLevel="0" collapsed="false">
      <c r="A3442" s="0" t="s">
        <v>14</v>
      </c>
      <c r="B3442" s="0" t="s">
        <v>5133</v>
      </c>
      <c r="C3442" s="0" t="s">
        <v>7074</v>
      </c>
      <c r="D3442" s="0" t="n">
        <v>0.1</v>
      </c>
    </row>
    <row r="3443" customFormat="false" ht="15" hidden="false" customHeight="false" outlineLevel="0" collapsed="false">
      <c r="A3443" s="0" t="s">
        <v>14</v>
      </c>
      <c r="B3443" s="0" t="s">
        <v>5136</v>
      </c>
      <c r="C3443" s="0" t="s">
        <v>7072</v>
      </c>
      <c r="D3443" s="0" t="n">
        <v>0</v>
      </c>
    </row>
    <row r="3444" customFormat="false" ht="15" hidden="false" customHeight="false" outlineLevel="0" collapsed="false">
      <c r="A3444" s="0" t="s">
        <v>14</v>
      </c>
      <c r="B3444" s="0" t="s">
        <v>5136</v>
      </c>
      <c r="C3444" s="0" t="s">
        <v>7073</v>
      </c>
      <c r="D3444" s="0" t="n">
        <v>0</v>
      </c>
    </row>
    <row r="3445" customFormat="false" ht="15" hidden="false" customHeight="false" outlineLevel="0" collapsed="false">
      <c r="A3445" s="0" t="s">
        <v>14</v>
      </c>
      <c r="B3445" s="0" t="s">
        <v>5136</v>
      </c>
      <c r="C3445" s="0" t="s">
        <v>7074</v>
      </c>
      <c r="D3445" s="0" t="n">
        <v>0.1</v>
      </c>
    </row>
    <row r="3446" customFormat="false" ht="15" hidden="false" customHeight="false" outlineLevel="0" collapsed="false">
      <c r="A3446" s="0" t="s">
        <v>14</v>
      </c>
      <c r="B3446" s="0" t="s">
        <v>5138</v>
      </c>
      <c r="C3446" s="0" t="s">
        <v>7072</v>
      </c>
      <c r="D3446" s="0" t="n">
        <v>1.393</v>
      </c>
    </row>
    <row r="3447" customFormat="false" ht="15" hidden="false" customHeight="false" outlineLevel="0" collapsed="false">
      <c r="A3447" s="0" t="s">
        <v>14</v>
      </c>
      <c r="B3447" s="0" t="s">
        <v>5138</v>
      </c>
      <c r="C3447" s="0" t="s">
        <v>7073</v>
      </c>
      <c r="D3447" s="0" t="n">
        <v>1.2</v>
      </c>
    </row>
    <row r="3448" customFormat="false" ht="15" hidden="false" customHeight="false" outlineLevel="0" collapsed="false">
      <c r="A3448" s="0" t="s">
        <v>14</v>
      </c>
      <c r="B3448" s="0" t="s">
        <v>5138</v>
      </c>
      <c r="C3448" s="0" t="s">
        <v>7074</v>
      </c>
      <c r="D3448" s="0" t="n">
        <v>1.6</v>
      </c>
    </row>
    <row r="3449" customFormat="false" ht="15" hidden="false" customHeight="false" outlineLevel="0" collapsed="false">
      <c r="A3449" s="0" t="s">
        <v>14</v>
      </c>
      <c r="B3449" s="0" t="s">
        <v>5144</v>
      </c>
      <c r="C3449" s="0" t="s">
        <v>7072</v>
      </c>
      <c r="D3449" s="0" t="n">
        <v>1.09</v>
      </c>
    </row>
    <row r="3450" customFormat="false" ht="15" hidden="false" customHeight="false" outlineLevel="0" collapsed="false">
      <c r="A3450" s="0" t="s">
        <v>14</v>
      </c>
      <c r="B3450" s="0" t="s">
        <v>5144</v>
      </c>
      <c r="C3450" s="0" t="s">
        <v>7073</v>
      </c>
      <c r="D3450" s="0" t="n">
        <v>0.9</v>
      </c>
    </row>
    <row r="3451" customFormat="false" ht="15" hidden="false" customHeight="false" outlineLevel="0" collapsed="false">
      <c r="A3451" s="0" t="s">
        <v>14</v>
      </c>
      <c r="B3451" s="0" t="s">
        <v>5144</v>
      </c>
      <c r="C3451" s="0" t="s">
        <v>7074</v>
      </c>
      <c r="D3451" s="0" t="n">
        <v>1.393</v>
      </c>
    </row>
    <row r="3452" customFormat="false" ht="15" hidden="false" customHeight="false" outlineLevel="0" collapsed="false">
      <c r="A3452" s="0" t="s">
        <v>14</v>
      </c>
      <c r="B3452" s="0" t="s">
        <v>5149</v>
      </c>
      <c r="C3452" s="0" t="s">
        <v>7072</v>
      </c>
      <c r="D3452" s="0" t="n">
        <v>1</v>
      </c>
    </row>
    <row r="3453" customFormat="false" ht="15" hidden="false" customHeight="false" outlineLevel="0" collapsed="false">
      <c r="A3453" s="0" t="s">
        <v>14</v>
      </c>
      <c r="B3453" s="0" t="s">
        <v>5149</v>
      </c>
      <c r="C3453" s="0" t="s">
        <v>7073</v>
      </c>
      <c r="D3453" s="0" t="n">
        <v>0.65</v>
      </c>
    </row>
    <row r="3454" customFormat="false" ht="15" hidden="false" customHeight="false" outlineLevel="0" collapsed="false">
      <c r="A3454" s="0" t="s">
        <v>14</v>
      </c>
      <c r="B3454" s="0" t="s">
        <v>5149</v>
      </c>
      <c r="C3454" s="0" t="s">
        <v>7074</v>
      </c>
      <c r="D3454" s="0" t="n">
        <v>1.4</v>
      </c>
    </row>
    <row r="3455" customFormat="false" ht="15" hidden="false" customHeight="false" outlineLevel="0" collapsed="false">
      <c r="A3455" s="0" t="s">
        <v>14</v>
      </c>
      <c r="B3455" s="0" t="s">
        <v>5154</v>
      </c>
      <c r="C3455" s="0" t="s">
        <v>7072</v>
      </c>
      <c r="D3455" s="0" t="n">
        <v>1.5</v>
      </c>
    </row>
    <row r="3456" customFormat="false" ht="15" hidden="false" customHeight="false" outlineLevel="0" collapsed="false">
      <c r="A3456" s="0" t="s">
        <v>14</v>
      </c>
      <c r="B3456" s="0" t="s">
        <v>5154</v>
      </c>
      <c r="C3456" s="0" t="s">
        <v>7073</v>
      </c>
      <c r="D3456" s="0" t="n">
        <v>1</v>
      </c>
    </row>
    <row r="3457" customFormat="false" ht="15" hidden="false" customHeight="false" outlineLevel="0" collapsed="false">
      <c r="A3457" s="0" t="s">
        <v>14</v>
      </c>
      <c r="B3457" s="0" t="s">
        <v>5154</v>
      </c>
      <c r="C3457" s="0" t="s">
        <v>7074</v>
      </c>
      <c r="D3457" s="0" t="n">
        <v>2</v>
      </c>
    </row>
    <row r="3458" customFormat="false" ht="15" hidden="false" customHeight="false" outlineLevel="0" collapsed="false">
      <c r="A3458" s="0" t="s">
        <v>14</v>
      </c>
      <c r="B3458" s="0" t="s">
        <v>5159</v>
      </c>
      <c r="C3458" s="0" t="s">
        <v>7072</v>
      </c>
      <c r="D3458" s="0" t="n">
        <v>-0.1</v>
      </c>
    </row>
    <row r="3459" customFormat="false" ht="15" hidden="false" customHeight="false" outlineLevel="0" collapsed="false">
      <c r="A3459" s="0" t="s">
        <v>14</v>
      </c>
      <c r="B3459" s="0" t="s">
        <v>5159</v>
      </c>
      <c r="C3459" s="0" t="s">
        <v>7073</v>
      </c>
      <c r="D3459" s="0" t="n">
        <v>-0.25</v>
      </c>
    </row>
    <row r="3460" customFormat="false" ht="15" hidden="false" customHeight="false" outlineLevel="0" collapsed="false">
      <c r="A3460" s="0" t="s">
        <v>14</v>
      </c>
      <c r="B3460" s="0" t="s">
        <v>5159</v>
      </c>
      <c r="C3460" s="0" t="s">
        <v>7074</v>
      </c>
      <c r="D3460" s="0" t="n">
        <v>0</v>
      </c>
    </row>
    <row r="3461" customFormat="false" ht="15" hidden="false" customHeight="false" outlineLevel="0" collapsed="false">
      <c r="A3461" s="0" t="s">
        <v>14</v>
      </c>
      <c r="B3461" s="0" t="s">
        <v>5163</v>
      </c>
      <c r="C3461" s="0" t="s">
        <v>7072</v>
      </c>
      <c r="D3461" s="0" t="n">
        <v>1.3</v>
      </c>
    </row>
    <row r="3462" customFormat="false" ht="15" hidden="false" customHeight="false" outlineLevel="0" collapsed="false">
      <c r="A3462" s="0" t="s">
        <v>14</v>
      </c>
      <c r="B3462" s="0" t="s">
        <v>5163</v>
      </c>
      <c r="C3462" s="0" t="s">
        <v>7073</v>
      </c>
      <c r="D3462" s="0" t="n">
        <v>1.15</v>
      </c>
    </row>
    <row r="3463" customFormat="false" ht="15" hidden="false" customHeight="false" outlineLevel="0" collapsed="false">
      <c r="A3463" s="0" t="s">
        <v>14</v>
      </c>
      <c r="B3463" s="0" t="s">
        <v>5163</v>
      </c>
      <c r="C3463" s="0" t="s">
        <v>7074</v>
      </c>
      <c r="D3463" s="0" t="n">
        <v>1.5</v>
      </c>
    </row>
    <row r="3464" customFormat="false" ht="15" hidden="false" customHeight="false" outlineLevel="0" collapsed="false">
      <c r="A3464" s="0" t="s">
        <v>14</v>
      </c>
      <c r="B3464" s="0" t="s">
        <v>5167</v>
      </c>
      <c r="C3464" s="0" t="s">
        <v>7072</v>
      </c>
      <c r="D3464" s="0" t="n">
        <v>1</v>
      </c>
    </row>
    <row r="3465" customFormat="false" ht="15" hidden="false" customHeight="false" outlineLevel="0" collapsed="false">
      <c r="A3465" s="0" t="s">
        <v>14</v>
      </c>
      <c r="B3465" s="0" t="s">
        <v>5167</v>
      </c>
      <c r="C3465" s="0" t="s">
        <v>7073</v>
      </c>
      <c r="D3465" s="0" t="n">
        <v>0.22</v>
      </c>
    </row>
    <row r="3466" customFormat="false" ht="15" hidden="false" customHeight="false" outlineLevel="0" collapsed="false">
      <c r="A3466" s="0" t="s">
        <v>14</v>
      </c>
      <c r="B3466" s="0" t="s">
        <v>5167</v>
      </c>
      <c r="C3466" s="0" t="s">
        <v>7074</v>
      </c>
      <c r="D3466" s="0" t="n">
        <v>1</v>
      </c>
    </row>
    <row r="3467" customFormat="false" ht="15" hidden="false" customHeight="false" outlineLevel="0" collapsed="false">
      <c r="A3467" s="0" t="s">
        <v>14</v>
      </c>
      <c r="B3467" s="0" t="s">
        <v>5173</v>
      </c>
      <c r="C3467" s="0" t="s">
        <v>7072</v>
      </c>
      <c r="D3467" s="0" t="n">
        <v>0.707</v>
      </c>
    </row>
    <row r="3468" customFormat="false" ht="15" hidden="false" customHeight="false" outlineLevel="0" collapsed="false">
      <c r="A3468" s="0" t="s">
        <v>14</v>
      </c>
      <c r="B3468" s="0" t="s">
        <v>5173</v>
      </c>
      <c r="C3468" s="0" t="s">
        <v>7073</v>
      </c>
      <c r="D3468" s="0" t="n">
        <v>0.6</v>
      </c>
    </row>
    <row r="3469" customFormat="false" ht="15" hidden="false" customHeight="false" outlineLevel="0" collapsed="false">
      <c r="A3469" s="0" t="s">
        <v>14</v>
      </c>
      <c r="B3469" s="0" t="s">
        <v>5173</v>
      </c>
      <c r="C3469" s="0" t="s">
        <v>7074</v>
      </c>
      <c r="D3469" s="0" t="n">
        <v>0.8</v>
      </c>
    </row>
    <row r="3470" customFormat="false" ht="15" hidden="false" customHeight="false" outlineLevel="0" collapsed="false">
      <c r="A3470" s="0" t="s">
        <v>14</v>
      </c>
      <c r="B3470" s="0" t="s">
        <v>5178</v>
      </c>
      <c r="C3470" s="0" t="s">
        <v>7072</v>
      </c>
      <c r="D3470" s="0" t="n">
        <v>0.744</v>
      </c>
    </row>
    <row r="3471" customFormat="false" ht="15" hidden="false" customHeight="false" outlineLevel="0" collapsed="false">
      <c r="A3471" s="0" t="s">
        <v>14</v>
      </c>
      <c r="B3471" s="0" t="s">
        <v>5178</v>
      </c>
      <c r="C3471" s="0" t="s">
        <v>7073</v>
      </c>
      <c r="D3471" s="0" t="n">
        <v>0.5</v>
      </c>
    </row>
    <row r="3472" customFormat="false" ht="15" hidden="false" customHeight="false" outlineLevel="0" collapsed="false">
      <c r="A3472" s="0" t="s">
        <v>14</v>
      </c>
      <c r="B3472" s="0" t="s">
        <v>5178</v>
      </c>
      <c r="C3472" s="0" t="s">
        <v>7074</v>
      </c>
      <c r="D3472" s="0" t="n">
        <v>0.9</v>
      </c>
    </row>
    <row r="3473" customFormat="false" ht="15" hidden="false" customHeight="false" outlineLevel="0" collapsed="false">
      <c r="A3473" s="0" t="s">
        <v>14</v>
      </c>
      <c r="B3473" s="0" t="s">
        <v>5182</v>
      </c>
      <c r="C3473" s="0" t="s">
        <v>7072</v>
      </c>
      <c r="D3473" s="0" t="n">
        <v>0</v>
      </c>
    </row>
    <row r="3474" customFormat="false" ht="15" hidden="false" customHeight="false" outlineLevel="0" collapsed="false">
      <c r="A3474" s="0" t="s">
        <v>14</v>
      </c>
      <c r="B3474" s="0" t="s">
        <v>5182</v>
      </c>
      <c r="C3474" s="0" t="s">
        <v>7073</v>
      </c>
      <c r="D3474" s="0" t="n">
        <v>0</v>
      </c>
    </row>
    <row r="3475" customFormat="false" ht="15" hidden="false" customHeight="false" outlineLevel="0" collapsed="false">
      <c r="A3475" s="0" t="s">
        <v>14</v>
      </c>
      <c r="B3475" s="0" t="s">
        <v>5182</v>
      </c>
      <c r="C3475" s="0" t="s">
        <v>7074</v>
      </c>
      <c r="D3475" s="0" t="n">
        <v>1</v>
      </c>
    </row>
    <row r="3476" customFormat="false" ht="15" hidden="false" customHeight="false" outlineLevel="0" collapsed="false">
      <c r="A3476" s="0" t="s">
        <v>14</v>
      </c>
      <c r="B3476" s="0" t="s">
        <v>5187</v>
      </c>
      <c r="C3476" s="0" t="s">
        <v>7072</v>
      </c>
      <c r="D3476" s="0" t="n">
        <v>1</v>
      </c>
    </row>
    <row r="3477" customFormat="false" ht="15" hidden="false" customHeight="false" outlineLevel="0" collapsed="false">
      <c r="A3477" s="0" t="s">
        <v>14</v>
      </c>
      <c r="B3477" s="0" t="s">
        <v>5187</v>
      </c>
      <c r="C3477" s="0" t="s">
        <v>7073</v>
      </c>
      <c r="D3477" s="0" t="n">
        <v>0</v>
      </c>
    </row>
    <row r="3478" customFormat="false" ht="15" hidden="false" customHeight="false" outlineLevel="0" collapsed="false">
      <c r="A3478" s="0" t="s">
        <v>14</v>
      </c>
      <c r="B3478" s="0" t="s">
        <v>5187</v>
      </c>
      <c r="C3478" s="0" t="s">
        <v>7074</v>
      </c>
      <c r="D3478" s="0" t="n">
        <v>1</v>
      </c>
    </row>
    <row r="3479" customFormat="false" ht="15" hidden="false" customHeight="false" outlineLevel="0" collapsed="false">
      <c r="A3479" s="0" t="s">
        <v>14</v>
      </c>
      <c r="B3479" s="0" t="s">
        <v>5191</v>
      </c>
      <c r="C3479" s="0" t="s">
        <v>7072</v>
      </c>
      <c r="D3479" s="0" t="n">
        <v>1</v>
      </c>
    </row>
    <row r="3480" customFormat="false" ht="15" hidden="false" customHeight="false" outlineLevel="0" collapsed="false">
      <c r="A3480" s="0" t="s">
        <v>14</v>
      </c>
      <c r="B3480" s="0" t="s">
        <v>5191</v>
      </c>
      <c r="C3480" s="0" t="s">
        <v>7073</v>
      </c>
      <c r="D3480" s="0" t="n">
        <v>1</v>
      </c>
    </row>
    <row r="3481" customFormat="false" ht="15" hidden="false" customHeight="false" outlineLevel="0" collapsed="false">
      <c r="A3481" s="0" t="s">
        <v>14</v>
      </c>
      <c r="B3481" s="0" t="s">
        <v>5191</v>
      </c>
      <c r="C3481" s="0" t="s">
        <v>7074</v>
      </c>
      <c r="D3481" s="0" t="n">
        <v>1</v>
      </c>
    </row>
    <row r="3482" customFormat="false" ht="15" hidden="false" customHeight="false" outlineLevel="0" collapsed="false">
      <c r="A3482" s="0" t="s">
        <v>14</v>
      </c>
      <c r="B3482" s="0" t="s">
        <v>5195</v>
      </c>
      <c r="C3482" s="0" t="s">
        <v>7072</v>
      </c>
      <c r="D3482" s="0" t="n">
        <v>2030</v>
      </c>
    </row>
    <row r="3483" customFormat="false" ht="15" hidden="false" customHeight="false" outlineLevel="0" collapsed="false">
      <c r="A3483" s="0" t="s">
        <v>14</v>
      </c>
      <c r="B3483" s="0" t="s">
        <v>5195</v>
      </c>
      <c r="C3483" s="0" t="s">
        <v>7073</v>
      </c>
      <c r="D3483" s="0" t="n">
        <v>2030</v>
      </c>
    </row>
    <row r="3484" customFormat="false" ht="15" hidden="false" customHeight="false" outlineLevel="0" collapsed="false">
      <c r="A3484" s="0" t="s">
        <v>14</v>
      </c>
      <c r="B3484" s="0" t="s">
        <v>5195</v>
      </c>
      <c r="C3484" s="0" t="s">
        <v>7074</v>
      </c>
      <c r="D3484" s="0" t="n">
        <v>2030</v>
      </c>
    </row>
    <row r="3485" customFormat="false" ht="15" hidden="false" customHeight="false" outlineLevel="0" collapsed="false">
      <c r="A3485" s="0" t="s">
        <v>14</v>
      </c>
      <c r="B3485" s="0" t="s">
        <v>5199</v>
      </c>
      <c r="C3485" s="0" t="s">
        <v>7072</v>
      </c>
      <c r="D3485" s="0" t="n">
        <v>0.1</v>
      </c>
    </row>
    <row r="3486" customFormat="false" ht="15" hidden="false" customHeight="false" outlineLevel="0" collapsed="false">
      <c r="A3486" s="0" t="s">
        <v>14</v>
      </c>
      <c r="B3486" s="0" t="s">
        <v>5199</v>
      </c>
      <c r="C3486" s="0" t="s">
        <v>7073</v>
      </c>
      <c r="D3486" s="0" t="n">
        <v>0.05</v>
      </c>
    </row>
    <row r="3487" customFormat="false" ht="15" hidden="false" customHeight="false" outlineLevel="0" collapsed="false">
      <c r="A3487" s="0" t="s">
        <v>14</v>
      </c>
      <c r="B3487" s="0" t="s">
        <v>5199</v>
      </c>
      <c r="C3487" s="0" t="s">
        <v>7074</v>
      </c>
      <c r="D3487" s="0" t="n">
        <v>0.2</v>
      </c>
    </row>
    <row r="3488" customFormat="false" ht="15" hidden="false" customHeight="false" outlineLevel="0" collapsed="false">
      <c r="A3488" s="0" t="s">
        <v>14</v>
      </c>
      <c r="B3488" s="0" t="s">
        <v>5204</v>
      </c>
      <c r="C3488" s="0" t="s">
        <v>7072</v>
      </c>
      <c r="D3488" s="0" t="n">
        <v>0.3</v>
      </c>
    </row>
    <row r="3489" customFormat="false" ht="15" hidden="false" customHeight="false" outlineLevel="0" collapsed="false">
      <c r="A3489" s="0" t="s">
        <v>14</v>
      </c>
      <c r="B3489" s="0" t="s">
        <v>5204</v>
      </c>
      <c r="C3489" s="0" t="s">
        <v>7073</v>
      </c>
      <c r="D3489" s="0" t="n">
        <v>0.2</v>
      </c>
    </row>
    <row r="3490" customFormat="false" ht="15" hidden="false" customHeight="false" outlineLevel="0" collapsed="false">
      <c r="A3490" s="0" t="s">
        <v>14</v>
      </c>
      <c r="B3490" s="0" t="s">
        <v>5204</v>
      </c>
      <c r="C3490" s="0" t="s">
        <v>7074</v>
      </c>
      <c r="D3490" s="0" t="n">
        <v>0.4</v>
      </c>
    </row>
    <row r="3491" customFormat="false" ht="15" hidden="false" customHeight="false" outlineLevel="0" collapsed="false">
      <c r="A3491" s="0" t="s">
        <v>14</v>
      </c>
      <c r="B3491" s="0" t="s">
        <v>5209</v>
      </c>
      <c r="C3491" s="0" t="s">
        <v>7072</v>
      </c>
      <c r="D3491" s="0" t="n">
        <v>0</v>
      </c>
    </row>
    <row r="3492" customFormat="false" ht="15" hidden="false" customHeight="false" outlineLevel="0" collapsed="false">
      <c r="A3492" s="0" t="s">
        <v>14</v>
      </c>
      <c r="B3492" s="0" t="s">
        <v>5209</v>
      </c>
      <c r="C3492" s="0" t="s">
        <v>7073</v>
      </c>
      <c r="D3492" s="0" t="n">
        <v>0</v>
      </c>
    </row>
    <row r="3493" customFormat="false" ht="15" hidden="false" customHeight="false" outlineLevel="0" collapsed="false">
      <c r="A3493" s="0" t="s">
        <v>14</v>
      </c>
      <c r="B3493" s="0" t="s">
        <v>5209</v>
      </c>
      <c r="C3493" s="0" t="s">
        <v>7074</v>
      </c>
      <c r="D3493" s="0" t="n">
        <v>1</v>
      </c>
    </row>
    <row r="3494" customFormat="false" ht="15" hidden="false" customHeight="false" outlineLevel="0" collapsed="false">
      <c r="A3494" s="0" t="s">
        <v>14</v>
      </c>
      <c r="B3494" s="0" t="s">
        <v>5213</v>
      </c>
      <c r="C3494" s="0" t="s">
        <v>7072</v>
      </c>
      <c r="D3494" s="0" t="n">
        <v>0.5</v>
      </c>
    </row>
    <row r="3495" customFormat="false" ht="15" hidden="false" customHeight="false" outlineLevel="0" collapsed="false">
      <c r="A3495" s="0" t="s">
        <v>14</v>
      </c>
      <c r="B3495" s="0" t="s">
        <v>5213</v>
      </c>
      <c r="C3495" s="0" t="s">
        <v>7073</v>
      </c>
      <c r="D3495" s="0" t="n">
        <v>0.3</v>
      </c>
    </row>
    <row r="3496" customFormat="false" ht="15" hidden="false" customHeight="false" outlineLevel="0" collapsed="false">
      <c r="A3496" s="0" t="s">
        <v>14</v>
      </c>
      <c r="B3496" s="0" t="s">
        <v>5213</v>
      </c>
      <c r="C3496" s="0" t="s">
        <v>7074</v>
      </c>
      <c r="D3496" s="0" t="n">
        <v>0.7</v>
      </c>
    </row>
    <row r="3497" customFormat="false" ht="15" hidden="false" customHeight="false" outlineLevel="0" collapsed="false">
      <c r="A3497" s="0" t="s">
        <v>14</v>
      </c>
      <c r="B3497" s="0" t="s">
        <v>5218</v>
      </c>
      <c r="C3497" s="0" t="s">
        <v>7072</v>
      </c>
      <c r="D3497" s="0" t="n">
        <v>0</v>
      </c>
    </row>
    <row r="3498" customFormat="false" ht="15" hidden="false" customHeight="false" outlineLevel="0" collapsed="false">
      <c r="A3498" s="0" t="s">
        <v>14</v>
      </c>
      <c r="B3498" s="0" t="s">
        <v>5218</v>
      </c>
      <c r="C3498" s="0" t="s">
        <v>7073</v>
      </c>
      <c r="D3498" s="0" t="n">
        <v>0</v>
      </c>
    </row>
    <row r="3499" customFormat="false" ht="15" hidden="false" customHeight="false" outlineLevel="0" collapsed="false">
      <c r="A3499" s="0" t="s">
        <v>14</v>
      </c>
      <c r="B3499" s="0" t="s">
        <v>5218</v>
      </c>
      <c r="C3499" s="0" t="s">
        <v>7074</v>
      </c>
      <c r="D3499" s="0" t="n">
        <v>50</v>
      </c>
    </row>
    <row r="3500" customFormat="false" ht="15" hidden="false" customHeight="false" outlineLevel="0" collapsed="false">
      <c r="A3500" s="0" t="s">
        <v>14</v>
      </c>
      <c r="B3500" s="0" t="s">
        <v>5224</v>
      </c>
      <c r="C3500" s="0" t="s">
        <v>7072</v>
      </c>
      <c r="D3500" s="0" t="n">
        <v>0</v>
      </c>
    </row>
    <row r="3501" customFormat="false" ht="15" hidden="false" customHeight="false" outlineLevel="0" collapsed="false">
      <c r="A3501" s="0" t="s">
        <v>14</v>
      </c>
      <c r="B3501" s="0" t="s">
        <v>5224</v>
      </c>
      <c r="C3501" s="0" t="s">
        <v>7073</v>
      </c>
      <c r="D3501" s="0" t="n">
        <v>0</v>
      </c>
    </row>
    <row r="3502" customFormat="false" ht="15" hidden="false" customHeight="false" outlineLevel="0" collapsed="false">
      <c r="A3502" s="0" t="s">
        <v>14</v>
      </c>
      <c r="B3502" s="0" t="s">
        <v>5224</v>
      </c>
      <c r="C3502" s="0" t="s">
        <v>7074</v>
      </c>
      <c r="D3502" s="0" t="n">
        <v>1</v>
      </c>
    </row>
    <row r="3503" customFormat="false" ht="15" hidden="false" customHeight="false" outlineLevel="0" collapsed="false">
      <c r="A3503" s="0" t="s">
        <v>14</v>
      </c>
      <c r="B3503" s="0" t="s">
        <v>5228</v>
      </c>
      <c r="C3503" s="0" t="s">
        <v>7072</v>
      </c>
      <c r="D3503" s="0" t="n">
        <v>2028</v>
      </c>
    </row>
    <row r="3504" customFormat="false" ht="15" hidden="false" customHeight="false" outlineLevel="0" collapsed="false">
      <c r="A3504" s="0" t="s">
        <v>14</v>
      </c>
      <c r="B3504" s="0" t="s">
        <v>5228</v>
      </c>
      <c r="C3504" s="0" t="s">
        <v>7073</v>
      </c>
      <c r="D3504" s="0" t="n">
        <v>2027</v>
      </c>
    </row>
    <row r="3505" customFormat="false" ht="15" hidden="false" customHeight="false" outlineLevel="0" collapsed="false">
      <c r="A3505" s="0" t="s">
        <v>14</v>
      </c>
      <c r="B3505" s="0" t="s">
        <v>5228</v>
      </c>
      <c r="C3505" s="0" t="s">
        <v>7074</v>
      </c>
      <c r="D3505" s="0" t="n">
        <v>2030</v>
      </c>
    </row>
    <row r="3506" customFormat="false" ht="15" hidden="false" customHeight="false" outlineLevel="0" collapsed="false">
      <c r="A3506" s="0" t="s">
        <v>14</v>
      </c>
      <c r="B3506" s="0" t="s">
        <v>5233</v>
      </c>
      <c r="C3506" s="0" t="s">
        <v>7072</v>
      </c>
      <c r="D3506" s="0" t="n">
        <v>0.6</v>
      </c>
    </row>
    <row r="3507" customFormat="false" ht="15" hidden="false" customHeight="false" outlineLevel="0" collapsed="false">
      <c r="A3507" s="0" t="s">
        <v>14</v>
      </c>
      <c r="B3507" s="0" t="s">
        <v>5233</v>
      </c>
      <c r="C3507" s="0" t="s">
        <v>7073</v>
      </c>
      <c r="D3507" s="0" t="n">
        <v>0.4</v>
      </c>
    </row>
    <row r="3508" customFormat="false" ht="15" hidden="false" customHeight="false" outlineLevel="0" collapsed="false">
      <c r="A3508" s="0" t="s">
        <v>14</v>
      </c>
      <c r="B3508" s="0" t="s">
        <v>5233</v>
      </c>
      <c r="C3508" s="0" t="s">
        <v>7074</v>
      </c>
      <c r="D3508" s="0" t="n">
        <v>0.8</v>
      </c>
    </row>
    <row r="3509" customFormat="false" ht="15" hidden="false" customHeight="false" outlineLevel="0" collapsed="false">
      <c r="A3509" s="0" t="s">
        <v>14</v>
      </c>
      <c r="B3509" s="0" t="s">
        <v>5237</v>
      </c>
      <c r="C3509" s="0" t="s">
        <v>7072</v>
      </c>
      <c r="D3509" s="0" t="n">
        <v>0.6</v>
      </c>
    </row>
    <row r="3510" customFormat="false" ht="15" hidden="false" customHeight="false" outlineLevel="0" collapsed="false">
      <c r="A3510" s="0" t="s">
        <v>14</v>
      </c>
      <c r="B3510" s="0" t="s">
        <v>5237</v>
      </c>
      <c r="C3510" s="0" t="s">
        <v>7073</v>
      </c>
      <c r="D3510" s="0" t="n">
        <v>0.4</v>
      </c>
    </row>
    <row r="3511" customFormat="false" ht="15" hidden="false" customHeight="false" outlineLevel="0" collapsed="false">
      <c r="A3511" s="0" t="s">
        <v>14</v>
      </c>
      <c r="B3511" s="0" t="s">
        <v>5237</v>
      </c>
      <c r="C3511" s="0" t="s">
        <v>7074</v>
      </c>
      <c r="D3511" s="0" t="n">
        <v>0.9</v>
      </c>
    </row>
    <row r="3512" customFormat="false" ht="15" hidden="false" customHeight="false" outlineLevel="0" collapsed="false">
      <c r="A3512" s="0" t="s">
        <v>14</v>
      </c>
      <c r="B3512" s="0" t="s">
        <v>5242</v>
      </c>
      <c r="C3512" s="0" t="s">
        <v>7072</v>
      </c>
      <c r="D3512" s="0" t="n">
        <v>0</v>
      </c>
    </row>
    <row r="3513" customFormat="false" ht="15" hidden="false" customHeight="false" outlineLevel="0" collapsed="false">
      <c r="A3513" s="0" t="s">
        <v>14</v>
      </c>
      <c r="B3513" s="0" t="s">
        <v>5242</v>
      </c>
      <c r="C3513" s="0" t="s">
        <v>7073</v>
      </c>
      <c r="D3513" s="0" t="n">
        <v>-0.1</v>
      </c>
    </row>
    <row r="3514" customFormat="false" ht="15" hidden="false" customHeight="false" outlineLevel="0" collapsed="false">
      <c r="A3514" s="0" t="s">
        <v>14</v>
      </c>
      <c r="B3514" s="0" t="s">
        <v>5242</v>
      </c>
      <c r="C3514" s="0" t="s">
        <v>7074</v>
      </c>
      <c r="D3514" s="0" t="n">
        <v>0.15</v>
      </c>
    </row>
    <row r="3515" customFormat="false" ht="15" hidden="false" customHeight="false" outlineLevel="0" collapsed="false">
      <c r="A3515" s="0" t="s">
        <v>14</v>
      </c>
      <c r="B3515" s="0" t="s">
        <v>5247</v>
      </c>
      <c r="C3515" s="0" t="s">
        <v>7072</v>
      </c>
      <c r="D3515" s="0" t="n">
        <v>0.1</v>
      </c>
    </row>
    <row r="3516" customFormat="false" ht="15" hidden="false" customHeight="false" outlineLevel="0" collapsed="false">
      <c r="A3516" s="0" t="s">
        <v>14</v>
      </c>
      <c r="B3516" s="0" t="s">
        <v>5247</v>
      </c>
      <c r="C3516" s="0" t="s">
        <v>7073</v>
      </c>
      <c r="D3516" s="0" t="n">
        <v>0</v>
      </c>
    </row>
    <row r="3517" customFormat="false" ht="15" hidden="false" customHeight="false" outlineLevel="0" collapsed="false">
      <c r="A3517" s="0" t="s">
        <v>14</v>
      </c>
      <c r="B3517" s="0" t="s">
        <v>5247</v>
      </c>
      <c r="C3517" s="0" t="s">
        <v>7074</v>
      </c>
      <c r="D3517" s="0" t="n">
        <v>0.3</v>
      </c>
    </row>
    <row r="3518" customFormat="false" ht="15" hidden="false" customHeight="false" outlineLevel="0" collapsed="false">
      <c r="A3518" s="0" t="s">
        <v>14</v>
      </c>
      <c r="B3518" s="0" t="s">
        <v>5251</v>
      </c>
      <c r="C3518" s="0" t="s">
        <v>7072</v>
      </c>
      <c r="D3518" s="0" t="n">
        <v>0.03</v>
      </c>
    </row>
    <row r="3519" customFormat="false" ht="15" hidden="false" customHeight="false" outlineLevel="0" collapsed="false">
      <c r="A3519" s="0" t="s">
        <v>14</v>
      </c>
      <c r="B3519" s="0" t="s">
        <v>5251</v>
      </c>
      <c r="C3519" s="0" t="s">
        <v>7073</v>
      </c>
      <c r="D3519" s="0" t="n">
        <v>0</v>
      </c>
    </row>
    <row r="3520" customFormat="false" ht="15" hidden="false" customHeight="false" outlineLevel="0" collapsed="false">
      <c r="A3520" s="0" t="s">
        <v>14</v>
      </c>
      <c r="B3520" s="0" t="s">
        <v>5251</v>
      </c>
      <c r="C3520" s="0" t="s">
        <v>7074</v>
      </c>
      <c r="D3520" s="0" t="n">
        <v>0.08</v>
      </c>
    </row>
    <row r="3521" customFormat="false" ht="15" hidden="false" customHeight="false" outlineLevel="0" collapsed="false">
      <c r="A3521" s="0" t="s">
        <v>14</v>
      </c>
      <c r="B3521" s="0" t="s">
        <v>5255</v>
      </c>
      <c r="C3521" s="0" t="s">
        <v>7072</v>
      </c>
      <c r="D3521" s="0" t="n">
        <v>0</v>
      </c>
    </row>
    <row r="3522" customFormat="false" ht="15" hidden="false" customHeight="false" outlineLevel="0" collapsed="false">
      <c r="A3522" s="0" t="s">
        <v>14</v>
      </c>
      <c r="B3522" s="0" t="s">
        <v>5255</v>
      </c>
      <c r="C3522" s="0" t="s">
        <v>7073</v>
      </c>
      <c r="D3522" s="0" t="n">
        <v>-0.2</v>
      </c>
    </row>
    <row r="3523" customFormat="false" ht="15" hidden="false" customHeight="false" outlineLevel="0" collapsed="false">
      <c r="A3523" s="0" t="s">
        <v>14</v>
      </c>
      <c r="B3523" s="0" t="s">
        <v>5255</v>
      </c>
      <c r="C3523" s="0" t="s">
        <v>7074</v>
      </c>
      <c r="D3523" s="0" t="n">
        <v>0.2</v>
      </c>
    </row>
    <row r="3524" customFormat="false" ht="15" hidden="false" customHeight="false" outlineLevel="0" collapsed="false">
      <c r="A3524" s="0" t="s">
        <v>14</v>
      </c>
      <c r="B3524" s="0" t="s">
        <v>5259</v>
      </c>
      <c r="C3524" s="0" t="s">
        <v>7072</v>
      </c>
      <c r="D3524" s="0" t="n">
        <v>0.9</v>
      </c>
    </row>
    <row r="3525" customFormat="false" ht="15" hidden="false" customHeight="false" outlineLevel="0" collapsed="false">
      <c r="A3525" s="0" t="s">
        <v>14</v>
      </c>
      <c r="B3525" s="0" t="s">
        <v>5259</v>
      </c>
      <c r="C3525" s="0" t="s">
        <v>7073</v>
      </c>
      <c r="D3525" s="0" t="n">
        <v>0.8</v>
      </c>
    </row>
    <row r="3526" customFormat="false" ht="15" hidden="false" customHeight="false" outlineLevel="0" collapsed="false">
      <c r="A3526" s="0" t="s">
        <v>14</v>
      </c>
      <c r="B3526" s="0" t="s">
        <v>5259</v>
      </c>
      <c r="C3526" s="0" t="s">
        <v>7074</v>
      </c>
      <c r="D3526" s="0" t="n">
        <v>0.97</v>
      </c>
    </row>
    <row r="3527" customFormat="false" ht="15" hidden="false" customHeight="false" outlineLevel="0" collapsed="false">
      <c r="A3527" s="0" t="s">
        <v>14</v>
      </c>
      <c r="B3527" s="0" t="s">
        <v>5264</v>
      </c>
      <c r="C3527" s="0" t="s">
        <v>7072</v>
      </c>
      <c r="D3527" s="0" t="n">
        <v>0.03</v>
      </c>
    </row>
    <row r="3528" customFormat="false" ht="15" hidden="false" customHeight="false" outlineLevel="0" collapsed="false">
      <c r="A3528" s="0" t="s">
        <v>14</v>
      </c>
      <c r="B3528" s="0" t="s">
        <v>5264</v>
      </c>
      <c r="C3528" s="0" t="s">
        <v>7073</v>
      </c>
      <c r="D3528" s="0" t="n">
        <v>0.01</v>
      </c>
    </row>
    <row r="3529" customFormat="false" ht="15" hidden="false" customHeight="false" outlineLevel="0" collapsed="false">
      <c r="A3529" s="0" t="s">
        <v>14</v>
      </c>
      <c r="B3529" s="0" t="s">
        <v>5264</v>
      </c>
      <c r="C3529" s="0" t="s">
        <v>7074</v>
      </c>
      <c r="D3529" s="0" t="n">
        <v>0.08</v>
      </c>
    </row>
    <row r="3530" customFormat="false" ht="15" hidden="false" customHeight="false" outlineLevel="0" collapsed="false">
      <c r="A3530" s="0" t="s">
        <v>14</v>
      </c>
      <c r="B3530" s="0" t="s">
        <v>5269</v>
      </c>
      <c r="C3530" s="0" t="s">
        <v>7072</v>
      </c>
      <c r="D3530" s="0" t="n">
        <v>6</v>
      </c>
    </row>
    <row r="3531" customFormat="false" ht="15" hidden="false" customHeight="false" outlineLevel="0" collapsed="false">
      <c r="A3531" s="0" t="s">
        <v>14</v>
      </c>
      <c r="B3531" s="0" t="s">
        <v>5269</v>
      </c>
      <c r="C3531" s="0" t="s">
        <v>7073</v>
      </c>
      <c r="D3531" s="0" t="n">
        <v>3</v>
      </c>
    </row>
    <row r="3532" customFormat="false" ht="15" hidden="false" customHeight="false" outlineLevel="0" collapsed="false">
      <c r="A3532" s="0" t="s">
        <v>14</v>
      </c>
      <c r="B3532" s="0" t="s">
        <v>5269</v>
      </c>
      <c r="C3532" s="0" t="s">
        <v>7074</v>
      </c>
      <c r="D3532" s="0" t="n">
        <v>12</v>
      </c>
    </row>
    <row r="3533" customFormat="false" ht="15" hidden="false" customHeight="false" outlineLevel="0" collapsed="false">
      <c r="A3533" s="0" t="s">
        <v>14</v>
      </c>
      <c r="B3533" s="0" t="s">
        <v>5274</v>
      </c>
      <c r="C3533" s="0" t="s">
        <v>7072</v>
      </c>
      <c r="D3533" s="0" t="n">
        <v>0</v>
      </c>
    </row>
    <row r="3534" customFormat="false" ht="15" hidden="false" customHeight="false" outlineLevel="0" collapsed="false">
      <c r="A3534" s="0" t="s">
        <v>14</v>
      </c>
      <c r="B3534" s="0" t="s">
        <v>5274</v>
      </c>
      <c r="C3534" s="0" t="s">
        <v>7073</v>
      </c>
      <c r="D3534" s="0" t="n">
        <v>0</v>
      </c>
    </row>
    <row r="3535" customFormat="false" ht="15" hidden="false" customHeight="false" outlineLevel="0" collapsed="false">
      <c r="A3535" s="0" t="s">
        <v>14</v>
      </c>
      <c r="B3535" s="0" t="s">
        <v>5274</v>
      </c>
      <c r="C3535" s="0" t="s">
        <v>7074</v>
      </c>
      <c r="D3535" s="0" t="n">
        <v>0.83</v>
      </c>
    </row>
    <row r="3536" customFormat="false" ht="15" hidden="false" customHeight="false" outlineLevel="0" collapsed="false">
      <c r="A3536" s="0" t="s">
        <v>14</v>
      </c>
      <c r="B3536" s="0" t="s">
        <v>5279</v>
      </c>
      <c r="C3536" s="0" t="s">
        <v>7072</v>
      </c>
      <c r="D3536" s="0" t="n">
        <v>0.03</v>
      </c>
    </row>
    <row r="3537" customFormat="false" ht="15" hidden="false" customHeight="false" outlineLevel="0" collapsed="false">
      <c r="A3537" s="0" t="s">
        <v>14</v>
      </c>
      <c r="B3537" s="0" t="s">
        <v>5279</v>
      </c>
      <c r="C3537" s="0" t="s">
        <v>7073</v>
      </c>
      <c r="D3537" s="0" t="n">
        <v>0.025</v>
      </c>
    </row>
    <row r="3538" customFormat="false" ht="15" hidden="false" customHeight="false" outlineLevel="0" collapsed="false">
      <c r="A3538" s="0" t="s">
        <v>14</v>
      </c>
      <c r="B3538" s="0" t="s">
        <v>5279</v>
      </c>
      <c r="C3538" s="0" t="s">
        <v>7074</v>
      </c>
      <c r="D3538" s="0" t="n">
        <v>0.045</v>
      </c>
    </row>
    <row r="3539" customFormat="false" ht="15" hidden="false" customHeight="false" outlineLevel="0" collapsed="false">
      <c r="A3539" s="0" t="s">
        <v>14</v>
      </c>
      <c r="B3539" s="0" t="s">
        <v>5284</v>
      </c>
      <c r="C3539" s="0" t="s">
        <v>7072</v>
      </c>
      <c r="D3539" s="0" t="n">
        <v>0</v>
      </c>
    </row>
    <row r="3540" customFormat="false" ht="15" hidden="false" customHeight="false" outlineLevel="0" collapsed="false">
      <c r="A3540" s="0" t="s">
        <v>14</v>
      </c>
      <c r="B3540" s="0" t="s">
        <v>5284</v>
      </c>
      <c r="C3540" s="0" t="s">
        <v>7073</v>
      </c>
      <c r="D3540" s="0" t="n">
        <v>0</v>
      </c>
    </row>
    <row r="3541" customFormat="false" ht="15" hidden="false" customHeight="false" outlineLevel="0" collapsed="false">
      <c r="A3541" s="0" t="s">
        <v>14</v>
      </c>
      <c r="B3541" s="0" t="s">
        <v>5284</v>
      </c>
      <c r="C3541" s="0" t="s">
        <v>7074</v>
      </c>
      <c r="D3541" s="0" t="n">
        <v>1</v>
      </c>
    </row>
    <row r="3542" customFormat="false" ht="15" hidden="false" customHeight="false" outlineLevel="0" collapsed="false">
      <c r="A3542" s="0" t="s">
        <v>14</v>
      </c>
      <c r="B3542" s="0" t="s">
        <v>5288</v>
      </c>
      <c r="C3542" s="0" t="s">
        <v>7072</v>
      </c>
      <c r="D3542" s="0" t="n">
        <v>0</v>
      </c>
    </row>
    <row r="3543" customFormat="false" ht="15" hidden="false" customHeight="false" outlineLevel="0" collapsed="false">
      <c r="A3543" s="0" t="s">
        <v>14</v>
      </c>
      <c r="B3543" s="0" t="s">
        <v>5288</v>
      </c>
      <c r="C3543" s="0" t="s">
        <v>7073</v>
      </c>
      <c r="D3543" s="0" t="n">
        <v>0</v>
      </c>
    </row>
    <row r="3544" customFormat="false" ht="15" hidden="false" customHeight="false" outlineLevel="0" collapsed="false">
      <c r="A3544" s="0" t="s">
        <v>14</v>
      </c>
      <c r="B3544" s="0" t="s">
        <v>5288</v>
      </c>
      <c r="C3544" s="0" t="s">
        <v>7074</v>
      </c>
      <c r="D3544" s="0" t="n">
        <v>1</v>
      </c>
    </row>
    <row r="3545" customFormat="false" ht="15" hidden="false" customHeight="false" outlineLevel="0" collapsed="false">
      <c r="A3545" s="0" t="s">
        <v>14</v>
      </c>
      <c r="B3545" s="0" t="s">
        <v>5292</v>
      </c>
      <c r="C3545" s="0" t="s">
        <v>7072</v>
      </c>
      <c r="D3545" s="0" t="n">
        <v>1</v>
      </c>
    </row>
    <row r="3546" customFormat="false" ht="15" hidden="false" customHeight="false" outlineLevel="0" collapsed="false">
      <c r="A3546" s="0" t="s">
        <v>14</v>
      </c>
      <c r="B3546" s="0" t="s">
        <v>5292</v>
      </c>
      <c r="C3546" s="0" t="s">
        <v>7073</v>
      </c>
      <c r="D3546" s="0" t="n">
        <v>1</v>
      </c>
    </row>
    <row r="3547" customFormat="false" ht="15" hidden="false" customHeight="false" outlineLevel="0" collapsed="false">
      <c r="A3547" s="0" t="s">
        <v>14</v>
      </c>
      <c r="B3547" s="0" t="s">
        <v>5292</v>
      </c>
      <c r="C3547" s="0" t="s">
        <v>7074</v>
      </c>
      <c r="D3547" s="0" t="n">
        <v>1</v>
      </c>
    </row>
    <row r="3548" customFormat="false" ht="15" hidden="false" customHeight="false" outlineLevel="0" collapsed="false">
      <c r="A3548" s="0" t="s">
        <v>14</v>
      </c>
      <c r="B3548" s="0" t="s">
        <v>5296</v>
      </c>
      <c r="C3548" s="0" t="s">
        <v>7072</v>
      </c>
      <c r="D3548" s="0" t="n">
        <v>2027</v>
      </c>
    </row>
    <row r="3549" customFormat="false" ht="15" hidden="false" customHeight="false" outlineLevel="0" collapsed="false">
      <c r="A3549" s="0" t="s">
        <v>14</v>
      </c>
      <c r="B3549" s="0" t="s">
        <v>5296</v>
      </c>
      <c r="C3549" s="0" t="s">
        <v>7073</v>
      </c>
      <c r="D3549" s="0" t="n">
        <v>2027</v>
      </c>
    </row>
    <row r="3550" customFormat="false" ht="15" hidden="false" customHeight="false" outlineLevel="0" collapsed="false">
      <c r="A3550" s="0" t="s">
        <v>14</v>
      </c>
      <c r="B3550" s="0" t="s">
        <v>5296</v>
      </c>
      <c r="C3550" s="0" t="s">
        <v>7074</v>
      </c>
      <c r="D3550" s="0" t="n">
        <v>2027</v>
      </c>
    </row>
    <row r="3551" customFormat="false" ht="15" hidden="false" customHeight="false" outlineLevel="0" collapsed="false">
      <c r="A3551" s="0" t="s">
        <v>14</v>
      </c>
      <c r="B3551" s="0" t="s">
        <v>5300</v>
      </c>
      <c r="C3551" s="0" t="s">
        <v>7072</v>
      </c>
      <c r="D3551" s="0" t="n">
        <v>0.75</v>
      </c>
    </row>
    <row r="3552" customFormat="false" ht="15" hidden="false" customHeight="false" outlineLevel="0" collapsed="false">
      <c r="A3552" s="0" t="s">
        <v>14</v>
      </c>
      <c r="B3552" s="0" t="s">
        <v>5300</v>
      </c>
      <c r="C3552" s="0" t="s">
        <v>7073</v>
      </c>
      <c r="D3552" s="0" t="n">
        <v>0</v>
      </c>
    </row>
    <row r="3553" customFormat="false" ht="15" hidden="false" customHeight="false" outlineLevel="0" collapsed="false">
      <c r="A3553" s="0" t="s">
        <v>14</v>
      </c>
      <c r="B3553" s="0" t="s">
        <v>5300</v>
      </c>
      <c r="C3553" s="0" t="s">
        <v>7074</v>
      </c>
      <c r="D3553" s="0" t="n">
        <v>1.5</v>
      </c>
    </row>
    <row r="3554" customFormat="false" ht="15" hidden="false" customHeight="false" outlineLevel="0" collapsed="false">
      <c r="A3554" s="0" t="s">
        <v>14</v>
      </c>
      <c r="B3554" s="0" t="s">
        <v>5305</v>
      </c>
      <c r="C3554" s="0" t="s">
        <v>7072</v>
      </c>
      <c r="D3554" s="0" t="n">
        <v>3</v>
      </c>
    </row>
    <row r="3555" customFormat="false" ht="15" hidden="false" customHeight="false" outlineLevel="0" collapsed="false">
      <c r="A3555" s="0" t="s">
        <v>14</v>
      </c>
      <c r="B3555" s="0" t="s">
        <v>5305</v>
      </c>
      <c r="C3555" s="0" t="s">
        <v>7073</v>
      </c>
      <c r="D3555" s="0" t="n">
        <v>1</v>
      </c>
    </row>
    <row r="3556" customFormat="false" ht="15" hidden="false" customHeight="false" outlineLevel="0" collapsed="false">
      <c r="A3556" s="0" t="s">
        <v>14</v>
      </c>
      <c r="B3556" s="0" t="s">
        <v>5305</v>
      </c>
      <c r="C3556" s="0" t="s">
        <v>7074</v>
      </c>
      <c r="D3556" s="0" t="n">
        <v>5</v>
      </c>
    </row>
    <row r="3557" customFormat="false" ht="15" hidden="false" customHeight="false" outlineLevel="0" collapsed="false">
      <c r="A3557" s="0" t="s">
        <v>14</v>
      </c>
      <c r="B3557" s="0" t="s">
        <v>5310</v>
      </c>
      <c r="C3557" s="0" t="s">
        <v>7072</v>
      </c>
      <c r="D3557" s="0" t="n">
        <v>62</v>
      </c>
    </row>
    <row r="3558" customFormat="false" ht="15" hidden="false" customHeight="false" outlineLevel="0" collapsed="false">
      <c r="A3558" s="0" t="s">
        <v>14</v>
      </c>
      <c r="B3558" s="0" t="s">
        <v>5310</v>
      </c>
      <c r="C3558" s="0" t="s">
        <v>7073</v>
      </c>
      <c r="D3558" s="0" t="n">
        <v>62</v>
      </c>
    </row>
    <row r="3559" customFormat="false" ht="15" hidden="false" customHeight="false" outlineLevel="0" collapsed="false">
      <c r="A3559" s="0" t="s">
        <v>14</v>
      </c>
      <c r="B3559" s="0" t="s">
        <v>5310</v>
      </c>
      <c r="C3559" s="0" t="s">
        <v>7074</v>
      </c>
      <c r="D3559" s="0" t="n">
        <v>62</v>
      </c>
    </row>
    <row r="3560" customFormat="false" ht="15" hidden="false" customHeight="false" outlineLevel="0" collapsed="false">
      <c r="A3560" s="0" t="s">
        <v>14</v>
      </c>
      <c r="B3560" s="0" t="s">
        <v>5314</v>
      </c>
      <c r="C3560" s="0" t="s">
        <v>7072</v>
      </c>
      <c r="D3560" s="0" t="n">
        <v>0</v>
      </c>
    </row>
    <row r="3561" customFormat="false" ht="15" hidden="false" customHeight="false" outlineLevel="0" collapsed="false">
      <c r="A3561" s="0" t="s">
        <v>14</v>
      </c>
      <c r="B3561" s="0" t="s">
        <v>5314</v>
      </c>
      <c r="C3561" s="0" t="s">
        <v>7073</v>
      </c>
      <c r="D3561" s="0" t="n">
        <v>0</v>
      </c>
    </row>
    <row r="3562" customFormat="false" ht="15" hidden="false" customHeight="false" outlineLevel="0" collapsed="false">
      <c r="A3562" s="0" t="s">
        <v>14</v>
      </c>
      <c r="B3562" s="0" t="s">
        <v>5314</v>
      </c>
      <c r="C3562" s="0" t="s">
        <v>7074</v>
      </c>
      <c r="D3562" s="0" t="n">
        <v>0.25</v>
      </c>
    </row>
    <row r="3563" customFormat="false" ht="15" hidden="false" customHeight="false" outlineLevel="0" collapsed="false">
      <c r="A3563" s="0" t="s">
        <v>14</v>
      </c>
      <c r="B3563" s="0" t="s">
        <v>5320</v>
      </c>
      <c r="C3563" s="0" t="s">
        <v>7072</v>
      </c>
      <c r="D3563" s="0" t="n">
        <v>1</v>
      </c>
    </row>
    <row r="3564" customFormat="false" ht="15" hidden="false" customHeight="false" outlineLevel="0" collapsed="false">
      <c r="A3564" s="0" t="s">
        <v>14</v>
      </c>
      <c r="B3564" s="0" t="s">
        <v>5320</v>
      </c>
      <c r="C3564" s="0" t="s">
        <v>7073</v>
      </c>
      <c r="D3564" s="0" t="n">
        <v>0.5</v>
      </c>
    </row>
    <row r="3565" customFormat="false" ht="15" hidden="false" customHeight="false" outlineLevel="0" collapsed="false">
      <c r="A3565" s="0" t="s">
        <v>14</v>
      </c>
      <c r="B3565" s="0" t="s">
        <v>5320</v>
      </c>
      <c r="C3565" s="0" t="s">
        <v>7074</v>
      </c>
      <c r="D3565" s="0" t="n">
        <v>2</v>
      </c>
    </row>
    <row r="3566" customFormat="false" ht="15" hidden="false" customHeight="false" outlineLevel="0" collapsed="false">
      <c r="A3566" s="0" t="s">
        <v>14</v>
      </c>
      <c r="B3566" s="0" t="s">
        <v>5325</v>
      </c>
      <c r="C3566" s="0" t="s">
        <v>7072</v>
      </c>
      <c r="D3566" s="0" t="n">
        <v>0</v>
      </c>
    </row>
    <row r="3567" customFormat="false" ht="15" hidden="false" customHeight="false" outlineLevel="0" collapsed="false">
      <c r="A3567" s="0" t="s">
        <v>14</v>
      </c>
      <c r="B3567" s="0" t="s">
        <v>5325</v>
      </c>
      <c r="C3567" s="0" t="s">
        <v>7073</v>
      </c>
      <c r="D3567" s="0" t="n">
        <v>0</v>
      </c>
    </row>
    <row r="3568" customFormat="false" ht="15" hidden="false" customHeight="false" outlineLevel="0" collapsed="false">
      <c r="A3568" s="0" t="s">
        <v>14</v>
      </c>
      <c r="B3568" s="0" t="s">
        <v>5325</v>
      </c>
      <c r="C3568" s="0" t="s">
        <v>7074</v>
      </c>
      <c r="D3568" s="0" t="n">
        <v>0.2</v>
      </c>
    </row>
    <row r="3569" customFormat="false" ht="15" hidden="false" customHeight="false" outlineLevel="0" collapsed="false">
      <c r="A3569" s="0" t="s">
        <v>14</v>
      </c>
      <c r="B3569" s="0" t="s">
        <v>5330</v>
      </c>
      <c r="C3569" s="0" t="s">
        <v>7072</v>
      </c>
      <c r="D3569" s="0" t="n">
        <v>0.718</v>
      </c>
    </row>
    <row r="3570" customFormat="false" ht="15" hidden="false" customHeight="false" outlineLevel="0" collapsed="false">
      <c r="A3570" s="0" t="s">
        <v>14</v>
      </c>
      <c r="B3570" s="0" t="s">
        <v>5330</v>
      </c>
      <c r="C3570" s="0" t="s">
        <v>7073</v>
      </c>
      <c r="D3570" s="0" t="n">
        <v>0.6</v>
      </c>
    </row>
    <row r="3571" customFormat="false" ht="15" hidden="false" customHeight="false" outlineLevel="0" collapsed="false">
      <c r="A3571" s="0" t="s">
        <v>14</v>
      </c>
      <c r="B3571" s="0" t="s">
        <v>5330</v>
      </c>
      <c r="C3571" s="0" t="s">
        <v>7074</v>
      </c>
      <c r="D3571" s="0" t="n">
        <v>0.8</v>
      </c>
    </row>
    <row r="3572" customFormat="false" ht="15" hidden="false" customHeight="false" outlineLevel="0" collapsed="false">
      <c r="A3572" s="0" t="s">
        <v>14</v>
      </c>
      <c r="B3572" s="0" t="s">
        <v>5335</v>
      </c>
      <c r="C3572" s="0" t="s">
        <v>7072</v>
      </c>
      <c r="D3572" s="0" t="n">
        <v>1</v>
      </c>
    </row>
    <row r="3573" customFormat="false" ht="15" hidden="false" customHeight="false" outlineLevel="0" collapsed="false">
      <c r="A3573" s="0" t="s">
        <v>14</v>
      </c>
      <c r="B3573" s="0" t="s">
        <v>5335</v>
      </c>
      <c r="C3573" s="0" t="s">
        <v>7073</v>
      </c>
      <c r="D3573" s="0" t="n">
        <v>1</v>
      </c>
    </row>
    <row r="3574" customFormat="false" ht="15" hidden="false" customHeight="false" outlineLevel="0" collapsed="false">
      <c r="A3574" s="0" t="s">
        <v>14</v>
      </c>
      <c r="B3574" s="0" t="s">
        <v>5335</v>
      </c>
      <c r="C3574" s="0" t="s">
        <v>7074</v>
      </c>
      <c r="D3574" s="0" t="n">
        <v>1</v>
      </c>
    </row>
    <row r="3575" customFormat="false" ht="15" hidden="false" customHeight="false" outlineLevel="0" collapsed="false">
      <c r="A3575" s="0" t="s">
        <v>14</v>
      </c>
      <c r="B3575" s="0" t="s">
        <v>5339</v>
      </c>
      <c r="C3575" s="0" t="s">
        <v>7072</v>
      </c>
      <c r="D3575" s="0" t="n">
        <v>0</v>
      </c>
    </row>
    <row r="3576" customFormat="false" ht="15" hidden="false" customHeight="false" outlineLevel="0" collapsed="false">
      <c r="A3576" s="0" t="s">
        <v>14</v>
      </c>
      <c r="B3576" s="0" t="s">
        <v>5339</v>
      </c>
      <c r="C3576" s="0" t="s">
        <v>7073</v>
      </c>
      <c r="D3576" s="0" t="n">
        <v>0</v>
      </c>
    </row>
    <row r="3577" customFormat="false" ht="15" hidden="false" customHeight="false" outlineLevel="0" collapsed="false">
      <c r="A3577" s="0" t="s">
        <v>14</v>
      </c>
      <c r="B3577" s="0" t="s">
        <v>5339</v>
      </c>
      <c r="C3577" s="0" t="s">
        <v>7074</v>
      </c>
      <c r="D3577" s="0" t="n">
        <v>1</v>
      </c>
    </row>
    <row r="3578" customFormat="false" ht="15" hidden="false" customHeight="false" outlineLevel="0" collapsed="false">
      <c r="A3578" s="0" t="s">
        <v>14</v>
      </c>
      <c r="B3578" s="0" t="s">
        <v>5343</v>
      </c>
      <c r="C3578" s="0" t="s">
        <v>7072</v>
      </c>
      <c r="D3578" s="0" t="n">
        <v>0</v>
      </c>
    </row>
    <row r="3579" customFormat="false" ht="15" hidden="false" customHeight="false" outlineLevel="0" collapsed="false">
      <c r="A3579" s="0" t="s">
        <v>14</v>
      </c>
      <c r="B3579" s="0" t="s">
        <v>5343</v>
      </c>
      <c r="C3579" s="0" t="s">
        <v>7073</v>
      </c>
      <c r="D3579" s="0" t="n">
        <v>0</v>
      </c>
    </row>
    <row r="3580" customFormat="false" ht="15" hidden="false" customHeight="false" outlineLevel="0" collapsed="false">
      <c r="A3580" s="0" t="s">
        <v>14</v>
      </c>
      <c r="B3580" s="0" t="s">
        <v>5343</v>
      </c>
      <c r="C3580" s="0" t="s">
        <v>7074</v>
      </c>
      <c r="D3580"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2026-10-08T07:36:53Z</dcterms:created>
  <dc:creator>openpyxl</dc:creator>
  <dc:description/>
  <dc:language>en-US</dc:language>
  <cp:lastModifiedBy/>
  <dcterms:modified xsi:type="dcterms:W3CDTF">2026-10-08T07:36:53Z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